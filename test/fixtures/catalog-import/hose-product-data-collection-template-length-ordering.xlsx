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9595f41f8b4d3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填写说明" sheetId="1" r:id="Rea8595d72f654083"/>
    <x:sheet xmlns:r="http://schemas.openxmlformats.org/officeDocument/2006/relationships" name="01_胶管主数据" sheetId="2" r:id="Rec8dc18cb1514dc4"/>
    <x:sheet xmlns:r="http://schemas.openxmlformats.org/officeDocument/2006/relationships" name="02_压接接头" sheetId="3" r:id="Red2ab0dbf544499d"/>
    <x:sheet xmlns:r="http://schemas.openxmlformats.org/officeDocument/2006/relationships" name="03_套筒" sheetId="4" r:id="R06434e063c0f4f7f"/>
    <x:sheet xmlns:r="http://schemas.openxmlformats.org/officeDocument/2006/relationships" name="04_兼容压接" sheetId="5" r:id="R3001860eb60740d4"/>
    <x:sheet xmlns:r="http://schemas.openxmlformats.org/officeDocument/2006/relationships" name="05_过渡接头" sheetId="6" r:id="R062b50677fa043ae"/>
    <x:sheet xmlns:r="http://schemas.openxmlformats.org/officeDocument/2006/relationships" name="06_快速接头" sheetId="7" r:id="R345359b902e3471b"/>
    <x:sheet xmlns:r="http://schemas.openxmlformats.org/officeDocument/2006/relationships" name="07_价格包装" sheetId="8" r:id="R930dfafbdc914d03"/>
    <x:sheet xmlns:r="http://schemas.openxmlformats.org/officeDocument/2006/relationships" name="09_字段字典" sheetId="10" r:id="Rf084724843f54bec"/>
    <x:sheet xmlns:r="http://schemas.openxmlformats.org/officeDocument/2006/relationships" name="10_下拉选项" sheetId="11" r:id="R8f66a912935d48a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@"/>
    <x:numFmt numFmtId="201" formatCode="#,##0.###"/>
    <x:numFmt numFmtId="202" formatCode="#,##0.00"/>
    <x:numFmt numFmtId="203" formatCode="yyyy-mm-dd"/>
    <x:numFmt numFmtId="204" formatCode="#,##0"/>
    <x:numFmt numFmtId="205" formatCode="0.###"/>
    <x:numFmt numFmtId="206" formatCode="0.00"/>
    <x:numFmt numFmtId="207" formatCode="0"/>
    <x:numFmt numFmtId="208" formatCode="0.0000"/>
    <x:numFmt numFmtId="209" formatCode="&quot;$&quot;#,##0.00"/>
  </x:numFmts>
  <x:fonts count="11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D2939"/>
      <x:name val="Carlito"/>
    </x:font>
    <x:font>
      <x:b/>
      <x:sz val="10"/>
      <x:color rgb="FFFFFFFF"/>
      <x:name val="Carlito"/>
    </x:font>
    <x:font>
      <x:sz val="9"/>
      <x:color rgb="FF1D2939"/>
      <x:name val="Carlito"/>
    </x:font>
    <x:font>
      <x:i/>
      <x:sz val="9"/>
      <x:color rgb="FF1D2939"/>
      <x:name val="Carlito"/>
    </x:font>
    <x:font>
      <x:b/>
      <x:sz val="11"/>
      <x:color rgb="FFFFFFFF"/>
      <x:name val="Carlito"/>
    </x:font>
    <x:font>
      <x:b/>
      <x:sz val="12"/>
      <x:color rgb="FFFFFFFF"/>
      <x:name val="Carlito"/>
    </x:font>
    <x:font>
      <x:sz val="11"/>
      <x:color rgb="FF1D2939"/>
      <x:name val="Carlito"/>
    </x:font>
    <x:font>
      <x:sz val="9"/>
      <x:color rgb="FFB54708"/>
      <x:name val="Carlito"/>
    </x:font>
    <x:font>
      <x:sz val="11"/>
      <x:color rgb="FF000000"/>
      <x:name val="Carlito"/>
    </x:font>
  </x:fonts>
  <x:fills count="23">
    <x:fill>
      <x:patternFill patternType="none"/>
    </x:fill>
    <x:fill>
      <x:patternFill patternType="gray125"/>
    </x:fill>
    <x:fill>
      <x:patternFill patternType="solid">
        <x:fgColor rgb="FF7A271A"/>
      </x:patternFill>
    </x:fill>
    <x:fill>
      <x:patternFill patternType="solid">
        <x:fgColor rgb="FFFFF4CC"/>
      </x:patternFill>
    </x:fill>
    <x:fill>
      <x:patternFill patternType="solid">
        <x:fgColor rgb="FF252A2E"/>
      </x:patternFill>
    </x:fill>
    <x:fill>
      <x:patternFill patternType="solid">
        <x:fgColor rgb="FFB42318"/>
      </x:patternFill>
    </x:fill>
    <x:fill>
      <x:patternFill patternType="solid">
        <x:fgColor rgb="FFEAF2F8"/>
      </x:patternFill>
    </x:fill>
    <x:fill>
      <x:patternFill patternType="solid">
        <x:fgColor rgb="FFF2F4F7"/>
      </x:patternFill>
    </x:fill>
    <x:fill>
      <x:patternFill patternType="solid">
        <x:fgColor rgb="FFEAF7EE"/>
      </x:patternFill>
    </x:fill>
    <x:fill>
      <x:patternFill patternType="solid">
        <x:fgColor rgb="FFFEE4E2"/>
      </x:patternFill>
    </x:fill>
    <x:fill>
      <x:patternFill patternType="solid">
        <x:fgColor rgb="FFE7E6E6"/>
      </x:patternFill>
    </x:fill>
    <x:fill>
      <x:patternFill patternType="solid">
        <x:fgColor rgb="FFDDEBF7"/>
      </x:patternFill>
    </x:fill>
    <x:fill>
      <x:patternFill patternType="solid">
        <x:fgColor rgb="FFE7E6E6"/>
      </x:patternFill>
    </x:fill>
    <x:fill>
      <x:patternFill patternType="solid">
        <x:fgColor rgb="FFDDEBF7"/>
      </x:patternFill>
    </x:fill>
    <x:fill>
      <x:patternFill patternType="solid">
        <x:fgColor rgb="FFB42318"/>
      </x:patternFill>
    </x:fill>
    <x:fill>
      <x:patternFill patternType="solid">
        <x:fgColor rgb="FFFFF4CC"/>
      </x:patternFill>
    </x:fill>
    <x:fill>
      <x:patternFill patternType="solid">
        <x:fgColor rgb="FF252A2E"/>
      </x:patternFill>
    </x:fill>
    <x:fill>
      <x:patternFill patternType="solid">
        <x:fgColor rgb="FFBCE4F4"/>
      </x:patternFill>
    </x:fill>
    <x:fill>
      <x:patternFill patternType="solid">
        <x:fgColor rgb="FFFFFFFF"/>
      </x:patternFill>
    </x:fill>
    <x:fill>
      <x:patternFill patternType="solid">
        <x:fgColor rgb="FFEAF2F8"/>
      </x:patternFill>
    </x:fill>
    <x:fill>
      <x:patternFill patternType="solid">
        <x:fgColor rgb="FF252A2E"/>
      </x:patternFill>
    </x:fill>
    <x:fill>
      <x:patternFill patternType="solid">
        <x:fgColor rgb="FFEAF2F8"/>
      </x:patternFill>
    </x:fill>
    <x:fill>
      <x:patternFill patternType="solid">
        <x:fgColor rgb="FFB42318"/>
      </x:patternFill>
    </x:fill>
  </x:fills>
  <x:borders count="8">
    <x:border/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bottom style="medium">
        <x:color rgb="FFFFFFFF"/>
      </x:bottom>
    </x:border>
    <x:border>
      <x:bottom style="thin">
        <x:color rgb="FFD0D5DD"/>
      </x:bottom>
    </x:border>
    <x:border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</x:borders>
  <x:cellStyleXfs count="1">
    <x:xf numFmtId="0" fontId="0" fillId="0" borderId="0"/>
  </x:cellStyleXfs>
  <x:cellXfs count="20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2" xfId="0" applyNumberFormat="1" applyFont="1" applyFill="1" applyBorder="1" applyAlignment="1">
      <x:alignment vertical="center" wrapText="1"/>
    </x:xf>
    <x:xf numFmtId="0" fontId="2" fillId="3" borderId="3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4" xfId="0" applyNumberFormat="1" applyFont="1" applyFill="1" applyBorder="1"/>
    <x:xf numFmtId="0" fontId="3" fillId="4" borderId="4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vertical="center" wrapText="1"/>
    </x:xf>
    <x:xf numFmtId="0" fontId="3" fillId="5" borderId="4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5" xfId="0" applyNumberFormat="1" applyFont="1" applyFill="1" applyBorder="1"/>
    <x:xf numFmtId="0" fontId="4" fillId="6" borderId="2" xfId="0" applyNumberFormat="1" applyFont="1" applyFill="1" applyBorder="1"/>
    <x:xf numFmtId="0" fontId="4" fillId="6" borderId="6" xfId="0" applyNumberFormat="1" applyFont="1" applyFill="1" applyBorder="1"/>
    <x:xf numFmtId="0" fontId="4" fillId="6" borderId="5" xfId="0" applyNumberFormat="1" applyFont="1" applyFill="1" applyBorder="1" applyAlignment="1">
      <x:alignment wrapText="1"/>
    </x:xf>
    <x:xf numFmtId="0" fontId="4" fillId="6" borderId="2" xfId="0" applyNumberFormat="1" applyFont="1" applyFill="1" applyBorder="1" applyAlignment="1">
      <x:alignment wrapText="1"/>
    </x:xf>
    <x:xf numFmtId="0" fontId="4" fillId="6" borderId="6" xfId="0" applyNumberFormat="1" applyFont="1" applyFill="1" applyBorder="1" applyAlignment="1">
      <x:alignment wrapText="1"/>
    </x:xf>
    <x:xf numFmtId="0" fontId="4" fillId="6" borderId="5" xfId="0" applyNumberFormat="1" applyFont="1" applyFill="1" applyBorder="1" applyAlignment="1">
      <x:alignment vertical="top" wrapText="1"/>
    </x:xf>
    <x:xf numFmtId="0" fontId="4" fillId="6" borderId="2" xfId="0" applyNumberFormat="1" applyFont="1" applyFill="1" applyBorder="1" applyAlignment="1">
      <x:alignment vertical="top" wrapText="1"/>
    </x:xf>
    <x:xf numFmtId="0" fontId="4" fillId="6" borderId="6" xfId="0" applyNumberFormat="1" applyFont="1" applyFill="1" applyBorder="1" applyAlignment="1">
      <x:alignment vertical="top" wrapText="1"/>
    </x:xf>
    <x:xf numFmtId="200" fontId="4" fillId="6" borderId="5" xfId="0" applyNumberFormat="1" applyFont="1" applyFill="1" applyBorder="1" applyAlignment="1">
      <x:alignment vertical="top" wrapText="1"/>
    </x:xf>
    <x:xf numFmtId="200" fontId="4" fillId="6" borderId="2" xfId="0" applyNumberFormat="1" applyFont="1" applyFill="1" applyBorder="1" applyAlignment="1">
      <x:alignment vertical="top" wrapText="1"/>
    </x:xf>
    <x:xf numFmtId="200" fontId="4" fillId="6" borderId="6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5" xfId="0" applyNumberFormat="1" applyFont="1" applyFill="1" applyBorder="1"/>
    <x:xf numFmtId="0" fontId="4" fillId="7" borderId="2" xfId="0" applyNumberFormat="1" applyFont="1" applyFill="1" applyBorder="1"/>
    <x:xf numFmtId="0" fontId="4" fillId="7" borderId="6" xfId="0" applyNumberFormat="1" applyFont="1" applyFill="1" applyBorder="1"/>
    <x:xf numFmtId="0" fontId="4" fillId="7" borderId="5" xfId="0" applyNumberFormat="1" applyFont="1" applyFill="1" applyBorder="1" applyAlignment="1">
      <x:alignment wrapText="1"/>
    </x:xf>
    <x:xf numFmtId="0" fontId="4" fillId="7" borderId="2" xfId="0" applyNumberFormat="1" applyFont="1" applyFill="1" applyBorder="1" applyAlignment="1">
      <x:alignment wrapText="1"/>
    </x:xf>
    <x:xf numFmtId="0" fontId="4" fillId="7" borderId="6" xfId="0" applyNumberFormat="1" applyFont="1" applyFill="1" applyBorder="1" applyAlignment="1">
      <x:alignment wrapText="1"/>
    </x:xf>
    <x:xf numFmtId="0" fontId="4" fillId="7" borderId="5" xfId="0" applyNumberFormat="1" applyFont="1" applyFill="1" applyBorder="1" applyAlignment="1">
      <x:alignment vertical="top" wrapText="1"/>
    </x:xf>
    <x:xf numFmtId="0" fontId="4" fillId="7" borderId="2" xfId="0" applyNumberFormat="1" applyFont="1" applyFill="1" applyBorder="1" applyAlignment="1">
      <x:alignment vertical="top" wrapText="1"/>
    </x:xf>
    <x:xf numFmtId="0" fontId="4" fillId="7" borderId="6" xfId="0" applyNumberFormat="1" applyFont="1" applyFill="1" applyBorder="1" applyAlignment="1">
      <x:alignment vertical="top" wrapText="1"/>
    </x:xf>
    <x:xf numFmtId="200" fontId="4" fillId="7" borderId="5" xfId="0" applyNumberFormat="1" applyFont="1" applyFill="1" applyBorder="1" applyAlignment="1">
      <x:alignment vertical="top" wrapText="1"/>
    </x:xf>
    <x:xf numFmtId="200" fontId="4" fillId="7" borderId="2" xfId="0" applyNumberFormat="1" applyFont="1" applyFill="1" applyBorder="1" applyAlignment="1">
      <x:alignment vertical="top" wrapText="1"/>
    </x:xf>
    <x:xf numFmtId="200" fontId="4" fillId="7" borderId="6" xfId="0" applyNumberFormat="1" applyFont="1" applyFill="1" applyBorder="1" applyAlignment="1">
      <x:alignment vertical="top" wrapText="1"/>
    </x:xf>
    <x:xf numFmtId="201" fontId="4" fillId="7" borderId="5" xfId="0" applyNumberFormat="1" applyFont="1" applyFill="1" applyBorder="1" applyAlignment="1">
      <x:alignment vertical="top" wrapText="1"/>
    </x:xf>
    <x:xf numFmtId="201" fontId="4" fillId="7" borderId="2" xfId="0" applyNumberFormat="1" applyFont="1" applyFill="1" applyBorder="1" applyAlignment="1">
      <x:alignment vertical="top" wrapText="1"/>
    </x:xf>
    <x:xf numFmtId="201" fontId="4" fillId="7" borderId="6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5" xfId="0" applyNumberFormat="1" applyFont="1" applyFill="1" applyBorder="1"/>
    <x:xf numFmtId="0" fontId="4" fillId="8" borderId="2" xfId="0" applyNumberFormat="1" applyFont="1" applyFill="1" applyBorder="1"/>
    <x:xf numFmtId="0" fontId="4" fillId="8" borderId="6" xfId="0" applyNumberFormat="1" applyFont="1" applyFill="1" applyBorder="1"/>
    <x:xf numFmtId="0" fontId="4" fillId="8" borderId="5" xfId="0" applyNumberFormat="1" applyFont="1" applyFill="1" applyBorder="1" applyAlignment="1">
      <x:alignment wrapText="1"/>
    </x:xf>
    <x:xf numFmtId="0" fontId="4" fillId="8" borderId="2" xfId="0" applyNumberFormat="1" applyFont="1" applyFill="1" applyBorder="1" applyAlignment="1">
      <x:alignment wrapText="1"/>
    </x:xf>
    <x:xf numFmtId="0" fontId="4" fillId="8" borderId="6" xfId="0" applyNumberFormat="1" applyFont="1" applyFill="1" applyBorder="1" applyAlignment="1">
      <x:alignment wrapText="1"/>
    </x:xf>
    <x:xf numFmtId="0" fontId="4" fillId="8" borderId="5" xfId="0" applyNumberFormat="1" applyFont="1" applyFill="1" applyBorder="1" applyAlignment="1">
      <x:alignment vertical="top" wrapText="1"/>
    </x:xf>
    <x:xf numFmtId="0" fontId="4" fillId="8" borderId="2" xfId="0" applyNumberFormat="1" applyFont="1" applyFill="1" applyBorder="1" applyAlignment="1">
      <x:alignment vertical="top" wrapText="1"/>
    </x:xf>
    <x:xf numFmtId="0" fontId="4" fillId="8" borderId="6" xfId="0" applyNumberFormat="1" applyFont="1" applyFill="1" applyBorder="1" applyAlignment="1">
      <x:alignment vertical="top" wrapText="1"/>
    </x:xf>
    <x:xf numFmtId="201" fontId="4" fillId="8" borderId="5" xfId="0" applyNumberFormat="1" applyFont="1" applyFill="1" applyBorder="1" applyAlignment="1">
      <x:alignment vertical="top" wrapText="1"/>
    </x:xf>
    <x:xf numFmtId="201" fontId="4" fillId="8" borderId="2" xfId="0" applyNumberFormat="1" applyFont="1" applyFill="1" applyBorder="1" applyAlignment="1">
      <x:alignment vertical="top" wrapText="1"/>
    </x:xf>
    <x:xf numFmtId="201" fontId="4" fillId="8" borderId="6" xfId="0" applyNumberFormat="1" applyFont="1" applyFill="1" applyBorder="1" applyAlignment="1">
      <x:alignment vertical="top" wrapText="1"/>
    </x:xf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top" wrapText="1"/>
    </x:xf>
    <x:xf numFmtId="200" fontId="5" fillId="6" borderId="0" xfId="0" applyNumberFormat="1" applyFont="1" applyFill="1" applyBorder="1" applyAlignment="1">
      <x:alignment vertical="top" wrapText="1"/>
    </x:xf>
    <x:xf numFmtId="0" fontId="5" fillId="7" borderId="0" xfId="0" applyNumberFormat="1" applyFont="1" applyFill="1" applyBorder="1"/>
    <x:xf numFmtId="0" fontId="5" fillId="7" borderId="0" xfId="0" applyNumberFormat="1" applyFont="1" applyFill="1" applyBorder="1" applyAlignment="1">
      <x:alignment wrapText="1"/>
    </x:xf>
    <x:xf numFmtId="0" fontId="5" fillId="7" borderId="0" xfId="0" applyNumberFormat="1" applyFont="1" applyFill="1" applyBorder="1" applyAlignment="1">
      <x:alignment vertical="top" wrapText="1"/>
    </x:xf>
    <x:xf numFmtId="200" fontId="5" fillId="7" borderId="0" xfId="0" applyNumberFormat="1" applyFont="1" applyFill="1" applyBorder="1" applyAlignment="1">
      <x:alignment vertical="top" wrapText="1"/>
    </x:xf>
    <x:xf numFmtId="201" fontId="5" fillId="7" borderId="0" xfId="0" applyNumberFormat="1" applyFont="1" applyFill="1" applyBorder="1" applyAlignment="1">
      <x:alignment vertical="top" wrapText="1"/>
    </x:xf>
    <x:xf numFmtId="202" fontId="5" fillId="7" borderId="0" xfId="0" applyNumberFormat="1" applyFont="1" applyFill="1" applyBorder="1" applyAlignment="1">
      <x:alignment vertical="top" wrapText="1"/>
    </x:xf>
    <x:xf numFmtId="203" fontId="5" fillId="7" borderId="0" xfId="0" applyNumberFormat="1" applyFont="1" applyFill="1" applyBorder="1" applyAlignment="1">
      <x:alignment vertical="top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wrapText="1"/>
    </x:xf>
    <x:xf numFmtId="0" fontId="6" fillId="4" borderId="0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/>
    <x:xf numFmtId="0" fontId="0" fillId="0" borderId="2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204" fontId="0" fillId="0" borderId="5" xfId="0" applyNumberFormat="1" applyFont="1" applyFill="1" applyBorder="1" applyAlignment="1">
      <x:alignment vertical="top" wrapText="1"/>
    </x:xf>
    <x:xf numFmtId="204" fontId="0" fillId="0" borderId="2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7" fillId="5" borderId="0" xfId="0" applyNumberFormat="1" applyFont="1" applyFill="1" applyBorder="1"/>
    <x:xf numFmtId="0" fontId="8" fillId="7" borderId="0" xfId="0" applyNumberFormat="1" applyFont="1" applyFill="1" applyBorder="1"/>
    <x:xf numFmtId="0" fontId="8" fillId="7" borderId="5" xfId="0" applyNumberFormat="1" applyFont="1" applyFill="1" applyBorder="1"/>
    <x:xf numFmtId="0" fontId="8" fillId="7" borderId="2" xfId="0" applyNumberFormat="1" applyFont="1" applyFill="1" applyBorder="1"/>
    <x:xf numFmtId="0" fontId="8" fillId="7" borderId="6" xfId="0" applyNumberFormat="1" applyFont="1" applyFill="1" applyBorder="1"/>
    <x:xf numFmtId="0" fontId="8" fillId="7" borderId="5" xfId="0" applyNumberFormat="1" applyFont="1" applyFill="1" applyBorder="1" applyAlignment="1">
      <x:alignment wrapText="1"/>
    </x:xf>
    <x:xf numFmtId="0" fontId="8" fillId="7" borderId="2" xfId="0" applyNumberFormat="1" applyFont="1" applyFill="1" applyBorder="1" applyAlignment="1">
      <x:alignment wrapText="1"/>
    </x:xf>
    <x:xf numFmtId="0" fontId="8" fillId="7" borderId="6" xfId="0" applyNumberFormat="1" applyFont="1" applyFill="1" applyBorder="1" applyAlignment="1">
      <x:alignment wrapText="1"/>
    </x:xf>
    <x:xf numFmtId="0" fontId="8" fillId="7" borderId="5" xfId="0" applyNumberFormat="1" applyFont="1" applyFill="1" applyBorder="1" applyAlignment="1">
      <x:alignment vertical="center" wrapText="1"/>
    </x:xf>
    <x:xf numFmtId="0" fontId="8" fillId="7" borderId="2" xfId="0" applyNumberFormat="1" applyFont="1" applyFill="1" applyBorder="1" applyAlignment="1">
      <x:alignment vertical="center" wrapText="1"/>
    </x:xf>
    <x:xf numFmtId="0" fontId="8" fillId="7" borderId="6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8" fillId="9" borderId="0" xfId="0" applyNumberFormat="1" applyFont="1" applyFill="1" applyBorder="1"/>
    <x:xf numFmtId="0" fontId="8" fillId="0" borderId="0" xfId="0" applyNumberFormat="1" applyFont="1" applyFill="1" applyBorder="1"/>
    <x:xf numFmtId="0" fontId="8" fillId="6" borderId="0" xfId="0" applyNumberFormat="1" applyFont="1" applyFill="1" applyBorder="1"/>
    <x:xf numFmtId="0" fontId="8" fillId="8" borderId="0" xfId="0" applyNumberFormat="1" applyFont="1" applyFill="1" applyBorder="1"/>
    <x:xf numFmtId="0" fontId="8" fillId="9" borderId="7" xfId="0" applyNumberFormat="1" applyFont="1" applyFill="1" applyBorder="1"/>
    <x:xf numFmtId="0" fontId="8" fillId="0" borderId="7" xfId="0" applyNumberFormat="1" applyFont="1" applyFill="1" applyBorder="1"/>
    <x:xf numFmtId="0" fontId="8" fillId="6" borderId="7" xfId="0" applyNumberFormat="1" applyFont="1" applyFill="1" applyBorder="1"/>
    <x:xf numFmtId="0" fontId="8" fillId="8" borderId="7" xfId="0" applyNumberFormat="1" applyFont="1" applyFill="1" applyBorder="1"/>
    <x:xf numFmtId="0" fontId="8" fillId="7" borderId="7" xfId="0" applyNumberFormat="1" applyFont="1" applyFill="1" applyBorder="1"/>
    <x:xf numFmtId="0" fontId="0" fillId="0" borderId="6" xfId="0" applyNumberFormat="1" applyFont="1" applyFill="1" applyBorder="1"/>
    <x:xf numFmtId="0" fontId="0" fillId="0" borderId="6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6" borderId="5" xfId="0" applyNumberFormat="1" applyFont="1" applyFill="1" applyBorder="1"/>
    <x:xf numFmtId="0" fontId="0" fillId="6" borderId="2" xfId="0" applyNumberFormat="1" applyFont="1" applyFill="1" applyBorder="1"/>
    <x:xf numFmtId="0" fontId="0" fillId="6" borderId="6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5" fillId="10" borderId="0" xfId="0" applyNumberFormat="1" applyFont="1" applyFill="1" applyBorder="1" applyAlignment="1">
      <x:alignment vertical="top" wrapText="1"/>
    </x:xf>
    <x:xf numFmtId="201" fontId="5" fillId="10" borderId="0" xfId="0" applyNumberFormat="1" applyFont="1" applyFill="1" applyBorder="1" applyAlignment="1">
      <x:alignment vertical="top" wrapText="1"/>
    </x:xf>
    <x:xf numFmtId="202" fontId="5" fillId="10" borderId="0" xfId="0" applyNumberFormat="1" applyFont="1" applyFill="1" applyBorder="1" applyAlignment="1">
      <x:alignment vertical="top" wrapText="1"/>
    </x:xf>
    <x:xf numFmtId="200" fontId="5" fillId="11" borderId="0" xfId="0" applyNumberFormat="1" applyFont="1" applyFill="1" applyBorder="1" applyAlignment="1">
      <x:alignment vertical="top" wrapText="1"/>
    </x:xf>
    <x:xf numFmtId="201" fontId="5" fillId="11" borderId="0" xfId="0" applyNumberFormat="1" applyFont="1" applyFill="1" applyBorder="1" applyAlignment="1">
      <x:alignment vertical="top" wrapText="1"/>
    </x:xf>
    <x:xf numFmtId="202" fontId="5" fillId="11" borderId="0" xfId="0" applyNumberFormat="1" applyFont="1" applyFill="1" applyBorder="1" applyAlignment="1">
      <x:alignment vertical="top" wrapText="1"/>
    </x:xf>
    <x:xf numFmtId="205" fontId="5" fillId="10" borderId="0" xfId="0" applyNumberFormat="1" applyFont="1" applyFill="1" applyBorder="1" applyAlignment="1">
      <x:alignment vertical="top" wrapText="1"/>
    </x:xf>
    <x:xf numFmtId="205" fontId="0" fillId="0" borderId="0" xfId="0" applyNumberFormat="1" applyFont="1" applyFill="1" applyBorder="1"/>
    <x:xf numFmtId="206" fontId="5" fillId="10" borderId="0" xfId="0" applyNumberFormat="1" applyFont="1" applyFill="1" applyBorder="1" applyAlignment="1">
      <x:alignment vertical="top" wrapText="1"/>
    </x:xf>
    <x:xf numFmtId="206" fontId="0" fillId="0" borderId="0" xfId="0" applyNumberFormat="1" applyFont="1" applyFill="1" applyBorder="1"/>
    <x:xf numFmtId="200" fontId="5" fillId="12" borderId="0" xfId="0" applyNumberFormat="1" applyFont="1" applyFill="1" applyBorder="1" applyAlignment="1">
      <x:alignment vertical="top" wrapText="1"/>
    </x:xf>
    <x:xf numFmtId="205" fontId="5" fillId="12" borderId="0" xfId="0" applyNumberFormat="1" applyFont="1" applyFill="1" applyBorder="1" applyAlignment="1">
      <x:alignment vertical="top" wrapText="1"/>
    </x:xf>
    <x:xf numFmtId="201" fontId="5" fillId="12" borderId="0" xfId="0" applyNumberFormat="1" applyFont="1" applyFill="1" applyBorder="1" applyAlignment="1">
      <x:alignment vertical="top" wrapText="1"/>
    </x:xf>
    <x:xf numFmtId="206" fontId="5" fillId="12" borderId="0" xfId="0" applyNumberFormat="1" applyFont="1" applyFill="1" applyBorder="1" applyAlignment="1">
      <x:alignment vertical="top" wrapText="1"/>
    </x:xf>
    <x:xf numFmtId="202" fontId="5" fillId="12" borderId="0" xfId="0" applyNumberFormat="1" applyFont="1" applyFill="1" applyBorder="1" applyAlignment="1">
      <x:alignment vertical="top" wrapText="1"/>
    </x:xf>
    <x:xf numFmtId="200" fontId="5" fillId="13" borderId="0" xfId="0" applyNumberFormat="1" applyFont="1" applyFill="1" applyBorder="1" applyAlignment="1">
      <x:alignment vertical="top" wrapText="1"/>
    </x:xf>
    <x:xf numFmtId="201" fontId="5" fillId="13" borderId="0" xfId="0" applyNumberFormat="1" applyFont="1" applyFill="1" applyBorder="1" applyAlignment="1">
      <x:alignment vertical="top" wrapText="1"/>
    </x:xf>
    <x:xf numFmtId="202" fontId="5" fillId="13" borderId="0" xfId="0" applyNumberFormat="1" applyFont="1" applyFill="1" applyBorder="1" applyAlignment="1">
      <x:alignment vertical="top" wrapText="1"/>
    </x:xf>
    <x:xf numFmtId="200" fontId="5" fillId="11" borderId="0" xfId="0" applyNumberFormat="1" applyFont="1" applyFill="1" applyBorder="1" applyAlignment="1">
      <x:alignment vertical="top" wrapText="0"/>
    </x:xf>
    <x:xf numFmtId="200" fontId="5" fillId="10" borderId="0" xfId="0" applyNumberFormat="1" applyFont="1" applyFill="1" applyBorder="1" applyAlignment="1">
      <x:alignment vertical="top" wrapText="0"/>
    </x:xf>
    <x:xf numFmtId="205" fontId="5" fillId="10" borderId="0" xfId="0" applyNumberFormat="1" applyFont="1" applyFill="1" applyBorder="1" applyAlignment="1">
      <x:alignment vertical="top" wrapText="0"/>
    </x:xf>
    <x:xf numFmtId="0" fontId="0" fillId="0" borderId="0" xfId="0" applyNumberFormat="1" applyFont="1" applyFill="1" applyBorder="1" applyAlignment="1">
      <x:alignment wrapText="0"/>
    </x:xf>
    <x:xf numFmtId="205" fontId="0" fillId="0" borderId="0" xfId="0" applyNumberFormat="1" applyFont="1" applyFill="1" applyBorder="1" applyAlignment="1">
      <x:alignment wrapText="0"/>
    </x:xf>
    <x:xf numFmtId="207" fontId="5" fillId="10" borderId="0" xfId="0" applyNumberFormat="1" applyFont="1" applyFill="1" applyBorder="1" applyAlignment="1">
      <x:alignment vertical="top" wrapText="0"/>
    </x:xf>
    <x:xf numFmtId="207" fontId="0" fillId="0" borderId="0" xfId="0" applyNumberFormat="1" applyFont="1" applyFill="1" applyBorder="1" applyAlignment="1">
      <x:alignment wrapText="0"/>
    </x:xf>
    <x:xf numFmtId="208" fontId="5" fillId="10" borderId="0" xfId="0" applyNumberFormat="1" applyFont="1" applyFill="1" applyBorder="1" applyAlignment="1">
      <x:alignment vertical="top" wrapText="0"/>
    </x:xf>
    <x:xf numFmtId="208" fontId="0" fillId="0" borderId="0" xfId="0" applyNumberFormat="1" applyFont="1" applyFill="1" applyBorder="1" applyAlignment="1">
      <x:alignment wrapText="0"/>
    </x:xf>
    <x:xf numFmtId="207" fontId="5" fillId="10" borderId="0" xfId="0" applyNumberFormat="1" applyFont="1" applyFill="1" applyBorder="1" applyAlignment="1">
      <x:alignment vertical="top" wrapText="1"/>
    </x:xf>
    <x:xf numFmtId="207" fontId="0" fillId="0" borderId="0" xfId="0" applyNumberFormat="1" applyFont="1" applyFill="1" applyBorder="1"/>
    <x:xf numFmtId="209" fontId="5" fillId="10" borderId="0" xfId="0" applyNumberFormat="1" applyFont="1" applyFill="1" applyBorder="1" applyAlignment="1">
      <x:alignment vertical="top" wrapText="1"/>
    </x:xf>
    <x:xf numFmtId="209" fontId="0" fillId="0" borderId="0" xfId="0" applyNumberFormat="1" applyFont="1" applyFill="1" applyBorder="1"/>
    <x:xf numFmtId="209" fontId="5" fillId="10" borderId="0" xfId="0" applyNumberFormat="1" applyFont="1" applyFill="1" applyBorder="1" applyAlignment="1">
      <x:alignment horizontal="right" vertical="top" wrapText="1"/>
    </x:xf>
    <x:xf numFmtId="209" fontId="0" fillId="0" borderId="0" xfId="0" applyNumberFormat="1" applyFont="1" applyFill="1" applyBorder="1" applyAlignment="1">
      <x:alignment horizontal="right"/>
    </x:xf>
    <x:xf numFmtId="0" fontId="0" fillId="14" borderId="0" xfId="0" applyNumberFormat="1" applyFont="1" applyFill="1" applyBorder="1"/>
    <x:xf numFmtId="0" fontId="3" fillId="14" borderId="0" xfId="0" applyNumberFormat="1" applyFont="1" applyFill="1" applyBorder="1"/>
    <x:xf numFmtId="0" fontId="3" fillId="14" borderId="4" xfId="0" applyNumberFormat="1" applyFont="1" applyFill="1" applyBorder="1"/>
    <x:xf numFmtId="0" fontId="3" fillId="14" borderId="4" xfId="0" applyNumberFormat="1" applyFont="1" applyFill="1" applyBorder="1" applyAlignment="1">
      <x:alignment wrapText="1"/>
    </x:xf>
    <x:xf numFmtId="0" fontId="3" fillId="14" borderId="4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9" fillId="15" borderId="0" xfId="0" applyNumberFormat="1" applyFont="1" applyFill="1" applyBorder="1"/>
    <x:xf numFmtId="0" fontId="9" fillId="15" xfId="0" applyNumberFormat="1" applyFont="1" applyFill="1" applyBorder="0"/>
    <x:xf numFmtId="0" fontId="9" fillId="15" borderId="5" xfId="0" applyNumberFormat="1" applyFont="1" applyFill="1" applyBorder="1"/>
    <x:xf numFmtId="200" fontId="9" fillId="15" xfId="0" applyNumberFormat="1" applyFont="1" applyFill="1" applyBorder="0"/>
    <x:xf numFmtId="200" fontId="9" fillId="15" borderId="5" xfId="0" applyNumberFormat="1" applyFont="1" applyFill="1" applyBorder="1"/>
    <x:xf numFmtId="200" fontId="9" fillId="15" xfId="0" applyNumberFormat="1" applyFont="1" applyFill="1" applyBorder="0" applyAlignment="1">
      <x:alignment wrapText="1"/>
    </x:xf>
    <x:xf numFmtId="200" fontId="9" fillId="15" borderId="5" xfId="0" applyNumberFormat="1" applyFont="1" applyFill="1" applyBorder="1" applyAlignment="1">
      <x:alignment wrapText="1"/>
    </x:xf>
    <x:xf numFmtId="0" fontId="3" fillId="16" borderId="4" xfId="0" applyNumberFormat="1" applyFont="1" applyFill="1" applyBorder="1" applyAlignment="1">
      <x:alignment vertical="center" wrapText="1"/>
    </x:xf>
    <x:xf numFmtId="0" fontId="0" fillId="17" borderId="0" xfId="0" applyNumberFormat="1" applyFont="1" applyFill="1" applyBorder="1"/>
    <x:xf numFmtId="0" fontId="4" fillId="17" borderId="0" xfId="0" applyNumberFormat="1" applyFont="1" applyFill="1" applyBorder="1"/>
    <x:xf numFmtId="0" fontId="4" fillId="17" borderId="5" xfId="0" applyNumberFormat="1" applyFont="1" applyFill="1" applyBorder="1"/>
    <x:xf numFmtId="0" fontId="4" fillId="17" borderId="5" xfId="0" applyNumberFormat="1" applyFont="1" applyFill="1" applyBorder="1" applyAlignment="1">
      <x:alignment wrapText="1"/>
    </x:xf>
    <x:xf numFmtId="0" fontId="0" fillId="18" borderId="0" xfId="0" applyNumberFormat="1" applyFont="1" applyFill="1" applyBorder="1"/>
    <x:xf numFmtId="0" fontId="4" fillId="18" borderId="0" xfId="0" applyNumberFormat="1" applyFont="1" applyFill="1" applyBorder="1"/>
    <x:xf numFmtId="0" fontId="4" fillId="18" borderId="5" xfId="0" applyNumberFormat="1" applyFont="1" applyFill="1" applyBorder="1"/>
    <x:xf numFmtId="0" fontId="4" fillId="18" borderId="5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0" fillId="19" borderId="0" xfId="0" applyNumberFormat="1" applyFont="1" applyFill="1" applyBorder="1"/>
    <x:xf numFmtId="0" fontId="4" fillId="19" borderId="0" xfId="0" applyNumberFormat="1" applyFont="1" applyFill="1" applyBorder="1"/>
    <x:xf numFmtId="0" fontId="4" fillId="19" xfId="0" applyNumberFormat="1" applyFont="1" applyFill="1" applyBorder="0"/>
    <x:xf numFmtId="0" fontId="4" fillId="19" borderId="5" xfId="0" applyNumberFormat="1" applyFont="1" applyFill="1" applyBorder="1"/>
    <x:xf numFmtId="0" fontId="6" fillId="16" borderId="0" xfId="0" applyNumberFormat="1" applyFont="1" applyFill="1" applyBorder="1"/>
    <x:xf numFmtId="0" fontId="6" fillId="16" borderId="0" xfId="0" applyNumberFormat="1" applyFont="1" applyFill="1" applyBorder="1" applyAlignment="1">
      <x:alignment wrapText="1"/>
    </x:xf>
    <x:xf numFmtId="0" fontId="8" fillId="0" xfId="0" applyNumberFormat="1" applyFont="1" applyFill="1" applyBorder="0"/>
    <x:xf numFmtId="0" fontId="8" fillId="0" borderId="5" xfId="0" applyNumberFormat="1" applyFont="1" applyFill="1" applyBorder="1"/>
    <x:xf numFmtId="204" fontId="8" fillId="0" xfId="0" applyNumberFormat="1" applyFont="1" applyFill="1" applyBorder="0"/>
    <x:xf numFmtId="204" fontId="8" fillId="0" borderId="5" xfId="0" applyNumberFormat="1" applyFont="1" applyFill="1" applyBorder="1"/>
    <x:xf numFmtId="204" fontId="8" fillId="0" xfId="0" applyNumberFormat="1" applyFont="1" applyFill="1" applyBorder="0" applyAlignment="1">
      <x:alignment wrapText="1"/>
    </x:xf>
    <x:xf numFmtId="204" fontId="8" fillId="0" borderId="5" xfId="0" applyNumberFormat="1" applyFont="1" applyFill="1" applyBorder="1" applyAlignment="1">
      <x:alignment wrapText="1"/>
    </x:xf>
    <x:xf numFmtId="0" fontId="0" fillId="20" borderId="0" xfId="0" applyNumberFormat="1" applyFont="1" applyFill="1" applyBorder="1"/>
    <x:xf numFmtId="0" fontId="6" fillId="20" borderId="0" xfId="0" applyNumberFormat="1" applyFont="1" applyFill="1" applyBorder="1"/>
    <x:xf numFmtId="0" fontId="6" fillId="20" borderId="4" xfId="0" applyNumberFormat="1" applyFont="1" applyFill="1" applyBorder="1"/>
    <x:xf numFmtId="0" fontId="6" fillId="20" borderId="4" xfId="0" applyNumberFormat="1" applyFont="1" applyFill="1" applyBorder="1" applyAlignment="1">
      <x:alignment wrapText="1"/>
    </x:xf>
    <x:xf numFmtId="0" fontId="6" fillId="20" borderId="4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/>
    <x:xf numFmtId="0" fontId="10" fillId="21" borderId="0" xfId="0" applyNumberFormat="1" applyFont="1" applyFill="1" applyBorder="1"/>
    <x:xf numFmtId="0" fontId="10" fillId="21" xfId="0" applyNumberFormat="1" applyFont="1" applyFill="1" applyBorder="0"/>
    <x:xf numFmtId="0" fontId="10" fillId="21" borderId="5" xfId="0" applyNumberFormat="1" applyFont="1" applyFill="1" applyBorder="1"/>
    <x:xf numFmtId="0" fontId="10" fillId="21" xfId="0" applyNumberFormat="1" applyFont="1" applyFill="1" applyBorder="0" applyAlignment="1">
      <x:alignment vertical="center"/>
    </x:xf>
    <x:xf numFmtId="0" fontId="10" fillId="21" borderId="5" xfId="0" applyNumberFormat="1" applyFont="1" applyFill="1" applyBorder="1" applyAlignment="1">
      <x:alignment vertical="center"/>
    </x:xf>
    <x:xf numFmtId="0" fontId="0" fillId="22" borderId="0" xfId="0" applyNumberFormat="1" applyFont="1" applyFill="1" applyBorder="1"/>
    <x:xf numFmtId="0" fontId="3" fillId="22" borderId="0" xfId="0" applyNumberFormat="1" applyFont="1" applyFill="1" applyBorder="1"/>
    <x:xf numFmtId="0" fontId="3" fillId="22" borderId="4" xfId="0" applyNumberFormat="1" applyFont="1" applyFill="1" applyBorder="1"/>
    <x:xf numFmtId="0" fontId="3" fillId="22" borderId="4" xfId="0" applyNumberFormat="1" applyFont="1" applyFill="1" applyBorder="1" applyAlignment="1">
      <x:alignment wrapText="1"/>
    </x:xf>
    <x:xf numFmtId="0" fontId="3" fillId="22" borderId="4" xfId="0" applyNumberFormat="1" applyFont="1" applyFill="1" applyBorder="1" applyAlignment="1">
      <x:alignment vertical="center" wrapText="1"/>
    </x:xf>
    <x:xf numFmtId="0" fontId="3" fillId="20" borderId="0" xfId="0" applyNumberFormat="1" applyFont="1" applyFill="1" applyBorder="1"/>
    <x:xf numFmtId="0" fontId="3" fillId="20" borderId="4" xfId="0" applyNumberFormat="1" applyFont="1" applyFill="1" applyBorder="1"/>
    <x:xf numFmtId="0" fontId="3" fillId="20" borderId="4" xfId="0" applyNumberFormat="1" applyFont="1" applyFill="1" applyBorder="1" applyAlignment="1">
      <x:alignment wrapText="1"/>
    </x:xf>
    <x:xf numFmtId="0" fontId="3" fillId="20" borderId="4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3">
    <x:dxf>
      <x:font>
        <x:b/>
        <x:color rgb="FF067647"/>
      </x:font>
      <x:fill>
        <x:patternFill>
          <x:bgColor rgb="FFEAF7EE"/>
        </x:patternFill>
      </x:fill>
    </x:dxf>
    <x:dxf>
      <x:font>
        <x:b/>
        <x:color rgb="FF7A271A"/>
      </x:font>
      <x:fill>
        <x:patternFill>
          <x:bgColor rgb="FFFEE4E2"/>
        </x:patternFill>
      </x:fill>
    </x:dxf>
    <x:dxf>
      <x:font>
        <x:color rgb="FFB54708"/>
      </x:font>
      <x:fill>
        <x:patternFill>
          <x:bgColor rgb="FFFFF4CC"/>
        </x:patternFill>
      </x:fill>
    </x:dxf>
    <x:dxf>
      <x:font>
        <x:b/>
        <x:color rgb="FF7A271A"/>
      </x:font>
      <x:fill>
        <x:patternFill>
          <x:bgColor rgb="FFFEE4E2"/>
        </x:patternFill>
      </x:fill>
    </x:dxf>
    <x:dxf>
      <x:font>
        <x:b/>
        <x:color rgb="FF067647"/>
      </x:font>
      <x:fill>
        <x:patternFill>
          <x:bgColor rgb="FFEAF7EE"/>
        </x:patternFill>
      </x:fill>
    </x:dxf>
    <x:dxf>
      <x:font>
        <x:b/>
        <x:color rgb="FF7A271A"/>
      </x:font>
      <x:fill>
        <x:patternFill>
          <x:bgColor rgb="FFFEE4E2"/>
        </x:patternFill>
      </x:fill>
    </x:dxf>
    <x:dxf>
      <x:font>
        <x:color rgb="FFB54708"/>
      </x:font>
      <x:fill>
        <x:patternFill>
          <x:bgColor rgb="FFFFF4CC"/>
        </x:patternFill>
      </x:fill>
    </x:dxf>
    <x:dxf>
      <x:font>
        <x:b/>
        <x:color rgb="FF7A271A"/>
      </x:font>
      <x:fill>
        <x:patternFill>
          <x:bgColor rgb="FFFEE4E2"/>
        </x:patternFill>
      </x:fill>
    </x:dxf>
    <x:dxf>
      <x:font>
        <x:b/>
        <x:color rgb="FF067647"/>
      </x:font>
      <x:fill>
        <x:patternFill>
          <x:bgColor rgb="FFEAF7EE"/>
        </x:patternFill>
      </x:fill>
    </x:dxf>
    <x:dxf>
      <x:font>
        <x:b/>
        <x:color rgb="FF7A271A"/>
      </x:font>
      <x:fill>
        <x:patternFill>
          <x:bgColor rgb="FFFEE4E2"/>
        </x:patternFill>
      </x:fill>
    </x:dxf>
    <x:dxf>
      <x:font>
        <x:color rgb="FFB54708"/>
      </x:font>
      <x:fill>
        <x:patternFill>
          <x:bgColor rgb="FFFFF4CC"/>
        </x:patternFill>
      </x:fill>
    </x:dxf>
    <x:dxf>
      <x:font>
        <x:b/>
        <x:color rgb="FF7A271A"/>
      </x:font>
      <x:fill>
        <x:patternFill>
          <x:bgColor rgb="FFFEE4E2"/>
        </x:patternFill>
      </x:fill>
    </x:dxf>
    <x:dxf>
      <x:font>
        <x:b/>
        <x:color rgb="FF067647"/>
      </x:font>
      <x:fill>
        <x:patternFill>
          <x:bgColor rgb="FFEAF7EE"/>
        </x:patternFill>
      </x:fill>
    </x:dxf>
    <x:dxf>
      <x:font>
        <x:b/>
        <x:color rgb="FF7A271A"/>
      </x:font>
      <x:fill>
        <x:patternFill>
          <x:bgColor rgb="FFFEE4E2"/>
        </x:patternFill>
      </x:fill>
    </x:dxf>
    <x:dxf>
      <x:font>
        <x:color rgb="FFB54708"/>
      </x:font>
      <x:fill>
        <x:patternFill>
          <x:bgColor rgb="FFFFF4CC"/>
        </x:patternFill>
      </x:fill>
    </x:dxf>
    <x:dxf>
      <x:font>
        <x:b/>
        <x:color rgb="FF7A271A"/>
      </x:font>
      <x:fill>
        <x:patternFill>
          <x:bgColor rgb="FFFEE4E2"/>
        </x:patternFill>
      </x:fill>
    </x:dxf>
    <x:dxf>
      <x:font>
        <x:b/>
        <x:color rgb="FF067647"/>
      </x:font>
      <x:fill>
        <x:patternFill>
          <x:bgColor rgb="FFEAF7EE"/>
        </x:patternFill>
      </x:fill>
    </x:dxf>
    <x:dxf>
      <x:font>
        <x:b/>
        <x:color rgb="FF7A271A"/>
      </x:font>
      <x:fill>
        <x:patternFill>
          <x:bgColor rgb="FFFEE4E2"/>
        </x:patternFill>
      </x:fill>
    </x:dxf>
    <x:dxf>
      <x:font>
        <x:color rgb="FFB54708"/>
      </x:font>
      <x:fill>
        <x:patternFill>
          <x:bgColor rgb="FFFFF4CC"/>
        </x:patternFill>
      </x:fill>
    </x:dxf>
    <x:dxf>
      <x:font>
        <x:b/>
        <x:color rgb="FF7A271A"/>
      </x:font>
      <x:fill>
        <x:patternFill>
          <x:bgColor rgb="FFFEE4E2"/>
        </x:patternFill>
      </x:fill>
    </x:dxf>
    <x:dxf>
      <x:font>
        <x:b/>
        <x:color rgb="FF067647"/>
      </x:font>
      <x:fill>
        <x:patternFill>
          <x:bgColor rgb="FFEAF7EE"/>
        </x:patternFill>
      </x:fill>
    </x:dxf>
    <x:dxf>
      <x:font>
        <x:b/>
        <x:color rgb="FF7A271A"/>
      </x:font>
      <x:fill>
        <x:patternFill>
          <x:bgColor rgb="FFFEE4E2"/>
        </x:patternFill>
      </x:fill>
    </x:dxf>
    <x:dxf>
      <x:font>
        <x:color rgb="FFB54708"/>
      </x:font>
      <x:fill>
        <x:patternFill>
          <x:bgColor rgb="FFFFF4CC"/>
        </x:patternFill>
      </x:fill>
    </x:dxf>
    <x:dxf>
      <x:font>
        <x:b/>
        <x:color rgb="FF7A271A"/>
      </x:font>
      <x:fill>
        <x:patternFill>
          <x:bgColor rgb="FFFEE4E2"/>
        </x:patternFill>
      </x:fill>
    </x:dxf>
    <x:dxf>
      <x:font>
        <x:b/>
        <x:color rgb="FF067647"/>
      </x:font>
      <x:fill>
        <x:patternFill>
          <x:bgColor rgb="FFEAF7EE"/>
        </x:patternFill>
      </x:fill>
    </x:dxf>
    <x:dxf>
      <x:font>
        <x:b/>
        <x:color rgb="FF7A271A"/>
      </x:font>
      <x:fill>
        <x:patternFill>
          <x:bgColor rgb="FFFEE4E2"/>
        </x:patternFill>
      </x:fill>
    </x:dxf>
    <x:dxf>
      <x:font>
        <x:color rgb="FFB54708"/>
      </x:font>
      <x:fill>
        <x:patternFill>
          <x:bgColor rgb="FFFFF4CC"/>
        </x:patternFill>
      </x:fill>
    </x:dxf>
    <x:dxf>
      <x:font>
        <x:b/>
        <x:color rgb="FF7A271A"/>
      </x:font>
      <x:fill>
        <x:patternFill>
          <x:bgColor rgb="FFFEE4E2"/>
        </x:patternFill>
      </x:fill>
    </x:dxf>
    <x:dxf>
      <x:font>
        <x:b/>
        <x:color rgb="FF067647"/>
      </x:font>
      <x:fill>
        <x:patternFill>
          <x:bgColor rgb="FFEAF7EE"/>
        </x:patternFill>
      </x:fill>
    </x:dxf>
    <x:dxf>
      <x:font>
        <x:b/>
        <x:color rgb="FF7A271A"/>
      </x:font>
      <x:fill>
        <x:patternFill>
          <x:bgColor rgb="FFFEE4E2"/>
        </x:patternFill>
      </x:fill>
    </x:dxf>
    <x:dxf>
      <x:font>
        <x:color rgb="FFB54708"/>
      </x:font>
      <x:fill>
        <x:patternFill>
          <x:bgColor rgb="FFFFF4CC"/>
        </x:patternFill>
      </x:fill>
    </x:dxf>
    <x:dxf>
      <x:font>
        <x:b/>
        <x:color rgb="FF7A271A"/>
      </x:font>
      <x:fill>
        <x:patternFill>
          <x:bgColor rgb="FFFEE4E2"/>
        </x:patternFill>
      </x:fill>
    </x:dxf>
    <x:dxf>
      <x:font>
        <x:b/>
        <x:color rgb="FF7A271A"/>
      </x:font>
      <x:fill>
        <x:patternFill>
          <x:bgColor rgb="FFFEE4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60e63a26d94dfb" /><Relationship Type="http://schemas.openxmlformats.org/officeDocument/2006/relationships/theme" Target="/xl/theme/theme1.xml" Id="Rc0c0d09deff84b70" /><Relationship Type="http://schemas.openxmlformats.org/officeDocument/2006/relationships/sharedStrings" Target="/xl/sharedStrings.xml" Id="Rafdb0c6dd75f46f2" /><Relationship Type="http://schemas.openxmlformats.org/officeDocument/2006/relationships/worksheet" Target="/xl/worksheets/sheet1.xml" Id="Rea8595d72f654083" /><Relationship Type="http://schemas.openxmlformats.org/officeDocument/2006/relationships/worksheet" Target="/xl/worksheets/sheet2.xml" Id="Rec8dc18cb1514dc4" /><Relationship Type="http://schemas.openxmlformats.org/officeDocument/2006/relationships/worksheet" Target="/xl/worksheets/sheet3.xml" Id="Red2ab0dbf544499d" /><Relationship Type="http://schemas.openxmlformats.org/officeDocument/2006/relationships/worksheet" Target="/xl/worksheets/sheet4.xml" Id="R06434e063c0f4f7f" /><Relationship Type="http://schemas.openxmlformats.org/officeDocument/2006/relationships/worksheet" Target="/xl/worksheets/sheet5.xml" Id="R3001860eb60740d4" /><Relationship Type="http://schemas.openxmlformats.org/officeDocument/2006/relationships/worksheet" Target="/xl/worksheets/sheet6.xml" Id="R062b50677fa043ae" /><Relationship Type="http://schemas.openxmlformats.org/officeDocument/2006/relationships/worksheet" Target="/xl/worksheets/sheet7.xml" Id="R345359b902e3471b" /><Relationship Type="http://schemas.openxmlformats.org/officeDocument/2006/relationships/worksheet" Target="/xl/worksheets/sheet8.xml" Id="R930dfafbdc914d03" /><Relationship Type="http://schemas.openxmlformats.org/officeDocument/2006/relationships/worksheet" Target="/xl/worksheets/sheet9.xml" Id="Rf084724843f54bec" /><Relationship Type="http://schemas.openxmlformats.org/officeDocument/2006/relationships/worksheet" Target="/xl/worksheets/sheet10.xml" Id="R8f66a912935d48ab" /></Relationships>
</file>

<file path=xl/tables/table1.xml><?xml version="1.0" encoding="utf-8"?>
<x:table xmlns:x="http://schemas.openxmlformats.org/spreadsheetml/2006/main" id="1" name="HoseMasterTable" displayName="HoseMasterTable" ref="A4:AA65" headerRowCount="1" totalsRowCount="0" totalsRowShown="0">
  <x:autoFilter ref="A4:AA65"/>
  <x:tableColumns count="27">
    <x:tableColumn id="1" name="* Status / 状态"/>
    <x:tableColumn id="2" name="* Hose SKU / 胶管SKU"/>
    <x:tableColumn id="3" name="* Hose Series / 系列"/>
    <x:tableColumn id="4" name="* Primary Standard / 主标准"/>
    <x:tableColumn id="5" name="Equivalent Standard / 等效标准"/>
    <x:tableColumn id="6" name="* Hose Dash / 胶管Dash"/>
    <x:tableColumn id="7" name="* Nominal ID in / 公称内径英寸"/>
    <x:tableColumn id="8" name="* ID mm / 内径毫米"/>
    <x:tableColumn id="9" name="* OD mm / 外径毫米"/>
    <x:tableColumn id="10" name="* Working Pressure bar / 工作压力"/>
    <x:tableColumn id="11" name="Working Pressure psi / 工作压力"/>
    <x:tableColumn id="12" name="* Minimum Burst bar / 最小爆破压力"/>
    <x:tableColumn id="13" name="* Min Bend Radius mm / 最小弯曲半径"/>
    <x:tableColumn id="14" name="* Weight kg/m / 米重"/>
    <x:tableColumn id="15" name="* Temp Min °C / 最低温度"/>
    <x:tableColumn id="16" name="* Temp Max °C / 最高温度"/>
    <x:tableColumn id="17" name="* Tube Material / 内胶材料"/>
    <x:tableColumn id="18" name="* Reinforcement / 增强层"/>
    <x:tableColumn id="19" name="* Cover Material / 外胶材料"/>
    <x:tableColumn id="20" name="* Cover Color / 外胶颜色"/>
    <x:tableColumn id="21" name="Cover Finish / 表面"/>
    <x:tableColumn id="22" name="* Skive Requirement / 剥胶要求"/>
    <x:tableColumn id="23" name="MSHA Marking / MSHA标识"/>
    <x:tableColumn id="24" name="* Fluid Compatibility / 介质兼容"/>
    <x:tableColumn id="25" name="* Country of Origin / 原产国"/>
    <x:tableColumn id="26" name="* Source Document/Page / 来源文件页码"/>
    <x:tableColumn id="27" name="Notes / 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HoseEndTable" displayName="HoseEndTable" ref="A4:AA204" headerRowCount="1" totalsRowCount="0" totalsRowShown="0">
  <x:autoFilter ref="A4:AA204"/>
  <x:tableColumns count="27">
    <x:tableColumn id="1" name="* Status / 状态"/>
    <x:tableColumn id="2" name="* Hose End SKU / 接头SKU"/>
    <x:tableColumn id="3" name="* Fitting Series / 接头系列"/>
    <x:tableColumn id="4" name="Competitor Part No. / 竞品参考料号"/>
    <x:tableColumn id="5" name="* Interface Family / 接口体系"/>
    <x:tableColumn id="6" name="* Interface Standard / 接口标准"/>
    <x:tableColumn id="7" name="* Gender / 公母"/>
    <x:tableColumn id="8" name="* Swivel/Fixed / 旋转或固定"/>
    <x:tableColumn id="9" name="* Angle / 角度"/>
    <x:tableColumn id="10" name="* Sealing Form / 密封形式"/>
    <x:tableColumn id="11" name="* Thread / 螺纹"/>
    <x:tableColumn id="12" name="* Connection Dash / 接口Dash"/>
    <x:tableColumn id="13" name="* Hose Tail Dash / 胶管尾Dash"/>
    <x:tableColumn id="14" name="Material / 材质"/>
    <x:tableColumn id="15" name="Coating / 表面处理"/>
    <x:tableColumn id="16" name="Salt Spray h / 盐雾小时"/>
    <x:tableColumn id="17" name="Max Working bar / 最大工作压力"/>
    <x:tableColumn id="18" name="Dimension A mm / 总长A"/>
    <x:tableColumn id="19" name="Cut-off B mm / 扣除量B"/>
    <x:tableColumn id="20" name="Hex 1 mm / 六角1"/>
    <x:tableColumn id="21" name="Hex 2 mm / 六角2"/>
    <x:tableColumn id="22" name="Minimum Bore mm / 最小通径"/>
    <x:tableColumn id="23" name="Unit Weight g / 单重"/>
    <x:tableColumn id="24" name="Drawing No. / 图纸号"/>
    <x:tableColumn id="25" name="Drawing Rev / 图纸版本"/>
    <x:tableColumn id="26" name="* Source Document/Page / 来源"/>
    <x:tableColumn id="27" name="Notes / 备注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FerruleTable" displayName="FerruleTable" ref="A4:J65" headerRowCount="1" totalsRowCount="0" totalsRowShown="0">
  <x:autoFilter ref="A4:J65"/>
  <x:tableColumns count="10">
    <x:tableColumn id="1" name="* Status / 状态"/>
    <x:tableColumn id="2" name="* Ferrule SKU / 套筒SKU"/>
    <x:tableColumn id="3" name="* Ferrule Series / 套筒系列"/>
    <x:tableColumn id="4" name="* Hose Construction / 胶管结构"/>
    <x:tableColumn id="5" name="* Hose Tail Dash / 胶管Dash"/>
    <x:tableColumn id="6" name="* Skive Requirement / 剥胶要求"/>
    <x:tableColumn id="7" name="* Material / 材质"/>
    <x:tableColumn id="8" name="* Coating / 表面处理"/>
    <x:tableColumn id="9" name="* Source Document/Page / 来源"/>
    <x:tableColumn id="10" name="Notes / 备注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rimpCompatibilityTable" displayName="CrimpCompatibilityTable" ref="A4:AA1085" headerRowCount="1" totalsRowCount="0" totalsRowShown="0">
  <x:autoFilter ref="A4:AA1085"/>
  <x:tableColumns count="27">
    <x:tableColumn id="1" name="* Status / 状态"/>
    <x:tableColumn id="2" name="* Compatibility ID / 兼容编号"/>
    <x:tableColumn id="3" name="* Hose SKU / 胶管SKU"/>
    <x:tableColumn id="4" name="* Hose End SKU / 接头SKU"/>
    <x:tableColumn id="5" name="* Ferrule SKU / 套筒SKU"/>
    <x:tableColumn id="6" name="Assembly Method / 装配方法"/>
    <x:tableColumn id="7" name="Skive Requirement / 剥胶要求"/>
    <x:tableColumn id="8" name="Outer Skive Length mm / 外剥长度"/>
    <x:tableColumn id="9" name="Inner Skive Length mm / 内剥长度"/>
    <x:tableColumn id="10" name="Insertion Depth mm / 插入深度"/>
    <x:tableColumn id="11" name="Crimp Program / 程序编号"/>
    <x:tableColumn id="12" name="Final Crimp Diameter mm / 最终压径"/>
    <x:tableColumn id="13" name="Crimp Tolerance ±mm / 压径公差"/>
    <x:tableColumn id="14" name="Measurement Location / 测量位置"/>
    <x:tableColumn id="15" name="Assembly Working bar / 总成工作压力"/>
    <x:tableColumn id="16" name="Proof Pressure bar / 耐压压力"/>
    <x:tableColumn id="17" name="Proof Hold Seconds / 保压秒数"/>
    <x:tableColumn id="18" name="Type Qualification ID / 型式验证编号"/>
    <x:tableColumn id="19" name="Qualification Status / 验证状态"/>
    <x:tableColumn id="20" name="Configurator Eligible / 可进入配置器"/>
    <x:tableColumn id="21" name="Reference System / 参考系统"/>
    <x:tableColumn id="22" name="Reference Hose Code / 参考胶管型号"/>
    <x:tableColumn id="23" name="Reference Assembly Method / 参考装配方法"/>
    <x:tableColumn id="24" name="Reference Crimp Diameter mm / 参考压径"/>
    <x:tableColumn id="25" name="Reference Tolerance ±mm / 参考公差"/>
    <x:tableColumn id="26" name="Reference Source / 参考来源"/>
    <x:tableColumn id="27" name="Notes / 备注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dapterTable" displayName="AdapterTable" ref="A4:S157" headerRowCount="1" totalsRowCount="0" totalsRowShown="0">
  <x:autoFilter ref="A4:S157"/>
  <x:tableColumns count="19">
    <x:tableColumn id="1" name="* Status / 状态"/>
    <x:tableColumn id="2" name="* Adapter Family ID / 过渡接头系列编号"/>
    <x:tableColumn id="3" name="Adapter SKU / 过渡接头SKU"/>
    <x:tableColumn id="4" name="* SKU Template / SKU编号模板"/>
    <x:tableColumn id="5" name="* Catalog Model / 目录型号"/>
    <x:tableColumn id="6" name="* Website Product Name / 网站产品名称"/>
    <x:tableColumn id="7" name="* Shape Code / 形状代码"/>
    <x:tableColumn id="8" name="* Interface 1 / 接口1"/>
    <x:tableColumn id="9" name="* Connection Form 1 / 连接形式1"/>
    <x:tableColumn id="10" name="Size 1 / 尺寸1"/>
    <x:tableColumn id="11" name="* Interface 2 / 接口2"/>
    <x:tableColumn id="12" name="* Connection Form 2 / 连接形式2"/>
    <x:tableColumn id="13" name="Size 2 / 尺寸2"/>
    <x:tableColumn id="14" name="Interface 3 / 接口3"/>
    <x:tableColumn id="15" name="Connection Form 3 / 连接形式3"/>
    <x:tableColumn id="16" name="Size 3 / 尺寸3"/>
    <x:tableColumn id="17" name="* Website Display / 网站展示"/>
    <x:tableColumn id="18" name="* Source Document/Page / 目录来源"/>
    <x:tableColumn id="19" name="Notes / 备注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QuickCouplerTable" displayName="QuickCouplerTable" ref="A4:Z61" headerRowCount="1" totalsRowCount="0" totalsRowShown="0">
  <x:autoFilter ref="A4:Z61"/>
  <x:tableColumns count="26">
    <x:tableColumn id="1" name="* Status / 状态"/>
    <x:tableColumn id="2" name="* Quick Coupler SKU / 快接SKU"/>
    <x:tableColumn id="3" name="* Coupler Series / 快接系列"/>
    <x:tableColumn id="4" name="* Role / 类型"/>
    <x:tableColumn id="5" name="* Mating Series / 配对系列"/>
    <x:tableColumn id="6" name="* Interchange Standard / 互换标准"/>
    <x:tableColumn id="7" name="* Body Size / 阀体尺寸"/>
    <x:tableColumn id="8" name="* Port Interface / 端口接口"/>
    <x:tableColumn id="9" name="* Port Gender / 端口公母"/>
    <x:tableColumn id="10" name="* Port Thread / 端口螺纹"/>
    <x:tableColumn id="11" name="* Connection Mechanism / 连接机构"/>
    <x:tableColumn id="12" name="* Valving / 阀结构"/>
    <x:tableColumn id="13" name="* Body Material / 主体材质"/>
    <x:tableColumn id="14" name="* Coating / 表面处理"/>
    <x:tableColumn id="15" name="* Seal Material / 密封材料"/>
    <x:tableColumn id="16" name="* Max Working bar / 最大工作压力"/>
    <x:tableColumn id="17" name="* Minimum Burst bar / 最小爆破压力"/>
    <x:tableColumn id="18" name="* Rated Flow L/min / 额定流量"/>
    <x:tableColumn id="19" name="* Pressure Drop Basis / 压降条件"/>
    <x:tableColumn id="20" name="* Temp Min °C / 最低温度"/>
    <x:tableColumn id="21" name="* Temp Max °C / 最高温度"/>
    <x:tableColumn id="22" name="* Overall Length mm / 总长"/>
    <x:tableColumn id="23" name="* Unit Weight g / 单重"/>
    <x:tableColumn id="24" name="* Drawing No. / 图纸号"/>
    <x:tableColumn id="25" name="* Source Document/Page / 来源"/>
    <x:tableColumn id="26" name="Notes / 备注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PricePackagingTable" displayName="PricePackagingTable" ref="A4:AA519" headerRowCount="1" totalsRowCount="0" totalsRowShown="0">
  <x:autoFilter ref="A4:AA519"/>
  <x:tableColumns count="27">
    <x:tableColumn id="1" name="* Status / 状态"/>
    <x:tableColumn id="2" name="* Product Type / 产品类型"/>
    <x:tableColumn id="3" name="* Base SKU / 基础SKU"/>
    <x:tableColumn id="4" name="* Sales SKU / 销售SKU"/>
    <x:tableColumn id="5" name="* Sales Unit / 销售单位"/>
    <x:tableColumn id="6" name="Package Length ft / 包装长度"/>
    <x:tableColumn id="7" name="* Units per Sales Pack / 每销售包装数量"/>
    <x:tableColumn id="8" name="* MOQ / 最小起订量"/>
    <x:tableColumn id="9" name="* Net Unit Weight kg / 单个销售单位净重"/>
    <x:tableColumn id="10" name="* Lead Time days / 交期天数"/>
    <x:tableColumn id="11" name="* Country of Origin / 原产国"/>
    <x:tableColumn id="12" name="Currency / 币种"/>
    <x:tableColumn id="13" name="Factory Unit Price / 工厂单价"/>
    <x:tableColumn id="14" name="Price Incoterm / 采购价格条款"/>
    <x:tableColumn id="15" name="Incoterm Place / 条款地点"/>
    <x:tableColumn id="16" name="Tier Qty / 阶梯数量"/>
    <x:tableColumn id="17" name="Tier Price / 阶梯单价"/>
    <x:tableColumn id="18" name="Proposed Reference USD / 建议参考价"/>
    <x:tableColumn id="19" name="Inner Pack Qty / 内包装数量"/>
    <x:tableColumn id="20" name="Master Carton Qty / 每外箱数量"/>
    <x:tableColumn id="21" name="Carton Gross Weight kg / 整箱毛重"/>
    <x:tableColumn id="22" name="Carton L cm / 箱长"/>
    <x:tableColumn id="23" name="Carton W cm / 箱宽"/>
    <x:tableColumn id="24" name="Carton H cm / 箱高"/>
    <x:tableColumn id="25" name="Packing Basis / 装箱依据"/>
    <x:tableColumn id="26" name="HS Code / 海关编码"/>
    <x:tableColumn id="27" name="Notes / 备注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9" name="FieldDictionaryTable" displayName="FieldDictionaryTable" ref="A4:H188" headerRowCount="1" totalsRowCount="0" totalsRowShown="0">
  <x:tableColumns count="8">
    <x:tableColumn id="1" name="Worksheet / 工作表"/>
    <x:tableColumn id="2" name="Field Key / 字段键"/>
    <x:tableColumn id="3" name="Header / 表头"/>
    <x:tableColumn id="4" name="Required / 必填"/>
    <x:tableColumn id="5" name="Data Type / 类型"/>
    <x:tableColumn id="6" name="Definition / 定义"/>
    <x:tableColumn id="7" name="Example / 示例"/>
    <x:tableColumn id="8" name="Validation / 下拉来源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e5d0c5c5d9745d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4247dee821342a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d714e74ea1948d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04e7680dd5f468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4339cbdb81b406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a3c22de2b1041c4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01f520eab45491c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56370436c4b4df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54" hidden="0" customWidth="1"/>
    <x:col min="3" max="3" width="14" hidden="0" customWidth="1"/>
    <x:col min="4" max="4" width="14" hidden="0" customWidth="1"/>
    <x:col min="5" max="5" width="14" hidden="0" customWidth="1"/>
    <x:col min="6" max="6" width="24" hidden="0" customWidth="1"/>
    <x:col min="7" max="7" width="14" hidden="0" customWidth="1"/>
    <x:col min="8" max="8" width="14" hidden="0" customWidth="1"/>
  </x:cols>
  <x:sheetData>
    <x:row r="1" ht="30" customHeight="1">
      <x:c r="A1" s="3" t="str">
        <x:v>Hydraulic Product Data Collection Template / 液压产品数据采集模板</x:v>
      </x:c>
      <x:c r="B1" s="3"/>
      <x:c r="C1" s="3"/>
      <x:c r="D1" s="3"/>
      <x:c r="E1" s="3"/>
      <x:c r="F1" s="3"/>
      <x:c r="G1" s="3"/>
      <x:c r="H1" s="3"/>
    </x:row>
    <x:row r="2" ht="34" customHeight="1">
      <x:c r="A2" s="12" t="str">
        <x:v>用途：收集网站商品库、RFQ 报价和胶管总成配置器所需的受控数据。请勿凭照片、同 Dash 或经验推断兼容性。</x:v>
      </x:c>
      <x:c r="B2" s="13"/>
      <x:c r="C2" s="13"/>
      <x:c r="D2" s="13"/>
      <x:c r="E2" s="13"/>
      <x:c r="F2" s="13"/>
      <x:c r="G2" s="13"/>
      <x:c r="H2" s="14"/>
    </x:row>
    <x:row r="4">
      <x:c r="A4" s="79" t="str">
        <x:v>Worksheet / 工作表</x:v>
      </x:c>
      <x:c r="B4" s="79" t="str">
        <x:v>Purpose / 用途</x:v>
      </x:c>
      <x:c r="C4" s="79" t="str">
        <x:v>Rows / 数据行数</x:v>
      </x:c>
      <x:c r="D4" s="79" t="str">
        <x:v>Published / 已发布</x:v>
      </x:c>
      <x:c r="E4" s="79" t="str">
        <x:v>Eligible / 可询价</x:v>
      </x:c>
      <x:c r="F4" s="180" t="str">
        <x:v>Pending Data / 技术资料待补</x:v>
      </x:c>
    </x:row>
    <x:row r="5">
      <x:c r="A5" s="84" t="str">
        <x:v>01_胶管主数据</x:v>
      </x:c>
      <x:c r="B5" s="84" t="str">
        <x:v>一行代表一个胶管系列与 Dash 尺寸组合；包装长度和价格放在 07_价格包装。</x:v>
      </x:c>
      <x:c r="C5" s="86" t="n">
        <x:f>COUNTA('01_胶管主数据'!$B$5:$B$5004)</x:f>
        <x:v>61</x:v>
      </x:c>
      <x:c r="D5" s="86" t="n">
        <x:f>COUNTIF('01_胶管主数据'!$A$5:$A$5004,"Published")</x:f>
        <x:v>0</x:v>
      </x:c>
      <x:c r="E5" s="86" t="n">
        <x:f>COUNTIF('01_胶管主数据'!$AB$5:$AB$5004,"Eligible")</x:f>
        <x:v>61</x:v>
      </x:c>
      <x:c r="F5" s="185" t="n">
        <x:f>COUNTIF('01_胶管主数据'!$AC$5:$AC$5004,"Pending")</x:f>
        <x:v>61</x:v>
      </x:c>
    </x:row>
    <x:row r="6">
      <x:c r="A6" s="85" t="str">
        <x:v>02_压接接头</x:v>
      </x:c>
      <x:c r="B6" s="85" t="str">
        <x:v>一行代表一个可采购的压接接头 SKU；兼容胶管、套筒及压接参数放在 04_兼容压接。</x:v>
      </x:c>
      <x:c r="C6" s="87" t="n">
        <x:f>COUNTA('02_压接接头'!$B$5:$B$5004)</x:f>
        <x:v>200</x:v>
      </x:c>
      <x:c r="D6" s="87" t="n">
        <x:f>COUNTIF('02_压接接头'!$A$5:$A$5004,"Published")</x:f>
        <x:v>0</x:v>
      </x:c>
      <x:c r="E6" s="87" t="n">
        <x:f>COUNTIF('02_压接接头'!$AB$5:$AB$5004,"Eligible")</x:f>
        <x:v>200</x:v>
      </x:c>
      <x:c r="F6" s="185" t="n">
        <x:f>COUNTIF('02_压接接头'!$AC$5:$AC$5004,"Pending")</x:f>
        <x:v>200</x:v>
      </x:c>
    </x:row>
    <x:row r="7">
      <x:c r="A7" s="85" t="str">
        <x:v>03_套筒</x:v>
      </x:c>
      <x:c r="B7" s="85" t="str">
        <x:v>一行代表一个套筒 SKU；按胶管系列、结构和 Dash 建立暂定编码，压接兼容性后续确认。</x:v>
      </x:c>
      <x:c r="C7" s="87" t="n">
        <x:f>COUNTA('03_套筒'!$B$5:$B$5004)</x:f>
        <x:v>61</x:v>
      </x:c>
      <x:c r="D7" s="87" t="n">
        <x:f>COUNTIF('03_套筒'!$A$5:$A$5004,"Published")</x:f>
        <x:v>0</x:v>
      </x:c>
      <x:c r="E7" s="87" t="n">
        <x:f>COUNTIF('03_套筒'!$K$5:$K$5004,"Eligible")</x:f>
        <x:v>61</x:v>
      </x:c>
      <x:c r="F7" s="185" t="n">
        <x:f>COUNTIF('03_套筒'!$L$5:$L$5004,"Pending")</x:f>
        <x:v>61</x:v>
      </x:c>
    </x:row>
    <x:row r="8">
      <x:c r="A8" s="85" t="str">
        <x:v>04_兼容压接</x:v>
      </x:c>
      <x:c r="B8" s="85" t="str">
        <x:v>一行代表一个胶管 SKU + 接头 SKU + 套筒 SKU 的候选组合；只有取得工厂压接参数和验证后才可批准。</x:v>
      </x:c>
      <x:c r="C8" s="87" t="n">
        <x:f>COUNTA('04_兼容压接'!$B$5:$B$5004)</x:f>
        <x:v>1081</x:v>
      </x:c>
      <x:c r="D8" s="87" t="n">
        <x:f>COUNTIF('04_兼容压接'!$A$5:$A$5004,"Published")</x:f>
        <x:v>0</x:v>
      </x:c>
      <x:c r="E8" s="87" t="n">
        <x:f>COUNTIF('04_兼容压接'!$T$5:$T$5004,"Eligible")</x:f>
        <x:v>1081</x:v>
      </x:c>
      <x:c r="F8" s="185" t="n">
        <x:f>COUNTIF('04_兼容压接'!$AB$5:$AB$5004,"Pending")</x:f>
        <x:v>1081</x:v>
      </x:c>
    </x:row>
    <x:row r="9">
      <x:c r="A9" s="85" t="str">
        <x:v>05_过渡接头</x:v>
      </x:c>
      <x:c r="B9" s="85" t="str">
        <x:v>一行代表一个过渡接头系列或具体 SKU；已取得尺寸矩阵的系列展开为具体 SKU。</x:v>
      </x:c>
      <x:c r="C9" s="87" t="n">
        <x:v>153</x:v>
      </x:c>
      <x:c r="D9" s="87" t="n">
        <x:f>COUNTIF('05_过渡接头'!$A$5:$A$5004,"Published")</x:f>
        <x:v>0</x:v>
      </x:c>
      <x:c r="E9" s="87" t="n">
        <x:f>COUNTIF('05_过渡接头'!$T$5:$T$5004,"Eligible")</x:f>
        <x:v>136</x:v>
      </x:c>
      <x:c r="F9" s="185" t="n">
        <x:f>COUNTIF('05_过渡接头'!$U$5:$U$5004,"Pending")</x:f>
        <x:v>153</x:v>
      </x:c>
    </x:row>
    <x:row r="10">
      <x:c r="A10" s="85" t="str">
        <x:v>06_快速接头</x:v>
      </x:c>
      <x:c r="B10" s="85" t="str">
        <x:v>57个北美市场快速接头SKU可询价；缺失技术字段保持Pending，不逐条补填。</x:v>
      </x:c>
      <x:c r="C10" s="87" t="n">
        <x:v>57</x:v>
      </x:c>
      <x:c r="D10" s="87" t="n">
        <x:f>COUNTIF('06_快速接头'!$A$5:$A$5004,"Published")</x:f>
        <x:v>0</x:v>
      </x:c>
      <x:c r="E10" s="87" t="n">
        <x:f>COUNTIF('06_快速接头'!$AA$5:$AA$5004,"Eligible")</x:f>
        <x:v>57</x:v>
      </x:c>
      <x:c r="F10" s="185" t="n">
        <x:f>COUNTIF('06_快速接头'!$AB$5:$AB$5004,"Pending")</x:f>
        <x:v>57</x:v>
      </x:c>
    </x:row>
    <x:row r="11">
      <x:c r="A11" s="85" t="str">
        <x:v>07_价格包装</x:v>
      </x:c>
      <x:c r="B11" s="85" t="str">
        <x:v>515条销售SKU；61个胶管SKU按每根长度×根数输入，净重和箱规可选，正式运费按整份Quote建立装运包装预估。</x:v>
      </x:c>
      <x:c r="C11" s="87" t="n">
        <x:f>COUNTA('07_价格包装'!$D$5:$D$5004)</x:f>
        <x:v>515</x:v>
      </x:c>
      <x:c r="D11" s="87" t="n">
        <x:f>COUNTIF('07_价格包装'!$A$5:$A$5004,"Published")</x:f>
        <x:v>0</x:v>
      </x:c>
      <x:c r="E11" s="87" t="n">
        <x:f>COUNTIF('07_价格包装'!$AB$5:$AB$5004,"Eligible")</x:f>
        <x:v>515</x:v>
      </x:c>
      <x:c r="F11" s="186" t="n">
        <x:f>COUNTIF('07_价格包装'!$AC$5:$AC$5004,"Pending")</x:f>
        <x:v>515</x:v>
      </x:c>
    </x:row>
    <x:row r="12">
      <x:c r="A12"/>
      <x:c r="B12"/>
      <x:c r="C12"/>
      <x:c r="D12"/>
      <x:c r="E12"/>
    </x:row>
    <x:row r="15">
      <x:c r="A15" s="89" t="str">
        <x:v>填写流程 / Workflow</x:v>
      </x:c>
      <x:c r="B15" s="89"/>
      <x:c r="C15" s="89"/>
      <x:c r="D15" s="89"/>
      <x:c r="E15" s="89"/>
      <x:c r="F15" s="89"/>
      <x:c r="G15" s="89"/>
      <x:c r="H15" s="89"/>
    </x:row>
    <x:row r="16">
      <x:c r="A16" s="97" t="str">
        <x:v>1</x:v>
      </x:c>
      <x:c r="B16" s="97" t="str">
        <x:v>先填写 01–03 产品主数据；套筒按已提供字段建立暂定 SKU。</x:v>
      </x:c>
      <x:c r="C16" s="97"/>
      <x:c r="D16" s="97"/>
      <x:c r="E16" s="97"/>
      <x:c r="F16" s="97"/>
      <x:c r="G16" s="97"/>
      <x:c r="H16" s="97"/>
    </x:row>
    <x:row r="17">
      <x:c r="A17" s="98" t="str">
        <x:v>2</x:v>
      </x:c>
      <x:c r="B17" s="98" t="str">
        <x:v>在 04 中逐条建立胶管 + 接头 + 套筒的精确压接组合。</x:v>
      </x:c>
      <x:c r="C17" s="98"/>
      <x:c r="D17" s="98"/>
      <x:c r="E17" s="98"/>
      <x:c r="F17" s="98"/>
      <x:c r="G17" s="98"/>
      <x:c r="H17" s="98"/>
    </x:row>
    <x:row r="18">
      <x:c r="A18" s="98" t="str">
        <x:v>3</x:v>
      </x:c>
      <x:c r="B18" s="98" t="str">
        <x:v>填写 05–06 的过渡接头和快速接头；两端接口必须完整。</x:v>
      </x:c>
      <x:c r="C18" s="98"/>
      <x:c r="D18" s="98"/>
      <x:c r="E18" s="98"/>
      <x:c r="F18" s="98"/>
      <x:c r="G18" s="98"/>
      <x:c r="H18" s="98"/>
    </x:row>
    <x:row r="19">
      <x:c r="A19" s="98" t="str">
        <x:v>4</x:v>
      </x:c>
      <x:c r="B19" s="98" t="str">
        <x:v>在 07 中维护销售单位、MOQ、交期、参考价格和数量输入方式；胶管使用每根长度×根数，净重与箱规可留空。</x:v>
      </x:c>
      <x:c r="C19" s="98"/>
      <x:c r="D19" s="98"/>
      <x:c r="E19" s="98"/>
      <x:c r="F19" s="98"/>
      <x:c r="G19" s="98"/>
      <x:c r="H19" s="98"/>
    </x:row>
    <x:row r="20">
      <x:c r="A20" s="98" t="str">
        <x:v>5</x:v>
      </x:c>
      <x:c r="B20" s="98" t="str">
        <x:v>分别维护Catalog Publication Status、RFQ Eligibility、Qualification Status和Technical Data Status；不要再使用Ready代替多个状态。</x:v>
      </x:c>
      <x:c r="C20" s="98"/>
      <x:c r="D20" s="98"/>
      <x:c r="E20" s="98"/>
      <x:c r="F20" s="98"/>
      <x:c r="G20" s="98"/>
      <x:c r="H20" s="98"/>
    </x:row>
    <x:row r="21">
      <x:c r="A21" t="str">
        <x:v>6</x:v>
      </x:c>
      <x:c r="B21" t="str">
        <x:v>胶管快捷长度为25/50/100 ft，长度步长为1 ft；最大连续长度不在SKU表中承诺，由Quote阶段确认。</x:v>
      </x:c>
      <x:c r="C21"/>
      <x:c r="D21"/>
      <x:c r="E21"/>
      <x:c r="F21" s="99"/>
      <x:c r="G21" s="99"/>
      <x:c r="H21" s="99"/>
    </x:row>
    <x:row r="23">
      <x:c r="A23" s="77" t="str">
        <x:v>颜色说明 / Legend</x:v>
      </x:c>
      <x:c r="B23" s="77"/>
      <x:c r="C23" s="77"/>
      <x:c r="D23" s="77"/>
      <x:c r="E23" s="77"/>
      <x:c r="F23" s="77"/>
      <x:c r="G23" s="77"/>
      <x:c r="H23" s="77"/>
    </x:row>
    <x:row r="24">
      <x:c r="A24" s="105" t="str">
        <x:v>红色表头</x:v>
      </x:c>
      <x:c r="B24" s="106" t="str">
        <x:v>必填字段</x:v>
      </x:c>
    </x:row>
    <x:row r="25">
      <x:c r="A25" s="107" t="str">
        <x:v>蓝色单元格</x:v>
      </x:c>
      <x:c r="B25" s="106" t="str">
        <x:v>带下拉选项的输入字段</x:v>
      </x:c>
    </x:row>
    <x:row r="26">
      <x:c r="A26" s="108" t="str">
        <x:v>绿色单元格</x:v>
      </x:c>
      <x:c r="B26" s="106" t="str">
        <x:v>公式或通过状态</x:v>
      </x:c>
    </x:row>
    <x:row r="27">
      <x:c r="A27" s="109" t="str">
        <x:v>灰色示例行</x:v>
      </x:c>
      <x:c r="B27" s="106" t="str">
        <x:v>示例数据，正式使用时删除或覆盖</x:v>
      </x:c>
    </x:row>
  </x:sheetData>
  <x:mergeCells>
    <x:mergeCell ref="A15:H15"/>
    <x:mergeCell ref="B16:H16"/>
    <x:mergeCell ref="B17:H17"/>
    <x:mergeCell ref="B18:H18"/>
    <x:mergeCell ref="B19:H19"/>
    <x:mergeCell ref="B20:H20"/>
    <x:mergeCell ref="B21:H21"/>
    <x:mergeCell ref="A23:H23"/>
    <x:mergeCell ref="A1:F1"/>
    <x:mergeCell ref="A2:F2"/>
  </x:mergeCells>
  <x:conditionalFormatting sqref="D5:D12">
    <x:cfRule type="dataBar" priority="1">
      <x:dataBar>
        <x:cfvo type="min"/>
        <x:cfvo type="max"/>
        <x:color rgb="FF12B76A"/>
      </x:dataBar>
    </x:cfRule>
  </x:conditionalFormatting>
  <x:conditionalFormatting sqref="E5:E12">
    <x:cfRule type="dataBar" priority="2">
      <x:dataBar>
        <x:cfvo type="min"/>
        <x:cfvo type="max"/>
        <x:color rgb="FFF04438"/>
      </x:dataBar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0" hidden="0" customWidth="1"/>
    <x:col min="3" max="3" width="14" hidden="0" customWidth="1"/>
    <x:col min="4" max="4" width="20" hidden="0" customWidth="1"/>
    <x:col min="5" max="5" width="20" hidden="0" customWidth="1"/>
    <x:col min="6" max="6" width="12" hidden="0" customWidth="1"/>
    <x:col min="7" max="7" width="16" hidden="0" customWidth="1"/>
    <x:col min="8" max="8" width="14" hidden="0" customWidth="1"/>
    <x:col min="9" max="9" width="14" hidden="0" customWidth="1"/>
    <x:col min="10" max="10" width="18" hidden="0" customWidth="1"/>
    <x:col min="11" max="11" width="18" hidden="0" customWidth="1"/>
    <x:col min="12" max="12" width="18" hidden="0" customWidth="1"/>
    <x:col min="13" max="13" width="20" hidden="0" customWidth="1"/>
    <x:col min="14" max="14" width="14" hidden="0" customWidth="1"/>
    <x:col min="15" max="15" width="15" hidden="0" customWidth="1"/>
    <x:col min="16" max="16" width="15" hidden="0" customWidth="1"/>
    <x:col min="17" max="17" width="24" hidden="0" customWidth="1"/>
    <x:col min="18" max="18" width="28" hidden="0" customWidth="1"/>
    <x:col min="19" max="19" width="28" hidden="0" customWidth="1"/>
    <x:col min="20" max="20" width="14" hidden="0" customWidth="1"/>
    <x:col min="21" max="21" width="16" hidden="0" customWidth="1"/>
    <x:col min="22" max="22" width="22" hidden="0" customWidth="1"/>
    <x:col min="23" max="23" width="16" hidden="0" customWidth="1"/>
    <x:col min="24" max="24" width="36" hidden="0" customWidth="1"/>
    <x:col min="25" max="25" width="18" hidden="0" customWidth="1"/>
    <x:col min="26" max="26" width="24" hidden="0" customWidth="1"/>
    <x:col min="27" max="27" width="30" hidden="0" customWidth="1"/>
    <x:col min="28" max="28" width="19" hidden="0" customWidth="1"/>
    <x:col min="29" max="29" width="22" hidden="0" customWidth="1"/>
  </x:cols>
  <x:sheetData>
    <x:row r="1" ht="30" customHeight="1">
      <x:c r="A1" s="3" t="str">
        <x:v>Hose Master Data / 胶管主数据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</x:row>
    <x:row r="2" ht="34" customHeight="1">
      <x:c r="A2" s="12" t="str">
        <x:v>填写说明: 一行代表一个胶管系列与 Dash 尺寸组合；包装长度和价格放在 07_价格包装。红色表头为必填。发布状态、询价资格、技术资料状态相互独立；当前发布状态均为 Draft。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  <x:c r="O2" s="13"/>
      <x:c r="P2" s="13"/>
      <x:c r="Q2" s="13"/>
      <x:c r="R2" s="13"/>
      <x:c r="S2" s="13"/>
      <x:c r="T2" s="13"/>
      <x:c r="U2" s="13"/>
      <x:c r="V2" s="13"/>
      <x:c r="W2" s="13"/>
      <x:c r="X2" s="13"/>
      <x:c r="Y2" s="13"/>
      <x:c r="Z2" s="13"/>
      <x:c r="AA2" s="14"/>
    </x:row>
    <x:row r="4" ht="48" customHeight="1">
      <x:c r="A4" s="20" t="str">
        <x:v>* Catalog Publication Status / 目录发布状态</x:v>
      </x:c>
      <x:c r="B4" s="20" t="str">
        <x:v>* Hose SKU / 胶管SKU</x:v>
      </x:c>
      <x:c r="C4" s="20" t="str">
        <x:v>* Hose Series / 系列</x:v>
      </x:c>
      <x:c r="D4" s="20" t="str">
        <x:v>* Primary Standard / 主标准</x:v>
      </x:c>
      <x:c r="E4" s="19" t="str">
        <x:v>Equivalent Standard / 等效标准</x:v>
      </x:c>
      <x:c r="F4" s="20" t="str">
        <x:v>* Hose Dash / 胶管Dash</x:v>
      </x:c>
      <x:c r="G4" s="20" t="str">
        <x:v>* Nominal ID in / 公称内径英寸</x:v>
      </x:c>
      <x:c r="H4" s="20" t="str">
        <x:v>* ID mm / 内径毫米</x:v>
      </x:c>
      <x:c r="I4" s="20" t="str">
        <x:v>* OD mm / 外径毫米</x:v>
      </x:c>
      <x:c r="J4" s="20" t="str">
        <x:v>* Working Pressure bar / 工作压力</x:v>
      </x:c>
      <x:c r="K4" s="19" t="str">
        <x:v>Working Pressure psi / 工作压力</x:v>
      </x:c>
      <x:c r="L4" s="20" t="str">
        <x:v>* Minimum Burst bar / 最小爆破压力</x:v>
      </x:c>
      <x:c r="M4" s="20" t="str">
        <x:v>* Min Bend Radius mm / 最小弯曲半径</x:v>
      </x:c>
      <x:c r="N4" s="20" t="str">
        <x:v>* Weight kg/m / 米重</x:v>
      </x:c>
      <x:c r="O4" s="20" t="str">
        <x:v>* Temp Min °C / 最低温度</x:v>
      </x:c>
      <x:c r="P4" s="20" t="str">
        <x:v>* Temp Max °C / 最高温度</x:v>
      </x:c>
      <x:c r="Q4" s="20" t="str">
        <x:v>* Tube Material / 内胶材料</x:v>
      </x:c>
      <x:c r="R4" s="20" t="str">
        <x:v>* Reinforcement / 增强层</x:v>
      </x:c>
      <x:c r="S4" s="20" t="str">
        <x:v>* Cover Material / 外胶材料</x:v>
      </x:c>
      <x:c r="T4" s="20" t="str">
        <x:v>* Cover Color / 外胶颜色</x:v>
      </x:c>
      <x:c r="U4" s="19" t="str">
        <x:v>Cover Finish / 表面</x:v>
      </x:c>
      <x:c r="V4" s="20" t="str">
        <x:v>* Skive Requirement / 剥胶要求</x:v>
      </x:c>
      <x:c r="W4" s="19" t="str">
        <x:v>MSHA Marking / MSHA标识</x:v>
      </x:c>
      <x:c r="X4" s="20" t="str">
        <x:v>* Fluid Compatibility / 介质兼容</x:v>
      </x:c>
      <x:c r="Y4" s="20" t="str">
        <x:v>* Country of Origin / 原产国</x:v>
      </x:c>
      <x:c r="Z4" s="20" t="str">
        <x:v>* Source Document/Page / 来源文件页码</x:v>
      </x:c>
      <x:c r="AA4" s="19" t="str">
        <x:v>Notes / 备注</x:v>
      </x:c>
      <x:c r="AB4" s="154" t="str">
        <x:v>* RFQ Eligibility / 询价资格</x:v>
      </x:c>
      <x:c r="AC4" s="154" t="str">
        <x:v>* Technical Data Status / 技术资料状态</x:v>
      </x:c>
    </x:row>
    <x:row r="5" ht="34" customHeight="1">
      <x:c r="A5" s="32" t="str">
        <x:v>Draft</x:v>
      </x:c>
      <x:c r="B5" s="46" t="str">
        <x:v>601R1_001</x:v>
      </x:c>
      <x:c r="C5" s="32" t="str">
        <x:v>601R1</x:v>
      </x:c>
      <x:c r="D5" s="46" t="str">
        <x:v>SAE 100 R1AT</x:v>
      </x:c>
      <x:c r="E5" s="46" t="str">
        <x:v>EN 853 1SN</x:v>
      </x:c>
      <x:c r="F5" s="32" t="str">
        <x:v>-3</x:v>
      </x:c>
      <x:c r="G5" s="49" t="n">
        <x:v>0.1875</x:v>
      </x:c>
      <x:c r="H5" s="49" t="n">
        <x:v>5</x:v>
      </x:c>
      <x:c r="I5" s="49" t="n">
        <x:v>12.1</x:v>
      </x:c>
      <x:c r="J5" s="49" t="n">
        <x:v>250</x:v>
      </x:c>
      <x:c r="K5" s="63" t="n">
        <x:f>ROUND(J5*14.5038,0)</x:f>
        <x:v>3626</x:v>
      </x:c>
      <x:c r="L5" s="49" t="n">
        <x:v>1000</x:v>
      </x:c>
      <x:c r="M5" s="49" t="n">
        <x:v>90</x:v>
      </x:c>
      <x:c r="N5" s="49" t="n">
        <x:v>0.19</x:v>
      </x:c>
      <x:c r="O5" s="49" t="n">
        <x:v>-40</x:v>
      </x:c>
      <x:c r="P5" s="49" t="n">
        <x:v>100</x:v>
      </x:c>
      <x:c r="Q5" s="46" t="str">
        <x:v>Oil- and water-resistant synthetic rubber</x:v>
      </x:c>
      <x:c r="R5" s="46" t="str">
        <x:v>1 high-tensile steel wire braid</x:v>
      </x:c>
      <x:c r="S5" s="46" t="str">
        <x:v>Oil- and weather-resistant synthetic rubber</x:v>
      </x:c>
      <x:c r="T5" s="46" t="str">
        <x:v>Black</x:v>
      </x:c>
      <x:c r="U5" s="46" t="str">
        <x:v>Wrapped</x:v>
      </x:c>
      <x:c r="V5" s="32" t="str">
        <x:v>Other</x:v>
      </x:c>
      <x:c r="W5" s="32" t="str">
        <x:v>N/A</x:v>
      </x:c>
      <x:c r="X5" s="46" t="str">
        <x:v>Petroleum- and water-based hydraulic fluids; verify special media</x:v>
      </x:c>
      <x:c r="Y5" s="46" t="str">
        <x:v>China</x:v>
      </x:c>
      <x:c r="Z5" s="46" t="str">
        <x:v>62d65f8412ff5.pdf p.16</x:v>
      </x:c>
      <x:c r="AA5" s="46" t="str">
        <x:v>Manual-derived catalog value; confirm production specification and skive requirement before production approval; unresolved values do not block RFQ eligibility.</x:v>
      </x:c>
      <x:c r="AB5" s="161" t="str">
        <x:v>Eligible</x:v>
      </x:c>
      <x:c r="AC5" s="161" t="str">
        <x:v>Pending</x:v>
      </x:c>
    </x:row>
    <x:row r="6" ht="34" customHeight="1">
      <x:c r="A6" s="33" t="str">
        <x:v>Draft</x:v>
      </x:c>
      <x:c r="B6" s="47" t="str">
        <x:v>601R1_002</x:v>
      </x:c>
      <x:c r="C6" s="33" t="str">
        <x:v>601R1</x:v>
      </x:c>
      <x:c r="D6" s="47" t="str">
        <x:v>SAE 100 R1AT</x:v>
      </x:c>
      <x:c r="E6" s="47" t="str">
        <x:v>EN 853 1SN</x:v>
      </x:c>
      <x:c r="F6" s="33" t="str">
        <x:v>-4</x:v>
      </x:c>
      <x:c r="G6" s="50" t="n">
        <x:v>0.25</x:v>
      </x:c>
      <x:c r="H6" s="50" t="n">
        <x:v>6.3</x:v>
      </x:c>
      <x:c r="I6" s="50" t="n">
        <x:v>13.7</x:v>
      </x:c>
      <x:c r="J6" s="50" t="n">
        <x:v>225</x:v>
      </x:c>
      <x:c r="K6" s="64" t="n">
        <x:f>ROUND(J6*14.5038,0)</x:f>
        <x:v>3263</x:v>
      </x:c>
      <x:c r="L6" s="50" t="n">
        <x:v>900</x:v>
      </x:c>
      <x:c r="M6" s="50" t="n">
        <x:v>100</x:v>
      </x:c>
      <x:c r="N6" s="50" t="n">
        <x:v>0.23</x:v>
      </x:c>
      <x:c r="O6" s="50" t="n">
        <x:v>-40</x:v>
      </x:c>
      <x:c r="P6" s="50" t="n">
        <x:v>100</x:v>
      </x:c>
      <x:c r="Q6" s="47" t="str">
        <x:v>Oil- and water-resistant synthetic rubber</x:v>
      </x:c>
      <x:c r="R6" s="47" t="str">
        <x:v>1 high-tensile steel wire braid</x:v>
      </x:c>
      <x:c r="S6" s="47" t="str">
        <x:v>Oil- and weather-resistant synthetic rubber</x:v>
      </x:c>
      <x:c r="T6" s="47" t="str">
        <x:v>Black</x:v>
      </x:c>
      <x:c r="U6" s="47" t="str">
        <x:v>Wrapped</x:v>
      </x:c>
      <x:c r="V6" s="33" t="str">
        <x:v>Other</x:v>
      </x:c>
      <x:c r="W6" s="33" t="str">
        <x:v>N/A</x:v>
      </x:c>
      <x:c r="X6" s="47" t="str">
        <x:v>Petroleum- and water-based hydraulic fluids; verify special media</x:v>
      </x:c>
      <x:c r="Y6" s="47" t="str">
        <x:v>China</x:v>
      </x:c>
      <x:c r="Z6" s="47" t="str">
        <x:v>62d65f8412ff5.pdf p.16</x:v>
      </x:c>
      <x:c r="AA6" s="47" t="str">
        <x:v>Manual-derived catalog value; confirm production specification and skive requirement before production approval; unresolved values do not block RFQ eligibility.</x:v>
      </x:c>
      <x:c r="AB6" s="161" t="str">
        <x:v>Eligible</x:v>
      </x:c>
      <x:c r="AC6" s="161" t="str">
        <x:v>Pending</x:v>
      </x:c>
    </x:row>
    <x:row r="7" ht="34" customHeight="1">
      <x:c r="A7" s="33" t="str">
        <x:v>Draft</x:v>
      </x:c>
      <x:c r="B7" s="47" t="str">
        <x:v>601R1_003</x:v>
      </x:c>
      <x:c r="C7" s="33" t="str">
        <x:v>601R1</x:v>
      </x:c>
      <x:c r="D7" s="47" t="str">
        <x:v>SAE 100 R1AT</x:v>
      </x:c>
      <x:c r="E7" s="47" t="str">
        <x:v>EN 853 1SN</x:v>
      </x:c>
      <x:c r="F7" s="33" t="str">
        <x:v>-5</x:v>
      </x:c>
      <x:c r="G7" s="50" t="n">
        <x:v>0.3125</x:v>
      </x:c>
      <x:c r="H7" s="50" t="n">
        <x:v>8</x:v>
      </x:c>
      <x:c r="I7" s="50" t="n">
        <x:v>15.3</x:v>
      </x:c>
      <x:c r="J7" s="50" t="n">
        <x:v>215</x:v>
      </x:c>
      <x:c r="K7" s="64" t="n">
        <x:f>ROUND(J7*14.5038,0)</x:f>
        <x:v>3118</x:v>
      </x:c>
      <x:c r="L7" s="50" t="n">
        <x:v>860</x:v>
      </x:c>
      <x:c r="M7" s="50" t="n">
        <x:v>115</x:v>
      </x:c>
      <x:c r="N7" s="50" t="n">
        <x:v>0.26</x:v>
      </x:c>
      <x:c r="O7" s="50" t="n">
        <x:v>-40</x:v>
      </x:c>
      <x:c r="P7" s="50" t="n">
        <x:v>100</x:v>
      </x:c>
      <x:c r="Q7" s="47" t="str">
        <x:v>Oil- and water-resistant synthetic rubber</x:v>
      </x:c>
      <x:c r="R7" s="47" t="str">
        <x:v>1 high-tensile steel wire braid</x:v>
      </x:c>
      <x:c r="S7" s="47" t="str">
        <x:v>Oil- and weather-resistant synthetic rubber</x:v>
      </x:c>
      <x:c r="T7" s="47" t="str">
        <x:v>Black</x:v>
      </x:c>
      <x:c r="U7" s="47" t="str">
        <x:v>Wrapped</x:v>
      </x:c>
      <x:c r="V7" s="33" t="str">
        <x:v>Other</x:v>
      </x:c>
      <x:c r="W7" s="33" t="str">
        <x:v>N/A</x:v>
      </x:c>
      <x:c r="X7" s="47" t="str">
        <x:v>Petroleum- and water-based hydraulic fluids; verify special media</x:v>
      </x:c>
      <x:c r="Y7" s="47" t="str">
        <x:v>China</x:v>
      </x:c>
      <x:c r="Z7" s="47" t="str">
        <x:v>62d65f8412ff5.pdf p.16</x:v>
      </x:c>
      <x:c r="AA7" s="47" t="str">
        <x:v>Manual-derived catalog value; confirm production specification and skive requirement before production approval; unresolved values do not block RFQ eligibility.</x:v>
      </x:c>
      <x:c r="AB7" s="161" t="str">
        <x:v>Eligible</x:v>
      </x:c>
      <x:c r="AC7" s="161" t="str">
        <x:v>Pending</x:v>
      </x:c>
    </x:row>
    <x:row r="8" ht="34" customHeight="1">
      <x:c r="A8" s="33" t="str">
        <x:v>Draft</x:v>
      </x:c>
      <x:c r="B8" s="47" t="str">
        <x:v>601R1_004</x:v>
      </x:c>
      <x:c r="C8" s="33" t="str">
        <x:v>601R1</x:v>
      </x:c>
      <x:c r="D8" s="47" t="str">
        <x:v>SAE 100 R1AT</x:v>
      </x:c>
      <x:c r="E8" s="47" t="str">
        <x:v>EN 853 1SN</x:v>
      </x:c>
      <x:c r="F8" s="33" t="str">
        <x:v>-6</x:v>
      </x:c>
      <x:c r="G8" s="50" t="n">
        <x:v>0.375</x:v>
      </x:c>
      <x:c r="H8" s="50" t="n">
        <x:v>10</x:v>
      </x:c>
      <x:c r="I8" s="50" t="n">
        <x:v>17.7</x:v>
      </x:c>
      <x:c r="J8" s="50" t="n">
        <x:v>180</x:v>
      </x:c>
      <x:c r="K8" s="64" t="n">
        <x:f>ROUND(J8*14.5038,0)</x:f>
        <x:v>2611</x:v>
      </x:c>
      <x:c r="L8" s="50" t="n">
        <x:v>720</x:v>
      </x:c>
      <x:c r="M8" s="50" t="n">
        <x:v>125</x:v>
      </x:c>
      <x:c r="N8" s="50" t="n">
        <x:v>0.33</x:v>
      </x:c>
      <x:c r="O8" s="50" t="n">
        <x:v>-40</x:v>
      </x:c>
      <x:c r="P8" s="50" t="n">
        <x:v>100</x:v>
      </x:c>
      <x:c r="Q8" s="47" t="str">
        <x:v>Oil- and water-resistant synthetic rubber</x:v>
      </x:c>
      <x:c r="R8" s="47" t="str">
        <x:v>1 high-tensile steel wire braid</x:v>
      </x:c>
      <x:c r="S8" s="47" t="str">
        <x:v>Oil- and weather-resistant synthetic rubber</x:v>
      </x:c>
      <x:c r="T8" s="47" t="str">
        <x:v>Black</x:v>
      </x:c>
      <x:c r="U8" s="47" t="str">
        <x:v>Wrapped</x:v>
      </x:c>
      <x:c r="V8" s="33" t="str">
        <x:v>Other</x:v>
      </x:c>
      <x:c r="W8" s="33" t="str">
        <x:v>N/A</x:v>
      </x:c>
      <x:c r="X8" s="47" t="str">
        <x:v>Petroleum- and water-based hydraulic fluids; verify special media</x:v>
      </x:c>
      <x:c r="Y8" s="47" t="str">
        <x:v>China</x:v>
      </x:c>
      <x:c r="Z8" s="47" t="str">
        <x:v>62d65f8412ff5.pdf p.16</x:v>
      </x:c>
      <x:c r="AA8" s="47" t="str">
        <x:v>Manual-derived catalog value; confirm production specification and skive requirement before production approval; unresolved values do not block RFQ eligibility.</x:v>
      </x:c>
      <x:c r="AB8" s="161" t="str">
        <x:v>Eligible</x:v>
      </x:c>
      <x:c r="AC8" s="161" t="str">
        <x:v>Pending</x:v>
      </x:c>
    </x:row>
    <x:row r="9" ht="34" customHeight="1">
      <x:c r="A9" s="33" t="str">
        <x:v>Draft</x:v>
      </x:c>
      <x:c r="B9" s="47" t="str">
        <x:v>601R1_005</x:v>
      </x:c>
      <x:c r="C9" s="33" t="str">
        <x:v>601R1</x:v>
      </x:c>
      <x:c r="D9" s="47" t="str">
        <x:v>SAE 100 R1AT</x:v>
      </x:c>
      <x:c r="E9" s="47" t="str">
        <x:v>EN 853 1SN</x:v>
      </x:c>
      <x:c r="F9" s="33" t="str">
        <x:v>-8</x:v>
      </x:c>
      <x:c r="G9" s="50" t="n">
        <x:v>0.5</x:v>
      </x:c>
      <x:c r="H9" s="50" t="n">
        <x:v>12.5</x:v>
      </x:c>
      <x:c r="I9" s="50" t="n">
        <x:v>20.7</x:v>
      </x:c>
      <x:c r="J9" s="50" t="n">
        <x:v>160</x:v>
      </x:c>
      <x:c r="K9" s="64" t="n">
        <x:f>ROUND(J9*14.5038,0)</x:f>
        <x:v>2321</x:v>
      </x:c>
      <x:c r="L9" s="50" t="n">
        <x:v>640</x:v>
      </x:c>
      <x:c r="M9" s="50" t="n">
        <x:v>180</x:v>
      </x:c>
      <x:c r="N9" s="50" t="n">
        <x:v>0.45</x:v>
      </x:c>
      <x:c r="O9" s="50" t="n">
        <x:v>-40</x:v>
      </x:c>
      <x:c r="P9" s="50" t="n">
        <x:v>100</x:v>
      </x:c>
      <x:c r="Q9" s="47" t="str">
        <x:v>Oil- and water-resistant synthetic rubber</x:v>
      </x:c>
      <x:c r="R9" s="47" t="str">
        <x:v>1 high-tensile steel wire braid</x:v>
      </x:c>
      <x:c r="S9" s="47" t="str">
        <x:v>Oil- and weather-resistant synthetic rubber</x:v>
      </x:c>
      <x:c r="T9" s="47" t="str">
        <x:v>Black</x:v>
      </x:c>
      <x:c r="U9" s="47" t="str">
        <x:v>Wrapped</x:v>
      </x:c>
      <x:c r="V9" s="33" t="str">
        <x:v>Other</x:v>
      </x:c>
      <x:c r="W9" s="33" t="str">
        <x:v>N/A</x:v>
      </x:c>
      <x:c r="X9" s="47" t="str">
        <x:v>Petroleum- and water-based hydraulic fluids; verify special media</x:v>
      </x:c>
      <x:c r="Y9" s="47" t="str">
        <x:v>China</x:v>
      </x:c>
      <x:c r="Z9" s="47" t="str">
        <x:v>62d65f8412ff5.pdf p.16</x:v>
      </x:c>
      <x:c r="AA9" s="47" t="str">
        <x:v>Manual-derived catalog value; confirm production specification and skive requirement before production approval; unresolved values do not block RFQ eligibility.</x:v>
      </x:c>
      <x:c r="AB9" s="161" t="str">
        <x:v>Eligible</x:v>
      </x:c>
      <x:c r="AC9" s="161" t="str">
        <x:v>Pending</x:v>
      </x:c>
    </x:row>
    <x:row r="10" ht="34" customHeight="1">
      <x:c r="A10" s="33" t="str">
        <x:v>Draft</x:v>
      </x:c>
      <x:c r="B10" s="47" t="str">
        <x:v>601R1_006</x:v>
      </x:c>
      <x:c r="C10" s="33" t="str">
        <x:v>601R1</x:v>
      </x:c>
      <x:c r="D10" s="47" t="str">
        <x:v>SAE 100 R1AT</x:v>
      </x:c>
      <x:c r="E10" s="47" t="str">
        <x:v>EN 853 1SN</x:v>
      </x:c>
      <x:c r="F10" s="33" t="str">
        <x:v>-10</x:v>
      </x:c>
      <x:c r="G10" s="50" t="n">
        <x:v>0.625</x:v>
      </x:c>
      <x:c r="H10" s="50" t="n">
        <x:v>16</x:v>
      </x:c>
      <x:c r="I10" s="50" t="n">
        <x:v>23.9</x:v>
      </x:c>
      <x:c r="J10" s="50" t="n">
        <x:v>130</x:v>
      </x:c>
      <x:c r="K10" s="64" t="n">
        <x:f>ROUND(J10*14.5038,0)</x:f>
        <x:v>1885</x:v>
      </x:c>
      <x:c r="L10" s="50" t="n">
        <x:v>520</x:v>
      </x:c>
      <x:c r="M10" s="50" t="n">
        <x:v>205</x:v>
      </x:c>
      <x:c r="N10" s="50" t="n">
        <x:v>0.52</x:v>
      </x:c>
      <x:c r="O10" s="50" t="n">
        <x:v>-40</x:v>
      </x:c>
      <x:c r="P10" s="50" t="n">
        <x:v>100</x:v>
      </x:c>
      <x:c r="Q10" s="47" t="str">
        <x:v>Oil- and water-resistant synthetic rubber</x:v>
      </x:c>
      <x:c r="R10" s="47" t="str">
        <x:v>1 high-tensile steel wire braid</x:v>
      </x:c>
      <x:c r="S10" s="47" t="str">
        <x:v>Oil- and weather-resistant synthetic rubber</x:v>
      </x:c>
      <x:c r="T10" s="47" t="str">
        <x:v>Black</x:v>
      </x:c>
      <x:c r="U10" s="47" t="str">
        <x:v>Wrapped</x:v>
      </x:c>
      <x:c r="V10" s="33" t="str">
        <x:v>Other</x:v>
      </x:c>
      <x:c r="W10" s="33" t="str">
        <x:v>N/A</x:v>
      </x:c>
      <x:c r="X10" s="47" t="str">
        <x:v>Petroleum- and water-based hydraulic fluids; verify special media</x:v>
      </x:c>
      <x:c r="Y10" s="47" t="str">
        <x:v>China</x:v>
      </x:c>
      <x:c r="Z10" s="47" t="str">
        <x:v>62d65f8412ff5.pdf p.16</x:v>
      </x:c>
      <x:c r="AA10" s="47" t="str">
        <x:v>Manual-derived catalog value; confirm production specification and skive requirement before production approval; unresolved values do not block RFQ eligibility.</x:v>
      </x:c>
      <x:c r="AB10" s="161" t="str">
        <x:v>Eligible</x:v>
      </x:c>
      <x:c r="AC10" s="161" t="str">
        <x:v>Pending</x:v>
      </x:c>
    </x:row>
    <x:row r="11" ht="34" customHeight="1">
      <x:c r="A11" s="33" t="str">
        <x:v>Draft</x:v>
      </x:c>
      <x:c r="B11" s="47" t="str">
        <x:v>601R1_007</x:v>
      </x:c>
      <x:c r="C11" s="33" t="str">
        <x:v>601R1</x:v>
      </x:c>
      <x:c r="D11" s="47" t="str">
        <x:v>SAE 100 R1AT</x:v>
      </x:c>
      <x:c r="E11" s="47" t="str">
        <x:v>EN 853 1SN</x:v>
      </x:c>
      <x:c r="F11" s="33" t="str">
        <x:v>-12</x:v>
      </x:c>
      <x:c r="G11" s="50" t="n">
        <x:v>0.75</x:v>
      </x:c>
      <x:c r="H11" s="50" t="n">
        <x:v>19</x:v>
      </x:c>
      <x:c r="I11" s="50" t="n">
        <x:v>27.9</x:v>
      </x:c>
      <x:c r="J11" s="50" t="n">
        <x:v>105</x:v>
      </x:c>
      <x:c r="K11" s="64" t="n">
        <x:f>ROUND(J11*14.5038,0)</x:f>
        <x:v>1523</x:v>
      </x:c>
      <x:c r="L11" s="50" t="n">
        <x:v>420</x:v>
      </x:c>
      <x:c r="M11" s="50" t="n">
        <x:v>240</x:v>
      </x:c>
      <x:c r="N11" s="50" t="n">
        <x:v>0.62</x:v>
      </x:c>
      <x:c r="O11" s="50" t="n">
        <x:v>-40</x:v>
      </x:c>
      <x:c r="P11" s="50" t="n">
        <x:v>100</x:v>
      </x:c>
      <x:c r="Q11" s="47" t="str">
        <x:v>Oil- and water-resistant synthetic rubber</x:v>
      </x:c>
      <x:c r="R11" s="47" t="str">
        <x:v>1 high-tensile steel wire braid</x:v>
      </x:c>
      <x:c r="S11" s="47" t="str">
        <x:v>Oil- and weather-resistant synthetic rubber</x:v>
      </x:c>
      <x:c r="T11" s="47" t="str">
        <x:v>Black</x:v>
      </x:c>
      <x:c r="U11" s="47" t="str">
        <x:v>Wrapped</x:v>
      </x:c>
      <x:c r="V11" s="33" t="str">
        <x:v>Other</x:v>
      </x:c>
      <x:c r="W11" s="33" t="str">
        <x:v>N/A</x:v>
      </x:c>
      <x:c r="X11" s="47" t="str">
        <x:v>Petroleum- and water-based hydraulic fluids; verify special media</x:v>
      </x:c>
      <x:c r="Y11" s="47" t="str">
        <x:v>China</x:v>
      </x:c>
      <x:c r="Z11" s="47" t="str">
        <x:v>62d65f8412ff5.pdf p.16</x:v>
      </x:c>
      <x:c r="AA11" s="47" t="str">
        <x:v>Manual-derived catalog value; confirm production specification and skive requirement before production approval; unresolved values do not block RFQ eligibility.</x:v>
      </x:c>
      <x:c r="AB11" s="161" t="str">
        <x:v>Eligible</x:v>
      </x:c>
      <x:c r="AC11" s="161" t="str">
        <x:v>Pending</x:v>
      </x:c>
    </x:row>
    <x:row r="12" ht="34" customHeight="1">
      <x:c r="A12" s="33" t="str">
        <x:v>Draft</x:v>
      </x:c>
      <x:c r="B12" s="47" t="str">
        <x:v>601R1_008</x:v>
      </x:c>
      <x:c r="C12" s="33" t="str">
        <x:v>601R1</x:v>
      </x:c>
      <x:c r="D12" s="47" t="str">
        <x:v>SAE 100 R1AT</x:v>
      </x:c>
      <x:c r="E12" s="47" t="str">
        <x:v>EN 853 1SN</x:v>
      </x:c>
      <x:c r="F12" s="33" t="str">
        <x:v>-14</x:v>
      </x:c>
      <x:c r="G12" s="50" t="n">
        <x:v>0.875</x:v>
      </x:c>
      <x:c r="H12" s="50" t="n">
        <x:v>22</x:v>
      </x:c>
      <x:c r="I12" s="50" t="n">
        <x:v>30.8</x:v>
      </x:c>
      <x:c r="J12" s="50" t="n">
        <x:v>100</x:v>
      </x:c>
      <x:c r="K12" s="64" t="n">
        <x:f>ROUND(J12*14.5038,0)</x:f>
        <x:v>1450</x:v>
      </x:c>
      <x:c r="L12" s="50" t="n">
        <x:v>400</x:v>
      </x:c>
      <x:c r="M12" s="50" t="n">
        <x:v>280</x:v>
      </x:c>
      <x:c r="N12" s="50" t="n">
        <x:v>0.7</x:v>
      </x:c>
      <x:c r="O12" s="50" t="n">
        <x:v>-40</x:v>
      </x:c>
      <x:c r="P12" s="50" t="n">
        <x:v>100</x:v>
      </x:c>
      <x:c r="Q12" s="47" t="str">
        <x:v>Oil- and water-resistant synthetic rubber</x:v>
      </x:c>
      <x:c r="R12" s="47" t="str">
        <x:v>1 high-tensile steel wire braid</x:v>
      </x:c>
      <x:c r="S12" s="47" t="str">
        <x:v>Oil- and weather-resistant synthetic rubber</x:v>
      </x:c>
      <x:c r="T12" s="47" t="str">
        <x:v>Black</x:v>
      </x:c>
      <x:c r="U12" s="47" t="str">
        <x:v>Wrapped</x:v>
      </x:c>
      <x:c r="V12" s="33" t="str">
        <x:v>Other</x:v>
      </x:c>
      <x:c r="W12" s="33" t="str">
        <x:v>N/A</x:v>
      </x:c>
      <x:c r="X12" s="47" t="str">
        <x:v>Petroleum- and water-based hydraulic fluids; verify special media</x:v>
      </x:c>
      <x:c r="Y12" s="47" t="str">
        <x:v>China</x:v>
      </x:c>
      <x:c r="Z12" s="47" t="str">
        <x:v>62d65f8412ff5.pdf p.16</x:v>
      </x:c>
      <x:c r="AA12" s="47" t="str">
        <x:v>Manual-derived catalog value; confirm production specification and skive requirement before production approval; unresolved values do not block RFQ eligibility.</x:v>
      </x:c>
      <x:c r="AB12" s="161" t="str">
        <x:v>Eligible</x:v>
      </x:c>
      <x:c r="AC12" s="161" t="str">
        <x:v>Pending</x:v>
      </x:c>
    </x:row>
    <x:row r="13" ht="34" customHeight="1">
      <x:c r="A13" s="33" t="str">
        <x:v>Draft</x:v>
      </x:c>
      <x:c r="B13" s="47" t="str">
        <x:v>601R1_009</x:v>
      </x:c>
      <x:c r="C13" s="33" t="str">
        <x:v>601R1</x:v>
      </x:c>
      <x:c r="D13" s="47" t="str">
        <x:v>SAE 100 R1AT</x:v>
      </x:c>
      <x:c r="E13" s="47" t="str">
        <x:v>EN 853 1SN</x:v>
      </x:c>
      <x:c r="F13" s="33" t="str">
        <x:v>-16</x:v>
      </x:c>
      <x:c r="G13" s="50" t="n">
        <x:v>1</x:v>
      </x:c>
      <x:c r="H13" s="50" t="n">
        <x:v>25</x:v>
      </x:c>
      <x:c r="I13" s="50" t="n">
        <x:v>35.6</x:v>
      </x:c>
      <x:c r="J13" s="50" t="n">
        <x:v>87</x:v>
      </x:c>
      <x:c r="K13" s="64" t="n">
        <x:f>ROUND(J13*14.5038,0)</x:f>
        <x:v>1262</x:v>
      </x:c>
      <x:c r="L13" s="50" t="n">
        <x:v>348</x:v>
      </x:c>
      <x:c r="M13" s="50" t="n">
        <x:v>300</x:v>
      </x:c>
      <x:c r="N13" s="50" t="n">
        <x:v>0.91</x:v>
      </x:c>
      <x:c r="O13" s="50" t="n">
        <x:v>-40</x:v>
      </x:c>
      <x:c r="P13" s="50" t="n">
        <x:v>100</x:v>
      </x:c>
      <x:c r="Q13" s="47" t="str">
        <x:v>Oil- and water-resistant synthetic rubber</x:v>
      </x:c>
      <x:c r="R13" s="47" t="str">
        <x:v>1 high-tensile steel wire braid</x:v>
      </x:c>
      <x:c r="S13" s="47" t="str">
        <x:v>Oil- and weather-resistant synthetic rubber</x:v>
      </x:c>
      <x:c r="T13" s="47" t="str">
        <x:v>Black</x:v>
      </x:c>
      <x:c r="U13" s="47" t="str">
        <x:v>Wrapped</x:v>
      </x:c>
      <x:c r="V13" s="33" t="str">
        <x:v>Other</x:v>
      </x:c>
      <x:c r="W13" s="33" t="str">
        <x:v>N/A</x:v>
      </x:c>
      <x:c r="X13" s="47" t="str">
        <x:v>Petroleum- and water-based hydraulic fluids; verify special media</x:v>
      </x:c>
      <x:c r="Y13" s="47" t="str">
        <x:v>China</x:v>
      </x:c>
      <x:c r="Z13" s="47" t="str">
        <x:v>62d65f8412ff5.pdf p.16</x:v>
      </x:c>
      <x:c r="AA13" s="47" t="str">
        <x:v>Manual-derived catalog value; confirm production specification and skive requirement before production approval; unresolved values do not block RFQ eligibility.</x:v>
      </x:c>
      <x:c r="AB13" s="161" t="str">
        <x:v>Eligible</x:v>
      </x:c>
      <x:c r="AC13" s="161" t="str">
        <x:v>Pending</x:v>
      </x:c>
    </x:row>
    <x:row r="14" ht="34" customHeight="1">
      <x:c r="A14" s="33" t="str">
        <x:v>Draft</x:v>
      </x:c>
      <x:c r="B14" s="47" t="str">
        <x:v>601R1_010</x:v>
      </x:c>
      <x:c r="C14" s="33" t="str">
        <x:v>601R1</x:v>
      </x:c>
      <x:c r="D14" s="47" t="str">
        <x:v>SAE 100 R1AT</x:v>
      </x:c>
      <x:c r="E14" s="47" t="str">
        <x:v>EN 853 1SN</x:v>
      </x:c>
      <x:c r="F14" s="33" t="str">
        <x:v>-20</x:v>
      </x:c>
      <x:c r="G14" s="50" t="n">
        <x:v>1.25</x:v>
      </x:c>
      <x:c r="H14" s="50" t="n">
        <x:v>31.5</x:v>
      </x:c>
      <x:c r="I14" s="50" t="n">
        <x:v>43.4</x:v>
      </x:c>
      <x:c r="J14" s="50" t="n">
        <x:v>62</x:v>
      </x:c>
      <x:c r="K14" s="64" t="n">
        <x:f>ROUND(J14*14.5038,0)</x:f>
        <x:v>899</x:v>
      </x:c>
      <x:c r="L14" s="50" t="n">
        <x:v>248</x:v>
      </x:c>
      <x:c r="M14" s="50" t="n">
        <x:v>420</x:v>
      </x:c>
      <x:c r="N14" s="50" t="n">
        <x:v>1.3</x:v>
      </x:c>
      <x:c r="O14" s="50" t="n">
        <x:v>-40</x:v>
      </x:c>
      <x:c r="P14" s="50" t="n">
        <x:v>100</x:v>
      </x:c>
      <x:c r="Q14" s="47" t="str">
        <x:v>Oil- and water-resistant synthetic rubber</x:v>
      </x:c>
      <x:c r="R14" s="47" t="str">
        <x:v>1 high-tensile steel wire braid</x:v>
      </x:c>
      <x:c r="S14" s="47" t="str">
        <x:v>Oil- and weather-resistant synthetic rubber</x:v>
      </x:c>
      <x:c r="T14" s="47" t="str">
        <x:v>Black</x:v>
      </x:c>
      <x:c r="U14" s="47" t="str">
        <x:v>Wrapped</x:v>
      </x:c>
      <x:c r="V14" s="33" t="str">
        <x:v>Other</x:v>
      </x:c>
      <x:c r="W14" s="33" t="str">
        <x:v>N/A</x:v>
      </x:c>
      <x:c r="X14" s="47" t="str">
        <x:v>Petroleum- and water-based hydraulic fluids; verify special media</x:v>
      </x:c>
      <x:c r="Y14" s="47" t="str">
        <x:v>China</x:v>
      </x:c>
      <x:c r="Z14" s="47" t="str">
        <x:v>62d65f8412ff5.pdf p.16</x:v>
      </x:c>
      <x:c r="AA14" s="47" t="str">
        <x:v>Manual-derived catalog value; confirm production specification and skive requirement before production approval; unresolved values do not block RFQ eligibility.</x:v>
      </x:c>
      <x:c r="AB14" s="161" t="str">
        <x:v>Eligible</x:v>
      </x:c>
      <x:c r="AC14" s="161" t="str">
        <x:v>Pending</x:v>
      </x:c>
    </x:row>
    <x:row r="15" ht="34" customHeight="1">
      <x:c r="A15" s="33" t="str">
        <x:v>Draft</x:v>
      </x:c>
      <x:c r="B15" s="47" t="str">
        <x:v>601R1_011</x:v>
      </x:c>
      <x:c r="C15" s="33" t="str">
        <x:v>601R1</x:v>
      </x:c>
      <x:c r="D15" s="47" t="str">
        <x:v>SAE 100 R1AT</x:v>
      </x:c>
      <x:c r="E15" s="47" t="str">
        <x:v>EN 853 1SN</x:v>
      </x:c>
      <x:c r="F15" s="33" t="str">
        <x:v>-24</x:v>
      </x:c>
      <x:c r="G15" s="50" t="n">
        <x:v>1.5</x:v>
      </x:c>
      <x:c r="H15" s="50" t="n">
        <x:v>38</x:v>
      </x:c>
      <x:c r="I15" s="50" t="n">
        <x:v>50.6</x:v>
      </x:c>
      <x:c r="J15" s="50" t="n">
        <x:v>50</x:v>
      </x:c>
      <x:c r="K15" s="64" t="n">
        <x:f>ROUND(J15*14.5038,0)</x:f>
        <x:v>725</x:v>
      </x:c>
      <x:c r="L15" s="50" t="n">
        <x:v>200</x:v>
      </x:c>
      <x:c r="M15" s="50" t="n">
        <x:v>500</x:v>
      </x:c>
      <x:c r="N15" s="50" t="n">
        <x:v>1.7</x:v>
      </x:c>
      <x:c r="O15" s="50" t="n">
        <x:v>-40</x:v>
      </x:c>
      <x:c r="P15" s="50" t="n">
        <x:v>100</x:v>
      </x:c>
      <x:c r="Q15" s="47" t="str">
        <x:v>Oil- and water-resistant synthetic rubber</x:v>
      </x:c>
      <x:c r="R15" s="47" t="str">
        <x:v>1 high-tensile steel wire braid</x:v>
      </x:c>
      <x:c r="S15" s="47" t="str">
        <x:v>Oil- and weather-resistant synthetic rubber</x:v>
      </x:c>
      <x:c r="T15" s="47" t="str">
        <x:v>Black</x:v>
      </x:c>
      <x:c r="U15" s="47" t="str">
        <x:v>Wrapped</x:v>
      </x:c>
      <x:c r="V15" s="33" t="str">
        <x:v>Other</x:v>
      </x:c>
      <x:c r="W15" s="33" t="str">
        <x:v>N/A</x:v>
      </x:c>
      <x:c r="X15" s="47" t="str">
        <x:v>Petroleum- and water-based hydraulic fluids; verify special media</x:v>
      </x:c>
      <x:c r="Y15" s="47" t="str">
        <x:v>China</x:v>
      </x:c>
      <x:c r="Z15" s="47" t="str">
        <x:v>62d65f8412ff5.pdf p.16</x:v>
      </x:c>
      <x:c r="AA15" s="47" t="str">
        <x:v>Manual-derived catalog value; confirm production specification and skive requirement before production approval; unresolved values do not block RFQ eligibility.</x:v>
      </x:c>
      <x:c r="AB15" s="161" t="str">
        <x:v>Eligible</x:v>
      </x:c>
      <x:c r="AC15" s="161" t="str">
        <x:v>Pending</x:v>
      </x:c>
    </x:row>
    <x:row r="16" ht="34" customHeight="1">
      <x:c r="A16" s="33" t="str">
        <x:v>Draft</x:v>
      </x:c>
      <x:c r="B16" s="47" t="str">
        <x:v>601R1_012</x:v>
      </x:c>
      <x:c r="C16" s="33" t="str">
        <x:v>601R1</x:v>
      </x:c>
      <x:c r="D16" s="47" t="str">
        <x:v>SAE 100 R1AT</x:v>
      </x:c>
      <x:c r="E16" s="47" t="str">
        <x:v>EN 853 1SN</x:v>
      </x:c>
      <x:c r="F16" s="33" t="str">
        <x:v>-32</x:v>
      </x:c>
      <x:c r="G16" s="50" t="n">
        <x:v>2</x:v>
      </x:c>
      <x:c r="H16" s="50" t="n">
        <x:v>51</x:v>
      </x:c>
      <x:c r="I16" s="50" t="n">
        <x:v>64.2</x:v>
      </x:c>
      <x:c r="J16" s="50" t="n">
        <x:v>40</x:v>
      </x:c>
      <x:c r="K16" s="64" t="n">
        <x:f>ROUND(J16*14.5038,0)</x:f>
        <x:v>580</x:v>
      </x:c>
      <x:c r="L16" s="50" t="n">
        <x:v>160</x:v>
      </x:c>
      <x:c r="M16" s="50" t="n">
        <x:v>630</x:v>
      </x:c>
      <x:c r="N16" s="50" t="n">
        <x:v>1.9</x:v>
      </x:c>
      <x:c r="O16" s="50" t="n">
        <x:v>-40</x:v>
      </x:c>
      <x:c r="P16" s="50" t="n">
        <x:v>100</x:v>
      </x:c>
      <x:c r="Q16" s="47" t="str">
        <x:v>Oil- and water-resistant synthetic rubber</x:v>
      </x:c>
      <x:c r="R16" s="47" t="str">
        <x:v>1 high-tensile steel wire braid</x:v>
      </x:c>
      <x:c r="S16" s="47" t="str">
        <x:v>Oil- and weather-resistant synthetic rubber</x:v>
      </x:c>
      <x:c r="T16" s="47" t="str">
        <x:v>Black</x:v>
      </x:c>
      <x:c r="U16" s="47" t="str">
        <x:v>Wrapped</x:v>
      </x:c>
      <x:c r="V16" s="33" t="str">
        <x:v>Other</x:v>
      </x:c>
      <x:c r="W16" s="33" t="str">
        <x:v>N/A</x:v>
      </x:c>
      <x:c r="X16" s="47" t="str">
        <x:v>Petroleum- and water-based hydraulic fluids; verify special media</x:v>
      </x:c>
      <x:c r="Y16" s="47" t="str">
        <x:v>China</x:v>
      </x:c>
      <x:c r="Z16" s="47" t="str">
        <x:v>62d65f8412ff5.pdf p.16</x:v>
      </x:c>
      <x:c r="AA16" s="47" t="str">
        <x:v>Manual-derived catalog value; confirm production specification and skive requirement before production approval; unresolved values do not block RFQ eligibility.</x:v>
      </x:c>
      <x:c r="AB16" s="161" t="str">
        <x:v>Eligible</x:v>
      </x:c>
      <x:c r="AC16" s="161" t="str">
        <x:v>Pending</x:v>
      </x:c>
    </x:row>
    <x:row r="17" ht="34" customHeight="1">
      <x:c r="A17" s="33" t="str">
        <x:v>Draft</x:v>
      </x:c>
      <x:c r="B17" s="47" t="str">
        <x:v>601R1_013</x:v>
      </x:c>
      <x:c r="C17" s="33" t="str">
        <x:v>601R1</x:v>
      </x:c>
      <x:c r="D17" s="47" t="str">
        <x:v>SAE 100 R1AT</x:v>
      </x:c>
      <x:c r="E17" s="47" t="str">
        <x:v>EN 853 1SN</x:v>
      </x:c>
      <x:c r="F17" s="33" t="str">
        <x:v>-40</x:v>
      </x:c>
      <x:c r="G17" s="50" t="n">
        <x:v>2.5</x:v>
      </x:c>
      <x:c r="H17" s="50" t="n">
        <x:v>63</x:v>
      </x:c>
      <x:c r="I17" s="50" t="n">
        <x:v>78.4</x:v>
      </x:c>
      <x:c r="J17" s="50" t="n">
        <x:v>25</x:v>
      </x:c>
      <x:c r="K17" s="64" t="n">
        <x:f>ROUND(J17*14.5038,0)</x:f>
        <x:v>363</x:v>
      </x:c>
      <x:c r="L17" s="50" t="n">
        <x:v>100</x:v>
      </x:c>
      <x:c r="M17" s="50" t="n">
        <x:v>760</x:v>
      </x:c>
      <x:c r="N17" s="50" t="n">
        <x:v>2.5</x:v>
      </x:c>
      <x:c r="O17" s="50" t="n">
        <x:v>-40</x:v>
      </x:c>
      <x:c r="P17" s="50" t="n">
        <x:v>100</x:v>
      </x:c>
      <x:c r="Q17" s="47" t="str">
        <x:v>Oil- and water-resistant synthetic rubber</x:v>
      </x:c>
      <x:c r="R17" s="47" t="str">
        <x:v>1 high-tensile steel wire braid</x:v>
      </x:c>
      <x:c r="S17" s="47" t="str">
        <x:v>Oil- and weather-resistant synthetic rubber</x:v>
      </x:c>
      <x:c r="T17" s="47" t="str">
        <x:v>Black</x:v>
      </x:c>
      <x:c r="U17" s="47" t="str">
        <x:v>Wrapped</x:v>
      </x:c>
      <x:c r="V17" s="33" t="str">
        <x:v>Other</x:v>
      </x:c>
      <x:c r="W17" s="33" t="str">
        <x:v>N/A</x:v>
      </x:c>
      <x:c r="X17" s="47" t="str">
        <x:v>Petroleum- and water-based hydraulic fluids; verify special media</x:v>
      </x:c>
      <x:c r="Y17" s="47" t="str">
        <x:v>China</x:v>
      </x:c>
      <x:c r="Z17" s="47" t="str">
        <x:v>62d65f8412ff5.pdf p.16</x:v>
      </x:c>
      <x:c r="AA17" s="47" t="str">
        <x:v>Manual-derived catalog value; confirm production specification and skive requirement before production approval; unresolved values do not block RFQ eligibility.</x:v>
      </x:c>
      <x:c r="AB17" s="161" t="str">
        <x:v>Eligible</x:v>
      </x:c>
      <x:c r="AC17" s="161" t="str">
        <x:v>Pending</x:v>
      </x:c>
    </x:row>
    <x:row r="18" ht="34" customHeight="1">
      <x:c r="A18" s="33" t="str">
        <x:v>Draft</x:v>
      </x:c>
      <x:c r="B18" s="47" t="str">
        <x:v>601R1_014</x:v>
      </x:c>
      <x:c r="C18" s="33" t="str">
        <x:v>601R1</x:v>
      </x:c>
      <x:c r="D18" s="47" t="str">
        <x:v>SAE 100 R1AT</x:v>
      </x:c>
      <x:c r="E18" s="47" t="str">
        <x:v>EN 853 1SN</x:v>
      </x:c>
      <x:c r="F18" s="33" t="str">
        <x:v>-48</x:v>
      </x:c>
      <x:c r="G18" s="50" t="n">
        <x:v>3</x:v>
      </x:c>
      <x:c r="H18" s="50" t="n">
        <x:v>76</x:v>
      </x:c>
      <x:c r="I18" s="50" t="n">
        <x:v>92.4</x:v>
      </x:c>
      <x:c r="J18" s="50" t="n">
        <x:v>20</x:v>
      </x:c>
      <x:c r="K18" s="64" t="n">
        <x:f>ROUND(J18*14.5038,0)</x:f>
        <x:v>290</x:v>
      </x:c>
      <x:c r="L18" s="50" t="n">
        <x:v>80</x:v>
      </x:c>
      <x:c r="M18" s="50" t="n">
        <x:v>900</x:v>
      </x:c>
      <x:c r="N18" s="50" t="n">
        <x:v>3.33</x:v>
      </x:c>
      <x:c r="O18" s="50" t="n">
        <x:v>-40</x:v>
      </x:c>
      <x:c r="P18" s="50" t="n">
        <x:v>100</x:v>
      </x:c>
      <x:c r="Q18" s="47" t="str">
        <x:v>Oil- and water-resistant synthetic rubber</x:v>
      </x:c>
      <x:c r="R18" s="47" t="str">
        <x:v>1 high-tensile steel wire braid</x:v>
      </x:c>
      <x:c r="S18" s="47" t="str">
        <x:v>Oil- and weather-resistant synthetic rubber</x:v>
      </x:c>
      <x:c r="T18" s="47" t="str">
        <x:v>Black</x:v>
      </x:c>
      <x:c r="U18" s="47" t="str">
        <x:v>Wrapped</x:v>
      </x:c>
      <x:c r="V18" s="33" t="str">
        <x:v>Other</x:v>
      </x:c>
      <x:c r="W18" s="33" t="str">
        <x:v>N/A</x:v>
      </x:c>
      <x:c r="X18" s="47" t="str">
        <x:v>Petroleum- and water-based hydraulic fluids; verify special media</x:v>
      </x:c>
      <x:c r="Y18" s="47" t="str">
        <x:v>China</x:v>
      </x:c>
      <x:c r="Z18" s="47" t="str">
        <x:v>62d65f8412ff5.pdf p.16</x:v>
      </x:c>
      <x:c r="AA18" s="47" t="str">
        <x:v>Manual-derived catalog value; confirm production specification and skive requirement before production approval; unresolved values do not block RFQ eligibility.</x:v>
      </x:c>
      <x:c r="AB18" s="161" t="str">
        <x:v>Eligible</x:v>
      </x:c>
      <x:c r="AC18" s="161" t="str">
        <x:v>Pending</x:v>
      </x:c>
    </x:row>
    <x:row r="19" ht="34" customHeight="1">
      <x:c r="A19" s="33" t="str">
        <x:v>Draft</x:v>
      </x:c>
      <x:c r="B19" s="47" t="str">
        <x:v>601R1_015</x:v>
      </x:c>
      <x:c r="C19" s="33" t="str">
        <x:v>601R1</x:v>
      </x:c>
      <x:c r="D19" s="47" t="str">
        <x:v>SAE 100 R1AT</x:v>
      </x:c>
      <x:c r="E19" s="47" t="str">
        <x:v>EN 853 1SN</x:v>
      </x:c>
      <x:c r="F19" s="33" t="str">
        <x:v>-56</x:v>
      </x:c>
      <x:c r="G19" s="50" t="n">
        <x:v>3.5</x:v>
      </x:c>
      <x:c r="H19" s="50" t="n">
        <x:v>89</x:v>
      </x:c>
      <x:c r="I19" s="50" t="n">
        <x:v>105.2</x:v>
      </x:c>
      <x:c r="J19" s="50" t="n">
        <x:v>20</x:v>
      </x:c>
      <x:c r="K19" s="64" t="n">
        <x:f>ROUND(J19*14.5038,0)</x:f>
        <x:v>290</x:v>
      </x:c>
      <x:c r="L19" s="50" t="n">
        <x:v>88</x:v>
      </x:c>
      <x:c r="M19" s="50" t="n">
        <x:v>1100</x:v>
      </x:c>
      <x:c r="N19" s="50" t="n">
        <x:v>4.28</x:v>
      </x:c>
      <x:c r="O19" s="50" t="n">
        <x:v>-40</x:v>
      </x:c>
      <x:c r="P19" s="50" t="n">
        <x:v>100</x:v>
      </x:c>
      <x:c r="Q19" s="47" t="str">
        <x:v>Oil- and water-resistant synthetic rubber</x:v>
      </x:c>
      <x:c r="R19" s="47" t="str">
        <x:v>1 high-tensile steel wire braid</x:v>
      </x:c>
      <x:c r="S19" s="47" t="str">
        <x:v>Oil- and weather-resistant synthetic rubber</x:v>
      </x:c>
      <x:c r="T19" s="47" t="str">
        <x:v>Black</x:v>
      </x:c>
      <x:c r="U19" s="47" t="str">
        <x:v>Wrapped</x:v>
      </x:c>
      <x:c r="V19" s="33" t="str">
        <x:v>Other</x:v>
      </x:c>
      <x:c r="W19" s="33" t="str">
        <x:v>N/A</x:v>
      </x:c>
      <x:c r="X19" s="47" t="str">
        <x:v>Petroleum- and water-based hydraulic fluids; verify special media</x:v>
      </x:c>
      <x:c r="Y19" s="47" t="str">
        <x:v>China</x:v>
      </x:c>
      <x:c r="Z19" s="47" t="str">
        <x:v>62d65f8412ff5.pdf p.16</x:v>
      </x:c>
      <x:c r="AA19" s="47" t="str">
        <x:v>Manual-derived catalog value; confirm production specification and skive requirement before production approval; unresolved values do not block RFQ eligibility.</x:v>
      </x:c>
      <x:c r="AB19" s="161" t="str">
        <x:v>Eligible</x:v>
      </x:c>
      <x:c r="AC19" s="161" t="str">
        <x:v>Pending</x:v>
      </x:c>
    </x:row>
    <x:row r="20" ht="34" customHeight="1">
      <x:c r="A20" s="33" t="str">
        <x:v>Draft</x:v>
      </x:c>
      <x:c r="B20" s="47" t="str">
        <x:v>601R1_016</x:v>
      </x:c>
      <x:c r="C20" s="33" t="str">
        <x:v>601R1</x:v>
      </x:c>
      <x:c r="D20" s="47" t="str">
        <x:v>SAE 100 R1AT</x:v>
      </x:c>
      <x:c r="E20" s="47" t="str">
        <x:v>EN 853 1SN</x:v>
      </x:c>
      <x:c r="F20" s="33" t="str">
        <x:v>-64</x:v>
      </x:c>
      <x:c r="G20" s="50" t="n">
        <x:v>4</x:v>
      </x:c>
      <x:c r="H20" s="50" t="n">
        <x:v>102</x:v>
      </x:c>
      <x:c r="I20" s="50" t="n">
        <x:v>119.4</x:v>
      </x:c>
      <x:c r="J20" s="50" t="n">
        <x:v>18</x:v>
      </x:c>
      <x:c r="K20" s="64" t="n">
        <x:f>ROUND(J20*14.5038,0)</x:f>
        <x:v>261</x:v>
      </x:c>
      <x:c r="L20" s="50" t="n">
        <x:v>72</x:v>
      </x:c>
      <x:c r="M20" s="50" t="n">
        <x:v>1300</x:v>
      </x:c>
      <x:c r="N20" s="50" t="n">
        <x:v>5.03</x:v>
      </x:c>
      <x:c r="O20" s="50" t="n">
        <x:v>-40</x:v>
      </x:c>
      <x:c r="P20" s="50" t="n">
        <x:v>100</x:v>
      </x:c>
      <x:c r="Q20" s="47" t="str">
        <x:v>Oil- and water-resistant synthetic rubber</x:v>
      </x:c>
      <x:c r="R20" s="47" t="str">
        <x:v>1 high-tensile steel wire braid</x:v>
      </x:c>
      <x:c r="S20" s="47" t="str">
        <x:v>Oil- and weather-resistant synthetic rubber</x:v>
      </x:c>
      <x:c r="T20" s="47" t="str">
        <x:v>Black</x:v>
      </x:c>
      <x:c r="U20" s="47" t="str">
        <x:v>Wrapped</x:v>
      </x:c>
      <x:c r="V20" s="33" t="str">
        <x:v>Other</x:v>
      </x:c>
      <x:c r="W20" s="33" t="str">
        <x:v>N/A</x:v>
      </x:c>
      <x:c r="X20" s="47" t="str">
        <x:v>Petroleum- and water-based hydraulic fluids; verify special media</x:v>
      </x:c>
      <x:c r="Y20" s="47" t="str">
        <x:v>China</x:v>
      </x:c>
      <x:c r="Z20" s="47" t="str">
        <x:v>62d65f8412ff5.pdf p.16</x:v>
      </x:c>
      <x:c r="AA20" s="47" t="str">
        <x:v>Manual-derived catalog value; confirm production specification and skive requirement before production approval; unresolved values do not block RFQ eligibility.</x:v>
      </x:c>
      <x:c r="AB20" s="161" t="str">
        <x:v>Eligible</x:v>
      </x:c>
      <x:c r="AC20" s="161" t="str">
        <x:v>Pending</x:v>
      </x:c>
    </x:row>
    <x:row r="21" ht="34" customHeight="1">
      <x:c r="A21" s="33" t="str">
        <x:v>Draft</x:v>
      </x:c>
      <x:c r="B21" s="47" t="str">
        <x:v>601R2_001</x:v>
      </x:c>
      <x:c r="C21" s="33" t="str">
        <x:v>601R2</x:v>
      </x:c>
      <x:c r="D21" s="47" t="str">
        <x:v>SAE 100 R2AT</x:v>
      </x:c>
      <x:c r="E21" s="47" t="str">
        <x:v>EN 853 2SN</x:v>
      </x:c>
      <x:c r="F21" s="33" t="str">
        <x:v>-3</x:v>
      </x:c>
      <x:c r="G21" s="50" t="n">
        <x:v>0.1875</x:v>
      </x:c>
      <x:c r="H21" s="50" t="n">
        <x:v>5</x:v>
      </x:c>
      <x:c r="I21" s="50" t="n">
        <x:v>13.7</x:v>
      </x:c>
      <x:c r="J21" s="50" t="n">
        <x:v>415</x:v>
      </x:c>
      <x:c r="K21" s="64" t="n">
        <x:f>ROUND(J21*14.5038,0)</x:f>
        <x:v>6019</x:v>
      </x:c>
      <x:c r="L21" s="50" t="n">
        <x:v>1660</x:v>
      </x:c>
      <x:c r="M21" s="50" t="n">
        <x:v>90</x:v>
      </x:c>
      <x:c r="N21" s="50" t="n">
        <x:v>0.29</x:v>
      </x:c>
      <x:c r="O21" s="50" t="n">
        <x:v>-40</x:v>
      </x:c>
      <x:c r="P21" s="50" t="n">
        <x:v>100</x:v>
      </x:c>
      <x:c r="Q21" s="47" t="str">
        <x:v>Oil- and water-resistant synthetic rubber</x:v>
      </x:c>
      <x:c r="R21" s="47" t="str">
        <x:v>2 high-tensile steel wire braids</x:v>
      </x:c>
      <x:c r="S21" s="47" t="str">
        <x:v>Oil- and weather-resistant synthetic rubber</x:v>
      </x:c>
      <x:c r="T21" s="47" t="str">
        <x:v>Black</x:v>
      </x:c>
      <x:c r="U21" s="47" t="str">
        <x:v>Wrapped</x:v>
      </x:c>
      <x:c r="V21" s="33" t="str">
        <x:v>Other</x:v>
      </x:c>
      <x:c r="W21" s="33" t="str">
        <x:v>N/A</x:v>
      </x:c>
      <x:c r="X21" s="47" t="str">
        <x:v>Petroleum- and water-based hydraulic fluids; verify special media</x:v>
      </x:c>
      <x:c r="Y21" s="47" t="str">
        <x:v>China</x:v>
      </x:c>
      <x:c r="Z21" s="47" t="str">
        <x:v>62d65f8412ff5.pdf p.17</x:v>
      </x:c>
      <x:c r="AA21" s="47" t="str">
        <x:v>Manual-derived catalog value; confirm production specification and skive requirement before production approval; unresolved values do not block RFQ eligibility.</x:v>
      </x:c>
      <x:c r="AB21" s="161" t="str">
        <x:v>Eligible</x:v>
      </x:c>
      <x:c r="AC21" s="161" t="str">
        <x:v>Pending</x:v>
      </x:c>
    </x:row>
    <x:row r="22" ht="34" customHeight="1">
      <x:c r="A22" s="33" t="str">
        <x:v>Draft</x:v>
      </x:c>
      <x:c r="B22" s="47" t="str">
        <x:v>601R2_002</x:v>
      </x:c>
      <x:c r="C22" s="33" t="str">
        <x:v>601R2</x:v>
      </x:c>
      <x:c r="D22" s="47" t="str">
        <x:v>SAE 100 R2AT</x:v>
      </x:c>
      <x:c r="E22" s="47" t="str">
        <x:v>EN 853 2SN</x:v>
      </x:c>
      <x:c r="F22" s="33" t="str">
        <x:v>-4</x:v>
      </x:c>
      <x:c r="G22" s="50" t="n">
        <x:v>0.25</x:v>
      </x:c>
      <x:c r="H22" s="50" t="n">
        <x:v>6.3</x:v>
      </x:c>
      <x:c r="I22" s="50" t="n">
        <x:v>15.2</x:v>
      </x:c>
      <x:c r="J22" s="50" t="n">
        <x:v>400</x:v>
      </x:c>
      <x:c r="K22" s="64" t="n">
        <x:f>ROUND(J22*14.5038,0)</x:f>
        <x:v>5802</x:v>
      </x:c>
      <x:c r="L22" s="50" t="n">
        <x:v>1600</x:v>
      </x:c>
      <x:c r="M22" s="50" t="n">
        <x:v>100</x:v>
      </x:c>
      <x:c r="N22" s="50" t="n">
        <x:v>0.35</x:v>
      </x:c>
      <x:c r="O22" s="50" t="n">
        <x:v>-40</x:v>
      </x:c>
      <x:c r="P22" s="50" t="n">
        <x:v>100</x:v>
      </x:c>
      <x:c r="Q22" s="47" t="str">
        <x:v>Oil- and water-resistant synthetic rubber</x:v>
      </x:c>
      <x:c r="R22" s="47" t="str">
        <x:v>2 high-tensile steel wire braids</x:v>
      </x:c>
      <x:c r="S22" s="47" t="str">
        <x:v>Oil- and weather-resistant synthetic rubber</x:v>
      </x:c>
      <x:c r="T22" s="47" t="str">
        <x:v>Black</x:v>
      </x:c>
      <x:c r="U22" s="47" t="str">
        <x:v>Wrapped</x:v>
      </x:c>
      <x:c r="V22" s="33" t="str">
        <x:v>Other</x:v>
      </x:c>
      <x:c r="W22" s="33" t="str">
        <x:v>N/A</x:v>
      </x:c>
      <x:c r="X22" s="47" t="str">
        <x:v>Petroleum- and water-based hydraulic fluids; verify special media</x:v>
      </x:c>
      <x:c r="Y22" s="47" t="str">
        <x:v>China</x:v>
      </x:c>
      <x:c r="Z22" s="47" t="str">
        <x:v>62d65f8412ff5.pdf p.17</x:v>
      </x:c>
      <x:c r="AA22" s="47" t="str">
        <x:v>Manual-derived catalog value; confirm production specification and skive requirement before production approval; unresolved values do not block RFQ eligibility.</x:v>
      </x:c>
      <x:c r="AB22" s="161" t="str">
        <x:v>Eligible</x:v>
      </x:c>
      <x:c r="AC22" s="161" t="str">
        <x:v>Pending</x:v>
      </x:c>
    </x:row>
    <x:row r="23" ht="34" customHeight="1">
      <x:c r="A23" s="33" t="str">
        <x:v>Draft</x:v>
      </x:c>
      <x:c r="B23" s="47" t="str">
        <x:v>601R2_003</x:v>
      </x:c>
      <x:c r="C23" s="33" t="str">
        <x:v>601R2</x:v>
      </x:c>
      <x:c r="D23" s="47" t="str">
        <x:v>SAE 100 R2AT</x:v>
      </x:c>
      <x:c r="E23" s="47" t="str">
        <x:v>EN 853 2SN</x:v>
      </x:c>
      <x:c r="F23" s="33" t="str">
        <x:v>-5</x:v>
      </x:c>
      <x:c r="G23" s="50" t="n">
        <x:v>0.3125</x:v>
      </x:c>
      <x:c r="H23" s="50" t="n">
        <x:v>8</x:v>
      </x:c>
      <x:c r="I23" s="50" t="n">
        <x:v>16.8</x:v>
      </x:c>
      <x:c r="J23" s="50" t="n">
        <x:v>350</x:v>
      </x:c>
      <x:c r="K23" s="64" t="n">
        <x:f>ROUND(J23*14.5038,0)</x:f>
        <x:v>5076</x:v>
      </x:c>
      <x:c r="L23" s="50" t="n">
        <x:v>1400</x:v>
      </x:c>
      <x:c r="M23" s="50" t="n">
        <x:v>115</x:v>
      </x:c>
      <x:c r="N23" s="50" t="n">
        <x:v>0.39</x:v>
      </x:c>
      <x:c r="O23" s="50" t="n">
        <x:v>-40</x:v>
      </x:c>
      <x:c r="P23" s="50" t="n">
        <x:v>100</x:v>
      </x:c>
      <x:c r="Q23" s="47" t="str">
        <x:v>Oil- and water-resistant synthetic rubber</x:v>
      </x:c>
      <x:c r="R23" s="47" t="str">
        <x:v>2 high-tensile steel wire braids</x:v>
      </x:c>
      <x:c r="S23" s="47" t="str">
        <x:v>Oil- and weather-resistant synthetic rubber</x:v>
      </x:c>
      <x:c r="T23" s="47" t="str">
        <x:v>Black</x:v>
      </x:c>
      <x:c r="U23" s="47" t="str">
        <x:v>Wrapped</x:v>
      </x:c>
      <x:c r="V23" s="33" t="str">
        <x:v>Other</x:v>
      </x:c>
      <x:c r="W23" s="33" t="str">
        <x:v>N/A</x:v>
      </x:c>
      <x:c r="X23" s="47" t="str">
        <x:v>Petroleum- and water-based hydraulic fluids; verify special media</x:v>
      </x:c>
      <x:c r="Y23" s="47" t="str">
        <x:v>China</x:v>
      </x:c>
      <x:c r="Z23" s="47" t="str">
        <x:v>62d65f8412ff5.pdf p.17</x:v>
      </x:c>
      <x:c r="AA23" s="47" t="str">
        <x:v>Manual-derived catalog value; confirm production specification and skive requirement before production approval; unresolved values do not block RFQ eligibility.</x:v>
      </x:c>
      <x:c r="AB23" s="161" t="str">
        <x:v>Eligible</x:v>
      </x:c>
      <x:c r="AC23" s="161" t="str">
        <x:v>Pending</x:v>
      </x:c>
    </x:row>
    <x:row r="24" ht="34" customHeight="1">
      <x:c r="A24" s="33" t="str">
        <x:v>Draft</x:v>
      </x:c>
      <x:c r="B24" s="47" t="str">
        <x:v>601R2_004</x:v>
      </x:c>
      <x:c r="C24" s="33" t="str">
        <x:v>601R2</x:v>
      </x:c>
      <x:c r="D24" s="47" t="str">
        <x:v>SAE 100 R2AT</x:v>
      </x:c>
      <x:c r="E24" s="47" t="str">
        <x:v>EN 853 2SN</x:v>
      </x:c>
      <x:c r="F24" s="33" t="str">
        <x:v>-6</x:v>
      </x:c>
      <x:c r="G24" s="50" t="n">
        <x:v>0.375</x:v>
      </x:c>
      <x:c r="H24" s="50" t="n">
        <x:v>10</x:v>
      </x:c>
      <x:c r="I24" s="50" t="n">
        <x:v>19.2</x:v>
      </x:c>
      <x:c r="J24" s="50" t="n">
        <x:v>330</x:v>
      </x:c>
      <x:c r="K24" s="64" t="n">
        <x:f>ROUND(J24*14.5038,0)</x:f>
        <x:v>4786</x:v>
      </x:c>
      <x:c r="L24" s="50" t="n">
        <x:v>1320</x:v>
      </x:c>
      <x:c r="M24" s="50" t="n">
        <x:v>125</x:v>
      </x:c>
      <x:c r="N24" s="50" t="n">
        <x:v>0.49</x:v>
      </x:c>
      <x:c r="O24" s="50" t="n">
        <x:v>-40</x:v>
      </x:c>
      <x:c r="P24" s="50" t="n">
        <x:v>100</x:v>
      </x:c>
      <x:c r="Q24" s="47" t="str">
        <x:v>Oil- and water-resistant synthetic rubber</x:v>
      </x:c>
      <x:c r="R24" s="47" t="str">
        <x:v>2 high-tensile steel wire braids</x:v>
      </x:c>
      <x:c r="S24" s="47" t="str">
        <x:v>Oil- and weather-resistant synthetic rubber</x:v>
      </x:c>
      <x:c r="T24" s="47" t="str">
        <x:v>Black</x:v>
      </x:c>
      <x:c r="U24" s="47" t="str">
        <x:v>Wrapped</x:v>
      </x:c>
      <x:c r="V24" s="33" t="str">
        <x:v>Other</x:v>
      </x:c>
      <x:c r="W24" s="33" t="str">
        <x:v>N/A</x:v>
      </x:c>
      <x:c r="X24" s="47" t="str">
        <x:v>Petroleum- and water-based hydraulic fluids; verify special media</x:v>
      </x:c>
      <x:c r="Y24" s="47" t="str">
        <x:v>China</x:v>
      </x:c>
      <x:c r="Z24" s="47" t="str">
        <x:v>62d65f8412ff5.pdf p.17</x:v>
      </x:c>
      <x:c r="AA24" s="47" t="str">
        <x:v>Manual-derived catalog value; confirm production specification and skive requirement before production approval; unresolved values do not block RFQ eligibility.</x:v>
      </x:c>
      <x:c r="AB24" s="161" t="str">
        <x:v>Eligible</x:v>
      </x:c>
      <x:c r="AC24" s="161" t="str">
        <x:v>Pending</x:v>
      </x:c>
    </x:row>
    <x:row r="25" ht="34" customHeight="1">
      <x:c r="A25" s="33" t="str">
        <x:v>Draft</x:v>
      </x:c>
      <x:c r="B25" s="47" t="str">
        <x:v>601R2_005</x:v>
      </x:c>
      <x:c r="C25" s="33" t="str">
        <x:v>601R2</x:v>
      </x:c>
      <x:c r="D25" s="47" t="str">
        <x:v>SAE 100 R2AT</x:v>
      </x:c>
      <x:c r="E25" s="47" t="str">
        <x:v>EN 853 2SN</x:v>
      </x:c>
      <x:c r="F25" s="33" t="str">
        <x:v>-8</x:v>
      </x:c>
      <x:c r="G25" s="50" t="n">
        <x:v>0.5</x:v>
      </x:c>
      <x:c r="H25" s="50" t="n">
        <x:v>12.5</x:v>
      </x:c>
      <x:c r="I25" s="50" t="n">
        <x:v>22.4</x:v>
      </x:c>
      <x:c r="J25" s="50" t="n">
        <x:v>275</x:v>
      </x:c>
      <x:c r="K25" s="64" t="n">
        <x:f>ROUND(J25*14.5038,0)</x:f>
        <x:v>3989</x:v>
      </x:c>
      <x:c r="L25" s="50" t="n">
        <x:v>1100</x:v>
      </x:c>
      <x:c r="M25" s="50" t="n">
        <x:v>180</x:v>
      </x:c>
      <x:c r="N25" s="50" t="n">
        <x:v>0.61</x:v>
      </x:c>
      <x:c r="O25" s="50" t="n">
        <x:v>-40</x:v>
      </x:c>
      <x:c r="P25" s="50" t="n">
        <x:v>100</x:v>
      </x:c>
      <x:c r="Q25" s="47" t="str">
        <x:v>Oil- and water-resistant synthetic rubber</x:v>
      </x:c>
      <x:c r="R25" s="47" t="str">
        <x:v>2 high-tensile steel wire braids</x:v>
      </x:c>
      <x:c r="S25" s="47" t="str">
        <x:v>Oil- and weather-resistant synthetic rubber</x:v>
      </x:c>
      <x:c r="T25" s="47" t="str">
        <x:v>Black</x:v>
      </x:c>
      <x:c r="U25" s="47" t="str">
        <x:v>Wrapped</x:v>
      </x:c>
      <x:c r="V25" s="33" t="str">
        <x:v>Other</x:v>
      </x:c>
      <x:c r="W25" s="33" t="str">
        <x:v>N/A</x:v>
      </x:c>
      <x:c r="X25" s="47" t="str">
        <x:v>Petroleum- and water-based hydraulic fluids; verify special media</x:v>
      </x:c>
      <x:c r="Y25" s="47" t="str">
        <x:v>China</x:v>
      </x:c>
      <x:c r="Z25" s="47" t="str">
        <x:v>62d65f8412ff5.pdf p.17</x:v>
      </x:c>
      <x:c r="AA25" s="47" t="str">
        <x:v>Manual-derived catalog value; confirm production specification and skive requirement before production approval; unresolved values do not block RFQ eligibility.</x:v>
      </x:c>
      <x:c r="AB25" s="161" t="str">
        <x:v>Eligible</x:v>
      </x:c>
      <x:c r="AC25" s="161" t="str">
        <x:v>Pending</x:v>
      </x:c>
    </x:row>
    <x:row r="26" ht="34" customHeight="1">
      <x:c r="A26" s="33" t="str">
        <x:v>Draft</x:v>
      </x:c>
      <x:c r="B26" s="47" t="str">
        <x:v>601R2_006</x:v>
      </x:c>
      <x:c r="C26" s="33" t="str">
        <x:v>601R2</x:v>
      </x:c>
      <x:c r="D26" s="47" t="str">
        <x:v>SAE 100 R2AT</x:v>
      </x:c>
      <x:c r="E26" s="47" t="str">
        <x:v>EN 853 2SN</x:v>
      </x:c>
      <x:c r="F26" s="33" t="str">
        <x:v>-10</x:v>
      </x:c>
      <x:c r="G26" s="50" t="n">
        <x:v>0.625</x:v>
      </x:c>
      <x:c r="H26" s="50" t="n">
        <x:v>16</x:v>
      </x:c>
      <x:c r="I26" s="50" t="n">
        <x:v>25.6</x:v>
      </x:c>
      <x:c r="J26" s="50" t="n">
        <x:v>250</x:v>
      </x:c>
      <x:c r="K26" s="64" t="n">
        <x:f>ROUND(J26*14.5038,0)</x:f>
        <x:v>3626</x:v>
      </x:c>
      <x:c r="L26" s="50" t="n">
        <x:v>1000</x:v>
      </x:c>
      <x:c r="M26" s="50" t="n">
        <x:v>205</x:v>
      </x:c>
      <x:c r="N26" s="50" t="n">
        <x:v>0.74</x:v>
      </x:c>
      <x:c r="O26" s="50" t="n">
        <x:v>-40</x:v>
      </x:c>
      <x:c r="P26" s="50" t="n">
        <x:v>100</x:v>
      </x:c>
      <x:c r="Q26" s="47" t="str">
        <x:v>Oil- and water-resistant synthetic rubber</x:v>
      </x:c>
      <x:c r="R26" s="47" t="str">
        <x:v>2 high-tensile steel wire braids</x:v>
      </x:c>
      <x:c r="S26" s="47" t="str">
        <x:v>Oil- and weather-resistant synthetic rubber</x:v>
      </x:c>
      <x:c r="T26" s="47" t="str">
        <x:v>Black</x:v>
      </x:c>
      <x:c r="U26" s="47" t="str">
        <x:v>Wrapped</x:v>
      </x:c>
      <x:c r="V26" s="33" t="str">
        <x:v>Other</x:v>
      </x:c>
      <x:c r="W26" s="33" t="str">
        <x:v>N/A</x:v>
      </x:c>
      <x:c r="X26" s="47" t="str">
        <x:v>Petroleum- and water-based hydraulic fluids; verify special media</x:v>
      </x:c>
      <x:c r="Y26" s="47" t="str">
        <x:v>China</x:v>
      </x:c>
      <x:c r="Z26" s="47" t="str">
        <x:v>62d65f8412ff5.pdf p.17</x:v>
      </x:c>
      <x:c r="AA26" s="47" t="str">
        <x:v>Manual-derived catalog value; confirm production specification and skive requirement before production approval; unresolved values do not block RFQ eligibility.</x:v>
      </x:c>
      <x:c r="AB26" s="161" t="str">
        <x:v>Eligible</x:v>
      </x:c>
      <x:c r="AC26" s="161" t="str">
        <x:v>Pending</x:v>
      </x:c>
    </x:row>
    <x:row r="27" ht="34" customHeight="1">
      <x:c r="A27" s="33" t="str">
        <x:v>Draft</x:v>
      </x:c>
      <x:c r="B27" s="47" t="str">
        <x:v>601R2_007</x:v>
      </x:c>
      <x:c r="C27" s="33" t="str">
        <x:v>601R2</x:v>
      </x:c>
      <x:c r="D27" s="47" t="str">
        <x:v>SAE 100 R2AT</x:v>
      </x:c>
      <x:c r="E27" s="47" t="str">
        <x:v>EN 853 2SN</x:v>
      </x:c>
      <x:c r="F27" s="33" t="str">
        <x:v>-12</x:v>
      </x:c>
      <x:c r="G27" s="50" t="n">
        <x:v>0.75</x:v>
      </x:c>
      <x:c r="H27" s="50" t="n">
        <x:v>19</x:v>
      </x:c>
      <x:c r="I27" s="50" t="n">
        <x:v>29.5</x:v>
      </x:c>
      <x:c r="J27" s="50" t="n">
        <x:v>215</x:v>
      </x:c>
      <x:c r="K27" s="64" t="n">
        <x:f>ROUND(J27*14.5038,0)</x:f>
        <x:v>3118</x:v>
      </x:c>
      <x:c r="L27" s="50" t="n">
        <x:v>860</x:v>
      </x:c>
      <x:c r="M27" s="50" t="n">
        <x:v>240</x:v>
      </x:c>
      <x:c r="N27" s="50" t="n">
        <x:v>0.93</x:v>
      </x:c>
      <x:c r="O27" s="50" t="n">
        <x:v>-40</x:v>
      </x:c>
      <x:c r="P27" s="50" t="n">
        <x:v>100</x:v>
      </x:c>
      <x:c r="Q27" s="47" t="str">
        <x:v>Oil- and water-resistant synthetic rubber</x:v>
      </x:c>
      <x:c r="R27" s="47" t="str">
        <x:v>2 high-tensile steel wire braids</x:v>
      </x:c>
      <x:c r="S27" s="47" t="str">
        <x:v>Oil- and weather-resistant synthetic rubber</x:v>
      </x:c>
      <x:c r="T27" s="47" t="str">
        <x:v>Black</x:v>
      </x:c>
      <x:c r="U27" s="47" t="str">
        <x:v>Wrapped</x:v>
      </x:c>
      <x:c r="V27" s="33" t="str">
        <x:v>Other</x:v>
      </x:c>
      <x:c r="W27" s="33" t="str">
        <x:v>N/A</x:v>
      </x:c>
      <x:c r="X27" s="47" t="str">
        <x:v>Petroleum- and water-based hydraulic fluids; verify special media</x:v>
      </x:c>
      <x:c r="Y27" s="47" t="str">
        <x:v>China</x:v>
      </x:c>
      <x:c r="Z27" s="47" t="str">
        <x:v>62d65f8412ff5.pdf p.17</x:v>
      </x:c>
      <x:c r="AA27" s="47" t="str">
        <x:v>Manual-derived catalog value; confirm production specification and skive requirement before production approval; unresolved values do not block RFQ eligibility.</x:v>
      </x:c>
      <x:c r="AB27" s="161" t="str">
        <x:v>Eligible</x:v>
      </x:c>
      <x:c r="AC27" s="161" t="str">
        <x:v>Pending</x:v>
      </x:c>
    </x:row>
    <x:row r="28" ht="34" customHeight="1">
      <x:c r="A28" s="33" t="str">
        <x:v>Draft</x:v>
      </x:c>
      <x:c r="B28" s="47" t="str">
        <x:v>601R2_008</x:v>
      </x:c>
      <x:c r="C28" s="33" t="str">
        <x:v>601R2</x:v>
      </x:c>
      <x:c r="D28" s="47" t="str">
        <x:v>SAE 100 R2AT</x:v>
      </x:c>
      <x:c r="E28" s="47" t="str">
        <x:v>EN 853 2SN</x:v>
      </x:c>
      <x:c r="F28" s="33" t="str">
        <x:v>-14</x:v>
      </x:c>
      <x:c r="G28" s="50" t="n">
        <x:v>0.875</x:v>
      </x:c>
      <x:c r="H28" s="50" t="n">
        <x:v>22</x:v>
      </x:c>
      <x:c r="I28" s="50" t="n">
        <x:v>32.6</x:v>
      </x:c>
      <x:c r="J28" s="50" t="n">
        <x:v>175</x:v>
      </x:c>
      <x:c r="K28" s="64" t="n">
        <x:f>ROUND(J28*14.5038,0)</x:f>
        <x:v>2538</x:v>
      </x:c>
      <x:c r="L28" s="50" t="n">
        <x:v>700</x:v>
      </x:c>
      <x:c r="M28" s="50" t="n">
        <x:v>280</x:v>
      </x:c>
      <x:c r="N28" s="50" t="n">
        <x:v>1.04</x:v>
      </x:c>
      <x:c r="O28" s="50" t="n">
        <x:v>-40</x:v>
      </x:c>
      <x:c r="P28" s="50" t="n">
        <x:v>100</x:v>
      </x:c>
      <x:c r="Q28" s="47" t="str">
        <x:v>Oil- and water-resistant synthetic rubber</x:v>
      </x:c>
      <x:c r="R28" s="47" t="str">
        <x:v>2 high-tensile steel wire braids</x:v>
      </x:c>
      <x:c r="S28" s="47" t="str">
        <x:v>Oil- and weather-resistant synthetic rubber</x:v>
      </x:c>
      <x:c r="T28" s="47" t="str">
        <x:v>Black</x:v>
      </x:c>
      <x:c r="U28" s="47" t="str">
        <x:v>Wrapped</x:v>
      </x:c>
      <x:c r="V28" s="33" t="str">
        <x:v>Other</x:v>
      </x:c>
      <x:c r="W28" s="33" t="str">
        <x:v>N/A</x:v>
      </x:c>
      <x:c r="X28" s="47" t="str">
        <x:v>Petroleum- and water-based hydraulic fluids; verify special media</x:v>
      </x:c>
      <x:c r="Y28" s="47" t="str">
        <x:v>China</x:v>
      </x:c>
      <x:c r="Z28" s="47" t="str">
        <x:v>62d65f8412ff5.pdf p.17</x:v>
      </x:c>
      <x:c r="AA28" s="47" t="str">
        <x:v>Manual-derived catalog value; confirm production specification and skive requirement before production approval; unresolved values do not block RFQ eligibility.</x:v>
      </x:c>
      <x:c r="AB28" s="161" t="str">
        <x:v>Eligible</x:v>
      </x:c>
      <x:c r="AC28" s="161" t="str">
        <x:v>Pending</x:v>
      </x:c>
    </x:row>
    <x:row r="29" ht="34" customHeight="1">
      <x:c r="A29" s="33" t="str">
        <x:v>Draft</x:v>
      </x:c>
      <x:c r="B29" s="47" t="str">
        <x:v>601R2_009</x:v>
      </x:c>
      <x:c r="C29" s="33" t="str">
        <x:v>601R2</x:v>
      </x:c>
      <x:c r="D29" s="47" t="str">
        <x:v>SAE 100 R2AT</x:v>
      </x:c>
      <x:c r="E29" s="47" t="str">
        <x:v>EN 853 2SN</x:v>
      </x:c>
      <x:c r="F29" s="33" t="str">
        <x:v>-16</x:v>
      </x:c>
      <x:c r="G29" s="50" t="n">
        <x:v>1</x:v>
      </x:c>
      <x:c r="H29" s="50" t="n">
        <x:v>25</x:v>
      </x:c>
      <x:c r="I29" s="50" t="n">
        <x:v>38.3</x:v>
      </x:c>
      <x:c r="J29" s="50" t="n">
        <x:v>165</x:v>
      </x:c>
      <x:c r="K29" s="64" t="n">
        <x:f>ROUND(J29*14.5038,0)</x:f>
        <x:v>2393</x:v>
      </x:c>
      <x:c r="L29" s="50" t="n">
        <x:v>660</x:v>
      </x:c>
      <x:c r="M29" s="50" t="n">
        <x:v>300</x:v>
      </x:c>
      <x:c r="N29" s="50" t="n">
        <x:v>1.4</x:v>
      </x:c>
      <x:c r="O29" s="50" t="n">
        <x:v>-40</x:v>
      </x:c>
      <x:c r="P29" s="50" t="n">
        <x:v>100</x:v>
      </x:c>
      <x:c r="Q29" s="47" t="str">
        <x:v>Oil- and water-resistant synthetic rubber</x:v>
      </x:c>
      <x:c r="R29" s="47" t="str">
        <x:v>2 high-tensile steel wire braids</x:v>
      </x:c>
      <x:c r="S29" s="47" t="str">
        <x:v>Oil- and weather-resistant synthetic rubber</x:v>
      </x:c>
      <x:c r="T29" s="47" t="str">
        <x:v>Black</x:v>
      </x:c>
      <x:c r="U29" s="47" t="str">
        <x:v>Wrapped</x:v>
      </x:c>
      <x:c r="V29" s="33" t="str">
        <x:v>Other</x:v>
      </x:c>
      <x:c r="W29" s="33" t="str">
        <x:v>N/A</x:v>
      </x:c>
      <x:c r="X29" s="47" t="str">
        <x:v>Petroleum- and water-based hydraulic fluids; verify special media</x:v>
      </x:c>
      <x:c r="Y29" s="47" t="str">
        <x:v>China</x:v>
      </x:c>
      <x:c r="Z29" s="47" t="str">
        <x:v>62d65f8412ff5.pdf p.17</x:v>
      </x:c>
      <x:c r="AA29" s="47" t="str">
        <x:v>Manual-derived catalog value; confirm production specification and skive requirement before production approval; unresolved values do not block RFQ eligibility.</x:v>
      </x:c>
      <x:c r="AB29" s="161" t="str">
        <x:v>Eligible</x:v>
      </x:c>
      <x:c r="AC29" s="161" t="str">
        <x:v>Pending</x:v>
      </x:c>
    </x:row>
    <x:row r="30" ht="34" customHeight="1">
      <x:c r="A30" s="33" t="str">
        <x:v>Draft</x:v>
      </x:c>
      <x:c r="B30" s="47" t="str">
        <x:v>601R2_010</x:v>
      </x:c>
      <x:c r="C30" s="33" t="str">
        <x:v>601R2</x:v>
      </x:c>
      <x:c r="D30" s="47" t="str">
        <x:v>SAE 100 R2AT</x:v>
      </x:c>
      <x:c r="E30" s="47" t="str">
        <x:v>EN 853 2SN</x:v>
      </x:c>
      <x:c r="F30" s="33" t="str">
        <x:v>-20</x:v>
      </x:c>
      <x:c r="G30" s="50" t="n">
        <x:v>1.25</x:v>
      </x:c>
      <x:c r="H30" s="50" t="n">
        <x:v>31.5</x:v>
      </x:c>
      <x:c r="I30" s="50" t="n">
        <x:v>47.9</x:v>
      </x:c>
      <x:c r="J30" s="50" t="n">
        <x:v>125</x:v>
      </x:c>
      <x:c r="K30" s="64" t="n">
        <x:f>ROUND(J30*14.5038,0)</x:f>
        <x:v>1813</x:v>
      </x:c>
      <x:c r="L30" s="50" t="n">
        <x:v>500</x:v>
      </x:c>
      <x:c r="M30" s="50" t="n">
        <x:v>420</x:v>
      </x:c>
      <x:c r="N30" s="50" t="n">
        <x:v>2.03</x:v>
      </x:c>
      <x:c r="O30" s="50" t="n">
        <x:v>-40</x:v>
      </x:c>
      <x:c r="P30" s="50" t="n">
        <x:v>100</x:v>
      </x:c>
      <x:c r="Q30" s="47" t="str">
        <x:v>Oil- and water-resistant synthetic rubber</x:v>
      </x:c>
      <x:c r="R30" s="47" t="str">
        <x:v>2 high-tensile steel wire braids</x:v>
      </x:c>
      <x:c r="S30" s="47" t="str">
        <x:v>Oil- and weather-resistant synthetic rubber</x:v>
      </x:c>
      <x:c r="T30" s="47" t="str">
        <x:v>Black</x:v>
      </x:c>
      <x:c r="U30" s="47" t="str">
        <x:v>Wrapped</x:v>
      </x:c>
      <x:c r="V30" s="33" t="str">
        <x:v>Other</x:v>
      </x:c>
      <x:c r="W30" s="33" t="str">
        <x:v>N/A</x:v>
      </x:c>
      <x:c r="X30" s="47" t="str">
        <x:v>Petroleum- and water-based hydraulic fluids; verify special media</x:v>
      </x:c>
      <x:c r="Y30" s="47" t="str">
        <x:v>China</x:v>
      </x:c>
      <x:c r="Z30" s="47" t="str">
        <x:v>62d65f8412ff5.pdf p.17</x:v>
      </x:c>
      <x:c r="AA30" s="47" t="str">
        <x:v>Manual-derived catalog value; confirm production specification and skive requirement before production approval; unresolved values do not block RFQ eligibility.</x:v>
      </x:c>
      <x:c r="AB30" s="161" t="str">
        <x:v>Eligible</x:v>
      </x:c>
      <x:c r="AC30" s="161" t="str">
        <x:v>Pending</x:v>
      </x:c>
    </x:row>
    <x:row r="31" ht="34" customHeight="1">
      <x:c r="A31" s="33" t="str">
        <x:v>Draft</x:v>
      </x:c>
      <x:c r="B31" s="47" t="str">
        <x:v>601R2_011</x:v>
      </x:c>
      <x:c r="C31" s="33" t="str">
        <x:v>601R2</x:v>
      </x:c>
      <x:c r="D31" s="47" t="str">
        <x:v>SAE 100 R2AT</x:v>
      </x:c>
      <x:c r="E31" s="47" t="str">
        <x:v>EN 853 2SN</x:v>
      </x:c>
      <x:c r="F31" s="33" t="str">
        <x:v>-24</x:v>
      </x:c>
      <x:c r="G31" s="50" t="n">
        <x:v>1.5</x:v>
      </x:c>
      <x:c r="H31" s="50" t="n">
        <x:v>38</x:v>
      </x:c>
      <x:c r="I31" s="50" t="n">
        <x:v>54.6</x:v>
      </x:c>
      <x:c r="J31" s="50" t="n">
        <x:v>90</x:v>
      </x:c>
      <x:c r="K31" s="64" t="n">
        <x:f>ROUND(J31*14.5038,0)</x:f>
        <x:v>1305</x:v>
      </x:c>
      <x:c r="L31" s="50" t="n">
        <x:v>360</x:v>
      </x:c>
      <x:c r="M31" s="50" t="n">
        <x:v>500</x:v>
      </x:c>
      <x:c r="N31" s="50" t="n">
        <x:v>2.26</x:v>
      </x:c>
      <x:c r="O31" s="50" t="n">
        <x:v>-40</x:v>
      </x:c>
      <x:c r="P31" s="50" t="n">
        <x:v>100</x:v>
      </x:c>
      <x:c r="Q31" s="47" t="str">
        <x:v>Oil- and water-resistant synthetic rubber</x:v>
      </x:c>
      <x:c r="R31" s="47" t="str">
        <x:v>2 high-tensile steel wire braids</x:v>
      </x:c>
      <x:c r="S31" s="47" t="str">
        <x:v>Oil- and weather-resistant synthetic rubber</x:v>
      </x:c>
      <x:c r="T31" s="47" t="str">
        <x:v>Black</x:v>
      </x:c>
      <x:c r="U31" s="47" t="str">
        <x:v>Wrapped</x:v>
      </x:c>
      <x:c r="V31" s="33" t="str">
        <x:v>Other</x:v>
      </x:c>
      <x:c r="W31" s="33" t="str">
        <x:v>N/A</x:v>
      </x:c>
      <x:c r="X31" s="47" t="str">
        <x:v>Petroleum- and water-based hydraulic fluids; verify special media</x:v>
      </x:c>
      <x:c r="Y31" s="47" t="str">
        <x:v>China</x:v>
      </x:c>
      <x:c r="Z31" s="47" t="str">
        <x:v>62d65f8412ff5.pdf p.17</x:v>
      </x:c>
      <x:c r="AA31" s="47" t="str">
        <x:v>Manual-derived catalog value; confirm production specification and skive requirement before production approval; unresolved values do not block RFQ eligibility.</x:v>
      </x:c>
      <x:c r="AB31" s="161" t="str">
        <x:v>Eligible</x:v>
      </x:c>
      <x:c r="AC31" s="161" t="str">
        <x:v>Pending</x:v>
      </x:c>
    </x:row>
    <x:row r="32" ht="34" customHeight="1">
      <x:c r="A32" s="33" t="str">
        <x:v>Draft</x:v>
      </x:c>
      <x:c r="B32" s="47" t="str">
        <x:v>601R2_012</x:v>
      </x:c>
      <x:c r="C32" s="33" t="str">
        <x:v>601R2</x:v>
      </x:c>
      <x:c r="D32" s="47" t="str">
        <x:v>SAE 100 R2AT</x:v>
      </x:c>
      <x:c r="E32" s="47" t="str">
        <x:v>EN 853 2SN</x:v>
      </x:c>
      <x:c r="F32" s="33" t="str">
        <x:v>-32</x:v>
      </x:c>
      <x:c r="G32" s="50" t="n">
        <x:v>2</x:v>
      </x:c>
      <x:c r="H32" s="50" t="n">
        <x:v>51</x:v>
      </x:c>
      <x:c r="I32" s="50" t="n">
        <x:v>67.3</x:v>
      </x:c>
      <x:c r="J32" s="50" t="n">
        <x:v>80</x:v>
      </x:c>
      <x:c r="K32" s="64" t="n">
        <x:f>ROUND(J32*14.5038,0)</x:f>
        <x:v>1160</x:v>
      </x:c>
      <x:c r="L32" s="50" t="n">
        <x:v>320</x:v>
      </x:c>
      <x:c r="M32" s="50" t="n">
        <x:v>630</x:v>
      </x:c>
      <x:c r="N32" s="50" t="n">
        <x:v>2.92</x:v>
      </x:c>
      <x:c r="O32" s="50" t="n">
        <x:v>-40</x:v>
      </x:c>
      <x:c r="P32" s="50" t="n">
        <x:v>100</x:v>
      </x:c>
      <x:c r="Q32" s="47" t="str">
        <x:v>Oil- and water-resistant synthetic rubber</x:v>
      </x:c>
      <x:c r="R32" s="47" t="str">
        <x:v>2 high-tensile steel wire braids</x:v>
      </x:c>
      <x:c r="S32" s="47" t="str">
        <x:v>Oil- and weather-resistant synthetic rubber</x:v>
      </x:c>
      <x:c r="T32" s="47" t="str">
        <x:v>Black</x:v>
      </x:c>
      <x:c r="U32" s="47" t="str">
        <x:v>Wrapped</x:v>
      </x:c>
      <x:c r="V32" s="33" t="str">
        <x:v>Other</x:v>
      </x:c>
      <x:c r="W32" s="33" t="str">
        <x:v>N/A</x:v>
      </x:c>
      <x:c r="X32" s="47" t="str">
        <x:v>Petroleum- and water-based hydraulic fluids; verify special media</x:v>
      </x:c>
      <x:c r="Y32" s="47" t="str">
        <x:v>China</x:v>
      </x:c>
      <x:c r="Z32" s="47" t="str">
        <x:v>62d65f8412ff5.pdf p.17</x:v>
      </x:c>
      <x:c r="AA32" s="47" t="str">
        <x:v>Manual-derived catalog value; confirm production specification and skive requirement before production approval; unresolved values do not block RFQ eligibility.</x:v>
      </x:c>
      <x:c r="AB32" s="161" t="str">
        <x:v>Eligible</x:v>
      </x:c>
      <x:c r="AC32" s="161" t="str">
        <x:v>Pending</x:v>
      </x:c>
    </x:row>
    <x:row r="33" ht="34" customHeight="1">
      <x:c r="A33" s="33" t="str">
        <x:v>Draft</x:v>
      </x:c>
      <x:c r="B33" s="47" t="str">
        <x:v>601R2_013</x:v>
      </x:c>
      <x:c r="C33" s="33" t="str">
        <x:v>601R2</x:v>
      </x:c>
      <x:c r="D33" s="47" t="str">
        <x:v>SAE 100 R2AT</x:v>
      </x:c>
      <x:c r="E33" s="47" t="str">
        <x:v>EN 853 2SN</x:v>
      </x:c>
      <x:c r="F33" s="33" t="str">
        <x:v>-40</x:v>
      </x:c>
      <x:c r="G33" s="50" t="n">
        <x:v>2.5</x:v>
      </x:c>
      <x:c r="H33" s="50" t="n">
        <x:v>63</x:v>
      </x:c>
      <x:c r="I33" s="50" t="n">
        <x:v>78.4</x:v>
      </x:c>
      <x:c r="J33" s="50" t="n">
        <x:v>70</x:v>
      </x:c>
      <x:c r="K33" s="64" t="n">
        <x:f>ROUND(J33*14.5038,0)</x:f>
        <x:v>1015</x:v>
      </x:c>
      <x:c r="L33" s="50" t="n">
        <x:v>280</x:v>
      </x:c>
      <x:c r="M33" s="50" t="n">
        <x:v>760</x:v>
      </x:c>
      <x:c r="N33" s="50" t="n">
        <x:v>3.43</x:v>
      </x:c>
      <x:c r="O33" s="50" t="n">
        <x:v>-40</x:v>
      </x:c>
      <x:c r="P33" s="50" t="n">
        <x:v>100</x:v>
      </x:c>
      <x:c r="Q33" s="47" t="str">
        <x:v>Oil- and water-resistant synthetic rubber</x:v>
      </x:c>
      <x:c r="R33" s="47" t="str">
        <x:v>2 high-tensile steel wire braids</x:v>
      </x:c>
      <x:c r="S33" s="47" t="str">
        <x:v>Oil- and weather-resistant synthetic rubber</x:v>
      </x:c>
      <x:c r="T33" s="47" t="str">
        <x:v>Black</x:v>
      </x:c>
      <x:c r="U33" s="47" t="str">
        <x:v>Wrapped</x:v>
      </x:c>
      <x:c r="V33" s="33" t="str">
        <x:v>Other</x:v>
      </x:c>
      <x:c r="W33" s="33" t="str">
        <x:v>N/A</x:v>
      </x:c>
      <x:c r="X33" s="47" t="str">
        <x:v>Petroleum- and water-based hydraulic fluids; verify special media</x:v>
      </x:c>
      <x:c r="Y33" s="47" t="str">
        <x:v>China</x:v>
      </x:c>
      <x:c r="Z33" s="47" t="str">
        <x:v>62d65f8412ff5.pdf p.17</x:v>
      </x:c>
      <x:c r="AA33" s="47" t="str">
        <x:v>Manual-derived catalog value; confirm production specification and skive requirement before production approval; unresolved values do not block RFQ eligibility.</x:v>
      </x:c>
      <x:c r="AB33" s="161" t="str">
        <x:v>Eligible</x:v>
      </x:c>
      <x:c r="AC33" s="161" t="str">
        <x:v>Pending</x:v>
      </x:c>
    </x:row>
    <x:row r="34" ht="34" customHeight="1">
      <x:c r="A34" s="33" t="str">
        <x:v>Draft</x:v>
      </x:c>
      <x:c r="B34" s="47" t="str">
        <x:v>601R2_014</x:v>
      </x:c>
      <x:c r="C34" s="33" t="str">
        <x:v>601R2</x:v>
      </x:c>
      <x:c r="D34" s="47" t="str">
        <x:v>SAE 100 R2AT</x:v>
      </x:c>
      <x:c r="E34" s="47" t="str">
        <x:v>EN 853 2SN</x:v>
      </x:c>
      <x:c r="F34" s="33" t="str">
        <x:v>-48</x:v>
      </x:c>
      <x:c r="G34" s="50" t="n">
        <x:v>3</x:v>
      </x:c>
      <x:c r="H34" s="50" t="n">
        <x:v>76</x:v>
      </x:c>
      <x:c r="I34" s="50" t="n">
        <x:v>95.4</x:v>
      </x:c>
      <x:c r="J34" s="50" t="n">
        <x:v>40</x:v>
      </x:c>
      <x:c r="K34" s="64" t="n">
        <x:f>ROUND(J34*14.5038,0)</x:f>
        <x:v>580</x:v>
      </x:c>
      <x:c r="L34" s="50" t="n">
        <x:v>160</x:v>
      </x:c>
      <x:c r="M34" s="50" t="n">
        <x:v>900</x:v>
      </x:c>
      <x:c r="N34" s="50" t="n">
        <x:v>4.38</x:v>
      </x:c>
      <x:c r="O34" s="50" t="n">
        <x:v>-40</x:v>
      </x:c>
      <x:c r="P34" s="50" t="n">
        <x:v>100</x:v>
      </x:c>
      <x:c r="Q34" s="47" t="str">
        <x:v>Oil- and water-resistant synthetic rubber</x:v>
      </x:c>
      <x:c r="R34" s="47" t="str">
        <x:v>2 high-tensile steel wire braids</x:v>
      </x:c>
      <x:c r="S34" s="47" t="str">
        <x:v>Oil- and weather-resistant synthetic rubber</x:v>
      </x:c>
      <x:c r="T34" s="47" t="str">
        <x:v>Black</x:v>
      </x:c>
      <x:c r="U34" s="47" t="str">
        <x:v>Wrapped</x:v>
      </x:c>
      <x:c r="V34" s="33" t="str">
        <x:v>Other</x:v>
      </x:c>
      <x:c r="W34" s="33" t="str">
        <x:v>N/A</x:v>
      </x:c>
      <x:c r="X34" s="47" t="str">
        <x:v>Petroleum- and water-based hydraulic fluids; verify special media</x:v>
      </x:c>
      <x:c r="Y34" s="47" t="str">
        <x:v>China</x:v>
      </x:c>
      <x:c r="Z34" s="47" t="str">
        <x:v>62d65f8412ff5.pdf p.17</x:v>
      </x:c>
      <x:c r="AA34" s="47" t="str">
        <x:v>Manual-derived catalog value; confirm production specification and skive requirement before production approval; unresolved values do not block RFQ eligibility.</x:v>
      </x:c>
      <x:c r="AB34" s="161" t="str">
        <x:v>Eligible</x:v>
      </x:c>
      <x:c r="AC34" s="161" t="str">
        <x:v>Pending</x:v>
      </x:c>
    </x:row>
    <x:row r="35" ht="34" customHeight="1">
      <x:c r="A35" s="33" t="str">
        <x:v>Draft</x:v>
      </x:c>
      <x:c r="B35" s="47" t="str">
        <x:v>601R2_015</x:v>
      </x:c>
      <x:c r="C35" s="33" t="str">
        <x:v>601R2</x:v>
      </x:c>
      <x:c r="D35" s="47" t="str">
        <x:v>SAE 100 R2AT</x:v>
      </x:c>
      <x:c r="E35" s="47" t="str">
        <x:v>EN 853 2SN</x:v>
      </x:c>
      <x:c r="F35" s="33" t="str">
        <x:v>-56</x:v>
      </x:c>
      <x:c r="G35" s="50" t="n">
        <x:v>3.5</x:v>
      </x:c>
      <x:c r="H35" s="50" t="n">
        <x:v>89</x:v>
      </x:c>
      <x:c r="I35" s="50" t="n">
        <x:v>107</x:v>
      </x:c>
      <x:c r="J35" s="50" t="n">
        <x:v>45</x:v>
      </x:c>
      <x:c r="K35" s="64" t="n">
        <x:f>ROUND(J35*14.5038,0)</x:f>
        <x:v>653</x:v>
      </x:c>
      <x:c r="L35" s="50" t="n">
        <x:v>180</x:v>
      </x:c>
      <x:c r="M35" s="50" t="n">
        <x:v>1100</x:v>
      </x:c>
      <x:c r="N35" s="50" t="n">
        <x:v>5.68</x:v>
      </x:c>
      <x:c r="O35" s="50" t="n">
        <x:v>-40</x:v>
      </x:c>
      <x:c r="P35" s="50" t="n">
        <x:v>100</x:v>
      </x:c>
      <x:c r="Q35" s="47" t="str">
        <x:v>Oil- and water-resistant synthetic rubber</x:v>
      </x:c>
      <x:c r="R35" s="47" t="str">
        <x:v>2 high-tensile steel wire braids</x:v>
      </x:c>
      <x:c r="S35" s="47" t="str">
        <x:v>Oil- and weather-resistant synthetic rubber</x:v>
      </x:c>
      <x:c r="T35" s="47" t="str">
        <x:v>Black</x:v>
      </x:c>
      <x:c r="U35" s="47" t="str">
        <x:v>Wrapped</x:v>
      </x:c>
      <x:c r="V35" s="33" t="str">
        <x:v>Other</x:v>
      </x:c>
      <x:c r="W35" s="33" t="str">
        <x:v>N/A</x:v>
      </x:c>
      <x:c r="X35" s="47" t="str">
        <x:v>Petroleum- and water-based hydraulic fluids; verify special media</x:v>
      </x:c>
      <x:c r="Y35" s="47" t="str">
        <x:v>China</x:v>
      </x:c>
      <x:c r="Z35" s="47" t="str">
        <x:v>62d65f8412ff5.pdf p.17</x:v>
      </x:c>
      <x:c r="AA35" s="47" t="str">
        <x:v>Manual-derived catalog value; confirm production specification and skive requirement before production approval; unresolved values do not block RFQ eligibility.</x:v>
      </x:c>
      <x:c r="AB35" s="161" t="str">
        <x:v>Eligible</x:v>
      </x:c>
      <x:c r="AC35" s="161" t="str">
        <x:v>Pending</x:v>
      </x:c>
    </x:row>
    <x:row r="36" ht="34" customHeight="1">
      <x:c r="A36" s="33" t="str">
        <x:v>Draft</x:v>
      </x:c>
      <x:c r="B36" s="47" t="str">
        <x:v>601R2_016</x:v>
      </x:c>
      <x:c r="C36" s="33" t="str">
        <x:v>601R2</x:v>
      </x:c>
      <x:c r="D36" s="47" t="str">
        <x:v>SAE 100 R2AT</x:v>
      </x:c>
      <x:c r="E36" s="47" t="str">
        <x:v>EN 853 2SN</x:v>
      </x:c>
      <x:c r="F36" s="33" t="str">
        <x:v>-64</x:v>
      </x:c>
      <x:c r="G36" s="50" t="n">
        <x:v>4</x:v>
      </x:c>
      <x:c r="H36" s="50" t="n">
        <x:v>102</x:v>
      </x:c>
      <x:c r="I36" s="50" t="n">
        <x:v>121</x:v>
      </x:c>
      <x:c r="J36" s="50" t="n">
        <x:v>35</x:v>
      </x:c>
      <x:c r="K36" s="64" t="n">
        <x:f>ROUND(J36*14.5038,0)</x:f>
        <x:v>508</x:v>
      </x:c>
      <x:c r="L36" s="50" t="n">
        <x:v>140</x:v>
      </x:c>
      <x:c r="M36" s="50" t="n">
        <x:v>1300</x:v>
      </x:c>
      <x:c r="N36" s="50" t="n">
        <x:v>6.45</x:v>
      </x:c>
      <x:c r="O36" s="50" t="n">
        <x:v>-40</x:v>
      </x:c>
      <x:c r="P36" s="50" t="n">
        <x:v>100</x:v>
      </x:c>
      <x:c r="Q36" s="47" t="str">
        <x:v>Oil- and water-resistant synthetic rubber</x:v>
      </x:c>
      <x:c r="R36" s="47" t="str">
        <x:v>2 high-tensile steel wire braids</x:v>
      </x:c>
      <x:c r="S36" s="47" t="str">
        <x:v>Oil- and weather-resistant synthetic rubber</x:v>
      </x:c>
      <x:c r="T36" s="47" t="str">
        <x:v>Black</x:v>
      </x:c>
      <x:c r="U36" s="47" t="str">
        <x:v>Wrapped</x:v>
      </x:c>
      <x:c r="V36" s="33" t="str">
        <x:v>Other</x:v>
      </x:c>
      <x:c r="W36" s="33" t="str">
        <x:v>N/A</x:v>
      </x:c>
      <x:c r="X36" s="47" t="str">
        <x:v>Petroleum- and water-based hydraulic fluids; verify special media</x:v>
      </x:c>
      <x:c r="Y36" s="47" t="str">
        <x:v>China</x:v>
      </x:c>
      <x:c r="Z36" s="47" t="str">
        <x:v>62d65f8412ff5.pdf p.17</x:v>
      </x:c>
      <x:c r="AA36" s="47" t="str">
        <x:v>Manual-derived catalog value; confirm production specification and skive requirement before production approval; unresolved values do not block RFQ eligibility.</x:v>
      </x:c>
      <x:c r="AB36" s="161" t="str">
        <x:v>Eligible</x:v>
      </x:c>
      <x:c r="AC36" s="161" t="str">
        <x:v>Pending</x:v>
      </x:c>
    </x:row>
    <x:row r="37" ht="34" customHeight="1">
      <x:c r="A37" s="33" t="str">
        <x:v>Draft</x:v>
      </x:c>
      <x:c r="B37" s="47" t="str">
        <x:v>EN1SC_001</x:v>
      </x:c>
      <x:c r="C37" s="33" t="str">
        <x:v>EN1SC</x:v>
      </x:c>
      <x:c r="D37" s="47" t="str">
        <x:v>EN 857 1SC</x:v>
      </x:c>
      <x:c r="E37" s="47" t="str"/>
      <x:c r="F37" s="33" t="str">
        <x:v>-4</x:v>
      </x:c>
      <x:c r="G37" s="50" t="n">
        <x:v>0.25</x:v>
      </x:c>
      <x:c r="H37" s="50" t="n">
        <x:v>6.3</x:v>
      </x:c>
      <x:c r="I37" s="50" t="n">
        <x:v>13.5</x:v>
      </x:c>
      <x:c r="J37" s="50" t="n">
        <x:v>225</x:v>
      </x:c>
      <x:c r="K37" s="64" t="n">
        <x:f>ROUND(J37*14.5038,0)</x:f>
        <x:v>3263</x:v>
      </x:c>
      <x:c r="L37" s="50" t="n">
        <x:v>900</x:v>
      </x:c>
      <x:c r="M37" s="50" t="n">
        <x:v>75</x:v>
      </x:c>
      <x:c r="N37" s="50" t="n">
        <x:v>0.24</x:v>
      </x:c>
      <x:c r="O37" s="50" t="n">
        <x:v>-40</x:v>
      </x:c>
      <x:c r="P37" s="50" t="n">
        <x:v>100</x:v>
      </x:c>
      <x:c r="Q37" s="47" t="str">
        <x:v>Oil- and water-resistant synthetic rubber</x:v>
      </x:c>
      <x:c r="R37" s="47" t="str">
        <x:v>1 high-tensile steel wire braid</x:v>
      </x:c>
      <x:c r="S37" s="47" t="str">
        <x:v>Oil- and weather-resistant synthetic rubber</x:v>
      </x:c>
      <x:c r="T37" s="47" t="str">
        <x:v>Black</x:v>
      </x:c>
      <x:c r="U37" s="47" t="str">
        <x:v>Wrapped or smooth</x:v>
      </x:c>
      <x:c r="V37" s="33" t="str">
        <x:v>Other</x:v>
      </x:c>
      <x:c r="W37" s="33" t="str">
        <x:v>N/A</x:v>
      </x:c>
      <x:c r="X37" s="47" t="str">
        <x:v>Petroleum- and water-based hydraulic fluids; verify special media</x:v>
      </x:c>
      <x:c r="Y37" s="47" t="str">
        <x:v>China</x:v>
      </x:c>
      <x:c r="Z37" s="47" t="str">
        <x:v>62d65f8412ff5.pdf p.15</x:v>
      </x:c>
      <x:c r="AA37" s="47" t="str">
        <x:v>Manual-derived catalog value; confirm production specification and skive requirement before production approval; unresolved values do not block RFQ eligibility.</x:v>
      </x:c>
      <x:c r="AB37" s="161" t="str">
        <x:v>Eligible</x:v>
      </x:c>
      <x:c r="AC37" s="161" t="str">
        <x:v>Pending</x:v>
      </x:c>
    </x:row>
    <x:row r="38" ht="34" customHeight="1">
      <x:c r="A38" s="33" t="str">
        <x:v>Draft</x:v>
      </x:c>
      <x:c r="B38" s="47" t="str">
        <x:v>EN1SC_002</x:v>
      </x:c>
      <x:c r="C38" s="33" t="str">
        <x:v>EN1SC</x:v>
      </x:c>
      <x:c r="D38" s="47" t="str">
        <x:v>EN 857 1SC</x:v>
      </x:c>
      <x:c r="E38" s="47" t="str"/>
      <x:c r="F38" s="33" t="str">
        <x:v>-5</x:v>
      </x:c>
      <x:c r="G38" s="50" t="n">
        <x:v>0.3125</x:v>
      </x:c>
      <x:c r="H38" s="50" t="n">
        <x:v>8</x:v>
      </x:c>
      <x:c r="I38" s="50" t="n">
        <x:v>14.5</x:v>
      </x:c>
      <x:c r="J38" s="50" t="n">
        <x:v>215</x:v>
      </x:c>
      <x:c r="K38" s="64" t="n">
        <x:f>ROUND(J38*14.5038,0)</x:f>
        <x:v>3118</x:v>
      </x:c>
      <x:c r="L38" s="50" t="n">
        <x:v>860</x:v>
      </x:c>
      <x:c r="M38" s="50" t="n">
        <x:v>85</x:v>
      </x:c>
      <x:c r="N38" s="50" t="n">
        <x:v>0.26</x:v>
      </x:c>
      <x:c r="O38" s="50" t="n">
        <x:v>-40</x:v>
      </x:c>
      <x:c r="P38" s="50" t="n">
        <x:v>100</x:v>
      </x:c>
      <x:c r="Q38" s="47" t="str">
        <x:v>Oil- and water-resistant synthetic rubber</x:v>
      </x:c>
      <x:c r="R38" s="47" t="str">
        <x:v>1 high-tensile steel wire braid</x:v>
      </x:c>
      <x:c r="S38" s="47" t="str">
        <x:v>Oil- and weather-resistant synthetic rubber</x:v>
      </x:c>
      <x:c r="T38" s="47" t="str">
        <x:v>Black</x:v>
      </x:c>
      <x:c r="U38" s="47" t="str">
        <x:v>Wrapped or smooth</x:v>
      </x:c>
      <x:c r="V38" s="33" t="str">
        <x:v>Other</x:v>
      </x:c>
      <x:c r="W38" s="33" t="str">
        <x:v>N/A</x:v>
      </x:c>
      <x:c r="X38" s="47" t="str">
        <x:v>Petroleum- and water-based hydraulic fluids; verify special media</x:v>
      </x:c>
      <x:c r="Y38" s="47" t="str">
        <x:v>China</x:v>
      </x:c>
      <x:c r="Z38" s="47" t="str">
        <x:v>62d65f8412ff5.pdf p.15</x:v>
      </x:c>
      <x:c r="AA38" s="47" t="str">
        <x:v>Manual-derived catalog value; confirm production specification and skive requirement before production approval; unresolved values do not block RFQ eligibility.</x:v>
      </x:c>
      <x:c r="AB38" s="161" t="str">
        <x:v>Eligible</x:v>
      </x:c>
      <x:c r="AC38" s="161" t="str">
        <x:v>Pending</x:v>
      </x:c>
    </x:row>
    <x:row r="39" ht="34" customHeight="1">
      <x:c r="A39" s="33" t="str">
        <x:v>Draft</x:v>
      </x:c>
      <x:c r="B39" s="47" t="str">
        <x:v>EN1SC_003</x:v>
      </x:c>
      <x:c r="C39" s="33" t="str">
        <x:v>EN1SC</x:v>
      </x:c>
      <x:c r="D39" s="47" t="str">
        <x:v>EN 857 1SC</x:v>
      </x:c>
      <x:c r="E39" s="47" t="str"/>
      <x:c r="F39" s="33" t="str">
        <x:v>-6</x:v>
      </x:c>
      <x:c r="G39" s="50" t="n">
        <x:v>0.375</x:v>
      </x:c>
      <x:c r="H39" s="50" t="n">
        <x:v>10</x:v>
      </x:c>
      <x:c r="I39" s="50" t="n">
        <x:v>16.9</x:v>
      </x:c>
      <x:c r="J39" s="50" t="n">
        <x:v>180</x:v>
      </x:c>
      <x:c r="K39" s="64" t="n">
        <x:f>ROUND(J39*14.5038,0)</x:f>
        <x:v>2611</x:v>
      </x:c>
      <x:c r="L39" s="50" t="n">
        <x:v>720</x:v>
      </x:c>
      <x:c r="M39" s="50" t="n">
        <x:v>90</x:v>
      </x:c>
      <x:c r="N39" s="50" t="n">
        <x:v>0.29</x:v>
      </x:c>
      <x:c r="O39" s="50" t="n">
        <x:v>-40</x:v>
      </x:c>
      <x:c r="P39" s="50" t="n">
        <x:v>100</x:v>
      </x:c>
      <x:c r="Q39" s="47" t="str">
        <x:v>Oil- and water-resistant synthetic rubber</x:v>
      </x:c>
      <x:c r="R39" s="47" t="str">
        <x:v>1 high-tensile steel wire braid</x:v>
      </x:c>
      <x:c r="S39" s="47" t="str">
        <x:v>Oil- and weather-resistant synthetic rubber</x:v>
      </x:c>
      <x:c r="T39" s="47" t="str">
        <x:v>Black</x:v>
      </x:c>
      <x:c r="U39" s="47" t="str">
        <x:v>Wrapped or smooth</x:v>
      </x:c>
      <x:c r="V39" s="33" t="str">
        <x:v>Other</x:v>
      </x:c>
      <x:c r="W39" s="33" t="str">
        <x:v>N/A</x:v>
      </x:c>
      <x:c r="X39" s="47" t="str">
        <x:v>Petroleum- and water-based hydraulic fluids; verify special media</x:v>
      </x:c>
      <x:c r="Y39" s="47" t="str">
        <x:v>China</x:v>
      </x:c>
      <x:c r="Z39" s="47" t="str">
        <x:v>62d65f8412ff5.pdf p.15</x:v>
      </x:c>
      <x:c r="AA39" s="47" t="str">
        <x:v>Manual-derived catalog value; confirm production specification and skive requirement before production approval; unresolved values do not block RFQ eligibility.</x:v>
      </x:c>
      <x:c r="AB39" s="161" t="str">
        <x:v>Eligible</x:v>
      </x:c>
      <x:c r="AC39" s="161" t="str">
        <x:v>Pending</x:v>
      </x:c>
    </x:row>
    <x:row r="40" ht="34" customHeight="1">
      <x:c r="A40" s="33" t="str">
        <x:v>Draft</x:v>
      </x:c>
      <x:c r="B40" s="47" t="str">
        <x:v>EN1SC_004</x:v>
      </x:c>
      <x:c r="C40" s="33" t="str">
        <x:v>EN1SC</x:v>
      </x:c>
      <x:c r="D40" s="47" t="str">
        <x:v>EN 857 1SC</x:v>
      </x:c>
      <x:c r="E40" s="47" t="str"/>
      <x:c r="F40" s="33" t="str">
        <x:v>-8</x:v>
      </x:c>
      <x:c r="G40" s="50" t="n">
        <x:v>0.5</x:v>
      </x:c>
      <x:c r="H40" s="50" t="n">
        <x:v>12.5</x:v>
      </x:c>
      <x:c r="I40" s="50" t="n">
        <x:v>20.4</x:v>
      </x:c>
      <x:c r="J40" s="50" t="n">
        <x:v>160</x:v>
      </x:c>
      <x:c r="K40" s="64" t="n">
        <x:f>ROUND(J40*14.5038,0)</x:f>
        <x:v>2321</x:v>
      </x:c>
      <x:c r="L40" s="50" t="n">
        <x:v>640</x:v>
      </x:c>
      <x:c r="M40" s="50" t="n">
        <x:v>130</x:v>
      </x:c>
      <x:c r="N40" s="50" t="n">
        <x:v>0.39</x:v>
      </x:c>
      <x:c r="O40" s="50" t="n">
        <x:v>-40</x:v>
      </x:c>
      <x:c r="P40" s="50" t="n">
        <x:v>100</x:v>
      </x:c>
      <x:c r="Q40" s="47" t="str">
        <x:v>Oil- and water-resistant synthetic rubber</x:v>
      </x:c>
      <x:c r="R40" s="47" t="str">
        <x:v>1 high-tensile steel wire braid</x:v>
      </x:c>
      <x:c r="S40" s="47" t="str">
        <x:v>Oil- and weather-resistant synthetic rubber</x:v>
      </x:c>
      <x:c r="T40" s="47" t="str">
        <x:v>Black</x:v>
      </x:c>
      <x:c r="U40" s="47" t="str">
        <x:v>Wrapped or smooth</x:v>
      </x:c>
      <x:c r="V40" s="33" t="str">
        <x:v>Other</x:v>
      </x:c>
      <x:c r="W40" s="33" t="str">
        <x:v>N/A</x:v>
      </x:c>
      <x:c r="X40" s="47" t="str">
        <x:v>Petroleum- and water-based hydraulic fluids; verify special media</x:v>
      </x:c>
      <x:c r="Y40" s="47" t="str">
        <x:v>China</x:v>
      </x:c>
      <x:c r="Z40" s="47" t="str">
        <x:v>62d65f8412ff5.pdf p.15</x:v>
      </x:c>
      <x:c r="AA40" s="47" t="str">
        <x:v>Manual-derived catalog value; confirm production specification and skive requirement before production approval; unresolved values do not block RFQ eligibility.</x:v>
      </x:c>
      <x:c r="AB40" s="161" t="str">
        <x:v>Eligible</x:v>
      </x:c>
      <x:c r="AC40" s="161" t="str">
        <x:v>Pending</x:v>
      </x:c>
    </x:row>
    <x:row r="41" ht="34" customHeight="1">
      <x:c r="A41" s="33" t="str">
        <x:v>Draft</x:v>
      </x:c>
      <x:c r="B41" s="47" t="str">
        <x:v>EN1SC_005</x:v>
      </x:c>
      <x:c r="C41" s="33" t="str">
        <x:v>EN1SC</x:v>
      </x:c>
      <x:c r="D41" s="47" t="str">
        <x:v>EN 857 1SC</x:v>
      </x:c>
      <x:c r="E41" s="47" t="str"/>
      <x:c r="F41" s="33" t="str">
        <x:v>-10</x:v>
      </x:c>
      <x:c r="G41" s="50" t="n">
        <x:v>0.625</x:v>
      </x:c>
      <x:c r="H41" s="50" t="n">
        <x:v>16</x:v>
      </x:c>
      <x:c r="I41" s="50" t="n">
        <x:v>23</x:v>
      </x:c>
      <x:c r="J41" s="50" t="n">
        <x:v>130</x:v>
      </x:c>
      <x:c r="K41" s="64" t="n">
        <x:f>ROUND(J41*14.5038,0)</x:f>
        <x:v>1885</x:v>
      </x:c>
      <x:c r="L41" s="50" t="n">
        <x:v>520</x:v>
      </x:c>
      <x:c r="M41" s="50" t="n">
        <x:v>150</x:v>
      </x:c>
      <x:c r="N41" s="50" t="n">
        <x:v>0.47</x:v>
      </x:c>
      <x:c r="O41" s="50" t="n">
        <x:v>-40</x:v>
      </x:c>
      <x:c r="P41" s="50" t="n">
        <x:v>100</x:v>
      </x:c>
      <x:c r="Q41" s="47" t="str">
        <x:v>Oil- and water-resistant synthetic rubber</x:v>
      </x:c>
      <x:c r="R41" s="47" t="str">
        <x:v>1 high-tensile steel wire braid</x:v>
      </x:c>
      <x:c r="S41" s="47" t="str">
        <x:v>Oil- and weather-resistant synthetic rubber</x:v>
      </x:c>
      <x:c r="T41" s="47" t="str">
        <x:v>Black</x:v>
      </x:c>
      <x:c r="U41" s="47" t="str">
        <x:v>Wrapped or smooth</x:v>
      </x:c>
      <x:c r="V41" s="33" t="str">
        <x:v>Other</x:v>
      </x:c>
      <x:c r="W41" s="33" t="str">
        <x:v>N/A</x:v>
      </x:c>
      <x:c r="X41" s="47" t="str">
        <x:v>Petroleum- and water-based hydraulic fluids; verify special media</x:v>
      </x:c>
      <x:c r="Y41" s="47" t="str">
        <x:v>China</x:v>
      </x:c>
      <x:c r="Z41" s="47" t="str">
        <x:v>62d65f8412ff5.pdf p.15</x:v>
      </x:c>
      <x:c r="AA41" s="47" t="str">
        <x:v>Manual-derived catalog value; confirm production specification and skive requirement before production approval; unresolved values do not block RFQ eligibility.</x:v>
      </x:c>
      <x:c r="AB41" s="161" t="str">
        <x:v>Eligible</x:v>
      </x:c>
      <x:c r="AC41" s="161" t="str">
        <x:v>Pending</x:v>
      </x:c>
    </x:row>
    <x:row r="42" ht="34" customHeight="1">
      <x:c r="A42" s="33" t="str">
        <x:v>Draft</x:v>
      </x:c>
      <x:c r="B42" s="47" t="str">
        <x:v>EN1SC_006</x:v>
      </x:c>
      <x:c r="C42" s="33" t="str">
        <x:v>EN1SC</x:v>
      </x:c>
      <x:c r="D42" s="47" t="str">
        <x:v>EN 857 1SC</x:v>
      </x:c>
      <x:c r="E42" s="47" t="str"/>
      <x:c r="F42" s="33" t="str">
        <x:v>-12</x:v>
      </x:c>
      <x:c r="G42" s="50" t="n">
        <x:v>0.75</x:v>
      </x:c>
      <x:c r="H42" s="50" t="n">
        <x:v>19</x:v>
      </x:c>
      <x:c r="I42" s="50" t="n">
        <x:v>26.7</x:v>
      </x:c>
      <x:c r="J42" s="50" t="n">
        <x:v>105</x:v>
      </x:c>
      <x:c r="K42" s="64" t="n">
        <x:f>ROUND(J42*14.5038,0)</x:f>
        <x:v>1523</x:v>
      </x:c>
      <x:c r="L42" s="50" t="n">
        <x:v>420</x:v>
      </x:c>
      <x:c r="M42" s="50" t="n">
        <x:v>180</x:v>
      </x:c>
      <x:c r="N42" s="50" t="n">
        <x:v>0.55</x:v>
      </x:c>
      <x:c r="O42" s="50" t="n">
        <x:v>-40</x:v>
      </x:c>
      <x:c r="P42" s="50" t="n">
        <x:v>100</x:v>
      </x:c>
      <x:c r="Q42" s="47" t="str">
        <x:v>Oil- and water-resistant synthetic rubber</x:v>
      </x:c>
      <x:c r="R42" s="47" t="str">
        <x:v>1 high-tensile steel wire braid</x:v>
      </x:c>
      <x:c r="S42" s="47" t="str">
        <x:v>Oil- and weather-resistant synthetic rubber</x:v>
      </x:c>
      <x:c r="T42" s="47" t="str">
        <x:v>Black</x:v>
      </x:c>
      <x:c r="U42" s="47" t="str">
        <x:v>Wrapped or smooth</x:v>
      </x:c>
      <x:c r="V42" s="33" t="str">
        <x:v>Other</x:v>
      </x:c>
      <x:c r="W42" s="33" t="str">
        <x:v>N/A</x:v>
      </x:c>
      <x:c r="X42" s="47" t="str">
        <x:v>Petroleum- and water-based hydraulic fluids; verify special media</x:v>
      </x:c>
      <x:c r="Y42" s="47" t="str">
        <x:v>China</x:v>
      </x:c>
      <x:c r="Z42" s="47" t="str">
        <x:v>62d65f8412ff5.pdf p.15</x:v>
      </x:c>
      <x:c r="AA42" s="47" t="str">
        <x:v>Manual-derived catalog value; confirm production specification and skive requirement before production approval; unresolved values do not block RFQ eligibility.</x:v>
      </x:c>
      <x:c r="AB42" s="161" t="str">
        <x:v>Eligible</x:v>
      </x:c>
      <x:c r="AC42" s="161" t="str">
        <x:v>Pending</x:v>
      </x:c>
    </x:row>
    <x:row r="43" ht="34" customHeight="1">
      <x:c r="A43" s="33" t="str">
        <x:v>Draft</x:v>
      </x:c>
      <x:c r="B43" s="47" t="str">
        <x:v>EN1SC_007</x:v>
      </x:c>
      <x:c r="C43" s="33" t="str">
        <x:v>EN1SC</x:v>
      </x:c>
      <x:c r="D43" s="47" t="str">
        <x:v>EN 857 1SC</x:v>
      </x:c>
      <x:c r="E43" s="47" t="str"/>
      <x:c r="F43" s="33" t="str">
        <x:v>-16</x:v>
      </x:c>
      <x:c r="G43" s="50" t="n">
        <x:v>1</x:v>
      </x:c>
      <x:c r="H43" s="50" t="n">
        <x:v>25</x:v>
      </x:c>
      <x:c r="I43" s="50" t="n">
        <x:v>34.9</x:v>
      </x:c>
      <x:c r="J43" s="50" t="n">
        <x:v>88</x:v>
      </x:c>
      <x:c r="K43" s="64" t="n">
        <x:f>ROUND(J43*14.5038,0)</x:f>
        <x:v>1276</x:v>
      </x:c>
      <x:c r="L43" s="50" t="n">
        <x:v>352</x:v>
      </x:c>
      <x:c r="M43" s="50" t="n">
        <x:v>230</x:v>
      </x:c>
      <x:c r="N43" s="50" t="n">
        <x:v>0.84</x:v>
      </x:c>
      <x:c r="O43" s="50" t="n">
        <x:v>-40</x:v>
      </x:c>
      <x:c r="P43" s="50" t="n">
        <x:v>100</x:v>
      </x:c>
      <x:c r="Q43" s="47" t="str">
        <x:v>Oil- and water-resistant synthetic rubber</x:v>
      </x:c>
      <x:c r="R43" s="47" t="str">
        <x:v>1 high-tensile steel wire braid</x:v>
      </x:c>
      <x:c r="S43" s="47" t="str">
        <x:v>Oil- and weather-resistant synthetic rubber</x:v>
      </x:c>
      <x:c r="T43" s="47" t="str">
        <x:v>Black</x:v>
      </x:c>
      <x:c r="U43" s="47" t="str">
        <x:v>Wrapped or smooth</x:v>
      </x:c>
      <x:c r="V43" s="33" t="str">
        <x:v>Other</x:v>
      </x:c>
      <x:c r="W43" s="33" t="str">
        <x:v>N/A</x:v>
      </x:c>
      <x:c r="X43" s="47" t="str">
        <x:v>Petroleum- and water-based hydraulic fluids; verify special media</x:v>
      </x:c>
      <x:c r="Y43" s="47" t="str">
        <x:v>China</x:v>
      </x:c>
      <x:c r="Z43" s="47" t="str">
        <x:v>62d65f8412ff5.pdf p.15</x:v>
      </x:c>
      <x:c r="AA43" s="47" t="str">
        <x:v>Manual-derived catalog value; confirm production specification and skive requirement before production approval; unresolved values do not block RFQ eligibility.</x:v>
      </x:c>
      <x:c r="AB43" s="161" t="str">
        <x:v>Eligible</x:v>
      </x:c>
      <x:c r="AC43" s="161" t="str">
        <x:v>Pending</x:v>
      </x:c>
    </x:row>
    <x:row r="44" ht="34" customHeight="1">
      <x:c r="A44" s="33" t="str">
        <x:v>Draft</x:v>
      </x:c>
      <x:c r="B44" s="47" t="str">
        <x:v>EN2SC_001</x:v>
      </x:c>
      <x:c r="C44" s="33" t="str">
        <x:v>EN2SC</x:v>
      </x:c>
      <x:c r="D44" s="47" t="str">
        <x:v>EN 857 2SC</x:v>
      </x:c>
      <x:c r="E44" s="47" t="str"/>
      <x:c r="F44" s="33" t="str">
        <x:v>-4</x:v>
      </x:c>
      <x:c r="G44" s="50" t="n">
        <x:v>0.25</x:v>
      </x:c>
      <x:c r="H44" s="50" t="n">
        <x:v>6.3</x:v>
      </x:c>
      <x:c r="I44" s="50" t="n">
        <x:v>14</x:v>
      </x:c>
      <x:c r="J44" s="50" t="n">
        <x:v>400</x:v>
      </x:c>
      <x:c r="K44" s="64" t="n">
        <x:f>ROUND(J44*14.5038,0)</x:f>
        <x:v>5802</x:v>
      </x:c>
      <x:c r="L44" s="50" t="n">
        <x:v>1600</x:v>
      </x:c>
      <x:c r="M44" s="50" t="n">
        <x:v>75</x:v>
      </x:c>
      <x:c r="N44" s="50" t="n">
        <x:v>0.3</x:v>
      </x:c>
      <x:c r="O44" s="50" t="n">
        <x:v>-40</x:v>
      </x:c>
      <x:c r="P44" s="50" t="n">
        <x:v>100</x:v>
      </x:c>
      <x:c r="Q44" s="47" t="str">
        <x:v>Oil- and water-resistant synthetic rubber</x:v>
      </x:c>
      <x:c r="R44" s="47" t="str">
        <x:v>2 high-tensile steel wire braids</x:v>
      </x:c>
      <x:c r="S44" s="47" t="str">
        <x:v>Oil- and weather-resistant synthetic rubber</x:v>
      </x:c>
      <x:c r="T44" s="47" t="str">
        <x:v>Black</x:v>
      </x:c>
      <x:c r="U44" s="47" t="str">
        <x:v>Wrapped or smooth</x:v>
      </x:c>
      <x:c r="V44" s="33" t="str">
        <x:v>Other</x:v>
      </x:c>
      <x:c r="W44" s="33" t="str">
        <x:v>N/A</x:v>
      </x:c>
      <x:c r="X44" s="47" t="str">
        <x:v>Petroleum- and water-based hydraulic fluids; verify special media</x:v>
      </x:c>
      <x:c r="Y44" s="47" t="str">
        <x:v>China</x:v>
      </x:c>
      <x:c r="Z44" s="47" t="str">
        <x:v>62d65f8412ff5.pdf p.16</x:v>
      </x:c>
      <x:c r="AA44" s="47" t="str">
        <x:v>Manual-derived catalog value; confirm production specification and skive requirement before production approval; unresolved values do not block RFQ eligibility.</x:v>
      </x:c>
      <x:c r="AB44" s="161" t="str">
        <x:v>Eligible</x:v>
      </x:c>
      <x:c r="AC44" s="161" t="str">
        <x:v>Pending</x:v>
      </x:c>
    </x:row>
    <x:row r="45" ht="34" customHeight="1">
      <x:c r="A45" s="33" t="str">
        <x:v>Draft</x:v>
      </x:c>
      <x:c r="B45" s="47" t="str">
        <x:v>EN2SC_002</x:v>
      </x:c>
      <x:c r="C45" s="33" t="str">
        <x:v>EN2SC</x:v>
      </x:c>
      <x:c r="D45" s="47" t="str">
        <x:v>EN 857 2SC</x:v>
      </x:c>
      <x:c r="E45" s="47" t="str"/>
      <x:c r="F45" s="33" t="str">
        <x:v>-5</x:v>
      </x:c>
      <x:c r="G45" s="50" t="n">
        <x:v>0.3125</x:v>
      </x:c>
      <x:c r="H45" s="50" t="n">
        <x:v>8</x:v>
      </x:c>
      <x:c r="I45" s="50" t="n">
        <x:v>15.5</x:v>
      </x:c>
      <x:c r="J45" s="50" t="n">
        <x:v>350</x:v>
      </x:c>
      <x:c r="K45" s="64" t="n">
        <x:f>ROUND(J45*14.5038,0)</x:f>
        <x:v>5076</x:v>
      </x:c>
      <x:c r="L45" s="50" t="n">
        <x:v>1400</x:v>
      </x:c>
      <x:c r="M45" s="50" t="n">
        <x:v>85</x:v>
      </x:c>
      <x:c r="N45" s="50" t="n">
        <x:v>0.34</x:v>
      </x:c>
      <x:c r="O45" s="50" t="n">
        <x:v>-40</x:v>
      </x:c>
      <x:c r="P45" s="50" t="n">
        <x:v>100</x:v>
      </x:c>
      <x:c r="Q45" s="47" t="str">
        <x:v>Oil- and water-resistant synthetic rubber</x:v>
      </x:c>
      <x:c r="R45" s="47" t="str">
        <x:v>2 high-tensile steel wire braids</x:v>
      </x:c>
      <x:c r="S45" s="47" t="str">
        <x:v>Oil- and weather-resistant synthetic rubber</x:v>
      </x:c>
      <x:c r="T45" s="47" t="str">
        <x:v>Black</x:v>
      </x:c>
      <x:c r="U45" s="47" t="str">
        <x:v>Wrapped or smooth</x:v>
      </x:c>
      <x:c r="V45" s="33" t="str">
        <x:v>Other</x:v>
      </x:c>
      <x:c r="W45" s="33" t="str">
        <x:v>N/A</x:v>
      </x:c>
      <x:c r="X45" s="47" t="str">
        <x:v>Petroleum- and water-based hydraulic fluids; verify special media</x:v>
      </x:c>
      <x:c r="Y45" s="47" t="str">
        <x:v>China</x:v>
      </x:c>
      <x:c r="Z45" s="47" t="str">
        <x:v>62d65f8412ff5.pdf p.16</x:v>
      </x:c>
      <x:c r="AA45" s="47" t="str">
        <x:v>Manual-derived catalog value; confirm production specification and skive requirement before production approval; unresolved values do not block RFQ eligibility.</x:v>
      </x:c>
      <x:c r="AB45" s="161" t="str">
        <x:v>Eligible</x:v>
      </x:c>
      <x:c r="AC45" s="161" t="str">
        <x:v>Pending</x:v>
      </x:c>
    </x:row>
    <x:row r="46" ht="34" customHeight="1">
      <x:c r="A46" s="33" t="str">
        <x:v>Draft</x:v>
      </x:c>
      <x:c r="B46" s="47" t="str">
        <x:v>EN2SC_003</x:v>
      </x:c>
      <x:c r="C46" s="33" t="str">
        <x:v>EN2SC</x:v>
      </x:c>
      <x:c r="D46" s="47" t="str">
        <x:v>EN 857 2SC</x:v>
      </x:c>
      <x:c r="E46" s="47" t="str"/>
      <x:c r="F46" s="33" t="str">
        <x:v>-6</x:v>
      </x:c>
      <x:c r="G46" s="50" t="n">
        <x:v>0.375</x:v>
      </x:c>
      <x:c r="H46" s="50" t="n">
        <x:v>10</x:v>
      </x:c>
      <x:c r="I46" s="50" t="n">
        <x:v>17.8</x:v>
      </x:c>
      <x:c r="J46" s="50" t="n">
        <x:v>330</x:v>
      </x:c>
      <x:c r="K46" s="64" t="n">
        <x:f>ROUND(J46*14.5038,0)</x:f>
        <x:v>4786</x:v>
      </x:c>
      <x:c r="L46" s="50" t="n">
        <x:v>1320</x:v>
      </x:c>
      <x:c r="M46" s="50" t="n">
        <x:v>90</x:v>
      </x:c>
      <x:c r="N46" s="50" t="n">
        <x:v>0.42</x:v>
      </x:c>
      <x:c r="O46" s="50" t="n">
        <x:v>-40</x:v>
      </x:c>
      <x:c r="P46" s="50" t="n">
        <x:v>100</x:v>
      </x:c>
      <x:c r="Q46" s="47" t="str">
        <x:v>Oil- and water-resistant synthetic rubber</x:v>
      </x:c>
      <x:c r="R46" s="47" t="str">
        <x:v>2 high-tensile steel wire braids</x:v>
      </x:c>
      <x:c r="S46" s="47" t="str">
        <x:v>Oil- and weather-resistant synthetic rubber</x:v>
      </x:c>
      <x:c r="T46" s="47" t="str">
        <x:v>Black</x:v>
      </x:c>
      <x:c r="U46" s="47" t="str">
        <x:v>Wrapped or smooth</x:v>
      </x:c>
      <x:c r="V46" s="33" t="str">
        <x:v>Other</x:v>
      </x:c>
      <x:c r="W46" s="33" t="str">
        <x:v>N/A</x:v>
      </x:c>
      <x:c r="X46" s="47" t="str">
        <x:v>Petroleum- and water-based hydraulic fluids; verify special media</x:v>
      </x:c>
      <x:c r="Y46" s="47" t="str">
        <x:v>China</x:v>
      </x:c>
      <x:c r="Z46" s="47" t="str">
        <x:v>62d65f8412ff5.pdf p.16</x:v>
      </x:c>
      <x:c r="AA46" s="47" t="str">
        <x:v>Manual-derived catalog value; confirm production specification and skive requirement before production approval; unresolved values do not block RFQ eligibility.</x:v>
      </x:c>
      <x:c r="AB46" s="161" t="str">
        <x:v>Eligible</x:v>
      </x:c>
      <x:c r="AC46" s="161" t="str">
        <x:v>Pending</x:v>
      </x:c>
    </x:row>
    <x:row r="47" ht="34" customHeight="1">
      <x:c r="A47" s="33" t="str">
        <x:v>Draft</x:v>
      </x:c>
      <x:c r="B47" s="47" t="str">
        <x:v>EN2SC_004</x:v>
      </x:c>
      <x:c r="C47" s="33" t="str">
        <x:v>EN2SC</x:v>
      </x:c>
      <x:c r="D47" s="47" t="str">
        <x:v>EN 857 2SC</x:v>
      </x:c>
      <x:c r="E47" s="47" t="str"/>
      <x:c r="F47" s="33" t="str">
        <x:v>-8</x:v>
      </x:c>
      <x:c r="G47" s="50" t="n">
        <x:v>0.5</x:v>
      </x:c>
      <x:c r="H47" s="50" t="n">
        <x:v>12.5</x:v>
      </x:c>
      <x:c r="I47" s="50" t="n">
        <x:v>21</x:v>
      </x:c>
      <x:c r="J47" s="50" t="n">
        <x:v>275</x:v>
      </x:c>
      <x:c r="K47" s="64" t="n">
        <x:f>ROUND(J47*14.5038,0)</x:f>
        <x:v>3989</x:v>
      </x:c>
      <x:c r="L47" s="50" t="n">
        <x:v>1100</x:v>
      </x:c>
      <x:c r="M47" s="50" t="n">
        <x:v>130</x:v>
      </x:c>
      <x:c r="N47" s="50" t="n">
        <x:v>0.54</x:v>
      </x:c>
      <x:c r="O47" s="50" t="n">
        <x:v>-40</x:v>
      </x:c>
      <x:c r="P47" s="50" t="n">
        <x:v>100</x:v>
      </x:c>
      <x:c r="Q47" s="47" t="str">
        <x:v>Oil- and water-resistant synthetic rubber</x:v>
      </x:c>
      <x:c r="R47" s="47" t="str">
        <x:v>2 high-tensile steel wire braids</x:v>
      </x:c>
      <x:c r="S47" s="47" t="str">
        <x:v>Oil- and weather-resistant synthetic rubber</x:v>
      </x:c>
      <x:c r="T47" s="47" t="str">
        <x:v>Black</x:v>
      </x:c>
      <x:c r="U47" s="47" t="str">
        <x:v>Wrapped or smooth</x:v>
      </x:c>
      <x:c r="V47" s="33" t="str">
        <x:v>Other</x:v>
      </x:c>
      <x:c r="W47" s="33" t="str">
        <x:v>N/A</x:v>
      </x:c>
      <x:c r="X47" s="47" t="str">
        <x:v>Petroleum- and water-based hydraulic fluids; verify special media</x:v>
      </x:c>
      <x:c r="Y47" s="47" t="str">
        <x:v>China</x:v>
      </x:c>
      <x:c r="Z47" s="47" t="str">
        <x:v>62d65f8412ff5.pdf p.16</x:v>
      </x:c>
      <x:c r="AA47" s="47" t="str">
        <x:v>Manual-derived catalog value; confirm production specification and skive requirement before production approval; unresolved values do not block RFQ eligibility.</x:v>
      </x:c>
      <x:c r="AB47" s="161" t="str">
        <x:v>Eligible</x:v>
      </x:c>
      <x:c r="AC47" s="161" t="str">
        <x:v>Pending</x:v>
      </x:c>
    </x:row>
    <x:row r="48" ht="34" customHeight="1">
      <x:c r="A48" s="33" t="str">
        <x:v>Draft</x:v>
      </x:c>
      <x:c r="B48" s="47" t="str">
        <x:v>EN2SC_005</x:v>
      </x:c>
      <x:c r="C48" s="33" t="str">
        <x:v>EN2SC</x:v>
      </x:c>
      <x:c r="D48" s="47" t="str">
        <x:v>EN 857 2SC</x:v>
      </x:c>
      <x:c r="E48" s="47" t="str"/>
      <x:c r="F48" s="33" t="str">
        <x:v>-10</x:v>
      </x:c>
      <x:c r="G48" s="50" t="n">
        <x:v>0.625</x:v>
      </x:c>
      <x:c r="H48" s="50" t="n">
        <x:v>16</x:v>
      </x:c>
      <x:c r="I48" s="50" t="n">
        <x:v>24.5</x:v>
      </x:c>
      <x:c r="J48" s="50" t="n">
        <x:v>250</x:v>
      </x:c>
      <x:c r="K48" s="64" t="n">
        <x:f>ROUND(J48*14.5038,0)</x:f>
        <x:v>3626</x:v>
      </x:c>
      <x:c r="L48" s="50" t="n">
        <x:v>1000</x:v>
      </x:c>
      <x:c r="M48" s="50" t="n">
        <x:v>170</x:v>
      </x:c>
      <x:c r="N48" s="50" t="n">
        <x:v>0.68</x:v>
      </x:c>
      <x:c r="O48" s="50" t="n">
        <x:v>-40</x:v>
      </x:c>
      <x:c r="P48" s="50" t="n">
        <x:v>100</x:v>
      </x:c>
      <x:c r="Q48" s="47" t="str">
        <x:v>Oil- and water-resistant synthetic rubber</x:v>
      </x:c>
      <x:c r="R48" s="47" t="str">
        <x:v>2 high-tensile steel wire braids</x:v>
      </x:c>
      <x:c r="S48" s="47" t="str">
        <x:v>Oil- and weather-resistant synthetic rubber</x:v>
      </x:c>
      <x:c r="T48" s="47" t="str">
        <x:v>Black</x:v>
      </x:c>
      <x:c r="U48" s="47" t="str">
        <x:v>Wrapped or smooth</x:v>
      </x:c>
      <x:c r="V48" s="33" t="str">
        <x:v>Other</x:v>
      </x:c>
      <x:c r="W48" s="33" t="str">
        <x:v>N/A</x:v>
      </x:c>
      <x:c r="X48" s="47" t="str">
        <x:v>Petroleum- and water-based hydraulic fluids; verify special media</x:v>
      </x:c>
      <x:c r="Y48" s="47" t="str">
        <x:v>China</x:v>
      </x:c>
      <x:c r="Z48" s="47" t="str">
        <x:v>62d65f8412ff5.pdf p.16</x:v>
      </x:c>
      <x:c r="AA48" s="47" t="str">
        <x:v>Manual-derived catalog value; confirm production specification and skive requirement before production approval; unresolved values do not block RFQ eligibility.</x:v>
      </x:c>
      <x:c r="AB48" s="161" t="str">
        <x:v>Eligible</x:v>
      </x:c>
      <x:c r="AC48" s="161" t="str">
        <x:v>Pending</x:v>
      </x:c>
    </x:row>
    <x:row r="49" ht="34" customHeight="1">
      <x:c r="A49" s="33" t="str">
        <x:v>Draft</x:v>
      </x:c>
      <x:c r="B49" s="47" t="str">
        <x:v>EN2SC_006</x:v>
      </x:c>
      <x:c r="C49" s="33" t="str">
        <x:v>EN2SC</x:v>
      </x:c>
      <x:c r="D49" s="47" t="str">
        <x:v>EN 857 2SC</x:v>
      </x:c>
      <x:c r="E49" s="47" t="str"/>
      <x:c r="F49" s="33" t="str">
        <x:v>-12</x:v>
      </x:c>
      <x:c r="G49" s="50" t="n">
        <x:v>0.75</x:v>
      </x:c>
      <x:c r="H49" s="50" t="n">
        <x:v>19</x:v>
      </x:c>
      <x:c r="I49" s="50" t="n">
        <x:v>28.2</x:v>
      </x:c>
      <x:c r="J49" s="50" t="n">
        <x:v>215</x:v>
      </x:c>
      <x:c r="K49" s="64" t="n">
        <x:f>ROUND(J49*14.5038,0)</x:f>
        <x:v>3118</x:v>
      </x:c>
      <x:c r="L49" s="50" t="n">
        <x:v>860</x:v>
      </x:c>
      <x:c r="M49" s="50" t="n">
        <x:v>200</x:v>
      </x:c>
      <x:c r="N49" s="50" t="n">
        <x:v>0.8</x:v>
      </x:c>
      <x:c r="O49" s="50" t="n">
        <x:v>-40</x:v>
      </x:c>
      <x:c r="P49" s="50" t="n">
        <x:v>100</x:v>
      </x:c>
      <x:c r="Q49" s="47" t="str">
        <x:v>Oil- and water-resistant synthetic rubber</x:v>
      </x:c>
      <x:c r="R49" s="47" t="str">
        <x:v>2 high-tensile steel wire braids</x:v>
      </x:c>
      <x:c r="S49" s="47" t="str">
        <x:v>Oil- and weather-resistant synthetic rubber</x:v>
      </x:c>
      <x:c r="T49" s="47" t="str">
        <x:v>Black</x:v>
      </x:c>
      <x:c r="U49" s="47" t="str">
        <x:v>Wrapped or smooth</x:v>
      </x:c>
      <x:c r="V49" s="33" t="str">
        <x:v>Other</x:v>
      </x:c>
      <x:c r="W49" s="33" t="str">
        <x:v>N/A</x:v>
      </x:c>
      <x:c r="X49" s="47" t="str">
        <x:v>Petroleum- and water-based hydraulic fluids; verify special media</x:v>
      </x:c>
      <x:c r="Y49" s="47" t="str">
        <x:v>China</x:v>
      </x:c>
      <x:c r="Z49" s="47" t="str">
        <x:v>62d65f8412ff5.pdf p.16</x:v>
      </x:c>
      <x:c r="AA49" s="47" t="str">
        <x:v>Manual-derived catalog value; confirm production specification and skive requirement before production approval; unresolved values do not block RFQ eligibility.</x:v>
      </x:c>
      <x:c r="AB49" s="161" t="str">
        <x:v>Eligible</x:v>
      </x:c>
      <x:c r="AC49" s="161" t="str">
        <x:v>Pending</x:v>
      </x:c>
    </x:row>
    <x:row r="50" ht="34" customHeight="1">
      <x:c r="A50" s="33" t="str">
        <x:v>Draft</x:v>
      </x:c>
      <x:c r="B50" s="47" t="str">
        <x:v>EN2SC_007</x:v>
      </x:c>
      <x:c r="C50" s="33" t="str">
        <x:v>EN2SC</x:v>
      </x:c>
      <x:c r="D50" s="47" t="str">
        <x:v>EN 857 2SC</x:v>
      </x:c>
      <x:c r="E50" s="47" t="str"/>
      <x:c r="F50" s="33" t="str">
        <x:v>-16</x:v>
      </x:c>
      <x:c r="G50" s="50" t="n">
        <x:v>1</x:v>
      </x:c>
      <x:c r="H50" s="50" t="n">
        <x:v>25</x:v>
      </x:c>
      <x:c r="I50" s="50" t="n">
        <x:v>36.5</x:v>
      </x:c>
      <x:c r="J50" s="50" t="n">
        <x:v>165</x:v>
      </x:c>
      <x:c r="K50" s="64" t="n">
        <x:f>ROUND(J50*14.5038,0)</x:f>
        <x:v>2393</x:v>
      </x:c>
      <x:c r="L50" s="50" t="n">
        <x:v>660</x:v>
      </x:c>
      <x:c r="M50" s="50" t="n">
        <x:v>250</x:v>
      </x:c>
      <x:c r="N50" s="50" t="n">
        <x:v>1.15</x:v>
      </x:c>
      <x:c r="O50" s="50" t="n">
        <x:v>-40</x:v>
      </x:c>
      <x:c r="P50" s="50" t="n">
        <x:v>100</x:v>
      </x:c>
      <x:c r="Q50" s="47" t="str">
        <x:v>Oil- and water-resistant synthetic rubber</x:v>
      </x:c>
      <x:c r="R50" s="47" t="str">
        <x:v>2 high-tensile steel wire braids</x:v>
      </x:c>
      <x:c r="S50" s="47" t="str">
        <x:v>Oil- and weather-resistant synthetic rubber</x:v>
      </x:c>
      <x:c r="T50" s="47" t="str">
        <x:v>Black</x:v>
      </x:c>
      <x:c r="U50" s="47" t="str">
        <x:v>Wrapped or smooth</x:v>
      </x:c>
      <x:c r="V50" s="33" t="str">
        <x:v>Other</x:v>
      </x:c>
      <x:c r="W50" s="33" t="str">
        <x:v>N/A</x:v>
      </x:c>
      <x:c r="X50" s="47" t="str">
        <x:v>Petroleum- and water-based hydraulic fluids; verify special media</x:v>
      </x:c>
      <x:c r="Y50" s="47" t="str">
        <x:v>China</x:v>
      </x:c>
      <x:c r="Z50" s="47" t="str">
        <x:v>62d65f8412ff5.pdf p.16</x:v>
      </x:c>
      <x:c r="AA50" s="47" t="str">
        <x:v>Manual-derived catalog value; confirm production specification and skive requirement before production approval; unresolved values do not block RFQ eligibility.</x:v>
      </x:c>
      <x:c r="AB50" s="161" t="str">
        <x:v>Eligible</x:v>
      </x:c>
      <x:c r="AC50" s="161" t="str">
        <x:v>Pending</x:v>
      </x:c>
    </x:row>
    <x:row r="51" ht="34" customHeight="1">
      <x:c r="A51" s="33" t="str">
        <x:v>Draft</x:v>
      </x:c>
      <x:c r="B51" s="47" t="str">
        <x:v>EN4SP_001</x:v>
      </x:c>
      <x:c r="C51" s="33" t="str">
        <x:v>EN4SP</x:v>
      </x:c>
      <x:c r="D51" s="47" t="str">
        <x:v>EN 856 4SP</x:v>
      </x:c>
      <x:c r="E51" s="47" t="str"/>
      <x:c r="F51" s="33" t="str">
        <x:v>-4</x:v>
      </x:c>
      <x:c r="G51" s="50" t="n">
        <x:v>0.25</x:v>
      </x:c>
      <x:c r="H51" s="50" t="n">
        <x:v>6.3</x:v>
      </x:c>
      <x:c r="I51" s="50" t="n">
        <x:v>18</x:v>
      </x:c>
      <x:c r="J51" s="50" t="n">
        <x:v>450</x:v>
      </x:c>
      <x:c r="K51" s="64" t="n">
        <x:f>ROUND(J51*14.5038,0)</x:f>
        <x:v>6527</x:v>
      </x:c>
      <x:c r="L51" s="50" t="n">
        <x:v>1800</x:v>
      </x:c>
      <x:c r="M51" s="50" t="n">
        <x:v>150</x:v>
      </x:c>
      <x:c r="N51" s="50" t="n">
        <x:v>0.6</x:v>
      </x:c>
      <x:c r="O51" s="50" t="n">
        <x:v>-40</x:v>
      </x:c>
      <x:c r="P51" s="50" t="n">
        <x:v>100</x:v>
      </x:c>
      <x:c r="Q51" s="47" t="str">
        <x:v>Oil- and water-resistant synthetic rubber</x:v>
      </x:c>
      <x:c r="R51" s="47" t="str">
        <x:v>4 high-tensile steel wire spirals</x:v>
      </x:c>
      <x:c r="S51" s="47" t="str">
        <x:v>Oil- and weather-resistant synthetic rubber</x:v>
      </x:c>
      <x:c r="T51" s="47" t="str">
        <x:v>Black</x:v>
      </x:c>
      <x:c r="U51" s="47" t="str">
        <x:v>Wrapped</x:v>
      </x:c>
      <x:c r="V51" s="33" t="str">
        <x:v>Other</x:v>
      </x:c>
      <x:c r="W51" s="33" t="str">
        <x:v>N/A</x:v>
      </x:c>
      <x:c r="X51" s="47" t="str">
        <x:v>Petroleum- and water-based hydraulic fluids; verify special media</x:v>
      </x:c>
      <x:c r="Y51" s="47" t="str">
        <x:v>China</x:v>
      </x:c>
      <x:c r="Z51" s="47" t="str">
        <x:v>62d65f8412ff5.pdf p.9</x:v>
      </x:c>
      <x:c r="AA51" s="47" t="str">
        <x:v>Manual-derived catalog value; confirm production specification and skive requirement before production approval; unresolved values do not block RFQ eligibility.</x:v>
      </x:c>
      <x:c r="AB51" s="161" t="str">
        <x:v>Eligible</x:v>
      </x:c>
      <x:c r="AC51" s="161" t="str">
        <x:v>Pending</x:v>
      </x:c>
    </x:row>
    <x:row r="52" ht="34" customHeight="1">
      <x:c r="A52" s="33" t="str">
        <x:v>Draft</x:v>
      </x:c>
      <x:c r="B52" s="47" t="str">
        <x:v>EN4SP_002</x:v>
      </x:c>
      <x:c r="C52" s="33" t="str">
        <x:v>EN4SP</x:v>
      </x:c>
      <x:c r="D52" s="47" t="str">
        <x:v>EN 856 4SP</x:v>
      </x:c>
      <x:c r="E52" s="47" t="str"/>
      <x:c r="F52" s="33" t="str">
        <x:v>-6</x:v>
      </x:c>
      <x:c r="G52" s="50" t="n">
        <x:v>0.375</x:v>
      </x:c>
      <x:c r="H52" s="50" t="n">
        <x:v>10</x:v>
      </x:c>
      <x:c r="I52" s="50" t="n">
        <x:v>21</x:v>
      </x:c>
      <x:c r="J52" s="50" t="n">
        <x:v>445</x:v>
      </x:c>
      <x:c r="K52" s="64" t="n">
        <x:f>ROUND(J52*14.5038,0)</x:f>
        <x:v>6454</x:v>
      </x:c>
      <x:c r="L52" s="50" t="n">
        <x:v>1780</x:v>
      </x:c>
      <x:c r="M52" s="50" t="n">
        <x:v>180</x:v>
      </x:c>
      <x:c r="N52" s="50" t="n">
        <x:v>0.76</x:v>
      </x:c>
      <x:c r="O52" s="50" t="n">
        <x:v>-40</x:v>
      </x:c>
      <x:c r="P52" s="50" t="n">
        <x:v>100</x:v>
      </x:c>
      <x:c r="Q52" s="47" t="str">
        <x:v>Oil- and water-resistant synthetic rubber</x:v>
      </x:c>
      <x:c r="R52" s="47" t="str">
        <x:v>4 high-tensile steel wire spirals</x:v>
      </x:c>
      <x:c r="S52" s="47" t="str">
        <x:v>Oil- and weather-resistant synthetic rubber</x:v>
      </x:c>
      <x:c r="T52" s="47" t="str">
        <x:v>Black</x:v>
      </x:c>
      <x:c r="U52" s="47" t="str">
        <x:v>Wrapped</x:v>
      </x:c>
      <x:c r="V52" s="33" t="str">
        <x:v>Other</x:v>
      </x:c>
      <x:c r="W52" s="33" t="str">
        <x:v>N/A</x:v>
      </x:c>
      <x:c r="X52" s="47" t="str">
        <x:v>Petroleum- and water-based hydraulic fluids; verify special media</x:v>
      </x:c>
      <x:c r="Y52" s="47" t="str">
        <x:v>China</x:v>
      </x:c>
      <x:c r="Z52" s="47" t="str">
        <x:v>62d65f8412ff5.pdf p.9</x:v>
      </x:c>
      <x:c r="AA52" s="47" t="str">
        <x:v>Manual-derived catalog value; confirm production specification and skive requirement before production approval; unresolved values do not block RFQ eligibility.</x:v>
      </x:c>
      <x:c r="AB52" s="161" t="str">
        <x:v>Eligible</x:v>
      </x:c>
      <x:c r="AC52" s="161" t="str">
        <x:v>Pending</x:v>
      </x:c>
    </x:row>
    <x:row r="53" ht="34" customHeight="1">
      <x:c r="A53" s="33" t="str">
        <x:v>Draft</x:v>
      </x:c>
      <x:c r="B53" s="47" t="str">
        <x:v>EN4SP_003</x:v>
      </x:c>
      <x:c r="C53" s="33" t="str">
        <x:v>EN4SP</x:v>
      </x:c>
      <x:c r="D53" s="47" t="str">
        <x:v>EN 856 4SP</x:v>
      </x:c>
      <x:c r="E53" s="47" t="str"/>
      <x:c r="F53" s="33" t="str">
        <x:v>-8</x:v>
      </x:c>
      <x:c r="G53" s="50" t="n">
        <x:v>0.5</x:v>
      </x:c>
      <x:c r="H53" s="50" t="n">
        <x:v>12.5</x:v>
      </x:c>
      <x:c r="I53" s="50" t="n">
        <x:v>24.5</x:v>
      </x:c>
      <x:c r="J53" s="50" t="n">
        <x:v>415</x:v>
      </x:c>
      <x:c r="K53" s="64" t="n">
        <x:f>ROUND(J53*14.5038,0)</x:f>
        <x:v>6019</x:v>
      </x:c>
      <x:c r="L53" s="50" t="n">
        <x:v>1660</x:v>
      </x:c>
      <x:c r="M53" s="50" t="n">
        <x:v>230</x:v>
      </x:c>
      <x:c r="N53" s="50" t="n">
        <x:v>0.9</x:v>
      </x:c>
      <x:c r="O53" s="50" t="n">
        <x:v>-40</x:v>
      </x:c>
      <x:c r="P53" s="50" t="n">
        <x:v>100</x:v>
      </x:c>
      <x:c r="Q53" s="47" t="str">
        <x:v>Oil- and water-resistant synthetic rubber</x:v>
      </x:c>
      <x:c r="R53" s="47" t="str">
        <x:v>4 high-tensile steel wire spirals</x:v>
      </x:c>
      <x:c r="S53" s="47" t="str">
        <x:v>Oil- and weather-resistant synthetic rubber</x:v>
      </x:c>
      <x:c r="T53" s="47" t="str">
        <x:v>Black</x:v>
      </x:c>
      <x:c r="U53" s="47" t="str">
        <x:v>Wrapped</x:v>
      </x:c>
      <x:c r="V53" s="33" t="str">
        <x:v>Other</x:v>
      </x:c>
      <x:c r="W53" s="33" t="str">
        <x:v>N/A</x:v>
      </x:c>
      <x:c r="X53" s="47" t="str">
        <x:v>Petroleum- and water-based hydraulic fluids; verify special media</x:v>
      </x:c>
      <x:c r="Y53" s="47" t="str">
        <x:v>China</x:v>
      </x:c>
      <x:c r="Z53" s="47" t="str">
        <x:v>62d65f8412ff5.pdf p.9</x:v>
      </x:c>
      <x:c r="AA53" s="47" t="str">
        <x:v>Manual-derived catalog value; confirm production specification and skive requirement before production approval; unresolved values do not block RFQ eligibility.</x:v>
      </x:c>
      <x:c r="AB53" s="161" t="str">
        <x:v>Eligible</x:v>
      </x:c>
      <x:c r="AC53" s="161" t="str">
        <x:v>Pending</x:v>
      </x:c>
    </x:row>
    <x:row r="54" ht="34" customHeight="1">
      <x:c r="A54" s="33" t="str">
        <x:v>Draft</x:v>
      </x:c>
      <x:c r="B54" s="47" t="str">
        <x:v>EN4SP_004</x:v>
      </x:c>
      <x:c r="C54" s="33" t="str">
        <x:v>EN4SP</x:v>
      </x:c>
      <x:c r="D54" s="47" t="str">
        <x:v>EN 856 4SP</x:v>
      </x:c>
      <x:c r="E54" s="47" t="str"/>
      <x:c r="F54" s="33" t="str">
        <x:v>-10</x:v>
      </x:c>
      <x:c r="G54" s="50" t="n">
        <x:v>0.625</x:v>
      </x:c>
      <x:c r="H54" s="50" t="n">
        <x:v>16</x:v>
      </x:c>
      <x:c r="I54" s="50" t="n">
        <x:v>27</x:v>
      </x:c>
      <x:c r="J54" s="50" t="n">
        <x:v>350</x:v>
      </x:c>
      <x:c r="K54" s="64" t="n">
        <x:f>ROUND(J54*14.5038,0)</x:f>
        <x:v>5076</x:v>
      </x:c>
      <x:c r="L54" s="50" t="n">
        <x:v>1400</x:v>
      </x:c>
      <x:c r="M54" s="50" t="n">
        <x:v>250</x:v>
      </x:c>
      <x:c r="N54" s="50" t="n">
        <x:v>1.16</x:v>
      </x:c>
      <x:c r="O54" s="50" t="n">
        <x:v>-40</x:v>
      </x:c>
      <x:c r="P54" s="50" t="n">
        <x:v>100</x:v>
      </x:c>
      <x:c r="Q54" s="47" t="str">
        <x:v>Oil- and water-resistant synthetic rubber</x:v>
      </x:c>
      <x:c r="R54" s="47" t="str">
        <x:v>4 high-tensile steel wire spirals</x:v>
      </x:c>
      <x:c r="S54" s="47" t="str">
        <x:v>Oil- and weather-resistant synthetic rubber</x:v>
      </x:c>
      <x:c r="T54" s="47" t="str">
        <x:v>Black</x:v>
      </x:c>
      <x:c r="U54" s="47" t="str">
        <x:v>Wrapped</x:v>
      </x:c>
      <x:c r="V54" s="33" t="str">
        <x:v>Other</x:v>
      </x:c>
      <x:c r="W54" s="33" t="str">
        <x:v>N/A</x:v>
      </x:c>
      <x:c r="X54" s="47" t="str">
        <x:v>Petroleum- and water-based hydraulic fluids; verify special media</x:v>
      </x:c>
      <x:c r="Y54" s="47" t="str">
        <x:v>China</x:v>
      </x:c>
      <x:c r="Z54" s="47" t="str">
        <x:v>62d65f8412ff5.pdf p.9</x:v>
      </x:c>
      <x:c r="AA54" s="47" t="str">
        <x:v>Manual-derived catalog value; confirm production specification and skive requirement before production approval; unresolved values do not block RFQ eligibility.</x:v>
      </x:c>
      <x:c r="AB54" s="161" t="str">
        <x:v>Eligible</x:v>
      </x:c>
      <x:c r="AC54" s="161" t="str">
        <x:v>Pending</x:v>
      </x:c>
    </x:row>
    <x:row r="55" ht="34" customHeight="1">
      <x:c r="A55" s="33" t="str">
        <x:v>Draft</x:v>
      </x:c>
      <x:c r="B55" s="47" t="str">
        <x:v>EN4SP_005</x:v>
      </x:c>
      <x:c r="C55" s="33" t="str">
        <x:v>EN4SP</x:v>
      </x:c>
      <x:c r="D55" s="47" t="str">
        <x:v>EN 856 4SP</x:v>
      </x:c>
      <x:c r="E55" s="47" t="str"/>
      <x:c r="F55" s="33" t="str">
        <x:v>-12</x:v>
      </x:c>
      <x:c r="G55" s="50" t="n">
        <x:v>0.75</x:v>
      </x:c>
      <x:c r="H55" s="50" t="n">
        <x:v>19</x:v>
      </x:c>
      <x:c r="I55" s="50" t="n">
        <x:v>32</x:v>
      </x:c>
      <x:c r="J55" s="50" t="n">
        <x:v>350</x:v>
      </x:c>
      <x:c r="K55" s="64" t="n">
        <x:f>ROUND(J55*14.5038,0)</x:f>
        <x:v>5076</x:v>
      </x:c>
      <x:c r="L55" s="50" t="n">
        <x:v>1400</x:v>
      </x:c>
      <x:c r="M55" s="50" t="n">
        <x:v>300</x:v>
      </x:c>
      <x:c r="N55" s="50" t="n">
        <x:v>1.48</x:v>
      </x:c>
      <x:c r="O55" s="50" t="n">
        <x:v>-40</x:v>
      </x:c>
      <x:c r="P55" s="50" t="n">
        <x:v>100</x:v>
      </x:c>
      <x:c r="Q55" s="47" t="str">
        <x:v>Oil- and water-resistant synthetic rubber</x:v>
      </x:c>
      <x:c r="R55" s="47" t="str">
        <x:v>4 high-tensile steel wire spirals</x:v>
      </x:c>
      <x:c r="S55" s="47" t="str">
        <x:v>Oil- and weather-resistant synthetic rubber</x:v>
      </x:c>
      <x:c r="T55" s="47" t="str">
        <x:v>Black</x:v>
      </x:c>
      <x:c r="U55" s="47" t="str">
        <x:v>Wrapped</x:v>
      </x:c>
      <x:c r="V55" s="33" t="str">
        <x:v>Other</x:v>
      </x:c>
      <x:c r="W55" s="33" t="str">
        <x:v>N/A</x:v>
      </x:c>
      <x:c r="X55" s="47" t="str">
        <x:v>Petroleum- and water-based hydraulic fluids; verify special media</x:v>
      </x:c>
      <x:c r="Y55" s="47" t="str">
        <x:v>China</x:v>
      </x:c>
      <x:c r="Z55" s="47" t="str">
        <x:v>62d65f8412ff5.pdf p.9</x:v>
      </x:c>
      <x:c r="AA55" s="47" t="str">
        <x:v>Manual-derived catalog value; confirm production specification and skive requirement before production approval; unresolved values do not block RFQ eligibility.</x:v>
      </x:c>
      <x:c r="AB55" s="161" t="str">
        <x:v>Eligible</x:v>
      </x:c>
      <x:c r="AC55" s="161" t="str">
        <x:v>Pending</x:v>
      </x:c>
    </x:row>
    <x:row r="56" ht="34" customHeight="1">
      <x:c r="A56" s="33" t="str">
        <x:v>Draft</x:v>
      </x:c>
      <x:c r="B56" s="47" t="str">
        <x:v>EN4SP_006</x:v>
      </x:c>
      <x:c r="C56" s="33" t="str">
        <x:v>EN4SP</x:v>
      </x:c>
      <x:c r="D56" s="47" t="str">
        <x:v>EN 856 4SP</x:v>
      </x:c>
      <x:c r="E56" s="47" t="str"/>
      <x:c r="F56" s="33" t="str">
        <x:v>-16</x:v>
      </x:c>
      <x:c r="G56" s="50" t="n">
        <x:v>1</x:v>
      </x:c>
      <x:c r="H56" s="50" t="n">
        <x:v>25</x:v>
      </x:c>
      <x:c r="I56" s="50" t="n">
        <x:v>38.5</x:v>
      </x:c>
      <x:c r="J56" s="50" t="n">
        <x:v>280</x:v>
      </x:c>
      <x:c r="K56" s="64" t="n">
        <x:f>ROUND(J56*14.5038,0)</x:f>
        <x:v>4061</x:v>
      </x:c>
      <x:c r="L56" s="50" t="n">
        <x:v>1120</x:v>
      </x:c>
      <x:c r="M56" s="50" t="n">
        <x:v>340</x:v>
      </x:c>
      <x:c r="N56" s="50" t="n">
        <x:v>2.02</x:v>
      </x:c>
      <x:c r="O56" s="50" t="n">
        <x:v>-40</x:v>
      </x:c>
      <x:c r="P56" s="50" t="n">
        <x:v>100</x:v>
      </x:c>
      <x:c r="Q56" s="47" t="str">
        <x:v>Oil- and water-resistant synthetic rubber</x:v>
      </x:c>
      <x:c r="R56" s="47" t="str">
        <x:v>4 high-tensile steel wire spirals</x:v>
      </x:c>
      <x:c r="S56" s="47" t="str">
        <x:v>Oil- and weather-resistant synthetic rubber</x:v>
      </x:c>
      <x:c r="T56" s="47" t="str">
        <x:v>Black</x:v>
      </x:c>
      <x:c r="U56" s="47" t="str">
        <x:v>Wrapped</x:v>
      </x:c>
      <x:c r="V56" s="33" t="str">
        <x:v>Other</x:v>
      </x:c>
      <x:c r="W56" s="33" t="str">
        <x:v>N/A</x:v>
      </x:c>
      <x:c r="X56" s="47" t="str">
        <x:v>Petroleum- and water-based hydraulic fluids; verify special media</x:v>
      </x:c>
      <x:c r="Y56" s="47" t="str">
        <x:v>China</x:v>
      </x:c>
      <x:c r="Z56" s="47" t="str">
        <x:v>62d65f8412ff5.pdf p.9</x:v>
      </x:c>
      <x:c r="AA56" s="47" t="str">
        <x:v>Manual-derived catalog value; confirm production specification and skive requirement before production approval; unresolved values do not block RFQ eligibility.</x:v>
      </x:c>
      <x:c r="AB56" s="161" t="str">
        <x:v>Eligible</x:v>
      </x:c>
      <x:c r="AC56" s="161" t="str">
        <x:v>Pending</x:v>
      </x:c>
    </x:row>
    <x:row r="57" ht="34" customHeight="1">
      <x:c r="A57" s="33" t="str">
        <x:v>Draft</x:v>
      </x:c>
      <x:c r="B57" s="47" t="str">
        <x:v>EN4SP_007</x:v>
      </x:c>
      <x:c r="C57" s="33" t="str">
        <x:v>EN4SP</x:v>
      </x:c>
      <x:c r="D57" s="47" t="str">
        <x:v>EN 856 4SP</x:v>
      </x:c>
      <x:c r="E57" s="47" t="str"/>
      <x:c r="F57" s="33" t="str">
        <x:v>-20</x:v>
      </x:c>
      <x:c r="G57" s="50" t="n">
        <x:v>1.25</x:v>
      </x:c>
      <x:c r="H57" s="50" t="n">
        <x:v>31.5</x:v>
      </x:c>
      <x:c r="I57" s="50" t="n">
        <x:v>49.1</x:v>
      </x:c>
      <x:c r="J57" s="50" t="n">
        <x:v>210</x:v>
      </x:c>
      <x:c r="K57" s="64" t="n">
        <x:f>ROUND(J57*14.5038,0)</x:f>
        <x:v>3046</x:v>
      </x:c>
      <x:c r="L57" s="50" t="n">
        <x:v>840</x:v>
      </x:c>
      <x:c r="M57" s="50" t="n">
        <x:v>460</x:v>
      </x:c>
      <x:c r="N57" s="50" t="n">
        <x:v>3</x:v>
      </x:c>
      <x:c r="O57" s="50" t="n">
        <x:v>-40</x:v>
      </x:c>
      <x:c r="P57" s="50" t="n">
        <x:v>100</x:v>
      </x:c>
      <x:c r="Q57" s="47" t="str">
        <x:v>Oil- and water-resistant synthetic rubber</x:v>
      </x:c>
      <x:c r="R57" s="47" t="str">
        <x:v>4 high-tensile steel wire spirals</x:v>
      </x:c>
      <x:c r="S57" s="47" t="str">
        <x:v>Oil- and weather-resistant synthetic rubber</x:v>
      </x:c>
      <x:c r="T57" s="47" t="str">
        <x:v>Black</x:v>
      </x:c>
      <x:c r="U57" s="47" t="str">
        <x:v>Wrapped</x:v>
      </x:c>
      <x:c r="V57" s="33" t="str">
        <x:v>Other</x:v>
      </x:c>
      <x:c r="W57" s="33" t="str">
        <x:v>N/A</x:v>
      </x:c>
      <x:c r="X57" s="47" t="str">
        <x:v>Petroleum- and water-based hydraulic fluids; verify special media</x:v>
      </x:c>
      <x:c r="Y57" s="47" t="str">
        <x:v>China</x:v>
      </x:c>
      <x:c r="Z57" s="47" t="str">
        <x:v>62d65f8412ff5.pdf p.9</x:v>
      </x:c>
      <x:c r="AA57" s="47" t="str">
        <x:v>Manual-derived catalog value; confirm production specification and skive requirement before production approval; unresolved values do not block RFQ eligibility.</x:v>
      </x:c>
      <x:c r="AB57" s="161" t="str">
        <x:v>Eligible</x:v>
      </x:c>
      <x:c r="AC57" s="161" t="str">
        <x:v>Pending</x:v>
      </x:c>
    </x:row>
    <x:row r="58" ht="34" customHeight="1">
      <x:c r="A58" s="33" t="str">
        <x:v>Draft</x:v>
      </x:c>
      <x:c r="B58" s="47" t="str">
        <x:v>EN4SP_008</x:v>
      </x:c>
      <x:c r="C58" s="33" t="str">
        <x:v>EN4SP</x:v>
      </x:c>
      <x:c r="D58" s="47" t="str">
        <x:v>EN 856 4SP</x:v>
      </x:c>
      <x:c r="E58" s="47" t="str"/>
      <x:c r="F58" s="33" t="str">
        <x:v>-24</x:v>
      </x:c>
      <x:c r="G58" s="50" t="n">
        <x:v>1.5</x:v>
      </x:c>
      <x:c r="H58" s="50" t="n">
        <x:v>38</x:v>
      </x:c>
      <x:c r="I58" s="50" t="n">
        <x:v>55.5</x:v>
      </x:c>
      <x:c r="J58" s="50" t="n">
        <x:v>185</x:v>
      </x:c>
      <x:c r="K58" s="64" t="n">
        <x:f>ROUND(J58*14.5038,0)</x:f>
        <x:v>2683</x:v>
      </x:c>
      <x:c r="L58" s="50" t="n">
        <x:v>740</x:v>
      </x:c>
      <x:c r="M58" s="50" t="n">
        <x:v>560</x:v>
      </x:c>
      <x:c r="N58" s="50" t="n">
        <x:v>3.55</x:v>
      </x:c>
      <x:c r="O58" s="50" t="n">
        <x:v>-40</x:v>
      </x:c>
      <x:c r="P58" s="50" t="n">
        <x:v>100</x:v>
      </x:c>
      <x:c r="Q58" s="47" t="str">
        <x:v>Oil- and water-resistant synthetic rubber</x:v>
      </x:c>
      <x:c r="R58" s="47" t="str">
        <x:v>4 high-tensile steel wire spirals</x:v>
      </x:c>
      <x:c r="S58" s="47" t="str">
        <x:v>Oil- and weather-resistant synthetic rubber</x:v>
      </x:c>
      <x:c r="T58" s="47" t="str">
        <x:v>Black</x:v>
      </x:c>
      <x:c r="U58" s="47" t="str">
        <x:v>Wrapped</x:v>
      </x:c>
      <x:c r="V58" s="33" t="str">
        <x:v>Other</x:v>
      </x:c>
      <x:c r="W58" s="33" t="str">
        <x:v>N/A</x:v>
      </x:c>
      <x:c r="X58" s="47" t="str">
        <x:v>Petroleum- and water-based hydraulic fluids; verify special media</x:v>
      </x:c>
      <x:c r="Y58" s="47" t="str">
        <x:v>China</x:v>
      </x:c>
      <x:c r="Z58" s="47" t="str">
        <x:v>62d65f8412ff5.pdf p.9</x:v>
      </x:c>
      <x:c r="AA58" s="47" t="str">
        <x:v>Manual-derived catalog value; confirm production specification and skive requirement before production approval; unresolved values do not block RFQ eligibility.</x:v>
      </x:c>
      <x:c r="AB58" s="161" t="str">
        <x:v>Eligible</x:v>
      </x:c>
      <x:c r="AC58" s="161" t="str">
        <x:v>Pending</x:v>
      </x:c>
    </x:row>
    <x:row r="59" ht="34" customHeight="1">
      <x:c r="A59" s="33" t="str">
        <x:v>Draft</x:v>
      </x:c>
      <x:c r="B59" s="47" t="str">
        <x:v>EN4SP_009</x:v>
      </x:c>
      <x:c r="C59" s="33" t="str">
        <x:v>EN4SP</x:v>
      </x:c>
      <x:c r="D59" s="47" t="str">
        <x:v>EN 856 4SP</x:v>
      </x:c>
      <x:c r="E59" s="47" t="str"/>
      <x:c r="F59" s="33" t="str">
        <x:v>-32</x:v>
      </x:c>
      <x:c r="G59" s="50" t="n">
        <x:v>2</x:v>
      </x:c>
      <x:c r="H59" s="50" t="n">
        <x:v>51</x:v>
      </x:c>
      <x:c r="I59" s="50" t="n">
        <x:v>68.5</x:v>
      </x:c>
      <x:c r="J59" s="50" t="n">
        <x:v>165</x:v>
      </x:c>
      <x:c r="K59" s="64" t="n">
        <x:f>ROUND(J59*14.5038,0)</x:f>
        <x:v>2393</x:v>
      </x:c>
      <x:c r="L59" s="50" t="n">
        <x:v>660</x:v>
      </x:c>
      <x:c r="M59" s="50" t="n">
        <x:v>660</x:v>
      </x:c>
      <x:c r="N59" s="50" t="n">
        <x:v>4.86</x:v>
      </x:c>
      <x:c r="O59" s="50" t="n">
        <x:v>-40</x:v>
      </x:c>
      <x:c r="P59" s="50" t="n">
        <x:v>100</x:v>
      </x:c>
      <x:c r="Q59" s="47" t="str">
        <x:v>Oil- and water-resistant synthetic rubber</x:v>
      </x:c>
      <x:c r="R59" s="47" t="str">
        <x:v>4 high-tensile steel wire spirals</x:v>
      </x:c>
      <x:c r="S59" s="47" t="str">
        <x:v>Oil- and weather-resistant synthetic rubber</x:v>
      </x:c>
      <x:c r="T59" s="47" t="str">
        <x:v>Black</x:v>
      </x:c>
      <x:c r="U59" s="47" t="str">
        <x:v>Wrapped</x:v>
      </x:c>
      <x:c r="V59" s="33" t="str">
        <x:v>Other</x:v>
      </x:c>
      <x:c r="W59" s="33" t="str">
        <x:v>N/A</x:v>
      </x:c>
      <x:c r="X59" s="47" t="str">
        <x:v>Petroleum- and water-based hydraulic fluids; verify special media</x:v>
      </x:c>
      <x:c r="Y59" s="47" t="str">
        <x:v>China</x:v>
      </x:c>
      <x:c r="Z59" s="47" t="str">
        <x:v>62d65f8412ff5.pdf p.9</x:v>
      </x:c>
      <x:c r="AA59" s="47" t="str">
        <x:v>Manual-derived catalog value; confirm production specification and skive requirement before production approval; unresolved values do not block RFQ eligibility.</x:v>
      </x:c>
      <x:c r="AB59" s="161" t="str">
        <x:v>Eligible</x:v>
      </x:c>
      <x:c r="AC59" s="161" t="str">
        <x:v>Pending</x:v>
      </x:c>
    </x:row>
    <x:row r="60" ht="34" customHeight="1">
      <x:c r="A60" s="33" t="str">
        <x:v>Draft</x:v>
      </x:c>
      <x:c r="B60" s="47" t="str">
        <x:v>EN4SH_001</x:v>
      </x:c>
      <x:c r="C60" s="33" t="str">
        <x:v>EN4SH</x:v>
      </x:c>
      <x:c r="D60" s="47" t="str">
        <x:v>EN 856 4SH</x:v>
      </x:c>
      <x:c r="E60" s="47" t="str"/>
      <x:c r="F60" s="33" t="str">
        <x:v>-10</x:v>
      </x:c>
      <x:c r="G60" s="50" t="n">
        <x:v>0.625</x:v>
      </x:c>
      <x:c r="H60" s="50" t="n">
        <x:v>16</x:v>
      </x:c>
      <x:c r="I60" s="50" t="n">
        <x:v>28.2</x:v>
      </x:c>
      <x:c r="J60" s="50" t="n">
        <x:v>450</x:v>
      </x:c>
      <x:c r="K60" s="64" t="n">
        <x:f>ROUND(J60*14.5038,0)</x:f>
        <x:v>6527</x:v>
      </x:c>
      <x:c r="L60" s="50" t="n">
        <x:v>1800</x:v>
      </x:c>
      <x:c r="M60" s="50" t="n">
        <x:v>250</x:v>
      </x:c>
      <x:c r="N60" s="50" t="n">
        <x:v>1.24</x:v>
      </x:c>
      <x:c r="O60" s="50" t="n">
        <x:v>-40</x:v>
      </x:c>
      <x:c r="P60" s="50" t="n">
        <x:v>100</x:v>
      </x:c>
      <x:c r="Q60" s="47" t="str">
        <x:v>Oil- and water-resistant synthetic rubber</x:v>
      </x:c>
      <x:c r="R60" s="47" t="str">
        <x:v>4 high-tensile steel wire spirals</x:v>
      </x:c>
      <x:c r="S60" s="47" t="str">
        <x:v>Oil- and weather-resistant synthetic rubber</x:v>
      </x:c>
      <x:c r="T60" s="47" t="str">
        <x:v>Black</x:v>
      </x:c>
      <x:c r="U60" s="47" t="str">
        <x:v>Wrapped</x:v>
      </x:c>
      <x:c r="V60" s="33" t="str">
        <x:v>Other</x:v>
      </x:c>
      <x:c r="W60" s="33" t="str">
        <x:v>N/A</x:v>
      </x:c>
      <x:c r="X60" s="47" t="str">
        <x:v>Petroleum- and water-based hydraulic fluids; verify special media</x:v>
      </x:c>
      <x:c r="Y60" s="47" t="str">
        <x:v>China</x:v>
      </x:c>
      <x:c r="Z60" s="47" t="str">
        <x:v>62d65f8412ff5.pdf p.9</x:v>
      </x:c>
      <x:c r="AA60" s="47" t="str">
        <x:v>Manual-derived catalog value; confirm production specification and skive requirement before production approval; unresolved values do not block RFQ eligibility.</x:v>
      </x:c>
      <x:c r="AB60" s="161" t="str">
        <x:v>Eligible</x:v>
      </x:c>
      <x:c r="AC60" s="161" t="str">
        <x:v>Pending</x:v>
      </x:c>
    </x:row>
    <x:row r="61" ht="34" customHeight="1">
      <x:c r="A61" s="33" t="str">
        <x:v>Draft</x:v>
      </x:c>
      <x:c r="B61" s="47" t="str">
        <x:v>EN4SH_002</x:v>
      </x:c>
      <x:c r="C61" s="33" t="str">
        <x:v>EN4SH</x:v>
      </x:c>
      <x:c r="D61" s="47" t="str">
        <x:v>EN 856 4SH</x:v>
      </x:c>
      <x:c r="E61" s="47" t="str"/>
      <x:c r="F61" s="33" t="str">
        <x:v>-12</x:v>
      </x:c>
      <x:c r="G61" s="50" t="n">
        <x:v>0.75</x:v>
      </x:c>
      <x:c r="H61" s="50" t="n">
        <x:v>19</x:v>
      </x:c>
      <x:c r="I61" s="50" t="n">
        <x:v>32.4</x:v>
      </x:c>
      <x:c r="J61" s="50" t="n">
        <x:v>420</x:v>
      </x:c>
      <x:c r="K61" s="64" t="n">
        <x:f>ROUND(J61*14.5038,0)</x:f>
        <x:v>6092</x:v>
      </x:c>
      <x:c r="L61" s="50" t="n">
        <x:v>1680</x:v>
      </x:c>
      <x:c r="M61" s="50" t="n">
        <x:v>280</x:v>
      </x:c>
      <x:c r="N61" s="50" t="n">
        <x:v>1.7</x:v>
      </x:c>
      <x:c r="O61" s="50" t="n">
        <x:v>-40</x:v>
      </x:c>
      <x:c r="P61" s="50" t="n">
        <x:v>100</x:v>
      </x:c>
      <x:c r="Q61" s="47" t="str">
        <x:v>Oil- and water-resistant synthetic rubber</x:v>
      </x:c>
      <x:c r="R61" s="47" t="str">
        <x:v>4 high-tensile steel wire spirals</x:v>
      </x:c>
      <x:c r="S61" s="47" t="str">
        <x:v>Oil- and weather-resistant synthetic rubber</x:v>
      </x:c>
      <x:c r="T61" s="47" t="str">
        <x:v>Black</x:v>
      </x:c>
      <x:c r="U61" s="47" t="str">
        <x:v>Wrapped</x:v>
      </x:c>
      <x:c r="V61" s="33" t="str">
        <x:v>Other</x:v>
      </x:c>
      <x:c r="W61" s="33" t="str">
        <x:v>N/A</x:v>
      </x:c>
      <x:c r="X61" s="47" t="str">
        <x:v>Petroleum- and water-based hydraulic fluids; verify special media</x:v>
      </x:c>
      <x:c r="Y61" s="47" t="str">
        <x:v>China</x:v>
      </x:c>
      <x:c r="Z61" s="47" t="str">
        <x:v>62d65f8412ff5.pdf p.9</x:v>
      </x:c>
      <x:c r="AA61" s="47" t="str">
        <x:v>Manual-derived catalog value; confirm production specification and skive requirement before production approval; unresolved values do not block RFQ eligibility.</x:v>
      </x:c>
      <x:c r="AB61" s="161" t="str">
        <x:v>Eligible</x:v>
      </x:c>
      <x:c r="AC61" s="161" t="str">
        <x:v>Pending</x:v>
      </x:c>
    </x:row>
    <x:row r="62" ht="34" customHeight="1">
      <x:c r="A62" s="33" t="str">
        <x:v>Draft</x:v>
      </x:c>
      <x:c r="B62" s="47" t="str">
        <x:v>EN4SH_003</x:v>
      </x:c>
      <x:c r="C62" s="33" t="str">
        <x:v>EN4SH</x:v>
      </x:c>
      <x:c r="D62" s="47" t="str">
        <x:v>EN 856 4SH</x:v>
      </x:c>
      <x:c r="E62" s="47" t="str"/>
      <x:c r="F62" s="33" t="str">
        <x:v>-16</x:v>
      </x:c>
      <x:c r="G62" s="50" t="n">
        <x:v>1</x:v>
      </x:c>
      <x:c r="H62" s="50" t="n">
        <x:v>25</x:v>
      </x:c>
      <x:c r="I62" s="50" t="n">
        <x:v>38.5</x:v>
      </x:c>
      <x:c r="J62" s="50" t="n">
        <x:v>380</x:v>
      </x:c>
      <x:c r="K62" s="64" t="n">
        <x:f>ROUND(J62*14.5038,0)</x:f>
        <x:v>5511</x:v>
      </x:c>
      <x:c r="L62" s="50" t="n">
        <x:v>1520</x:v>
      </x:c>
      <x:c r="M62" s="50" t="n">
        <x:v>340</x:v>
      </x:c>
      <x:c r="N62" s="50" t="n">
        <x:v>2.5</x:v>
      </x:c>
      <x:c r="O62" s="50" t="n">
        <x:v>-40</x:v>
      </x:c>
      <x:c r="P62" s="50" t="n">
        <x:v>100</x:v>
      </x:c>
      <x:c r="Q62" s="47" t="str">
        <x:v>Oil- and water-resistant synthetic rubber</x:v>
      </x:c>
      <x:c r="R62" s="47" t="str">
        <x:v>4 high-tensile steel wire spirals</x:v>
      </x:c>
      <x:c r="S62" s="47" t="str">
        <x:v>Oil- and weather-resistant synthetic rubber</x:v>
      </x:c>
      <x:c r="T62" s="47" t="str">
        <x:v>Black</x:v>
      </x:c>
      <x:c r="U62" s="47" t="str">
        <x:v>Wrapped</x:v>
      </x:c>
      <x:c r="V62" s="33" t="str">
        <x:v>Other</x:v>
      </x:c>
      <x:c r="W62" s="33" t="str">
        <x:v>N/A</x:v>
      </x:c>
      <x:c r="X62" s="47" t="str">
        <x:v>Petroleum- and water-based hydraulic fluids; verify special media</x:v>
      </x:c>
      <x:c r="Y62" s="47" t="str">
        <x:v>China</x:v>
      </x:c>
      <x:c r="Z62" s="47" t="str">
        <x:v>62d65f8412ff5.pdf p.9</x:v>
      </x:c>
      <x:c r="AA62" s="47" t="str">
        <x:v>Manual-derived catalog value; confirm production specification and skive requirement before production approval; unresolved values do not block RFQ eligibility.</x:v>
      </x:c>
      <x:c r="AB62" s="161" t="str">
        <x:v>Eligible</x:v>
      </x:c>
      <x:c r="AC62" s="161" t="str">
        <x:v>Pending</x:v>
      </x:c>
    </x:row>
    <x:row r="63" ht="34" customHeight="1">
      <x:c r="A63" s="33" t="str">
        <x:v>Draft</x:v>
      </x:c>
      <x:c r="B63" s="47" t="str">
        <x:v>EN4SH_004</x:v>
      </x:c>
      <x:c r="C63" s="33" t="str">
        <x:v>EN4SH</x:v>
      </x:c>
      <x:c r="D63" s="47" t="str">
        <x:v>EN 856 4SH</x:v>
      </x:c>
      <x:c r="E63" s="47" t="str"/>
      <x:c r="F63" s="33" t="str">
        <x:v>-20</x:v>
      </x:c>
      <x:c r="G63" s="50" t="n">
        <x:v>1.25</x:v>
      </x:c>
      <x:c r="H63" s="50" t="n">
        <x:v>31.5</x:v>
      </x:c>
      <x:c r="I63" s="50" t="n">
        <x:v>44.9</x:v>
      </x:c>
      <x:c r="J63" s="50" t="n">
        <x:v>325</x:v>
      </x:c>
      <x:c r="K63" s="64" t="n">
        <x:f>ROUND(J63*14.5038,0)</x:f>
        <x:v>4714</x:v>
      </x:c>
      <x:c r="L63" s="50" t="n">
        <x:v>1300</x:v>
      </x:c>
      <x:c r="M63" s="50" t="n">
        <x:v>460</x:v>
      </x:c>
      <x:c r="N63" s="50" t="n">
        <x:v>3</x:v>
      </x:c>
      <x:c r="O63" s="50" t="n">
        <x:v>-40</x:v>
      </x:c>
      <x:c r="P63" s="50" t="n">
        <x:v>100</x:v>
      </x:c>
      <x:c r="Q63" s="47" t="str">
        <x:v>Oil- and water-resistant synthetic rubber</x:v>
      </x:c>
      <x:c r="R63" s="47" t="str">
        <x:v>4 high-tensile steel wire spirals</x:v>
      </x:c>
      <x:c r="S63" s="47" t="str">
        <x:v>Oil- and weather-resistant synthetic rubber</x:v>
      </x:c>
      <x:c r="T63" s="47" t="str">
        <x:v>Black</x:v>
      </x:c>
      <x:c r="U63" s="47" t="str">
        <x:v>Wrapped</x:v>
      </x:c>
      <x:c r="V63" s="33" t="str">
        <x:v>Other</x:v>
      </x:c>
      <x:c r="W63" s="33" t="str">
        <x:v>N/A</x:v>
      </x:c>
      <x:c r="X63" s="47" t="str">
        <x:v>Petroleum- and water-based hydraulic fluids; verify special media</x:v>
      </x:c>
      <x:c r="Y63" s="47" t="str">
        <x:v>China</x:v>
      </x:c>
      <x:c r="Z63" s="47" t="str">
        <x:v>62d65f8412ff5.pdf p.9</x:v>
      </x:c>
      <x:c r="AA63" s="47" t="str">
        <x:v>Manual-derived catalog value; confirm production specification and skive requirement before production approval; unresolved values do not block RFQ eligibility.</x:v>
      </x:c>
      <x:c r="AB63" s="161" t="str">
        <x:v>Eligible</x:v>
      </x:c>
      <x:c r="AC63" s="161" t="str">
        <x:v>Pending</x:v>
      </x:c>
    </x:row>
    <x:row r="64" ht="34" customHeight="1">
      <x:c r="A64" s="33" t="str">
        <x:v>Draft</x:v>
      </x:c>
      <x:c r="B64" s="47" t="str">
        <x:v>EN4SH_005</x:v>
      </x:c>
      <x:c r="C64" s="33" t="str">
        <x:v>EN4SH</x:v>
      </x:c>
      <x:c r="D64" s="47" t="str">
        <x:v>EN 856 4SH</x:v>
      </x:c>
      <x:c r="E64" s="47" t="str"/>
      <x:c r="F64" s="33" t="str">
        <x:v>-24</x:v>
      </x:c>
      <x:c r="G64" s="50" t="n">
        <x:v>1.5</x:v>
      </x:c>
      <x:c r="H64" s="50" t="n">
        <x:v>38</x:v>
      </x:c>
      <x:c r="I64" s="50" t="n">
        <x:v>52.9</x:v>
      </x:c>
      <x:c r="J64" s="50" t="n">
        <x:v>290</x:v>
      </x:c>
      <x:c r="K64" s="64" t="n">
        <x:f>ROUND(J64*14.5038,0)</x:f>
        <x:v>4206</x:v>
      </x:c>
      <x:c r="L64" s="50" t="n">
        <x:v>1160</x:v>
      </x:c>
      <x:c r="M64" s="50" t="n">
        <x:v>560</x:v>
      </x:c>
      <x:c r="N64" s="50" t="n">
        <x:v>3.6</x:v>
      </x:c>
      <x:c r="O64" s="50" t="n">
        <x:v>-40</x:v>
      </x:c>
      <x:c r="P64" s="50" t="n">
        <x:v>100</x:v>
      </x:c>
      <x:c r="Q64" s="47" t="str">
        <x:v>Oil- and water-resistant synthetic rubber</x:v>
      </x:c>
      <x:c r="R64" s="47" t="str">
        <x:v>4 high-tensile steel wire spirals</x:v>
      </x:c>
      <x:c r="S64" s="47" t="str">
        <x:v>Oil- and weather-resistant synthetic rubber</x:v>
      </x:c>
      <x:c r="T64" s="47" t="str">
        <x:v>Black</x:v>
      </x:c>
      <x:c r="U64" s="47" t="str">
        <x:v>Wrapped</x:v>
      </x:c>
      <x:c r="V64" s="33" t="str">
        <x:v>Other</x:v>
      </x:c>
      <x:c r="W64" s="33" t="str">
        <x:v>N/A</x:v>
      </x:c>
      <x:c r="X64" s="47" t="str">
        <x:v>Petroleum- and water-based hydraulic fluids; verify special media</x:v>
      </x:c>
      <x:c r="Y64" s="47" t="str">
        <x:v>China</x:v>
      </x:c>
      <x:c r="Z64" s="47" t="str">
        <x:v>62d65f8412ff5.pdf p.9</x:v>
      </x:c>
      <x:c r="AA64" s="47" t="str">
        <x:v>Manual-derived catalog value; confirm production specification and skive requirement before production approval; unresolved values do not block RFQ eligibility.</x:v>
      </x:c>
      <x:c r="AB64" s="161" t="str">
        <x:v>Eligible</x:v>
      </x:c>
      <x:c r="AC64" s="161" t="str">
        <x:v>Pending</x:v>
      </x:c>
    </x:row>
    <x:row r="65" ht="34" customHeight="1">
      <x:c r="A65" s="34" t="str">
        <x:v>Draft</x:v>
      </x:c>
      <x:c r="B65" s="48" t="str">
        <x:v>EN4SH_006</x:v>
      </x:c>
      <x:c r="C65" s="34" t="str">
        <x:v>EN4SH</x:v>
      </x:c>
      <x:c r="D65" s="48" t="str">
        <x:v>EN 856 4SH</x:v>
      </x:c>
      <x:c r="E65" s="48" t="str"/>
      <x:c r="F65" s="34" t="str">
        <x:v>-32</x:v>
      </x:c>
      <x:c r="G65" s="51" t="n">
        <x:v>2</x:v>
      </x:c>
      <x:c r="H65" s="51" t="n">
        <x:v>51</x:v>
      </x:c>
      <x:c r="I65" s="51" t="n">
        <x:v>67.5</x:v>
      </x:c>
      <x:c r="J65" s="51" t="n">
        <x:v>250</x:v>
      </x:c>
      <x:c r="K65" s="65" t="n">
        <x:f>ROUND(J65*14.5038,0)</x:f>
        <x:v>3626</x:v>
      </x:c>
      <x:c r="L65" s="51" t="n">
        <x:v>1000</x:v>
      </x:c>
      <x:c r="M65" s="51" t="n">
        <x:v>700</x:v>
      </x:c>
      <x:c r="N65" s="51" t="n">
        <x:v>5</x:v>
      </x:c>
      <x:c r="O65" s="51" t="n">
        <x:v>-40</x:v>
      </x:c>
      <x:c r="P65" s="51" t="n">
        <x:v>100</x:v>
      </x:c>
      <x:c r="Q65" s="48" t="str">
        <x:v>Oil- and water-resistant synthetic rubber</x:v>
      </x:c>
      <x:c r="R65" s="48" t="str">
        <x:v>4 high-tensile steel wire spirals</x:v>
      </x:c>
      <x:c r="S65" s="48" t="str">
        <x:v>Oil- and weather-resistant synthetic rubber</x:v>
      </x:c>
      <x:c r="T65" s="48" t="str">
        <x:v>Black</x:v>
      </x:c>
      <x:c r="U65" s="48" t="str">
        <x:v>Wrapped</x:v>
      </x:c>
      <x:c r="V65" s="34" t="str">
        <x:v>Other</x:v>
      </x:c>
      <x:c r="W65" s="34" t="str">
        <x:v>N/A</x:v>
      </x:c>
      <x:c r="X65" s="48" t="str">
        <x:v>Petroleum- and water-based hydraulic fluids; verify special media</x:v>
      </x:c>
      <x:c r="Y65" s="48" t="str">
        <x:v>China</x:v>
      </x:c>
      <x:c r="Z65" s="48" t="str">
        <x:v>62d65f8412ff5.pdf p.9</x:v>
      </x:c>
      <x:c r="AA65" s="48" t="str">
        <x:v>Manual-derived catalog value; confirm production specification and skive requirement before production approval; unresolved values do not block RFQ eligibility.</x:v>
      </x:c>
      <x:c r="AB65" s="162" t="str">
        <x:v>Eligible</x:v>
      </x:c>
      <x:c r="AC65" s="162" t="str">
        <x:v>Pending</x:v>
      </x:c>
    </x:row>
  </x:sheetData>
  <x:mergeCells>
    <x:mergeCell ref="A1:AC1"/>
    <x:mergeCell ref="A2:AC2"/>
  </x:mergeCells>
  <x:conditionalFormatting sqref="A5:A65">
    <x:cfRule type="containsText" dxfId="0" priority="1" operator="containsText" text="Ready"/>
    <x:cfRule type="containsText" dxfId="1" priority="2" operator="containsText" text="Blocked"/>
    <x:cfRule type="containsText" dxfId="2" priority="3" operator="containsText" text="Draft"/>
  </x:conditionalFormatting>
  <x:conditionalFormatting sqref="B5:B65">
    <x:cfRule type="duplicateValues" dxfId="3" priority="4"/>
  </x:conditionalFormatting>
  <x:dataValidations count="8">
    <x:dataValidation type="list" sqref="A5:A65">
      <x:formula1>"Draft,Ready,Blocked"</x:formula1>
    </x:dataValidation>
    <x:dataValidation type="list" sqref="C5:C65">
      <x:formula1>"601R1,601R2,EN1SC,EN2SC,EN4SP,EN4SH"</x:formula1>
    </x:dataValidation>
    <x:dataValidation type="list" sqref="F5:F65">
      <x:formula1>"-2,-3,-4,-5,-6,-8,-10,-12,-14,-16,-20,-24,-32,-40,-48,-56,-64"</x:formula1>
    </x:dataValidation>
    <x:dataValidation type="list" sqref="V5:V65">
      <x:formula1>"No Skive,External Skive,Internal + External Skive,Other"</x:formula1>
    </x:dataValidation>
    <x:dataValidation type="list" sqref="W5:W65">
      <x:formula1>"Yes,No,N/A"</x:formula1>
    </x:dataValidation>
    <x:dataValidation type="list" sqref="A5:A5004">
      <x:formula1>"Draft,Published,Archived"</x:formula1>
    </x:dataValidation>
    <x:dataValidation type="list" sqref="AB5:AB5004">
      <x:formula1>"Eligible,Manual Quote Only,Blocked"</x:formula1>
    </x:dataValidation>
    <x:dataValidation type="list" sqref="AC5:AC5004">
      <x:formula1>"Complete,Inherited,Pending"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e5d0c5c5d9745d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6" hidden="0" customWidth="1"/>
    <x:col min="3" max="3" width="20" hidden="0" customWidth="1"/>
    <x:col min="4" max="4" width="22" hidden="0" customWidth="1"/>
    <x:col min="5" max="5" width="18" hidden="0" customWidth="1"/>
    <x:col min="6" max="6" width="20" hidden="0" customWidth="1"/>
    <x:col min="7" max="7" width="12" hidden="0" customWidth="1"/>
    <x:col min="8" max="8" width="18" hidden="0" customWidth="1"/>
    <x:col min="9" max="9" width="16" hidden="0" customWidth="1"/>
    <x:col min="10" max="10" width="22" hidden="0" customWidth="1"/>
    <x:col min="11" max="11" width="18" hidden="0" customWidth="1"/>
    <x:col min="12" max="12" width="16" hidden="0" customWidth="1"/>
    <x:col min="13" max="13" width="18" hidden="0" customWidth="1"/>
    <x:col min="14" max="14" width="18" hidden="0" customWidth="1"/>
    <x:col min="15" max="15" width="18" hidden="0" customWidth="1"/>
    <x:col min="16" max="16" width="16" hidden="0" customWidth="1"/>
    <x:col min="17" max="17" width="18" hidden="0" customWidth="1"/>
    <x:col min="18" max="18" width="16" hidden="0" customWidth="1"/>
    <x:col min="19" max="19" width="18" hidden="0" customWidth="1"/>
    <x:col min="20" max="20" width="14" hidden="0" customWidth="1"/>
    <x:col min="21" max="21" width="14" hidden="0" customWidth="1"/>
    <x:col min="22" max="22" width="18" hidden="0" customWidth="1"/>
    <x:col min="23" max="23" width="16" hidden="0" customWidth="1"/>
    <x:col min="24" max="24" width="20" hidden="0" customWidth="1"/>
    <x:col min="25" max="25" width="14" hidden="0" customWidth="1"/>
    <x:col min="26" max="26" width="24" hidden="0" customWidth="1"/>
    <x:col min="27" max="27" width="30" hidden="0" customWidth="1"/>
    <x:col min="28" max="28" width="19" hidden="0" customWidth="1"/>
    <x:col min="29" max="29" width="22" hidden="0" customWidth="1"/>
  </x:cols>
  <x:sheetData>
    <x:row r="1" ht="30" customHeight="1">
      <x:c r="A1" s="3" t="str">
        <x:v>Crimp Hose Ends / 压接接头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</x:row>
    <x:row r="2" ht="34" customHeight="1">
      <x:c r="A2" s="12" t="str">
        <x:v>填写说明: 一行代表一个可采购的压接接头 SKU；兼容胶管、套筒及压接参数放在 04_兼容压接。红色表头为必填。发布状态、询价资格、技术资料状态相互独立；当前发布状态均为 Draft。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  <x:c r="O2" s="13"/>
      <x:c r="P2" s="13"/>
      <x:c r="Q2" s="13"/>
      <x:c r="R2" s="13"/>
      <x:c r="S2" s="13"/>
      <x:c r="T2" s="13"/>
      <x:c r="U2" s="13"/>
      <x:c r="V2" s="13"/>
      <x:c r="W2" s="13"/>
      <x:c r="X2" s="13"/>
      <x:c r="Y2" s="13"/>
      <x:c r="Z2" s="13"/>
      <x:c r="AA2" s="14"/>
    </x:row>
    <x:row r="4" ht="48" customHeight="1">
      <x:c r="A4" s="20" t="str">
        <x:v>* Catalog Publication Status / 目录发布状态</x:v>
      </x:c>
      <x:c r="B4" s="20" t="str">
        <x:v>* Hose End SKU / 接头SKU</x:v>
      </x:c>
      <x:c r="C4" s="20" t="str">
        <x:v>* Fitting Series / 接头系列</x:v>
      </x:c>
      <x:c r="D4" s="19" t="str">
        <x:v>Competitor Part No. / 竞品参考料号</x:v>
      </x:c>
      <x:c r="E4" s="20" t="str">
        <x:v>* Interface Family / 接口体系</x:v>
      </x:c>
      <x:c r="F4" s="20" t="str">
        <x:v>* Interface Standard / 接口标准</x:v>
      </x:c>
      <x:c r="G4" s="20" t="str">
        <x:v>* Gender / 公母</x:v>
      </x:c>
      <x:c r="H4" s="20" t="str">
        <x:v>* Swivel/Fixed / 旋转或固定</x:v>
      </x:c>
      <x:c r="I4" s="20" t="str">
        <x:v>* Angle / 角度</x:v>
      </x:c>
      <x:c r="J4" s="20" t="str">
        <x:v>* Sealing Form / 密封形式</x:v>
      </x:c>
      <x:c r="K4" s="20" t="str">
        <x:v>* Thread / 螺纹</x:v>
      </x:c>
      <x:c r="L4" s="20" t="str">
        <x:v>* Connection Dash / 接口Dash</x:v>
      </x:c>
      <x:c r="M4" s="20" t="str">
        <x:v>* Hose Tail Dash / 胶管尾Dash</x:v>
      </x:c>
      <x:c r="N4" s="19" t="str">
        <x:v>Material / 材质</x:v>
      </x:c>
      <x:c r="O4" s="19" t="str">
        <x:v>Coating / 表面处理</x:v>
      </x:c>
      <x:c r="P4" s="19" t="str">
        <x:v>Salt Spray h / 盐雾小时</x:v>
      </x:c>
      <x:c r="Q4" s="19" t="str">
        <x:v>Max Working bar / 最大工作压力</x:v>
      </x:c>
      <x:c r="R4" s="19" t="str">
        <x:v>Dimension A mm / 总长A</x:v>
      </x:c>
      <x:c r="S4" s="19" t="str">
        <x:v>Cut-off B mm / 扣除量B</x:v>
      </x:c>
      <x:c r="T4" s="19" t="str">
        <x:v>Hex 1 mm / 六角1</x:v>
      </x:c>
      <x:c r="U4" s="19" t="str">
        <x:v>Hex 2 mm / 六角2</x:v>
      </x:c>
      <x:c r="V4" s="19" t="str">
        <x:v>Minimum Bore mm / 最小通径</x:v>
      </x:c>
      <x:c r="W4" s="19" t="str">
        <x:v>Unit Weight g / 单重</x:v>
      </x:c>
      <x:c r="X4" s="19" t="str">
        <x:v>Drawing No. / 图纸号</x:v>
      </x:c>
      <x:c r="Y4" s="19" t="str">
        <x:v>Drawing Rev / 图纸版本</x:v>
      </x:c>
      <x:c r="Z4" s="20" t="str">
        <x:v>* Source Document/Page / 来源</x:v>
      </x:c>
      <x:c r="AA4" s="19" t="str">
        <x:v>Notes / 备注</x:v>
      </x:c>
      <x:c r="AB4" s="154" t="str">
        <x:v>* RFQ Eligibility / 询价资格</x:v>
      </x:c>
      <x:c r="AC4" s="154" t="str">
        <x:v>* Technical Data Status / 技术资料状态</x:v>
      </x:c>
    </x:row>
    <x:row r="5" ht="34" customHeight="1">
      <x:c r="A5" s="32" t="str">
        <x:v>Draft</x:v>
      </x:c>
      <x:c r="B5" s="46" t="str">
        <x:v>BSPP_F_SW_04_04</x:v>
      </x:c>
      <x:c r="C5" s="46" t="str">
        <x:v>FBSPX competitor matrix</x:v>
      </x:c>
      <x:c r="D5" s="46" t="str">
        <x:v>FBSPX-04-04W</x:v>
      </x:c>
      <x:c r="E5" s="32" t="str">
        <x:v>BSPP</x:v>
      </x:c>
      <x:c r="F5" s="46" t="str">
        <x:v>ISO 1179 / ISO 228-1</x:v>
      </x:c>
      <x:c r="G5" s="32" t="str">
        <x:v>Female</x:v>
      </x:c>
      <x:c r="H5" s="32" t="str">
        <x:v>Swivel</x:v>
      </x:c>
      <x:c r="I5" s="32" t="str">
        <x:v>0° Straight</x:v>
      </x:c>
      <x:c r="J5" s="46" t="str">
        <x:v>60° cone seat</x:v>
      </x:c>
      <x:c r="K5" s="46" t="str">
        <x:v>G 1/4-19</x:v>
      </x:c>
      <x:c r="L5" s="32" t="str">
        <x:v>-4</x:v>
      </x:c>
      <x:c r="M5" s="32" t="str">
        <x:v>-4</x:v>
      </x:c>
      <x:c r="N5" s="46" t="str"/>
      <x:c r="O5" s="32" t="str"/>
      <x:c r="P5" s="49" t="str"/>
      <x:c r="Q5" s="49" t="str"/>
      <x:c r="R5" s="49" t="str"/>
      <x:c r="S5" s="49" t="str"/>
      <x:c r="T5" s="49" t="str"/>
      <x:c r="U5" s="49" t="str"/>
      <x:c r="V5" s="49" t="str"/>
      <x:c r="W5" s="49" t="str"/>
      <x:c r="X5" s="46" t="str"/>
      <x:c r="Y5" s="46" t="str"/>
      <x:c r="Z5" s="46" t="str">
        <x:v>https://www.discounthydraulichose.com/v/vspfiles/downloadables/dhh-hose.pdf#page=26</x:v>
      </x:c>
      <x:c r="AA5" s="46" t="str">
        <x:v>Competitor public catalog matrix reference. Factory drawing, dimensions, material, coating, pressure and crimp compatibility must be verified.</x:v>
      </x:c>
      <x:c r="AB5" s="161" t="str">
        <x:v>Eligible</x:v>
      </x:c>
      <x:c r="AC5" s="161" t="str">
        <x:v>Pending</x:v>
      </x:c>
    </x:row>
    <x:row r="6" ht="34" customHeight="1">
      <x:c r="A6" s="33" t="str">
        <x:v>Draft</x:v>
      </x:c>
      <x:c r="B6" s="47" t="str">
        <x:v>BSPP_F_SW_06_04</x:v>
      </x:c>
      <x:c r="C6" s="47" t="str">
        <x:v>FBSPX competitor matrix</x:v>
      </x:c>
      <x:c r="D6" s="47" t="str">
        <x:v>FBSPX-04-06W</x:v>
      </x:c>
      <x:c r="E6" s="33" t="str">
        <x:v>BSPP</x:v>
      </x:c>
      <x:c r="F6" s="47" t="str">
        <x:v>ISO 1179 / ISO 228-1</x:v>
      </x:c>
      <x:c r="G6" s="33" t="str">
        <x:v>Female</x:v>
      </x:c>
      <x:c r="H6" s="33" t="str">
        <x:v>Swivel</x:v>
      </x:c>
      <x:c r="I6" s="33" t="str">
        <x:v>0° Straight</x:v>
      </x:c>
      <x:c r="J6" s="47" t="str">
        <x:v>60° cone seat</x:v>
      </x:c>
      <x:c r="K6" s="47" t="str">
        <x:v>G 3/8-19</x:v>
      </x:c>
      <x:c r="L6" s="33" t="str">
        <x:v>-6</x:v>
      </x:c>
      <x:c r="M6" s="33" t="str">
        <x:v>-4</x:v>
      </x:c>
      <x:c r="N6" s="47" t="str"/>
      <x:c r="O6" s="33" t="str"/>
      <x:c r="P6" s="50" t="str"/>
      <x:c r="Q6" s="50" t="str"/>
      <x:c r="R6" s="50" t="str"/>
      <x:c r="S6" s="50" t="str"/>
      <x:c r="T6" s="50" t="str"/>
      <x:c r="U6" s="50" t="str"/>
      <x:c r="V6" s="50" t="str"/>
      <x:c r="W6" s="50" t="str"/>
      <x:c r="X6" s="47" t="str"/>
      <x:c r="Y6" s="47" t="str"/>
      <x:c r="Z6" s="47" t="str">
        <x:v>https://www.discounthydraulichose.com/v/vspfiles/downloadables/dhh-hose.pdf#page=26</x:v>
      </x:c>
      <x:c r="AA6" s="47" t="str">
        <x:v>Competitor public catalog matrix reference. Factory drawing, dimensions, material, coating, pressure and crimp compatibility must be verified.</x:v>
      </x:c>
      <x:c r="AB6" s="161" t="str">
        <x:v>Eligible</x:v>
      </x:c>
      <x:c r="AC6" s="161" t="str">
        <x:v>Pending</x:v>
      </x:c>
    </x:row>
    <x:row r="7" ht="34" customHeight="1">
      <x:c r="A7" s="33" t="str">
        <x:v>Draft</x:v>
      </x:c>
      <x:c r="B7" s="47" t="str">
        <x:v>BSPP_F_SW_06_06</x:v>
      </x:c>
      <x:c r="C7" s="47" t="str">
        <x:v>FBSPX competitor matrix</x:v>
      </x:c>
      <x:c r="D7" s="47" t="str">
        <x:v>FBSPX-06-06W</x:v>
      </x:c>
      <x:c r="E7" s="33" t="str">
        <x:v>BSPP</x:v>
      </x:c>
      <x:c r="F7" s="47" t="str">
        <x:v>ISO 1179 / ISO 228-1</x:v>
      </x:c>
      <x:c r="G7" s="33" t="str">
        <x:v>Female</x:v>
      </x:c>
      <x:c r="H7" s="33" t="str">
        <x:v>Swivel</x:v>
      </x:c>
      <x:c r="I7" s="33" t="str">
        <x:v>0° Straight</x:v>
      </x:c>
      <x:c r="J7" s="47" t="str">
        <x:v>60° cone seat</x:v>
      </x:c>
      <x:c r="K7" s="47" t="str">
        <x:v>G 3/8-19</x:v>
      </x:c>
      <x:c r="L7" s="33" t="str">
        <x:v>-6</x:v>
      </x:c>
      <x:c r="M7" s="33" t="str">
        <x:v>-6</x:v>
      </x:c>
      <x:c r="N7" s="47" t="str"/>
      <x:c r="O7" s="33" t="str"/>
      <x:c r="P7" s="50" t="str"/>
      <x:c r="Q7" s="50" t="str"/>
      <x:c r="R7" s="50" t="str"/>
      <x:c r="S7" s="50" t="str"/>
      <x:c r="T7" s="50" t="str"/>
      <x:c r="U7" s="50" t="str"/>
      <x:c r="V7" s="50" t="str"/>
      <x:c r="W7" s="50" t="str"/>
      <x:c r="X7" s="47" t="str"/>
      <x:c r="Y7" s="47" t="str"/>
      <x:c r="Z7" s="47" t="str">
        <x:v>https://www.discounthydraulichose.com/v/vspfiles/downloadables/dhh-hose.pdf#page=26</x:v>
      </x:c>
      <x:c r="AA7" s="47" t="str">
        <x:v>Competitor public catalog matrix reference. Factory drawing, dimensions, material, coating, pressure and crimp compatibility must be verified.</x:v>
      </x:c>
      <x:c r="AB7" s="161" t="str">
        <x:v>Eligible</x:v>
      </x:c>
      <x:c r="AC7" s="161" t="str">
        <x:v>Pending</x:v>
      </x:c>
    </x:row>
    <x:row r="8" ht="34" customHeight="1">
      <x:c r="A8" s="33" t="str">
        <x:v>Draft</x:v>
      </x:c>
      <x:c r="B8" s="47" t="str">
        <x:v>BSPP_F_SW_08_06</x:v>
      </x:c>
      <x:c r="C8" s="47" t="str">
        <x:v>FBSPX competitor matrix</x:v>
      </x:c>
      <x:c r="D8" s="47" t="str">
        <x:v>FBSPX-06-08W</x:v>
      </x:c>
      <x:c r="E8" s="33" t="str">
        <x:v>BSPP</x:v>
      </x:c>
      <x:c r="F8" s="47" t="str">
        <x:v>ISO 1179 / ISO 228-1</x:v>
      </x:c>
      <x:c r="G8" s="33" t="str">
        <x:v>Female</x:v>
      </x:c>
      <x:c r="H8" s="33" t="str">
        <x:v>Swivel</x:v>
      </x:c>
      <x:c r="I8" s="33" t="str">
        <x:v>0° Straight</x:v>
      </x:c>
      <x:c r="J8" s="47" t="str">
        <x:v>60° cone seat</x:v>
      </x:c>
      <x:c r="K8" s="47" t="str">
        <x:v>G 1/2-14</x:v>
      </x:c>
      <x:c r="L8" s="33" t="str">
        <x:v>-8</x:v>
      </x:c>
      <x:c r="M8" s="33" t="str">
        <x:v>-6</x:v>
      </x:c>
      <x:c r="N8" s="47" t="str"/>
      <x:c r="O8" s="33" t="str"/>
      <x:c r="P8" s="50" t="str"/>
      <x:c r="Q8" s="50" t="str"/>
      <x:c r="R8" s="50" t="str"/>
      <x:c r="S8" s="50" t="str"/>
      <x:c r="T8" s="50" t="str"/>
      <x:c r="U8" s="50" t="str"/>
      <x:c r="V8" s="50" t="str"/>
      <x:c r="W8" s="50" t="str"/>
      <x:c r="X8" s="47" t="str"/>
      <x:c r="Y8" s="47" t="str"/>
      <x:c r="Z8" s="47" t="str">
        <x:v>https://www.discounthydraulichose.com/v/vspfiles/downloadables/dhh-hose.pdf#page=26</x:v>
      </x:c>
      <x:c r="AA8" s="47" t="str">
        <x:v>Competitor public catalog matrix reference. Factory drawing, dimensions, material, coating, pressure and crimp compatibility must be verified.</x:v>
      </x:c>
      <x:c r="AB8" s="161" t="str">
        <x:v>Eligible</x:v>
      </x:c>
      <x:c r="AC8" s="161" t="str">
        <x:v>Pending</x:v>
      </x:c>
    </x:row>
    <x:row r="9" ht="34" customHeight="1">
      <x:c r="A9" s="33" t="str">
        <x:v>Draft</x:v>
      </x:c>
      <x:c r="B9" s="47" t="str">
        <x:v>BSPP_F_SW_08_08</x:v>
      </x:c>
      <x:c r="C9" s="47" t="str">
        <x:v>FBSPX competitor matrix</x:v>
      </x:c>
      <x:c r="D9" s="47" t="str">
        <x:v>FBSPX-08-08W</x:v>
      </x:c>
      <x:c r="E9" s="33" t="str">
        <x:v>BSPP</x:v>
      </x:c>
      <x:c r="F9" s="47" t="str">
        <x:v>ISO 1179 / ISO 228-1</x:v>
      </x:c>
      <x:c r="G9" s="33" t="str">
        <x:v>Female</x:v>
      </x:c>
      <x:c r="H9" s="33" t="str">
        <x:v>Swivel</x:v>
      </x:c>
      <x:c r="I9" s="33" t="str">
        <x:v>0° Straight</x:v>
      </x:c>
      <x:c r="J9" s="47" t="str">
        <x:v>60° cone seat</x:v>
      </x:c>
      <x:c r="K9" s="47" t="str">
        <x:v>G 1/2-14</x:v>
      </x:c>
      <x:c r="L9" s="33" t="str">
        <x:v>-8</x:v>
      </x:c>
      <x:c r="M9" s="33" t="str">
        <x:v>-8</x:v>
      </x:c>
      <x:c r="N9" s="47" t="str"/>
      <x:c r="O9" s="33" t="str"/>
      <x:c r="P9" s="50" t="str"/>
      <x:c r="Q9" s="50" t="str"/>
      <x:c r="R9" s="50" t="str"/>
      <x:c r="S9" s="50" t="str"/>
      <x:c r="T9" s="50" t="str"/>
      <x:c r="U9" s="50" t="str"/>
      <x:c r="V9" s="50" t="str"/>
      <x:c r="W9" s="50" t="str"/>
      <x:c r="X9" s="47" t="str"/>
      <x:c r="Y9" s="47" t="str"/>
      <x:c r="Z9" s="47" t="str">
        <x:v>https://www.discounthydraulichose.com/v/vspfiles/downloadables/dhh-hose.pdf#page=26</x:v>
      </x:c>
      <x:c r="AA9" s="47" t="str">
        <x:v>Competitor public catalog matrix reference. Factory drawing, dimensions, material, coating, pressure and crimp compatibility must be verified.</x:v>
      </x:c>
      <x:c r="AB9" s="161" t="str">
        <x:v>Eligible</x:v>
      </x:c>
      <x:c r="AC9" s="161" t="str">
        <x:v>Pending</x:v>
      </x:c>
    </x:row>
    <x:row r="10" ht="34" customHeight="1">
      <x:c r="A10" s="33" t="str">
        <x:v>Draft</x:v>
      </x:c>
      <x:c r="B10" s="47" t="str">
        <x:v>BSPP_F_SW_10_08</x:v>
      </x:c>
      <x:c r="C10" s="47" t="str">
        <x:v>FBSPX competitor matrix</x:v>
      </x:c>
      <x:c r="D10" s="47" t="str">
        <x:v>FBSPX-08-10W</x:v>
      </x:c>
      <x:c r="E10" s="33" t="str">
        <x:v>BSPP</x:v>
      </x:c>
      <x:c r="F10" s="47" t="str">
        <x:v>ISO 1179 / ISO 228-1</x:v>
      </x:c>
      <x:c r="G10" s="33" t="str">
        <x:v>Female</x:v>
      </x:c>
      <x:c r="H10" s="33" t="str">
        <x:v>Swivel</x:v>
      </x:c>
      <x:c r="I10" s="33" t="str">
        <x:v>0° Straight</x:v>
      </x:c>
      <x:c r="J10" s="47" t="str">
        <x:v>60° cone seat</x:v>
      </x:c>
      <x:c r="K10" s="47" t="str">
        <x:v>G 5/8-14</x:v>
      </x:c>
      <x:c r="L10" s="33" t="str">
        <x:v>-10</x:v>
      </x:c>
      <x:c r="M10" s="33" t="str">
        <x:v>-8</x:v>
      </x:c>
      <x:c r="N10" s="47" t="str"/>
      <x:c r="O10" s="33" t="str"/>
      <x:c r="P10" s="50" t="str"/>
      <x:c r="Q10" s="50" t="str"/>
      <x:c r="R10" s="50" t="str"/>
      <x:c r="S10" s="50" t="str"/>
      <x:c r="T10" s="50" t="str"/>
      <x:c r="U10" s="50" t="str"/>
      <x:c r="V10" s="50" t="str"/>
      <x:c r="W10" s="50" t="str"/>
      <x:c r="X10" s="47" t="str"/>
      <x:c r="Y10" s="47" t="str"/>
      <x:c r="Z10" s="47" t="str">
        <x:v>https://www.discounthydraulichose.com/v/vspfiles/downloadables/dhh-hose.pdf#page=26</x:v>
      </x:c>
      <x:c r="AA10" s="47" t="str">
        <x:v>Competitor public catalog matrix reference. Factory drawing, dimensions, material, coating, pressure and crimp compatibility must be verified.</x:v>
      </x:c>
      <x:c r="AB10" s="161" t="str">
        <x:v>Eligible</x:v>
      </x:c>
      <x:c r="AC10" s="161" t="str">
        <x:v>Pending</x:v>
      </x:c>
    </x:row>
    <x:row r="11" ht="34" customHeight="1">
      <x:c r="A11" s="33" t="str">
        <x:v>Draft</x:v>
      </x:c>
      <x:c r="B11" s="47" t="str">
        <x:v>BSPP_F_SW_10_10</x:v>
      </x:c>
      <x:c r="C11" s="47" t="str">
        <x:v>FBSPX competitor matrix</x:v>
      </x:c>
      <x:c r="D11" s="47" t="str">
        <x:v>FBSPX-10-10W</x:v>
      </x:c>
      <x:c r="E11" s="33" t="str">
        <x:v>BSPP</x:v>
      </x:c>
      <x:c r="F11" s="47" t="str">
        <x:v>ISO 1179 / ISO 228-1</x:v>
      </x:c>
      <x:c r="G11" s="33" t="str">
        <x:v>Female</x:v>
      </x:c>
      <x:c r="H11" s="33" t="str">
        <x:v>Swivel</x:v>
      </x:c>
      <x:c r="I11" s="33" t="str">
        <x:v>0° Straight</x:v>
      </x:c>
      <x:c r="J11" s="47" t="str">
        <x:v>60° cone seat</x:v>
      </x:c>
      <x:c r="K11" s="47" t="str">
        <x:v>G 5/8-14</x:v>
      </x:c>
      <x:c r="L11" s="33" t="str">
        <x:v>-10</x:v>
      </x:c>
      <x:c r="M11" s="33" t="str">
        <x:v>-10</x:v>
      </x:c>
      <x:c r="N11" s="47" t="str"/>
      <x:c r="O11" s="33" t="str"/>
      <x:c r="P11" s="50" t="str"/>
      <x:c r="Q11" s="50" t="str"/>
      <x:c r="R11" s="50" t="str"/>
      <x:c r="S11" s="50" t="str"/>
      <x:c r="T11" s="50" t="str"/>
      <x:c r="U11" s="50" t="str"/>
      <x:c r="V11" s="50" t="str"/>
      <x:c r="W11" s="50" t="str"/>
      <x:c r="X11" s="47" t="str"/>
      <x:c r="Y11" s="47" t="str"/>
      <x:c r="Z11" s="47" t="str">
        <x:v>https://www.discounthydraulichose.com/v/vspfiles/downloadables/dhh-hose.pdf#page=26</x:v>
      </x:c>
      <x:c r="AA11" s="47" t="str">
        <x:v>Competitor public catalog matrix reference. Factory drawing, dimensions, material, coating, pressure and crimp compatibility must be verified.</x:v>
      </x:c>
      <x:c r="AB11" s="161" t="str">
        <x:v>Eligible</x:v>
      </x:c>
      <x:c r="AC11" s="161" t="str">
        <x:v>Pending</x:v>
      </x:c>
    </x:row>
    <x:row r="12" ht="34" customHeight="1">
      <x:c r="A12" s="33" t="str">
        <x:v>Draft</x:v>
      </x:c>
      <x:c r="B12" s="47" t="str">
        <x:v>BSPP_F_SW_12_12</x:v>
      </x:c>
      <x:c r="C12" s="47" t="str">
        <x:v>FBSPX competitor matrix</x:v>
      </x:c>
      <x:c r="D12" s="47" t="str">
        <x:v>FBSPX-12-12W</x:v>
      </x:c>
      <x:c r="E12" s="33" t="str">
        <x:v>BSPP</x:v>
      </x:c>
      <x:c r="F12" s="47" t="str">
        <x:v>ISO 1179 / ISO 228-1</x:v>
      </x:c>
      <x:c r="G12" s="33" t="str">
        <x:v>Female</x:v>
      </x:c>
      <x:c r="H12" s="33" t="str">
        <x:v>Swivel</x:v>
      </x:c>
      <x:c r="I12" s="33" t="str">
        <x:v>0° Straight</x:v>
      </x:c>
      <x:c r="J12" s="47" t="str">
        <x:v>60° cone seat</x:v>
      </x:c>
      <x:c r="K12" s="47" t="str">
        <x:v>G 3/4-14</x:v>
      </x:c>
      <x:c r="L12" s="33" t="str">
        <x:v>-12</x:v>
      </x:c>
      <x:c r="M12" s="33" t="str">
        <x:v>-12</x:v>
      </x:c>
      <x:c r="N12" s="47" t="str"/>
      <x:c r="O12" s="33" t="str"/>
      <x:c r="P12" s="50" t="str"/>
      <x:c r="Q12" s="50" t="str"/>
      <x:c r="R12" s="50" t="str"/>
      <x:c r="S12" s="50" t="str"/>
      <x:c r="T12" s="50" t="str"/>
      <x:c r="U12" s="50" t="str"/>
      <x:c r="V12" s="50" t="str"/>
      <x:c r="W12" s="50" t="str"/>
      <x:c r="X12" s="47" t="str"/>
      <x:c r="Y12" s="47" t="str"/>
      <x:c r="Z12" s="47" t="str">
        <x:v>https://www.discounthydraulichose.com/v/vspfiles/downloadables/dhh-hose.pdf#page=26</x:v>
      </x:c>
      <x:c r="AA12" s="47" t="str">
        <x:v>Competitor public catalog matrix reference. Factory drawing, dimensions, material, coating, pressure and crimp compatibility must be verified.</x:v>
      </x:c>
      <x:c r="AB12" s="161" t="str">
        <x:v>Eligible</x:v>
      </x:c>
      <x:c r="AC12" s="161" t="str">
        <x:v>Pending</x:v>
      </x:c>
    </x:row>
    <x:row r="13" ht="34" customHeight="1">
      <x:c r="A13" s="33" t="str">
        <x:v>Draft</x:v>
      </x:c>
      <x:c r="B13" s="47" t="str">
        <x:v>BSPP_F_SW_16_16</x:v>
      </x:c>
      <x:c r="C13" s="47" t="str">
        <x:v>FBSPX competitor matrix</x:v>
      </x:c>
      <x:c r="D13" s="47" t="str">
        <x:v>FBSPX-16-16W</x:v>
      </x:c>
      <x:c r="E13" s="33" t="str">
        <x:v>BSPP</x:v>
      </x:c>
      <x:c r="F13" s="47" t="str">
        <x:v>ISO 1179 / ISO 228-1</x:v>
      </x:c>
      <x:c r="G13" s="33" t="str">
        <x:v>Female</x:v>
      </x:c>
      <x:c r="H13" s="33" t="str">
        <x:v>Swivel</x:v>
      </x:c>
      <x:c r="I13" s="33" t="str">
        <x:v>0° Straight</x:v>
      </x:c>
      <x:c r="J13" s="47" t="str">
        <x:v>60° cone seat</x:v>
      </x:c>
      <x:c r="K13" s="47" t="str">
        <x:v>G 1-11</x:v>
      </x:c>
      <x:c r="L13" s="33" t="str">
        <x:v>-16</x:v>
      </x:c>
      <x:c r="M13" s="33" t="str">
        <x:v>-16</x:v>
      </x:c>
      <x:c r="N13" s="47" t="str"/>
      <x:c r="O13" s="33" t="str"/>
      <x:c r="P13" s="50" t="str"/>
      <x:c r="Q13" s="50" t="str"/>
      <x:c r="R13" s="50" t="str"/>
      <x:c r="S13" s="50" t="str"/>
      <x:c r="T13" s="50" t="str"/>
      <x:c r="U13" s="50" t="str"/>
      <x:c r="V13" s="50" t="str"/>
      <x:c r="W13" s="50" t="str"/>
      <x:c r="X13" s="47" t="str"/>
      <x:c r="Y13" s="47" t="str"/>
      <x:c r="Z13" s="47" t="str">
        <x:v>https://www.discounthydraulichose.com/v/vspfiles/downloadables/dhh-hose.pdf#page=26</x:v>
      </x:c>
      <x:c r="AA13" s="47" t="str">
        <x:v>Competitor public catalog matrix reference. Factory drawing, dimensions, material, coating, pressure and crimp compatibility must be verified.</x:v>
      </x:c>
      <x:c r="AB13" s="161" t="str">
        <x:v>Eligible</x:v>
      </x:c>
      <x:c r="AC13" s="161" t="str">
        <x:v>Pending</x:v>
      </x:c>
    </x:row>
    <x:row r="14" ht="34" customHeight="1">
      <x:c r="A14" s="33" t="str">
        <x:v>Draft</x:v>
      </x:c>
      <x:c r="B14" s="47" t="str">
        <x:v>BSPP_M_FX_04_04</x:v>
      </x:c>
      <x:c r="C14" s="47" t="str">
        <x:v>MBSPP competitor matrix</x:v>
      </x:c>
      <x:c r="D14" s="47" t="str">
        <x:v>MBSPP-04-04W</x:v>
      </x:c>
      <x:c r="E14" s="33" t="str">
        <x:v>BSPP</x:v>
      </x:c>
      <x:c r="F14" s="47" t="str">
        <x:v>ISO 1179 / ISO 228-1</x:v>
      </x:c>
      <x:c r="G14" s="33" t="str">
        <x:v>Male</x:v>
      </x:c>
      <x:c r="H14" s="33" t="str">
        <x:v>Fixed</x:v>
      </x:c>
      <x:c r="I14" s="33" t="str">
        <x:v>0° Straight</x:v>
      </x:c>
      <x:c r="J14" s="47" t="str">
        <x:v>60° cone seat</x:v>
      </x:c>
      <x:c r="K14" s="47" t="str">
        <x:v>G 1/4-19</x:v>
      </x:c>
      <x:c r="L14" s="33" t="str">
        <x:v>-4</x:v>
      </x:c>
      <x:c r="M14" s="33" t="str">
        <x:v>-4</x:v>
      </x:c>
      <x:c r="N14" s="47" t="str"/>
      <x:c r="O14" s="33" t="str"/>
      <x:c r="P14" s="50" t="str"/>
      <x:c r="Q14" s="50" t="str"/>
      <x:c r="R14" s="50" t="str"/>
      <x:c r="S14" s="50" t="str"/>
      <x:c r="T14" s="50" t="str"/>
      <x:c r="U14" s="50" t="str"/>
      <x:c r="V14" s="50" t="str"/>
      <x:c r="W14" s="50" t="str"/>
      <x:c r="X14" s="47" t="str"/>
      <x:c r="Y14" s="47" t="str"/>
      <x:c r="Z14" s="47" t="str">
        <x:v>https://www.discounthydraulichose.com/v/vspfiles/downloadables/dhh-hose.pdf#page=26</x:v>
      </x:c>
      <x:c r="AA14" s="47" t="str">
        <x:v>Competitor public catalog matrix reference. Factory drawing, dimensions, material, coating, pressure and crimp compatibility must be verified.</x:v>
      </x:c>
      <x:c r="AB14" s="161" t="str">
        <x:v>Eligible</x:v>
      </x:c>
      <x:c r="AC14" s="161" t="str">
        <x:v>Pending</x:v>
      </x:c>
    </x:row>
    <x:row r="15" ht="34" customHeight="1">
      <x:c r="A15" s="33" t="str">
        <x:v>Draft</x:v>
      </x:c>
      <x:c r="B15" s="47" t="str">
        <x:v>BSPP_M_FX_06_04</x:v>
      </x:c>
      <x:c r="C15" s="47" t="str">
        <x:v>MBSPP competitor matrix</x:v>
      </x:c>
      <x:c r="D15" s="47" t="str">
        <x:v>MBSPP-04-06W</x:v>
      </x:c>
      <x:c r="E15" s="33" t="str">
        <x:v>BSPP</x:v>
      </x:c>
      <x:c r="F15" s="47" t="str">
        <x:v>ISO 1179 / ISO 228-1</x:v>
      </x:c>
      <x:c r="G15" s="33" t="str">
        <x:v>Male</x:v>
      </x:c>
      <x:c r="H15" s="33" t="str">
        <x:v>Fixed</x:v>
      </x:c>
      <x:c r="I15" s="33" t="str">
        <x:v>0° Straight</x:v>
      </x:c>
      <x:c r="J15" s="47" t="str">
        <x:v>60° cone seat</x:v>
      </x:c>
      <x:c r="K15" s="47" t="str">
        <x:v>G 3/8-19</x:v>
      </x:c>
      <x:c r="L15" s="33" t="str">
        <x:v>-6</x:v>
      </x:c>
      <x:c r="M15" s="33" t="str">
        <x:v>-4</x:v>
      </x:c>
      <x:c r="N15" s="47" t="str"/>
      <x:c r="O15" s="33" t="str"/>
      <x:c r="P15" s="50" t="str"/>
      <x:c r="Q15" s="50" t="str"/>
      <x:c r="R15" s="50" t="str"/>
      <x:c r="S15" s="50" t="str"/>
      <x:c r="T15" s="50" t="str"/>
      <x:c r="U15" s="50" t="str"/>
      <x:c r="V15" s="50" t="str"/>
      <x:c r="W15" s="50" t="str"/>
      <x:c r="X15" s="47" t="str"/>
      <x:c r="Y15" s="47" t="str"/>
      <x:c r="Z15" s="47" t="str">
        <x:v>https://www.discounthydraulichose.com/v/vspfiles/downloadables/dhh-hose.pdf#page=26</x:v>
      </x:c>
      <x:c r="AA15" s="47" t="str">
        <x:v>Competitor public catalog matrix reference. Factory drawing, dimensions, material, coating, pressure and crimp compatibility must be verified.</x:v>
      </x:c>
      <x:c r="AB15" s="161" t="str">
        <x:v>Eligible</x:v>
      </x:c>
      <x:c r="AC15" s="161" t="str">
        <x:v>Pending</x:v>
      </x:c>
    </x:row>
    <x:row r="16" ht="34" customHeight="1">
      <x:c r="A16" s="33" t="str">
        <x:v>Draft</x:v>
      </x:c>
      <x:c r="B16" s="47" t="str">
        <x:v>BSPP_M_FX_06_06</x:v>
      </x:c>
      <x:c r="C16" s="47" t="str">
        <x:v>MBSPP competitor matrix</x:v>
      </x:c>
      <x:c r="D16" s="47" t="str">
        <x:v>MBSPP-06-06W</x:v>
      </x:c>
      <x:c r="E16" s="33" t="str">
        <x:v>BSPP</x:v>
      </x:c>
      <x:c r="F16" s="47" t="str">
        <x:v>ISO 1179 / ISO 228-1</x:v>
      </x:c>
      <x:c r="G16" s="33" t="str">
        <x:v>Male</x:v>
      </x:c>
      <x:c r="H16" s="33" t="str">
        <x:v>Fixed</x:v>
      </x:c>
      <x:c r="I16" s="33" t="str">
        <x:v>0° Straight</x:v>
      </x:c>
      <x:c r="J16" s="47" t="str">
        <x:v>60° cone seat</x:v>
      </x:c>
      <x:c r="K16" s="47" t="str">
        <x:v>G 3/8-19</x:v>
      </x:c>
      <x:c r="L16" s="33" t="str">
        <x:v>-6</x:v>
      </x:c>
      <x:c r="M16" s="33" t="str">
        <x:v>-6</x:v>
      </x:c>
      <x:c r="N16" s="47" t="str"/>
      <x:c r="O16" s="33" t="str"/>
      <x:c r="P16" s="50" t="str"/>
      <x:c r="Q16" s="50" t="str"/>
      <x:c r="R16" s="50" t="str"/>
      <x:c r="S16" s="50" t="str"/>
      <x:c r="T16" s="50" t="str"/>
      <x:c r="U16" s="50" t="str"/>
      <x:c r="V16" s="50" t="str"/>
      <x:c r="W16" s="50" t="str"/>
      <x:c r="X16" s="47" t="str"/>
      <x:c r="Y16" s="47" t="str"/>
      <x:c r="Z16" s="47" t="str">
        <x:v>https://www.discounthydraulichose.com/v/vspfiles/downloadables/dhh-hose.pdf#page=26</x:v>
      </x:c>
      <x:c r="AA16" s="47" t="str">
        <x:v>Competitor public catalog matrix reference. Factory drawing, dimensions, material, coating, pressure and crimp compatibility must be verified.</x:v>
      </x:c>
      <x:c r="AB16" s="161" t="str">
        <x:v>Eligible</x:v>
      </x:c>
      <x:c r="AC16" s="161" t="str">
        <x:v>Pending</x:v>
      </x:c>
    </x:row>
    <x:row r="17" ht="34" customHeight="1">
      <x:c r="A17" s="33" t="str">
        <x:v>Draft</x:v>
      </x:c>
      <x:c r="B17" s="47" t="str">
        <x:v>BSPP_M_FX_08_06</x:v>
      </x:c>
      <x:c r="C17" s="47" t="str">
        <x:v>MBSPP competitor matrix</x:v>
      </x:c>
      <x:c r="D17" s="47" t="str">
        <x:v>MBSPP-06-08W</x:v>
      </x:c>
      <x:c r="E17" s="33" t="str">
        <x:v>BSPP</x:v>
      </x:c>
      <x:c r="F17" s="47" t="str">
        <x:v>ISO 1179 / ISO 228-1</x:v>
      </x:c>
      <x:c r="G17" s="33" t="str">
        <x:v>Male</x:v>
      </x:c>
      <x:c r="H17" s="33" t="str">
        <x:v>Fixed</x:v>
      </x:c>
      <x:c r="I17" s="33" t="str">
        <x:v>0° Straight</x:v>
      </x:c>
      <x:c r="J17" s="47" t="str">
        <x:v>60° cone seat</x:v>
      </x:c>
      <x:c r="K17" s="47" t="str">
        <x:v>G 1/2-14</x:v>
      </x:c>
      <x:c r="L17" s="33" t="str">
        <x:v>-8</x:v>
      </x:c>
      <x:c r="M17" s="33" t="str">
        <x:v>-6</x:v>
      </x:c>
      <x:c r="N17" s="47" t="str"/>
      <x:c r="O17" s="33" t="str"/>
      <x:c r="P17" s="50" t="str"/>
      <x:c r="Q17" s="50" t="str"/>
      <x:c r="R17" s="50" t="str"/>
      <x:c r="S17" s="50" t="str"/>
      <x:c r="T17" s="50" t="str"/>
      <x:c r="U17" s="50" t="str"/>
      <x:c r="V17" s="50" t="str"/>
      <x:c r="W17" s="50" t="str"/>
      <x:c r="X17" s="47" t="str"/>
      <x:c r="Y17" s="47" t="str"/>
      <x:c r="Z17" s="47" t="str">
        <x:v>https://www.discounthydraulichose.com/v/vspfiles/downloadables/dhh-hose.pdf#page=26</x:v>
      </x:c>
      <x:c r="AA17" s="47" t="str">
        <x:v>Competitor public catalog matrix reference. Factory drawing, dimensions, material, coating, pressure and crimp compatibility must be verified.</x:v>
      </x:c>
      <x:c r="AB17" s="161" t="str">
        <x:v>Eligible</x:v>
      </x:c>
      <x:c r="AC17" s="161" t="str">
        <x:v>Pending</x:v>
      </x:c>
    </x:row>
    <x:row r="18" ht="34" customHeight="1">
      <x:c r="A18" s="33" t="str">
        <x:v>Draft</x:v>
      </x:c>
      <x:c r="B18" s="47" t="str">
        <x:v>BSPP_M_FX_08_08</x:v>
      </x:c>
      <x:c r="C18" s="47" t="str">
        <x:v>MBSPP competitor matrix</x:v>
      </x:c>
      <x:c r="D18" s="47" t="str">
        <x:v>MBSPP-08-08W</x:v>
      </x:c>
      <x:c r="E18" s="33" t="str">
        <x:v>BSPP</x:v>
      </x:c>
      <x:c r="F18" s="47" t="str">
        <x:v>ISO 1179 / ISO 228-1</x:v>
      </x:c>
      <x:c r="G18" s="33" t="str">
        <x:v>Male</x:v>
      </x:c>
      <x:c r="H18" s="33" t="str">
        <x:v>Fixed</x:v>
      </x:c>
      <x:c r="I18" s="33" t="str">
        <x:v>0° Straight</x:v>
      </x:c>
      <x:c r="J18" s="47" t="str">
        <x:v>60° cone seat</x:v>
      </x:c>
      <x:c r="K18" s="47" t="str">
        <x:v>G 1/2-14</x:v>
      </x:c>
      <x:c r="L18" s="33" t="str">
        <x:v>-8</x:v>
      </x:c>
      <x:c r="M18" s="33" t="str">
        <x:v>-8</x:v>
      </x:c>
      <x:c r="N18" s="47" t="str"/>
      <x:c r="O18" s="33" t="str"/>
      <x:c r="P18" s="50" t="str"/>
      <x:c r="Q18" s="50" t="str"/>
      <x:c r="R18" s="50" t="str"/>
      <x:c r="S18" s="50" t="str"/>
      <x:c r="T18" s="50" t="str"/>
      <x:c r="U18" s="50" t="str"/>
      <x:c r="V18" s="50" t="str"/>
      <x:c r="W18" s="50" t="str"/>
      <x:c r="X18" s="47" t="str"/>
      <x:c r="Y18" s="47" t="str"/>
      <x:c r="Z18" s="47" t="str">
        <x:v>https://www.discounthydraulichose.com/v/vspfiles/downloadables/dhh-hose.pdf#page=26</x:v>
      </x:c>
      <x:c r="AA18" s="47" t="str">
        <x:v>Competitor public catalog matrix reference. Factory drawing, dimensions, material, coating, pressure and crimp compatibility must be verified.</x:v>
      </x:c>
      <x:c r="AB18" s="161" t="str">
        <x:v>Eligible</x:v>
      </x:c>
      <x:c r="AC18" s="161" t="str">
        <x:v>Pending</x:v>
      </x:c>
    </x:row>
    <x:row r="19" ht="34" customHeight="1">
      <x:c r="A19" s="33" t="str">
        <x:v>Draft</x:v>
      </x:c>
      <x:c r="B19" s="47" t="str">
        <x:v>BSPP_M_FX_10_08</x:v>
      </x:c>
      <x:c r="C19" s="47" t="str">
        <x:v>MBSPP competitor matrix</x:v>
      </x:c>
      <x:c r="D19" s="47" t="str">
        <x:v>MBSPP-08-10W</x:v>
      </x:c>
      <x:c r="E19" s="33" t="str">
        <x:v>BSPP</x:v>
      </x:c>
      <x:c r="F19" s="47" t="str">
        <x:v>ISO 1179 / ISO 228-1</x:v>
      </x:c>
      <x:c r="G19" s="33" t="str">
        <x:v>Male</x:v>
      </x:c>
      <x:c r="H19" s="33" t="str">
        <x:v>Fixed</x:v>
      </x:c>
      <x:c r="I19" s="33" t="str">
        <x:v>0° Straight</x:v>
      </x:c>
      <x:c r="J19" s="47" t="str">
        <x:v>60° cone seat</x:v>
      </x:c>
      <x:c r="K19" s="47" t="str">
        <x:v>G 5/8-14</x:v>
      </x:c>
      <x:c r="L19" s="33" t="str">
        <x:v>-10</x:v>
      </x:c>
      <x:c r="M19" s="33" t="str">
        <x:v>-8</x:v>
      </x:c>
      <x:c r="N19" s="47" t="str"/>
      <x:c r="O19" s="33" t="str"/>
      <x:c r="P19" s="50" t="str"/>
      <x:c r="Q19" s="50" t="str"/>
      <x:c r="R19" s="50" t="str"/>
      <x:c r="S19" s="50" t="str"/>
      <x:c r="T19" s="50" t="str"/>
      <x:c r="U19" s="50" t="str"/>
      <x:c r="V19" s="50" t="str"/>
      <x:c r="W19" s="50" t="str"/>
      <x:c r="X19" s="47" t="str"/>
      <x:c r="Y19" s="47" t="str"/>
      <x:c r="Z19" s="47" t="str">
        <x:v>https://www.discounthydraulichose.com/v/vspfiles/downloadables/dhh-hose.pdf#page=26</x:v>
      </x:c>
      <x:c r="AA19" s="47" t="str">
        <x:v>Competitor public catalog matrix reference. Factory drawing, dimensions, material, coating, pressure and crimp compatibility must be verified.</x:v>
      </x:c>
      <x:c r="AB19" s="161" t="str">
        <x:v>Eligible</x:v>
      </x:c>
      <x:c r="AC19" s="161" t="str">
        <x:v>Pending</x:v>
      </x:c>
    </x:row>
    <x:row r="20" ht="34" customHeight="1">
      <x:c r="A20" s="33" t="str">
        <x:v>Draft</x:v>
      </x:c>
      <x:c r="B20" s="47" t="str">
        <x:v>BSPP_M_FX_12_12</x:v>
      </x:c>
      <x:c r="C20" s="47" t="str">
        <x:v>MBSPP competitor matrix</x:v>
      </x:c>
      <x:c r="D20" s="47" t="str">
        <x:v>MBSPP-12-12W</x:v>
      </x:c>
      <x:c r="E20" s="33" t="str">
        <x:v>BSPP</x:v>
      </x:c>
      <x:c r="F20" s="47" t="str">
        <x:v>ISO 1179 / ISO 228-1</x:v>
      </x:c>
      <x:c r="G20" s="33" t="str">
        <x:v>Male</x:v>
      </x:c>
      <x:c r="H20" s="33" t="str">
        <x:v>Fixed</x:v>
      </x:c>
      <x:c r="I20" s="33" t="str">
        <x:v>0° Straight</x:v>
      </x:c>
      <x:c r="J20" s="47" t="str">
        <x:v>60° cone seat</x:v>
      </x:c>
      <x:c r="K20" s="47" t="str">
        <x:v>G 3/4-14</x:v>
      </x:c>
      <x:c r="L20" s="33" t="str">
        <x:v>-12</x:v>
      </x:c>
      <x:c r="M20" s="33" t="str">
        <x:v>-12</x:v>
      </x:c>
      <x:c r="N20" s="47" t="str"/>
      <x:c r="O20" s="33" t="str"/>
      <x:c r="P20" s="50" t="str"/>
      <x:c r="Q20" s="50" t="str"/>
      <x:c r="R20" s="50" t="str"/>
      <x:c r="S20" s="50" t="str"/>
      <x:c r="T20" s="50" t="str"/>
      <x:c r="U20" s="50" t="str"/>
      <x:c r="V20" s="50" t="str"/>
      <x:c r="W20" s="50" t="str"/>
      <x:c r="X20" s="47" t="str"/>
      <x:c r="Y20" s="47" t="str"/>
      <x:c r="Z20" s="47" t="str">
        <x:v>https://www.discounthydraulichose.com/v/vspfiles/downloadables/dhh-hose.pdf#page=26</x:v>
      </x:c>
      <x:c r="AA20" s="47" t="str">
        <x:v>Competitor public catalog matrix reference. Factory drawing, dimensions, material, coating, pressure and crimp compatibility must be verified.</x:v>
      </x:c>
      <x:c r="AB20" s="161" t="str">
        <x:v>Eligible</x:v>
      </x:c>
      <x:c r="AC20" s="161" t="str">
        <x:v>Pending</x:v>
      </x:c>
    </x:row>
    <x:row r="21" ht="34" customHeight="1">
      <x:c r="A21" s="33" t="str">
        <x:v>Draft</x:v>
      </x:c>
      <x:c r="B21" s="47" t="str">
        <x:v>BSPP45_F_SW_04_04</x:v>
      </x:c>
      <x:c r="C21" s="47" t="str">
        <x:v>FBSPX45 competitor matrix</x:v>
      </x:c>
      <x:c r="D21" s="47" t="str">
        <x:v>FBSPX45-04-04W</x:v>
      </x:c>
      <x:c r="E21" s="33" t="str">
        <x:v>BSPP</x:v>
      </x:c>
      <x:c r="F21" s="47" t="str">
        <x:v>ISO 1179 / ISO 228-1</x:v>
      </x:c>
      <x:c r="G21" s="33" t="str">
        <x:v>Female</x:v>
      </x:c>
      <x:c r="H21" s="33" t="str">
        <x:v>Swivel</x:v>
      </x:c>
      <x:c r="I21" s="33" t="str">
        <x:v>45°</x:v>
      </x:c>
      <x:c r="J21" s="47" t="str">
        <x:v>60° cone seat</x:v>
      </x:c>
      <x:c r="K21" s="47" t="str">
        <x:v>G 1/4-19</x:v>
      </x:c>
      <x:c r="L21" s="33" t="str">
        <x:v>-4</x:v>
      </x:c>
      <x:c r="M21" s="33" t="str">
        <x:v>-4</x:v>
      </x:c>
      <x:c r="N21" s="47" t="str"/>
      <x:c r="O21" s="33" t="str"/>
      <x:c r="P21" s="50" t="str"/>
      <x:c r="Q21" s="50" t="str"/>
      <x:c r="R21" s="50" t="str"/>
      <x:c r="S21" s="50" t="str"/>
      <x:c r="T21" s="50" t="str"/>
      <x:c r="U21" s="50" t="str"/>
      <x:c r="V21" s="50" t="str"/>
      <x:c r="W21" s="50" t="str"/>
      <x:c r="X21" s="47" t="str"/>
      <x:c r="Y21" s="47" t="str"/>
      <x:c r="Z21" s="47" t="str">
        <x:v>https://www.discounthydraulichose.com/v/vspfiles/downloadables/dhh-hose.pdf#page=26</x:v>
      </x:c>
      <x:c r="AA21" s="47" t="str">
        <x:v>Competitor public catalog matrix reference. Factory drawing, dimensions, material, coating, pressure and crimp compatibility must be verified.</x:v>
      </x:c>
      <x:c r="AB21" s="161" t="str">
        <x:v>Eligible</x:v>
      </x:c>
      <x:c r="AC21" s="161" t="str">
        <x:v>Pending</x:v>
      </x:c>
    </x:row>
    <x:row r="22" ht="34" customHeight="1">
      <x:c r="A22" s="33" t="str">
        <x:v>Draft</x:v>
      </x:c>
      <x:c r="B22" s="47" t="str">
        <x:v>BSPP45_F_SW_06_06</x:v>
      </x:c>
      <x:c r="C22" s="47" t="str">
        <x:v>FBSPX45 competitor matrix</x:v>
      </x:c>
      <x:c r="D22" s="47" t="str">
        <x:v>FBSPX45-06-06W</x:v>
      </x:c>
      <x:c r="E22" s="33" t="str">
        <x:v>BSPP</x:v>
      </x:c>
      <x:c r="F22" s="47" t="str">
        <x:v>ISO 1179 / ISO 228-1</x:v>
      </x:c>
      <x:c r="G22" s="33" t="str">
        <x:v>Female</x:v>
      </x:c>
      <x:c r="H22" s="33" t="str">
        <x:v>Swivel</x:v>
      </x:c>
      <x:c r="I22" s="33" t="str">
        <x:v>45°</x:v>
      </x:c>
      <x:c r="J22" s="47" t="str">
        <x:v>60° cone seat</x:v>
      </x:c>
      <x:c r="K22" s="47" t="str">
        <x:v>G 3/8-19</x:v>
      </x:c>
      <x:c r="L22" s="33" t="str">
        <x:v>-6</x:v>
      </x:c>
      <x:c r="M22" s="33" t="str">
        <x:v>-6</x:v>
      </x:c>
      <x:c r="N22" s="47" t="str"/>
      <x:c r="O22" s="33" t="str"/>
      <x:c r="P22" s="50" t="str"/>
      <x:c r="Q22" s="50" t="str"/>
      <x:c r="R22" s="50" t="str"/>
      <x:c r="S22" s="50" t="str"/>
      <x:c r="T22" s="50" t="str"/>
      <x:c r="U22" s="50" t="str"/>
      <x:c r="V22" s="50" t="str"/>
      <x:c r="W22" s="50" t="str"/>
      <x:c r="X22" s="47" t="str"/>
      <x:c r="Y22" s="47" t="str"/>
      <x:c r="Z22" s="47" t="str">
        <x:v>https://www.discounthydraulichose.com/v/vspfiles/downloadables/dhh-hose.pdf#page=26</x:v>
      </x:c>
      <x:c r="AA22" s="47" t="str">
        <x:v>Competitor public catalog matrix reference. Factory drawing, dimensions, material, coating, pressure and crimp compatibility must be verified.</x:v>
      </x:c>
      <x:c r="AB22" s="161" t="str">
        <x:v>Eligible</x:v>
      </x:c>
      <x:c r="AC22" s="161" t="str">
        <x:v>Pending</x:v>
      </x:c>
    </x:row>
    <x:row r="23" ht="34" customHeight="1">
      <x:c r="A23" s="33" t="str">
        <x:v>Draft</x:v>
      </x:c>
      <x:c r="B23" s="47" t="str">
        <x:v>BSPP45_F_SW_08_08</x:v>
      </x:c>
      <x:c r="C23" s="47" t="str">
        <x:v>FBSPX45 competitor matrix</x:v>
      </x:c>
      <x:c r="D23" s="47" t="str">
        <x:v>FBSPX45-08-08W</x:v>
      </x:c>
      <x:c r="E23" s="33" t="str">
        <x:v>BSPP</x:v>
      </x:c>
      <x:c r="F23" s="47" t="str">
        <x:v>ISO 1179 / ISO 228-1</x:v>
      </x:c>
      <x:c r="G23" s="33" t="str">
        <x:v>Female</x:v>
      </x:c>
      <x:c r="H23" s="33" t="str">
        <x:v>Swivel</x:v>
      </x:c>
      <x:c r="I23" s="33" t="str">
        <x:v>45°</x:v>
      </x:c>
      <x:c r="J23" s="47" t="str">
        <x:v>60° cone seat</x:v>
      </x:c>
      <x:c r="K23" s="47" t="str">
        <x:v>G 1/2-14</x:v>
      </x:c>
      <x:c r="L23" s="33" t="str">
        <x:v>-8</x:v>
      </x:c>
      <x:c r="M23" s="33" t="str">
        <x:v>-8</x:v>
      </x:c>
      <x:c r="N23" s="47" t="str"/>
      <x:c r="O23" s="33" t="str"/>
      <x:c r="P23" s="50" t="str"/>
      <x:c r="Q23" s="50" t="str"/>
      <x:c r="R23" s="50" t="str"/>
      <x:c r="S23" s="50" t="str"/>
      <x:c r="T23" s="50" t="str"/>
      <x:c r="U23" s="50" t="str"/>
      <x:c r="V23" s="50" t="str"/>
      <x:c r="W23" s="50" t="str"/>
      <x:c r="X23" s="47" t="str"/>
      <x:c r="Y23" s="47" t="str"/>
      <x:c r="Z23" s="47" t="str">
        <x:v>https://www.discounthydraulichose.com/v/vspfiles/downloadables/dhh-hose.pdf#page=26</x:v>
      </x:c>
      <x:c r="AA23" s="47" t="str">
        <x:v>Competitor public catalog matrix reference. Factory drawing, dimensions, material, coating, pressure and crimp compatibility must be verified.</x:v>
      </x:c>
      <x:c r="AB23" s="161" t="str">
        <x:v>Eligible</x:v>
      </x:c>
      <x:c r="AC23" s="161" t="str">
        <x:v>Pending</x:v>
      </x:c>
    </x:row>
    <x:row r="24" ht="34" customHeight="1">
      <x:c r="A24" s="33" t="str">
        <x:v>Draft</x:v>
      </x:c>
      <x:c r="B24" s="47" t="str">
        <x:v>BSPP45_F_SW_10_10</x:v>
      </x:c>
      <x:c r="C24" s="47" t="str">
        <x:v>FBSPX45 competitor matrix</x:v>
      </x:c>
      <x:c r="D24" s="47" t="str">
        <x:v>FBSPX45-10-10W</x:v>
      </x:c>
      <x:c r="E24" s="33" t="str">
        <x:v>BSPP</x:v>
      </x:c>
      <x:c r="F24" s="47" t="str">
        <x:v>ISO 1179 / ISO 228-1</x:v>
      </x:c>
      <x:c r="G24" s="33" t="str">
        <x:v>Female</x:v>
      </x:c>
      <x:c r="H24" s="33" t="str">
        <x:v>Swivel</x:v>
      </x:c>
      <x:c r="I24" s="33" t="str">
        <x:v>45°</x:v>
      </x:c>
      <x:c r="J24" s="47" t="str">
        <x:v>60° cone seat</x:v>
      </x:c>
      <x:c r="K24" s="47" t="str">
        <x:v>G 5/8-14</x:v>
      </x:c>
      <x:c r="L24" s="33" t="str">
        <x:v>-10</x:v>
      </x:c>
      <x:c r="M24" s="33" t="str">
        <x:v>-10</x:v>
      </x:c>
      <x:c r="N24" s="47" t="str"/>
      <x:c r="O24" s="33" t="str"/>
      <x:c r="P24" s="50" t="str"/>
      <x:c r="Q24" s="50" t="str"/>
      <x:c r="R24" s="50" t="str"/>
      <x:c r="S24" s="50" t="str"/>
      <x:c r="T24" s="50" t="str"/>
      <x:c r="U24" s="50" t="str"/>
      <x:c r="V24" s="50" t="str"/>
      <x:c r="W24" s="50" t="str"/>
      <x:c r="X24" s="47" t="str"/>
      <x:c r="Y24" s="47" t="str"/>
      <x:c r="Z24" s="47" t="str">
        <x:v>https://www.discounthydraulichose.com/v/vspfiles/downloadables/dhh-hose.pdf#page=26</x:v>
      </x:c>
      <x:c r="AA24" s="47" t="str">
        <x:v>Competitor public catalog matrix reference. Factory drawing, dimensions, material, coating, pressure and crimp compatibility must be verified.</x:v>
      </x:c>
      <x:c r="AB24" s="161" t="str">
        <x:v>Eligible</x:v>
      </x:c>
      <x:c r="AC24" s="161" t="str">
        <x:v>Pending</x:v>
      </x:c>
    </x:row>
    <x:row r="25" ht="34" customHeight="1">
      <x:c r="A25" s="33" t="str">
        <x:v>Draft</x:v>
      </x:c>
      <x:c r="B25" s="47" t="str">
        <x:v>BSPP45_F_SW_12_12</x:v>
      </x:c>
      <x:c r="C25" s="47" t="str">
        <x:v>FBSPX45 competitor matrix</x:v>
      </x:c>
      <x:c r="D25" s="47" t="str">
        <x:v>FBSPX45-12-12W</x:v>
      </x:c>
      <x:c r="E25" s="33" t="str">
        <x:v>BSPP</x:v>
      </x:c>
      <x:c r="F25" s="47" t="str">
        <x:v>ISO 1179 / ISO 228-1</x:v>
      </x:c>
      <x:c r="G25" s="33" t="str">
        <x:v>Female</x:v>
      </x:c>
      <x:c r="H25" s="33" t="str">
        <x:v>Swivel</x:v>
      </x:c>
      <x:c r="I25" s="33" t="str">
        <x:v>45°</x:v>
      </x:c>
      <x:c r="J25" s="47" t="str">
        <x:v>60° cone seat</x:v>
      </x:c>
      <x:c r="K25" s="47" t="str">
        <x:v>G 3/4-14</x:v>
      </x:c>
      <x:c r="L25" s="33" t="str">
        <x:v>-12</x:v>
      </x:c>
      <x:c r="M25" s="33" t="str">
        <x:v>-12</x:v>
      </x:c>
      <x:c r="N25" s="47" t="str"/>
      <x:c r="O25" s="33" t="str"/>
      <x:c r="P25" s="50" t="str"/>
      <x:c r="Q25" s="50" t="str"/>
      <x:c r="R25" s="50" t="str"/>
      <x:c r="S25" s="50" t="str"/>
      <x:c r="T25" s="50" t="str"/>
      <x:c r="U25" s="50" t="str"/>
      <x:c r="V25" s="50" t="str"/>
      <x:c r="W25" s="50" t="str"/>
      <x:c r="X25" s="47" t="str"/>
      <x:c r="Y25" s="47" t="str"/>
      <x:c r="Z25" s="47" t="str">
        <x:v>https://www.discounthydraulichose.com/v/vspfiles/downloadables/dhh-hose.pdf#page=26</x:v>
      </x:c>
      <x:c r="AA25" s="47" t="str">
        <x:v>Competitor public catalog matrix reference. Factory drawing, dimensions, material, coating, pressure and crimp compatibility must be verified.</x:v>
      </x:c>
      <x:c r="AB25" s="161" t="str">
        <x:v>Eligible</x:v>
      </x:c>
      <x:c r="AC25" s="161" t="str">
        <x:v>Pending</x:v>
      </x:c>
    </x:row>
    <x:row r="26" ht="34" customHeight="1">
      <x:c r="A26" s="33" t="str">
        <x:v>Draft</x:v>
      </x:c>
      <x:c r="B26" s="47" t="str">
        <x:v>BSPP45_F_SW_16_16</x:v>
      </x:c>
      <x:c r="C26" s="47" t="str">
        <x:v>FBSPX45 competitor matrix</x:v>
      </x:c>
      <x:c r="D26" s="47" t="str">
        <x:v>FBSPX45-16-16W</x:v>
      </x:c>
      <x:c r="E26" s="33" t="str">
        <x:v>BSPP</x:v>
      </x:c>
      <x:c r="F26" s="47" t="str">
        <x:v>ISO 1179 / ISO 228-1</x:v>
      </x:c>
      <x:c r="G26" s="33" t="str">
        <x:v>Female</x:v>
      </x:c>
      <x:c r="H26" s="33" t="str">
        <x:v>Swivel</x:v>
      </x:c>
      <x:c r="I26" s="33" t="str">
        <x:v>45°</x:v>
      </x:c>
      <x:c r="J26" s="47" t="str">
        <x:v>60° cone seat</x:v>
      </x:c>
      <x:c r="K26" s="47" t="str">
        <x:v>G 1-11</x:v>
      </x:c>
      <x:c r="L26" s="33" t="str">
        <x:v>-16</x:v>
      </x:c>
      <x:c r="M26" s="33" t="str">
        <x:v>-16</x:v>
      </x:c>
      <x:c r="N26" s="47" t="str"/>
      <x:c r="O26" s="33" t="str"/>
      <x:c r="P26" s="50" t="str"/>
      <x:c r="Q26" s="50" t="str"/>
      <x:c r="R26" s="50" t="str"/>
      <x:c r="S26" s="50" t="str"/>
      <x:c r="T26" s="50" t="str"/>
      <x:c r="U26" s="50" t="str"/>
      <x:c r="V26" s="50" t="str"/>
      <x:c r="W26" s="50" t="str"/>
      <x:c r="X26" s="47" t="str"/>
      <x:c r="Y26" s="47" t="str"/>
      <x:c r="Z26" s="47" t="str">
        <x:v>https://www.discounthydraulichose.com/v/vspfiles/downloadables/dhh-hose.pdf#page=26</x:v>
      </x:c>
      <x:c r="AA26" s="47" t="str">
        <x:v>Competitor public catalog matrix reference. Factory drawing, dimensions, material, coating, pressure and crimp compatibility must be verified.</x:v>
      </x:c>
      <x:c r="AB26" s="161" t="str">
        <x:v>Eligible</x:v>
      </x:c>
      <x:c r="AC26" s="161" t="str">
        <x:v>Pending</x:v>
      </x:c>
    </x:row>
    <x:row r="27" ht="34" customHeight="1">
      <x:c r="A27" s="33" t="str">
        <x:v>Draft</x:v>
      </x:c>
      <x:c r="B27" s="47" t="str">
        <x:v>BSPP90_F_SW_04_04</x:v>
      </x:c>
      <x:c r="C27" s="47" t="str">
        <x:v>FBSPX90 competitor matrix</x:v>
      </x:c>
      <x:c r="D27" s="47" t="str">
        <x:v>FBSPX90-04-04W</x:v>
      </x:c>
      <x:c r="E27" s="33" t="str">
        <x:v>BSPP</x:v>
      </x:c>
      <x:c r="F27" s="47" t="str">
        <x:v>ISO 1179 / ISO 228-1</x:v>
      </x:c>
      <x:c r="G27" s="33" t="str">
        <x:v>Female</x:v>
      </x:c>
      <x:c r="H27" s="33" t="str">
        <x:v>Swivel</x:v>
      </x:c>
      <x:c r="I27" s="33" t="str">
        <x:v>90°</x:v>
      </x:c>
      <x:c r="J27" s="47" t="str">
        <x:v>60° cone seat</x:v>
      </x:c>
      <x:c r="K27" s="47" t="str">
        <x:v>G 1/4-19</x:v>
      </x:c>
      <x:c r="L27" s="33" t="str">
        <x:v>-4</x:v>
      </x:c>
      <x:c r="M27" s="33" t="str">
        <x:v>-4</x:v>
      </x:c>
      <x:c r="N27" s="47" t="str"/>
      <x:c r="O27" s="33" t="str"/>
      <x:c r="P27" s="50" t="str"/>
      <x:c r="Q27" s="50" t="str"/>
      <x:c r="R27" s="50" t="str"/>
      <x:c r="S27" s="50" t="str"/>
      <x:c r="T27" s="50" t="str"/>
      <x:c r="U27" s="50" t="str"/>
      <x:c r="V27" s="50" t="str"/>
      <x:c r="W27" s="50" t="str"/>
      <x:c r="X27" s="47" t="str"/>
      <x:c r="Y27" s="47" t="str"/>
      <x:c r="Z27" s="47" t="str">
        <x:v>https://www.discounthydraulichose.com/v/vspfiles/downloadables/dhh-hose.pdf#page=26</x:v>
      </x:c>
      <x:c r="AA27" s="47" t="str">
        <x:v>Competitor public catalog matrix reference. Factory drawing, dimensions, material, coating, pressure and crimp compatibility must be verified.</x:v>
      </x:c>
      <x:c r="AB27" s="161" t="str">
        <x:v>Eligible</x:v>
      </x:c>
      <x:c r="AC27" s="161" t="str">
        <x:v>Pending</x:v>
      </x:c>
    </x:row>
    <x:row r="28" ht="34" customHeight="1">
      <x:c r="A28" s="33" t="str">
        <x:v>Draft</x:v>
      </x:c>
      <x:c r="B28" s="47" t="str">
        <x:v>BSPP90_F_SW_06_04</x:v>
      </x:c>
      <x:c r="C28" s="47" t="str">
        <x:v>FBSPX90 competitor matrix</x:v>
      </x:c>
      <x:c r="D28" s="47" t="str">
        <x:v>FBSPX90-04-06W</x:v>
      </x:c>
      <x:c r="E28" s="33" t="str">
        <x:v>BSPP</x:v>
      </x:c>
      <x:c r="F28" s="47" t="str">
        <x:v>ISO 1179 / ISO 228-1</x:v>
      </x:c>
      <x:c r="G28" s="33" t="str">
        <x:v>Female</x:v>
      </x:c>
      <x:c r="H28" s="33" t="str">
        <x:v>Swivel</x:v>
      </x:c>
      <x:c r="I28" s="33" t="str">
        <x:v>90°</x:v>
      </x:c>
      <x:c r="J28" s="47" t="str">
        <x:v>60° cone seat</x:v>
      </x:c>
      <x:c r="K28" s="47" t="str">
        <x:v>G 3/8-19</x:v>
      </x:c>
      <x:c r="L28" s="33" t="str">
        <x:v>-6</x:v>
      </x:c>
      <x:c r="M28" s="33" t="str">
        <x:v>-4</x:v>
      </x:c>
      <x:c r="N28" s="47" t="str"/>
      <x:c r="O28" s="33" t="str"/>
      <x:c r="P28" s="50" t="str"/>
      <x:c r="Q28" s="50" t="str"/>
      <x:c r="R28" s="50" t="str"/>
      <x:c r="S28" s="50" t="str"/>
      <x:c r="T28" s="50" t="str"/>
      <x:c r="U28" s="50" t="str"/>
      <x:c r="V28" s="50" t="str"/>
      <x:c r="W28" s="50" t="str"/>
      <x:c r="X28" s="47" t="str"/>
      <x:c r="Y28" s="47" t="str"/>
      <x:c r="Z28" s="47" t="str">
        <x:v>https://www.discounthydraulichose.com/v/vspfiles/downloadables/dhh-hose.pdf#page=26</x:v>
      </x:c>
      <x:c r="AA28" s="47" t="str">
        <x:v>Competitor public catalog matrix reference. Factory drawing, dimensions, material, coating, pressure and crimp compatibility must be verified.</x:v>
      </x:c>
      <x:c r="AB28" s="161" t="str">
        <x:v>Eligible</x:v>
      </x:c>
      <x:c r="AC28" s="161" t="str">
        <x:v>Pending</x:v>
      </x:c>
    </x:row>
    <x:row r="29" ht="34" customHeight="1">
      <x:c r="A29" s="33" t="str">
        <x:v>Draft</x:v>
      </x:c>
      <x:c r="B29" s="47" t="str">
        <x:v>BSPP90_F_SW_06_06</x:v>
      </x:c>
      <x:c r="C29" s="47" t="str">
        <x:v>FBSPX90 competitor matrix</x:v>
      </x:c>
      <x:c r="D29" s="47" t="str">
        <x:v>FBSPX90-06-06W</x:v>
      </x:c>
      <x:c r="E29" s="33" t="str">
        <x:v>BSPP</x:v>
      </x:c>
      <x:c r="F29" s="47" t="str">
        <x:v>ISO 1179 / ISO 228-1</x:v>
      </x:c>
      <x:c r="G29" s="33" t="str">
        <x:v>Female</x:v>
      </x:c>
      <x:c r="H29" s="33" t="str">
        <x:v>Swivel</x:v>
      </x:c>
      <x:c r="I29" s="33" t="str">
        <x:v>90°</x:v>
      </x:c>
      <x:c r="J29" s="47" t="str">
        <x:v>60° cone seat</x:v>
      </x:c>
      <x:c r="K29" s="47" t="str">
        <x:v>G 3/8-19</x:v>
      </x:c>
      <x:c r="L29" s="33" t="str">
        <x:v>-6</x:v>
      </x:c>
      <x:c r="M29" s="33" t="str">
        <x:v>-6</x:v>
      </x:c>
      <x:c r="N29" s="47" t="str"/>
      <x:c r="O29" s="33" t="str"/>
      <x:c r="P29" s="50" t="str"/>
      <x:c r="Q29" s="50" t="str"/>
      <x:c r="R29" s="50" t="str"/>
      <x:c r="S29" s="50" t="str"/>
      <x:c r="T29" s="50" t="str"/>
      <x:c r="U29" s="50" t="str"/>
      <x:c r="V29" s="50" t="str"/>
      <x:c r="W29" s="50" t="str"/>
      <x:c r="X29" s="47" t="str"/>
      <x:c r="Y29" s="47" t="str"/>
      <x:c r="Z29" s="47" t="str">
        <x:v>https://www.discounthydraulichose.com/v/vspfiles/downloadables/dhh-hose.pdf#page=26</x:v>
      </x:c>
      <x:c r="AA29" s="47" t="str">
        <x:v>Competitor public catalog matrix reference. Factory drawing, dimensions, material, coating, pressure and crimp compatibility must be verified.</x:v>
      </x:c>
      <x:c r="AB29" s="161" t="str">
        <x:v>Eligible</x:v>
      </x:c>
      <x:c r="AC29" s="161" t="str">
        <x:v>Pending</x:v>
      </x:c>
    </x:row>
    <x:row r="30" ht="34" customHeight="1">
      <x:c r="A30" s="33" t="str">
        <x:v>Draft</x:v>
      </x:c>
      <x:c r="B30" s="47" t="str">
        <x:v>BSPP90_F_SW_08_06</x:v>
      </x:c>
      <x:c r="C30" s="47" t="str">
        <x:v>FBSPX90 competitor matrix</x:v>
      </x:c>
      <x:c r="D30" s="47" t="str">
        <x:v>FBSPX90-06-08W</x:v>
      </x:c>
      <x:c r="E30" s="33" t="str">
        <x:v>BSPP</x:v>
      </x:c>
      <x:c r="F30" s="47" t="str">
        <x:v>ISO 1179 / ISO 228-1</x:v>
      </x:c>
      <x:c r="G30" s="33" t="str">
        <x:v>Female</x:v>
      </x:c>
      <x:c r="H30" s="33" t="str">
        <x:v>Swivel</x:v>
      </x:c>
      <x:c r="I30" s="33" t="str">
        <x:v>90°</x:v>
      </x:c>
      <x:c r="J30" s="47" t="str">
        <x:v>60° cone seat</x:v>
      </x:c>
      <x:c r="K30" s="47" t="str">
        <x:v>G 1/2-14</x:v>
      </x:c>
      <x:c r="L30" s="33" t="str">
        <x:v>-8</x:v>
      </x:c>
      <x:c r="M30" s="33" t="str">
        <x:v>-6</x:v>
      </x:c>
      <x:c r="N30" s="47" t="str"/>
      <x:c r="O30" s="33" t="str"/>
      <x:c r="P30" s="50" t="str"/>
      <x:c r="Q30" s="50" t="str"/>
      <x:c r="R30" s="50" t="str"/>
      <x:c r="S30" s="50" t="str"/>
      <x:c r="T30" s="50" t="str"/>
      <x:c r="U30" s="50" t="str"/>
      <x:c r="V30" s="50" t="str"/>
      <x:c r="W30" s="50" t="str"/>
      <x:c r="X30" s="47" t="str"/>
      <x:c r="Y30" s="47" t="str"/>
      <x:c r="Z30" s="47" t="str">
        <x:v>https://www.discounthydraulichose.com/v/vspfiles/downloadables/dhh-hose.pdf#page=26</x:v>
      </x:c>
      <x:c r="AA30" s="47" t="str">
        <x:v>Competitor public catalog matrix reference. Factory drawing, dimensions, material, coating, pressure and crimp compatibility must be verified.</x:v>
      </x:c>
      <x:c r="AB30" s="161" t="str">
        <x:v>Eligible</x:v>
      </x:c>
      <x:c r="AC30" s="161" t="str">
        <x:v>Pending</x:v>
      </x:c>
    </x:row>
    <x:row r="31" ht="34" customHeight="1">
      <x:c r="A31" s="33" t="str">
        <x:v>Draft</x:v>
      </x:c>
      <x:c r="B31" s="47" t="str">
        <x:v>BSPP90_F_SW_08_08</x:v>
      </x:c>
      <x:c r="C31" s="47" t="str">
        <x:v>FBSPX90 competitor matrix</x:v>
      </x:c>
      <x:c r="D31" s="47" t="str">
        <x:v>FBSPX90-08-08W</x:v>
      </x:c>
      <x:c r="E31" s="33" t="str">
        <x:v>BSPP</x:v>
      </x:c>
      <x:c r="F31" s="47" t="str">
        <x:v>ISO 1179 / ISO 228-1</x:v>
      </x:c>
      <x:c r="G31" s="33" t="str">
        <x:v>Female</x:v>
      </x:c>
      <x:c r="H31" s="33" t="str">
        <x:v>Swivel</x:v>
      </x:c>
      <x:c r="I31" s="33" t="str">
        <x:v>90°</x:v>
      </x:c>
      <x:c r="J31" s="47" t="str">
        <x:v>60° cone seat</x:v>
      </x:c>
      <x:c r="K31" s="47" t="str">
        <x:v>G 1/2-14</x:v>
      </x:c>
      <x:c r="L31" s="33" t="str">
        <x:v>-8</x:v>
      </x:c>
      <x:c r="M31" s="33" t="str">
        <x:v>-8</x:v>
      </x:c>
      <x:c r="N31" s="47" t="str"/>
      <x:c r="O31" s="33" t="str"/>
      <x:c r="P31" s="50" t="str"/>
      <x:c r="Q31" s="50" t="str"/>
      <x:c r="R31" s="50" t="str"/>
      <x:c r="S31" s="50" t="str"/>
      <x:c r="T31" s="50" t="str"/>
      <x:c r="U31" s="50" t="str"/>
      <x:c r="V31" s="50" t="str"/>
      <x:c r="W31" s="50" t="str"/>
      <x:c r="X31" s="47" t="str"/>
      <x:c r="Y31" s="47" t="str"/>
      <x:c r="Z31" s="47" t="str">
        <x:v>https://www.discounthydraulichose.com/v/vspfiles/downloadables/dhh-hose.pdf#page=26</x:v>
      </x:c>
      <x:c r="AA31" s="47" t="str">
        <x:v>Competitor public catalog matrix reference. Factory drawing, dimensions, material, coating, pressure and crimp compatibility must be verified.</x:v>
      </x:c>
      <x:c r="AB31" s="161" t="str">
        <x:v>Eligible</x:v>
      </x:c>
      <x:c r="AC31" s="161" t="str">
        <x:v>Pending</x:v>
      </x:c>
    </x:row>
    <x:row r="32" ht="34" customHeight="1">
      <x:c r="A32" s="33" t="str">
        <x:v>Draft</x:v>
      </x:c>
      <x:c r="B32" s="47" t="str">
        <x:v>BSPP90_F_SW_10_10</x:v>
      </x:c>
      <x:c r="C32" s="47" t="str">
        <x:v>FBSPX90 competitor matrix</x:v>
      </x:c>
      <x:c r="D32" s="47" t="str">
        <x:v>FBSPX90-10-10W</x:v>
      </x:c>
      <x:c r="E32" s="33" t="str">
        <x:v>BSPP</x:v>
      </x:c>
      <x:c r="F32" s="47" t="str">
        <x:v>ISO 1179 / ISO 228-1</x:v>
      </x:c>
      <x:c r="G32" s="33" t="str">
        <x:v>Female</x:v>
      </x:c>
      <x:c r="H32" s="33" t="str">
        <x:v>Swivel</x:v>
      </x:c>
      <x:c r="I32" s="33" t="str">
        <x:v>90°</x:v>
      </x:c>
      <x:c r="J32" s="47" t="str">
        <x:v>60° cone seat</x:v>
      </x:c>
      <x:c r="K32" s="47" t="str">
        <x:v>G 5/8-14</x:v>
      </x:c>
      <x:c r="L32" s="33" t="str">
        <x:v>-10</x:v>
      </x:c>
      <x:c r="M32" s="33" t="str">
        <x:v>-10</x:v>
      </x:c>
      <x:c r="N32" s="47" t="str"/>
      <x:c r="O32" s="33" t="str"/>
      <x:c r="P32" s="50" t="str"/>
      <x:c r="Q32" s="50" t="str"/>
      <x:c r="R32" s="50" t="str"/>
      <x:c r="S32" s="50" t="str"/>
      <x:c r="T32" s="50" t="str"/>
      <x:c r="U32" s="50" t="str"/>
      <x:c r="V32" s="50" t="str"/>
      <x:c r="W32" s="50" t="str"/>
      <x:c r="X32" s="47" t="str"/>
      <x:c r="Y32" s="47" t="str"/>
      <x:c r="Z32" s="47" t="str">
        <x:v>https://www.discounthydraulichose.com/v/vspfiles/downloadables/dhh-hose.pdf#page=26</x:v>
      </x:c>
      <x:c r="AA32" s="47" t="str">
        <x:v>Competitor public catalog matrix reference. Factory drawing, dimensions, material, coating, pressure and crimp compatibility must be verified.</x:v>
      </x:c>
      <x:c r="AB32" s="161" t="str">
        <x:v>Eligible</x:v>
      </x:c>
      <x:c r="AC32" s="161" t="str">
        <x:v>Pending</x:v>
      </x:c>
    </x:row>
    <x:row r="33" ht="34" customHeight="1">
      <x:c r="A33" s="33" t="str">
        <x:v>Draft</x:v>
      </x:c>
      <x:c r="B33" s="47" t="str">
        <x:v>BSPP90_F_SW_12_12</x:v>
      </x:c>
      <x:c r="C33" s="47" t="str">
        <x:v>FBSPX90 competitor matrix</x:v>
      </x:c>
      <x:c r="D33" s="47" t="str">
        <x:v>FBSPX90-12-12W</x:v>
      </x:c>
      <x:c r="E33" s="33" t="str">
        <x:v>BSPP</x:v>
      </x:c>
      <x:c r="F33" s="47" t="str">
        <x:v>ISO 1179 / ISO 228-1</x:v>
      </x:c>
      <x:c r="G33" s="33" t="str">
        <x:v>Female</x:v>
      </x:c>
      <x:c r="H33" s="33" t="str">
        <x:v>Swivel</x:v>
      </x:c>
      <x:c r="I33" s="33" t="str">
        <x:v>90°</x:v>
      </x:c>
      <x:c r="J33" s="47" t="str">
        <x:v>60° cone seat</x:v>
      </x:c>
      <x:c r="K33" s="47" t="str">
        <x:v>G 3/4-14</x:v>
      </x:c>
      <x:c r="L33" s="33" t="str">
        <x:v>-12</x:v>
      </x:c>
      <x:c r="M33" s="33" t="str">
        <x:v>-12</x:v>
      </x:c>
      <x:c r="N33" s="47" t="str"/>
      <x:c r="O33" s="33" t="str"/>
      <x:c r="P33" s="50" t="str"/>
      <x:c r="Q33" s="50" t="str"/>
      <x:c r="R33" s="50" t="str"/>
      <x:c r="S33" s="50" t="str"/>
      <x:c r="T33" s="50" t="str"/>
      <x:c r="U33" s="50" t="str"/>
      <x:c r="V33" s="50" t="str"/>
      <x:c r="W33" s="50" t="str"/>
      <x:c r="X33" s="47" t="str"/>
      <x:c r="Y33" s="47" t="str"/>
      <x:c r="Z33" s="47" t="str">
        <x:v>https://www.discounthydraulichose.com/v/vspfiles/downloadables/dhh-hose.pdf#page=26</x:v>
      </x:c>
      <x:c r="AA33" s="47" t="str">
        <x:v>Competitor public catalog matrix reference. Factory drawing, dimensions, material, coating, pressure and crimp compatibility must be verified.</x:v>
      </x:c>
      <x:c r="AB33" s="161" t="str">
        <x:v>Eligible</x:v>
      </x:c>
      <x:c r="AC33" s="161" t="str">
        <x:v>Pending</x:v>
      </x:c>
    </x:row>
    <x:row r="34" ht="34" customHeight="1">
      <x:c r="A34" s="33" t="str">
        <x:v>Draft</x:v>
      </x:c>
      <x:c r="B34" s="47" t="str">
        <x:v>BSPP90_F_SW_16_16</x:v>
      </x:c>
      <x:c r="C34" s="47" t="str">
        <x:v>FBSPX90 competitor matrix</x:v>
      </x:c>
      <x:c r="D34" s="47" t="str">
        <x:v>FBSPX90-16-16W</x:v>
      </x:c>
      <x:c r="E34" s="33" t="str">
        <x:v>BSPP</x:v>
      </x:c>
      <x:c r="F34" s="47" t="str">
        <x:v>ISO 1179 / ISO 228-1</x:v>
      </x:c>
      <x:c r="G34" s="33" t="str">
        <x:v>Female</x:v>
      </x:c>
      <x:c r="H34" s="33" t="str">
        <x:v>Swivel</x:v>
      </x:c>
      <x:c r="I34" s="33" t="str">
        <x:v>90°</x:v>
      </x:c>
      <x:c r="J34" s="47" t="str">
        <x:v>60° cone seat</x:v>
      </x:c>
      <x:c r="K34" s="47" t="str">
        <x:v>G 1-11</x:v>
      </x:c>
      <x:c r="L34" s="33" t="str">
        <x:v>-16</x:v>
      </x:c>
      <x:c r="M34" s="33" t="str">
        <x:v>-16</x:v>
      </x:c>
      <x:c r="N34" s="47" t="str"/>
      <x:c r="O34" s="33" t="str"/>
      <x:c r="P34" s="50" t="str"/>
      <x:c r="Q34" s="50" t="str"/>
      <x:c r="R34" s="50" t="str"/>
      <x:c r="S34" s="50" t="str"/>
      <x:c r="T34" s="50" t="str"/>
      <x:c r="U34" s="50" t="str"/>
      <x:c r="V34" s="50" t="str"/>
      <x:c r="W34" s="50" t="str"/>
      <x:c r="X34" s="47" t="str"/>
      <x:c r="Y34" s="47" t="str"/>
      <x:c r="Z34" s="47" t="str">
        <x:v>https://www.discounthydraulichose.com/v/vspfiles/downloadables/dhh-hose.pdf#page=26</x:v>
      </x:c>
      <x:c r="AA34" s="47" t="str">
        <x:v>Competitor public catalog matrix reference. Factory drawing, dimensions, material, coating, pressure and crimp compatibility must be verified.</x:v>
      </x:c>
      <x:c r="AB34" s="161" t="str">
        <x:v>Eligible</x:v>
      </x:c>
      <x:c r="AC34" s="161" t="str">
        <x:v>Pending</x:v>
      </x:c>
    </x:row>
    <x:row r="35" ht="34" customHeight="1">
      <x:c r="A35" s="33" t="str">
        <x:v>Draft</x:v>
      </x:c>
      <x:c r="B35" s="47" t="str">
        <x:v>BSPT_M_FX_02_04</x:v>
      </x:c>
      <x:c r="C35" s="47" t="str">
        <x:v>MBSPT competitor matrix</x:v>
      </x:c>
      <x:c r="D35" s="47" t="str">
        <x:v>MBSPT-04-02</x:v>
      </x:c>
      <x:c r="E35" s="33" t="str">
        <x:v>BSPT</x:v>
      </x:c>
      <x:c r="F35" s="47" t="str">
        <x:v>ISO 7-1 / BS 21</x:v>
      </x:c>
      <x:c r="G35" s="33" t="str">
        <x:v>Male</x:v>
      </x:c>
      <x:c r="H35" s="33" t="str">
        <x:v>Fixed</x:v>
      </x:c>
      <x:c r="I35" s="33" t="str">
        <x:v>0° Straight</x:v>
      </x:c>
      <x:c r="J35" s="47" t="str">
        <x:v>Tapered thread</x:v>
      </x:c>
      <x:c r="K35" s="47" t="str">
        <x:v>R 1/8-28</x:v>
      </x:c>
      <x:c r="L35" s="33" t="str">
        <x:v>-2</x:v>
      </x:c>
      <x:c r="M35" s="33" t="str">
        <x:v>-4</x:v>
      </x:c>
      <x:c r="N35" s="47" t="str"/>
      <x:c r="O35" s="33" t="str"/>
      <x:c r="P35" s="50" t="str"/>
      <x:c r="Q35" s="50" t="str"/>
      <x:c r="R35" s="50" t="str"/>
      <x:c r="S35" s="50" t="str"/>
      <x:c r="T35" s="50" t="str"/>
      <x:c r="U35" s="50" t="str"/>
      <x:c r="V35" s="50" t="str"/>
      <x:c r="W35" s="50" t="str"/>
      <x:c r="X35" s="47" t="str"/>
      <x:c r="Y35" s="47" t="str"/>
      <x:c r="Z35" s="47" t="str">
        <x:v>https://www.discounthydraulichose.com/v/vspfiles/downloadables/dhh-hose.pdf#page=19</x:v>
      </x:c>
      <x:c r="AA35" s="47" t="str">
        <x:v>Competitor public catalog matrix reference. Factory drawing, dimensions, material, coating, pressure and crimp compatibility must be verified.</x:v>
      </x:c>
      <x:c r="AB35" s="161" t="str">
        <x:v>Eligible</x:v>
      </x:c>
      <x:c r="AC35" s="161" t="str">
        <x:v>Pending</x:v>
      </x:c>
    </x:row>
    <x:row r="36" ht="34" customHeight="1">
      <x:c r="A36" s="33" t="str">
        <x:v>Draft</x:v>
      </x:c>
      <x:c r="B36" s="47" t="str">
        <x:v>BSPT_M_FX_04_04</x:v>
      </x:c>
      <x:c r="C36" s="47" t="str">
        <x:v>MBSPT competitor matrix</x:v>
      </x:c>
      <x:c r="D36" s="47" t="str">
        <x:v>MBSPT-04-04</x:v>
      </x:c>
      <x:c r="E36" s="33" t="str">
        <x:v>BSPT</x:v>
      </x:c>
      <x:c r="F36" s="47" t="str">
        <x:v>ISO 7-1 / BS 21</x:v>
      </x:c>
      <x:c r="G36" s="33" t="str">
        <x:v>Male</x:v>
      </x:c>
      <x:c r="H36" s="33" t="str">
        <x:v>Fixed</x:v>
      </x:c>
      <x:c r="I36" s="33" t="str">
        <x:v>0° Straight</x:v>
      </x:c>
      <x:c r="J36" s="47" t="str">
        <x:v>Tapered thread</x:v>
      </x:c>
      <x:c r="K36" s="47" t="str">
        <x:v>R 1/4-19</x:v>
      </x:c>
      <x:c r="L36" s="33" t="str">
        <x:v>-4</x:v>
      </x:c>
      <x:c r="M36" s="33" t="str">
        <x:v>-4</x:v>
      </x:c>
      <x:c r="N36" s="47" t="str"/>
      <x:c r="O36" s="33" t="str"/>
      <x:c r="P36" s="50" t="str"/>
      <x:c r="Q36" s="50" t="str"/>
      <x:c r="R36" s="50" t="str"/>
      <x:c r="S36" s="50" t="str"/>
      <x:c r="T36" s="50" t="str"/>
      <x:c r="U36" s="50" t="str"/>
      <x:c r="V36" s="50" t="str"/>
      <x:c r="W36" s="50" t="str"/>
      <x:c r="X36" s="47" t="str"/>
      <x:c r="Y36" s="47" t="str"/>
      <x:c r="Z36" s="47" t="str">
        <x:v>https://www.discounthydraulichose.com/v/vspfiles/downloadables/dhh-hose.pdf#page=19</x:v>
      </x:c>
      <x:c r="AA36" s="47" t="str">
        <x:v>Competitor public catalog matrix reference. Factory drawing, dimensions, material, coating, pressure and crimp compatibility must be verified.</x:v>
      </x:c>
      <x:c r="AB36" s="161" t="str">
        <x:v>Eligible</x:v>
      </x:c>
      <x:c r="AC36" s="161" t="str">
        <x:v>Pending</x:v>
      </x:c>
    </x:row>
    <x:row r="37" ht="34" customHeight="1">
      <x:c r="A37" s="33" t="str">
        <x:v>Draft</x:v>
      </x:c>
      <x:c r="B37" s="47" t="str">
        <x:v>BSPT_M_FX_06_04</x:v>
      </x:c>
      <x:c r="C37" s="47" t="str">
        <x:v>MBSPT competitor matrix</x:v>
      </x:c>
      <x:c r="D37" s="47" t="str">
        <x:v>MBSPT-04-06</x:v>
      </x:c>
      <x:c r="E37" s="33" t="str">
        <x:v>BSPT</x:v>
      </x:c>
      <x:c r="F37" s="47" t="str">
        <x:v>ISO 7-1 / BS 21</x:v>
      </x:c>
      <x:c r="G37" s="33" t="str">
        <x:v>Male</x:v>
      </x:c>
      <x:c r="H37" s="33" t="str">
        <x:v>Fixed</x:v>
      </x:c>
      <x:c r="I37" s="33" t="str">
        <x:v>0° Straight</x:v>
      </x:c>
      <x:c r="J37" s="47" t="str">
        <x:v>Tapered thread</x:v>
      </x:c>
      <x:c r="K37" s="47" t="str">
        <x:v>R 3/8-19</x:v>
      </x:c>
      <x:c r="L37" s="33" t="str">
        <x:v>-6</x:v>
      </x:c>
      <x:c r="M37" s="33" t="str">
        <x:v>-4</x:v>
      </x:c>
      <x:c r="N37" s="47" t="str"/>
      <x:c r="O37" s="33" t="str"/>
      <x:c r="P37" s="50" t="str"/>
      <x:c r="Q37" s="50" t="str"/>
      <x:c r="R37" s="50" t="str"/>
      <x:c r="S37" s="50" t="str"/>
      <x:c r="T37" s="50" t="str"/>
      <x:c r="U37" s="50" t="str"/>
      <x:c r="V37" s="50" t="str"/>
      <x:c r="W37" s="50" t="str"/>
      <x:c r="X37" s="47" t="str"/>
      <x:c r="Y37" s="47" t="str"/>
      <x:c r="Z37" s="47" t="str">
        <x:v>https://www.discounthydraulichose.com/v/vspfiles/downloadables/dhh-hose.pdf#page=19</x:v>
      </x:c>
      <x:c r="AA37" s="47" t="str">
        <x:v>Competitor public catalog matrix reference. Factory drawing, dimensions, material, coating, pressure and crimp compatibility must be verified.</x:v>
      </x:c>
      <x:c r="AB37" s="161" t="str">
        <x:v>Eligible</x:v>
      </x:c>
      <x:c r="AC37" s="161" t="str">
        <x:v>Pending</x:v>
      </x:c>
    </x:row>
    <x:row r="38" ht="34" customHeight="1">
      <x:c r="A38" s="33" t="str">
        <x:v>Draft</x:v>
      </x:c>
      <x:c r="B38" s="47" t="str">
        <x:v>BSPT_M_FX_06_06</x:v>
      </x:c>
      <x:c r="C38" s="47" t="str">
        <x:v>MBSPT competitor matrix</x:v>
      </x:c>
      <x:c r="D38" s="47" t="str">
        <x:v>MBSPT-06-06</x:v>
      </x:c>
      <x:c r="E38" s="33" t="str">
        <x:v>BSPT</x:v>
      </x:c>
      <x:c r="F38" s="47" t="str">
        <x:v>ISO 7-1 / BS 21</x:v>
      </x:c>
      <x:c r="G38" s="33" t="str">
        <x:v>Male</x:v>
      </x:c>
      <x:c r="H38" s="33" t="str">
        <x:v>Fixed</x:v>
      </x:c>
      <x:c r="I38" s="33" t="str">
        <x:v>0° Straight</x:v>
      </x:c>
      <x:c r="J38" s="47" t="str">
        <x:v>Tapered thread</x:v>
      </x:c>
      <x:c r="K38" s="47" t="str">
        <x:v>R 3/8-19</x:v>
      </x:c>
      <x:c r="L38" s="33" t="str">
        <x:v>-6</x:v>
      </x:c>
      <x:c r="M38" s="33" t="str">
        <x:v>-6</x:v>
      </x:c>
      <x:c r="N38" s="47" t="str"/>
      <x:c r="O38" s="33" t="str"/>
      <x:c r="P38" s="50" t="str"/>
      <x:c r="Q38" s="50" t="str"/>
      <x:c r="R38" s="50" t="str"/>
      <x:c r="S38" s="50" t="str"/>
      <x:c r="T38" s="50" t="str"/>
      <x:c r="U38" s="50" t="str"/>
      <x:c r="V38" s="50" t="str"/>
      <x:c r="W38" s="50" t="str"/>
      <x:c r="X38" s="47" t="str"/>
      <x:c r="Y38" s="47" t="str"/>
      <x:c r="Z38" s="47" t="str">
        <x:v>https://www.discounthydraulichose.com/v/vspfiles/downloadables/dhh-hose.pdf#page=19</x:v>
      </x:c>
      <x:c r="AA38" s="47" t="str">
        <x:v>Competitor public catalog matrix reference. Factory drawing, dimensions, material, coating, pressure and crimp compatibility must be verified.</x:v>
      </x:c>
      <x:c r="AB38" s="161" t="str">
        <x:v>Eligible</x:v>
      </x:c>
      <x:c r="AC38" s="161" t="str">
        <x:v>Pending</x:v>
      </x:c>
    </x:row>
    <x:row r="39" ht="34" customHeight="1">
      <x:c r="A39" s="33" t="str">
        <x:v>Draft</x:v>
      </x:c>
      <x:c r="B39" s="47" t="str">
        <x:v>BSPT_M_FX_06_08</x:v>
      </x:c>
      <x:c r="C39" s="47" t="str">
        <x:v>MBSPT competitor matrix</x:v>
      </x:c>
      <x:c r="D39" s="47" t="str">
        <x:v>MBSPT-08-06</x:v>
      </x:c>
      <x:c r="E39" s="33" t="str">
        <x:v>BSPT</x:v>
      </x:c>
      <x:c r="F39" s="47" t="str">
        <x:v>ISO 7-1 / BS 21</x:v>
      </x:c>
      <x:c r="G39" s="33" t="str">
        <x:v>Male</x:v>
      </x:c>
      <x:c r="H39" s="33" t="str">
        <x:v>Fixed</x:v>
      </x:c>
      <x:c r="I39" s="33" t="str">
        <x:v>0° Straight</x:v>
      </x:c>
      <x:c r="J39" s="47" t="str">
        <x:v>Tapered thread</x:v>
      </x:c>
      <x:c r="K39" s="47" t="str">
        <x:v>R 3/8-19</x:v>
      </x:c>
      <x:c r="L39" s="33" t="str">
        <x:v>-6</x:v>
      </x:c>
      <x:c r="M39" s="33" t="str">
        <x:v>-8</x:v>
      </x:c>
      <x:c r="N39" s="47" t="str"/>
      <x:c r="O39" s="33" t="str"/>
      <x:c r="P39" s="50" t="str"/>
      <x:c r="Q39" s="50" t="str"/>
      <x:c r="R39" s="50" t="str"/>
      <x:c r="S39" s="50" t="str"/>
      <x:c r="T39" s="50" t="str"/>
      <x:c r="U39" s="50" t="str"/>
      <x:c r="V39" s="50" t="str"/>
      <x:c r="W39" s="50" t="str"/>
      <x:c r="X39" s="47" t="str"/>
      <x:c r="Y39" s="47" t="str"/>
      <x:c r="Z39" s="47" t="str">
        <x:v>https://www.discounthydraulichose.com/v/vspfiles/downloadables/dhh-hose.pdf#page=19</x:v>
      </x:c>
      <x:c r="AA39" s="47" t="str">
        <x:v>Competitor public catalog matrix reference. Factory drawing, dimensions, material, coating, pressure and crimp compatibility must be verified.</x:v>
      </x:c>
      <x:c r="AB39" s="161" t="str">
        <x:v>Eligible</x:v>
      </x:c>
      <x:c r="AC39" s="161" t="str">
        <x:v>Pending</x:v>
      </x:c>
    </x:row>
    <x:row r="40" ht="34" customHeight="1">
      <x:c r="A40" s="33" t="str">
        <x:v>Draft</x:v>
      </x:c>
      <x:c r="B40" s="47" t="str">
        <x:v>BSPT_M_FX_08_06</x:v>
      </x:c>
      <x:c r="C40" s="47" t="str">
        <x:v>MBSPT competitor matrix</x:v>
      </x:c>
      <x:c r="D40" s="47" t="str">
        <x:v>MBSPT-06-08</x:v>
      </x:c>
      <x:c r="E40" s="33" t="str">
        <x:v>BSPT</x:v>
      </x:c>
      <x:c r="F40" s="47" t="str">
        <x:v>ISO 7-1 / BS 21</x:v>
      </x:c>
      <x:c r="G40" s="33" t="str">
        <x:v>Male</x:v>
      </x:c>
      <x:c r="H40" s="33" t="str">
        <x:v>Fixed</x:v>
      </x:c>
      <x:c r="I40" s="33" t="str">
        <x:v>0° Straight</x:v>
      </x:c>
      <x:c r="J40" s="47" t="str">
        <x:v>Tapered thread</x:v>
      </x:c>
      <x:c r="K40" s="47" t="str">
        <x:v>R 1/2-14</x:v>
      </x:c>
      <x:c r="L40" s="33" t="str">
        <x:v>-8</x:v>
      </x:c>
      <x:c r="M40" s="33" t="str">
        <x:v>-6</x:v>
      </x:c>
      <x:c r="N40" s="47" t="str"/>
      <x:c r="O40" s="33" t="str"/>
      <x:c r="P40" s="50" t="str"/>
      <x:c r="Q40" s="50" t="str"/>
      <x:c r="R40" s="50" t="str"/>
      <x:c r="S40" s="50" t="str"/>
      <x:c r="T40" s="50" t="str"/>
      <x:c r="U40" s="50" t="str"/>
      <x:c r="V40" s="50" t="str"/>
      <x:c r="W40" s="50" t="str"/>
      <x:c r="X40" s="47" t="str"/>
      <x:c r="Y40" s="47" t="str"/>
      <x:c r="Z40" s="47" t="str">
        <x:v>https://www.discounthydraulichose.com/v/vspfiles/downloadables/dhh-hose.pdf#page=19</x:v>
      </x:c>
      <x:c r="AA40" s="47" t="str">
        <x:v>Competitor public catalog matrix reference. Factory drawing, dimensions, material, coating, pressure and crimp compatibility must be verified.</x:v>
      </x:c>
      <x:c r="AB40" s="161" t="str">
        <x:v>Eligible</x:v>
      </x:c>
      <x:c r="AC40" s="161" t="str">
        <x:v>Pending</x:v>
      </x:c>
    </x:row>
    <x:row r="41" ht="34" customHeight="1">
      <x:c r="A41" s="33" t="str">
        <x:v>Draft</x:v>
      </x:c>
      <x:c r="B41" s="47" t="str">
        <x:v>BSPT_M_FX_08_08</x:v>
      </x:c>
      <x:c r="C41" s="47" t="str">
        <x:v>MBSPT competitor matrix</x:v>
      </x:c>
      <x:c r="D41" s="47" t="str">
        <x:v>MBSPT-08-08</x:v>
      </x:c>
      <x:c r="E41" s="33" t="str">
        <x:v>BSPT</x:v>
      </x:c>
      <x:c r="F41" s="47" t="str">
        <x:v>ISO 7-1 / BS 21</x:v>
      </x:c>
      <x:c r="G41" s="33" t="str">
        <x:v>Male</x:v>
      </x:c>
      <x:c r="H41" s="33" t="str">
        <x:v>Fixed</x:v>
      </x:c>
      <x:c r="I41" s="33" t="str">
        <x:v>0° Straight</x:v>
      </x:c>
      <x:c r="J41" s="47" t="str">
        <x:v>Tapered thread</x:v>
      </x:c>
      <x:c r="K41" s="47" t="str">
        <x:v>R 1/2-14</x:v>
      </x:c>
      <x:c r="L41" s="33" t="str">
        <x:v>-8</x:v>
      </x:c>
      <x:c r="M41" s="33" t="str">
        <x:v>-8</x:v>
      </x:c>
      <x:c r="N41" s="47" t="str"/>
      <x:c r="O41" s="33" t="str"/>
      <x:c r="P41" s="50" t="str"/>
      <x:c r="Q41" s="50" t="str"/>
      <x:c r="R41" s="50" t="str"/>
      <x:c r="S41" s="50" t="str"/>
      <x:c r="T41" s="50" t="str"/>
      <x:c r="U41" s="50" t="str"/>
      <x:c r="V41" s="50" t="str"/>
      <x:c r="W41" s="50" t="str"/>
      <x:c r="X41" s="47" t="str"/>
      <x:c r="Y41" s="47" t="str"/>
      <x:c r="Z41" s="47" t="str">
        <x:v>https://www.discounthydraulichose.com/v/vspfiles/downloadables/dhh-hose.pdf#page=19</x:v>
      </x:c>
      <x:c r="AA41" s="47" t="str">
        <x:v>Competitor public catalog matrix reference. Factory drawing, dimensions, material, coating, pressure and crimp compatibility must be verified.</x:v>
      </x:c>
      <x:c r="AB41" s="161" t="str">
        <x:v>Eligible</x:v>
      </x:c>
      <x:c r="AC41" s="161" t="str">
        <x:v>Pending</x:v>
      </x:c>
    </x:row>
    <x:row r="42" ht="34" customHeight="1">
      <x:c r="A42" s="33" t="str">
        <x:v>Draft</x:v>
      </x:c>
      <x:c r="B42" s="47" t="str">
        <x:v>BSPT_M_FX_12_12</x:v>
      </x:c>
      <x:c r="C42" s="47" t="str">
        <x:v>MBSPT competitor matrix</x:v>
      </x:c>
      <x:c r="D42" s="47" t="str">
        <x:v>MBSPT-12-12</x:v>
      </x:c>
      <x:c r="E42" s="33" t="str">
        <x:v>BSPT</x:v>
      </x:c>
      <x:c r="F42" s="47" t="str">
        <x:v>ISO 7-1 / BS 21</x:v>
      </x:c>
      <x:c r="G42" s="33" t="str">
        <x:v>Male</x:v>
      </x:c>
      <x:c r="H42" s="33" t="str">
        <x:v>Fixed</x:v>
      </x:c>
      <x:c r="I42" s="33" t="str">
        <x:v>0° Straight</x:v>
      </x:c>
      <x:c r="J42" s="47" t="str">
        <x:v>Tapered thread</x:v>
      </x:c>
      <x:c r="K42" s="47" t="str">
        <x:v>R 3/4-14</x:v>
      </x:c>
      <x:c r="L42" s="33" t="str">
        <x:v>-12</x:v>
      </x:c>
      <x:c r="M42" s="33" t="str">
        <x:v>-12</x:v>
      </x:c>
      <x:c r="N42" s="47" t="str"/>
      <x:c r="O42" s="33" t="str"/>
      <x:c r="P42" s="50" t="str"/>
      <x:c r="Q42" s="50" t="str"/>
      <x:c r="R42" s="50" t="str"/>
      <x:c r="S42" s="50" t="str"/>
      <x:c r="T42" s="50" t="str"/>
      <x:c r="U42" s="50" t="str"/>
      <x:c r="V42" s="50" t="str"/>
      <x:c r="W42" s="50" t="str"/>
      <x:c r="X42" s="47" t="str"/>
      <x:c r="Y42" s="47" t="str"/>
      <x:c r="Z42" s="47" t="str">
        <x:v>https://www.discounthydraulichose.com/v/vspfiles/downloadables/dhh-hose.pdf#page=19</x:v>
      </x:c>
      <x:c r="AA42" s="47" t="str">
        <x:v>Competitor public catalog matrix reference. Factory drawing, dimensions, material, coating, pressure and crimp compatibility must be verified.</x:v>
      </x:c>
      <x:c r="AB42" s="161" t="str">
        <x:v>Eligible</x:v>
      </x:c>
      <x:c r="AC42" s="161" t="str">
        <x:v>Pending</x:v>
      </x:c>
    </x:row>
    <x:row r="43" ht="34" customHeight="1">
      <x:c r="A43" s="33" t="str">
        <x:v>Draft</x:v>
      </x:c>
      <x:c r="B43" s="47" t="str">
        <x:v>BSPT_M_FX_16_16</x:v>
      </x:c>
      <x:c r="C43" s="47" t="str">
        <x:v>MBSPT competitor matrix</x:v>
      </x:c>
      <x:c r="D43" s="47" t="str">
        <x:v>MBSPT-16-16</x:v>
      </x:c>
      <x:c r="E43" s="33" t="str">
        <x:v>BSPT</x:v>
      </x:c>
      <x:c r="F43" s="47" t="str">
        <x:v>ISO 7-1 / BS 21</x:v>
      </x:c>
      <x:c r="G43" s="33" t="str">
        <x:v>Male</x:v>
      </x:c>
      <x:c r="H43" s="33" t="str">
        <x:v>Fixed</x:v>
      </x:c>
      <x:c r="I43" s="33" t="str">
        <x:v>0° Straight</x:v>
      </x:c>
      <x:c r="J43" s="47" t="str">
        <x:v>Tapered thread</x:v>
      </x:c>
      <x:c r="K43" s="47" t="str">
        <x:v>R 1-11</x:v>
      </x:c>
      <x:c r="L43" s="33" t="str">
        <x:v>-16</x:v>
      </x:c>
      <x:c r="M43" s="33" t="str">
        <x:v>-16</x:v>
      </x:c>
      <x:c r="N43" s="47" t="str"/>
      <x:c r="O43" s="33" t="str"/>
      <x:c r="P43" s="50" t="str"/>
      <x:c r="Q43" s="50" t="str"/>
      <x:c r="R43" s="50" t="str"/>
      <x:c r="S43" s="50" t="str"/>
      <x:c r="T43" s="50" t="str"/>
      <x:c r="U43" s="50" t="str"/>
      <x:c r="V43" s="50" t="str"/>
      <x:c r="W43" s="50" t="str"/>
      <x:c r="X43" s="47" t="str"/>
      <x:c r="Y43" s="47" t="str"/>
      <x:c r="Z43" s="47" t="str">
        <x:v>https://www.discounthydraulichose.com/v/vspfiles/downloadables/dhh-hose.pdf#page=19</x:v>
      </x:c>
      <x:c r="AA43" s="47" t="str">
        <x:v>Competitor public catalog matrix reference. Factory drawing, dimensions, material, coating, pressure and crimp compatibility must be verified.</x:v>
      </x:c>
      <x:c r="AB43" s="161" t="str">
        <x:v>Eligible</x:v>
      </x:c>
      <x:c r="AC43" s="161" t="str">
        <x:v>Pending</x:v>
      </x:c>
    </x:row>
    <x:row r="44" ht="34" customHeight="1">
      <x:c r="A44" s="33" t="str">
        <x:v>Draft</x:v>
      </x:c>
      <x:c r="B44" s="47" t="str">
        <x:v>JIC_F_SW_04_04</x:v>
      </x:c>
      <x:c r="C44" s="47" t="str">
        <x:v>FJX competitor matrix</x:v>
      </x:c>
      <x:c r="D44" s="47" t="str">
        <x:v>FJX-04-04W</x:v>
      </x:c>
      <x:c r="E44" s="33" t="str">
        <x:v>JIC 37°</x:v>
      </x:c>
      <x:c r="F44" s="47" t="str">
        <x:v>SAE J514 / ISO 8434-2</x:v>
      </x:c>
      <x:c r="G44" s="33" t="str">
        <x:v>Female</x:v>
      </x:c>
      <x:c r="H44" s="33" t="str">
        <x:v>Swivel</x:v>
      </x:c>
      <x:c r="I44" s="33" t="str">
        <x:v>0° Straight</x:v>
      </x:c>
      <x:c r="J44" s="47" t="str">
        <x:v>37° cone seat</x:v>
      </x:c>
      <x:c r="K44" s="47" t="str">
        <x:v>7/16-20 UNF</x:v>
      </x:c>
      <x:c r="L44" s="33" t="str">
        <x:v>-4</x:v>
      </x:c>
      <x:c r="M44" s="33" t="str">
        <x:v>-4</x:v>
      </x:c>
      <x:c r="N44" s="47" t="str"/>
      <x:c r="O44" s="33" t="str"/>
      <x:c r="P44" s="50" t="str"/>
      <x:c r="Q44" s="50" t="str"/>
      <x:c r="R44" s="50" t="str"/>
      <x:c r="S44" s="50" t="str"/>
      <x:c r="T44" s="50" t="str"/>
      <x:c r="U44" s="50" t="str"/>
      <x:c r="V44" s="50" t="str"/>
      <x:c r="W44" s="50" t="str"/>
      <x:c r="X44" s="47" t="str"/>
      <x:c r="Y44" s="47" t="str"/>
      <x:c r="Z44" s="47" t="str">
        <x:v>https://www.discounthydraulichose.com/v/vspfiles/downloadables/dhh-hose.pdf#page=21</x:v>
      </x:c>
      <x:c r="AA44" s="47" t="str">
        <x:v>Competitor public catalog matrix reference. Factory drawing, dimensions, material, coating, pressure and crimp compatibility must be verified.</x:v>
      </x:c>
      <x:c r="AB44" s="161" t="str">
        <x:v>Eligible</x:v>
      </x:c>
      <x:c r="AC44" s="161" t="str">
        <x:v>Pending</x:v>
      </x:c>
    </x:row>
    <x:row r="45" ht="34" customHeight="1">
      <x:c r="A45" s="33" t="str">
        <x:v>Draft</x:v>
      </x:c>
      <x:c r="B45" s="47" t="str">
        <x:v>JIC_F_SW_04_06</x:v>
      </x:c>
      <x:c r="C45" s="47" t="str">
        <x:v>FJX competitor matrix</x:v>
      </x:c>
      <x:c r="D45" s="47" t="str">
        <x:v>FJX-06-04W</x:v>
      </x:c>
      <x:c r="E45" s="33" t="str">
        <x:v>JIC 37°</x:v>
      </x:c>
      <x:c r="F45" s="47" t="str">
        <x:v>SAE J514 / ISO 8434-2</x:v>
      </x:c>
      <x:c r="G45" s="33" t="str">
        <x:v>Female</x:v>
      </x:c>
      <x:c r="H45" s="33" t="str">
        <x:v>Swivel</x:v>
      </x:c>
      <x:c r="I45" s="33" t="str">
        <x:v>0° Straight</x:v>
      </x:c>
      <x:c r="J45" s="47" t="str">
        <x:v>37° cone seat</x:v>
      </x:c>
      <x:c r="K45" s="47" t="str">
        <x:v>7/16-20 UNF</x:v>
      </x:c>
      <x:c r="L45" s="33" t="str">
        <x:v>-4</x:v>
      </x:c>
      <x:c r="M45" s="33" t="str">
        <x:v>-6</x:v>
      </x:c>
      <x:c r="N45" s="47" t="str"/>
      <x:c r="O45" s="33" t="str"/>
      <x:c r="P45" s="50" t="str"/>
      <x:c r="Q45" s="50" t="str"/>
      <x:c r="R45" s="50" t="str"/>
      <x:c r="S45" s="50" t="str"/>
      <x:c r="T45" s="50" t="str"/>
      <x:c r="U45" s="50" t="str"/>
      <x:c r="V45" s="50" t="str"/>
      <x:c r="W45" s="50" t="str"/>
      <x:c r="X45" s="47" t="str"/>
      <x:c r="Y45" s="47" t="str"/>
      <x:c r="Z45" s="47" t="str">
        <x:v>https://www.discounthydraulichose.com/v/vspfiles/downloadables/dhh-hose.pdf#page=21</x:v>
      </x:c>
      <x:c r="AA45" s="47" t="str">
        <x:v>Competitor public catalog matrix reference. Factory drawing, dimensions, material, coating, pressure and crimp compatibility must be verified.</x:v>
      </x:c>
      <x:c r="AB45" s="161" t="str">
        <x:v>Eligible</x:v>
      </x:c>
      <x:c r="AC45" s="161" t="str">
        <x:v>Pending</x:v>
      </x:c>
    </x:row>
    <x:row r="46" ht="34" customHeight="1">
      <x:c r="A46" s="33" t="str">
        <x:v>Draft</x:v>
      </x:c>
      <x:c r="B46" s="47" t="str">
        <x:v>JIC_F_SW_05_04</x:v>
      </x:c>
      <x:c r="C46" s="47" t="str">
        <x:v>FJX competitor matrix</x:v>
      </x:c>
      <x:c r="D46" s="47" t="str">
        <x:v>FJX-04-05W</x:v>
      </x:c>
      <x:c r="E46" s="33" t="str">
        <x:v>JIC 37°</x:v>
      </x:c>
      <x:c r="F46" s="47" t="str">
        <x:v>SAE J514 / ISO 8434-2</x:v>
      </x:c>
      <x:c r="G46" s="33" t="str">
        <x:v>Female</x:v>
      </x:c>
      <x:c r="H46" s="33" t="str">
        <x:v>Swivel</x:v>
      </x:c>
      <x:c r="I46" s="33" t="str">
        <x:v>0° Straight</x:v>
      </x:c>
      <x:c r="J46" s="47" t="str">
        <x:v>37° cone seat</x:v>
      </x:c>
      <x:c r="K46" s="47" t="str">
        <x:v>1/2-20 UNF</x:v>
      </x:c>
      <x:c r="L46" s="33" t="str">
        <x:v>-5</x:v>
      </x:c>
      <x:c r="M46" s="33" t="str">
        <x:v>-4</x:v>
      </x:c>
      <x:c r="N46" s="47" t="str"/>
      <x:c r="O46" s="33" t="str"/>
      <x:c r="P46" s="50" t="str"/>
      <x:c r="Q46" s="50" t="str"/>
      <x:c r="R46" s="50" t="str"/>
      <x:c r="S46" s="50" t="str"/>
      <x:c r="T46" s="50" t="str"/>
      <x:c r="U46" s="50" t="str"/>
      <x:c r="V46" s="50" t="str"/>
      <x:c r="W46" s="50" t="str"/>
      <x:c r="X46" s="47" t="str"/>
      <x:c r="Y46" s="47" t="str"/>
      <x:c r="Z46" s="47" t="str">
        <x:v>https://www.discounthydraulichose.com/v/vspfiles/downloadables/dhh-hose.pdf#page=21</x:v>
      </x:c>
      <x:c r="AA46" s="47" t="str">
        <x:v>Competitor public catalog matrix reference. Factory drawing, dimensions, material, coating, pressure and crimp compatibility must be verified.</x:v>
      </x:c>
      <x:c r="AB46" s="161" t="str">
        <x:v>Eligible</x:v>
      </x:c>
      <x:c r="AC46" s="161" t="str">
        <x:v>Pending</x:v>
      </x:c>
    </x:row>
    <x:row r="47" ht="34" customHeight="1">
      <x:c r="A47" s="33" t="str">
        <x:v>Draft</x:v>
      </x:c>
      <x:c r="B47" s="47" t="str">
        <x:v>JIC_F_SW_05_06</x:v>
      </x:c>
      <x:c r="C47" s="47" t="str">
        <x:v>FJX competitor matrix</x:v>
      </x:c>
      <x:c r="D47" s="47" t="str">
        <x:v>FJX-06-05W</x:v>
      </x:c>
      <x:c r="E47" s="33" t="str">
        <x:v>JIC 37°</x:v>
      </x:c>
      <x:c r="F47" s="47" t="str">
        <x:v>SAE J514 / ISO 8434-2</x:v>
      </x:c>
      <x:c r="G47" s="33" t="str">
        <x:v>Female</x:v>
      </x:c>
      <x:c r="H47" s="33" t="str">
        <x:v>Swivel</x:v>
      </x:c>
      <x:c r="I47" s="33" t="str">
        <x:v>0° Straight</x:v>
      </x:c>
      <x:c r="J47" s="47" t="str">
        <x:v>37° cone seat</x:v>
      </x:c>
      <x:c r="K47" s="47" t="str">
        <x:v>1/2-20 UNF</x:v>
      </x:c>
      <x:c r="L47" s="33" t="str">
        <x:v>-5</x:v>
      </x:c>
      <x:c r="M47" s="33" t="str">
        <x:v>-6</x:v>
      </x:c>
      <x:c r="N47" s="47" t="str"/>
      <x:c r="O47" s="33" t="str"/>
      <x:c r="P47" s="50" t="str"/>
      <x:c r="Q47" s="50" t="str"/>
      <x:c r="R47" s="50" t="str"/>
      <x:c r="S47" s="50" t="str"/>
      <x:c r="T47" s="50" t="str"/>
      <x:c r="U47" s="50" t="str"/>
      <x:c r="V47" s="50" t="str"/>
      <x:c r="W47" s="50" t="str"/>
      <x:c r="X47" s="47" t="str"/>
      <x:c r="Y47" s="47" t="str"/>
      <x:c r="Z47" s="47" t="str">
        <x:v>https://www.discounthydraulichose.com/v/vspfiles/downloadables/dhh-hose.pdf#page=21</x:v>
      </x:c>
      <x:c r="AA47" s="47" t="str">
        <x:v>Competitor public catalog matrix reference. Factory drawing, dimensions, material, coating, pressure and crimp compatibility must be verified.</x:v>
      </x:c>
      <x:c r="AB47" s="161" t="str">
        <x:v>Eligible</x:v>
      </x:c>
      <x:c r="AC47" s="161" t="str">
        <x:v>Pending</x:v>
      </x:c>
    </x:row>
    <x:row r="48" ht="34" customHeight="1">
      <x:c r="A48" s="33" t="str">
        <x:v>Draft</x:v>
      </x:c>
      <x:c r="B48" s="47" t="str">
        <x:v>JIC_F_SW_06_04</x:v>
      </x:c>
      <x:c r="C48" s="47" t="str">
        <x:v>FJX competitor matrix</x:v>
      </x:c>
      <x:c r="D48" s="47" t="str">
        <x:v>FJX-04-06W</x:v>
      </x:c>
      <x:c r="E48" s="33" t="str">
        <x:v>JIC 37°</x:v>
      </x:c>
      <x:c r="F48" s="47" t="str">
        <x:v>SAE J514 / ISO 8434-2</x:v>
      </x:c>
      <x:c r="G48" s="33" t="str">
        <x:v>Female</x:v>
      </x:c>
      <x:c r="H48" s="33" t="str">
        <x:v>Swivel</x:v>
      </x:c>
      <x:c r="I48" s="33" t="str">
        <x:v>0° Straight</x:v>
      </x:c>
      <x:c r="J48" s="47" t="str">
        <x:v>37° cone seat</x:v>
      </x:c>
      <x:c r="K48" s="47" t="str">
        <x:v>9/16-18 UNF</x:v>
      </x:c>
      <x:c r="L48" s="33" t="str">
        <x:v>-6</x:v>
      </x:c>
      <x:c r="M48" s="33" t="str">
        <x:v>-4</x:v>
      </x:c>
      <x:c r="N48" s="47" t="str"/>
      <x:c r="O48" s="33" t="str"/>
      <x:c r="P48" s="50" t="str"/>
      <x:c r="Q48" s="50" t="str"/>
      <x:c r="R48" s="50" t="str"/>
      <x:c r="S48" s="50" t="str"/>
      <x:c r="T48" s="50" t="str"/>
      <x:c r="U48" s="50" t="str"/>
      <x:c r="V48" s="50" t="str"/>
      <x:c r="W48" s="50" t="str"/>
      <x:c r="X48" s="47" t="str"/>
      <x:c r="Y48" s="47" t="str"/>
      <x:c r="Z48" s="47" t="str">
        <x:v>https://www.discounthydraulichose.com/v/vspfiles/downloadables/dhh-hose.pdf#page=21</x:v>
      </x:c>
      <x:c r="AA48" s="47" t="str">
        <x:v>Competitor public catalog matrix reference. Factory drawing, dimensions, material, coating, pressure and crimp compatibility must be verified.</x:v>
      </x:c>
      <x:c r="AB48" s="161" t="str">
        <x:v>Eligible</x:v>
      </x:c>
      <x:c r="AC48" s="161" t="str">
        <x:v>Pending</x:v>
      </x:c>
    </x:row>
    <x:row r="49" ht="34" customHeight="1">
      <x:c r="A49" s="33" t="str">
        <x:v>Draft</x:v>
      </x:c>
      <x:c r="B49" s="47" t="str">
        <x:v>JIC_F_SW_06_06</x:v>
      </x:c>
      <x:c r="C49" s="47" t="str">
        <x:v>FJX competitor matrix</x:v>
      </x:c>
      <x:c r="D49" s="47" t="str">
        <x:v>FJX-06-06W</x:v>
      </x:c>
      <x:c r="E49" s="33" t="str">
        <x:v>JIC 37°</x:v>
      </x:c>
      <x:c r="F49" s="47" t="str">
        <x:v>SAE J514 / ISO 8434-2</x:v>
      </x:c>
      <x:c r="G49" s="33" t="str">
        <x:v>Female</x:v>
      </x:c>
      <x:c r="H49" s="33" t="str">
        <x:v>Swivel</x:v>
      </x:c>
      <x:c r="I49" s="33" t="str">
        <x:v>0° Straight</x:v>
      </x:c>
      <x:c r="J49" s="47" t="str">
        <x:v>37° cone seat</x:v>
      </x:c>
      <x:c r="K49" s="47" t="str">
        <x:v>9/16-18 UNF</x:v>
      </x:c>
      <x:c r="L49" s="33" t="str">
        <x:v>-6</x:v>
      </x:c>
      <x:c r="M49" s="33" t="str">
        <x:v>-6</x:v>
      </x:c>
      <x:c r="N49" s="47" t="str"/>
      <x:c r="O49" s="33" t="str"/>
      <x:c r="P49" s="50" t="str"/>
      <x:c r="Q49" s="50" t="str"/>
      <x:c r="R49" s="50" t="str"/>
      <x:c r="S49" s="50" t="str"/>
      <x:c r="T49" s="50" t="str"/>
      <x:c r="U49" s="50" t="str"/>
      <x:c r="V49" s="50" t="str"/>
      <x:c r="W49" s="50" t="str"/>
      <x:c r="X49" s="47" t="str"/>
      <x:c r="Y49" s="47" t="str"/>
      <x:c r="Z49" s="47" t="str">
        <x:v>https://www.discounthydraulichose.com/v/vspfiles/downloadables/dhh-hose.pdf#page=21</x:v>
      </x:c>
      <x:c r="AA49" s="47" t="str">
        <x:v>Competitor public catalog matrix reference. Factory drawing, dimensions, material, coating, pressure and crimp compatibility must be verified.</x:v>
      </x:c>
      <x:c r="AB49" s="161" t="str">
        <x:v>Eligible</x:v>
      </x:c>
      <x:c r="AC49" s="161" t="str">
        <x:v>Pending</x:v>
      </x:c>
    </x:row>
    <x:row r="50" ht="34" customHeight="1">
      <x:c r="A50" s="33" t="str">
        <x:v>Draft</x:v>
      </x:c>
      <x:c r="B50" s="47" t="str">
        <x:v>JIC_F_SW_06_08</x:v>
      </x:c>
      <x:c r="C50" s="47" t="str">
        <x:v>FJX competitor matrix</x:v>
      </x:c>
      <x:c r="D50" s="47" t="str">
        <x:v>FJX-08-06W</x:v>
      </x:c>
      <x:c r="E50" s="33" t="str">
        <x:v>JIC 37°</x:v>
      </x:c>
      <x:c r="F50" s="47" t="str">
        <x:v>SAE J514 / ISO 8434-2</x:v>
      </x:c>
      <x:c r="G50" s="33" t="str">
        <x:v>Female</x:v>
      </x:c>
      <x:c r="H50" s="33" t="str">
        <x:v>Swivel</x:v>
      </x:c>
      <x:c r="I50" s="33" t="str">
        <x:v>0° Straight</x:v>
      </x:c>
      <x:c r="J50" s="47" t="str">
        <x:v>37° cone seat</x:v>
      </x:c>
      <x:c r="K50" s="47" t="str">
        <x:v>9/16-18 UNF</x:v>
      </x:c>
      <x:c r="L50" s="33" t="str">
        <x:v>-6</x:v>
      </x:c>
      <x:c r="M50" s="33" t="str">
        <x:v>-8</x:v>
      </x:c>
      <x:c r="N50" s="47" t="str"/>
      <x:c r="O50" s="33" t="str"/>
      <x:c r="P50" s="50" t="str"/>
      <x:c r="Q50" s="50" t="str"/>
      <x:c r="R50" s="50" t="str"/>
      <x:c r="S50" s="50" t="str"/>
      <x:c r="T50" s="50" t="str"/>
      <x:c r="U50" s="50" t="str"/>
      <x:c r="V50" s="50" t="str"/>
      <x:c r="W50" s="50" t="str"/>
      <x:c r="X50" s="47" t="str"/>
      <x:c r="Y50" s="47" t="str"/>
      <x:c r="Z50" s="47" t="str">
        <x:v>https://www.discounthydraulichose.com/v/vspfiles/downloadables/dhh-hose.pdf#page=21</x:v>
      </x:c>
      <x:c r="AA50" s="47" t="str">
        <x:v>Competitor public catalog matrix reference. Factory drawing, dimensions, material, coating, pressure and crimp compatibility must be verified.</x:v>
      </x:c>
      <x:c r="AB50" s="161" t="str">
        <x:v>Eligible</x:v>
      </x:c>
      <x:c r="AC50" s="161" t="str">
        <x:v>Pending</x:v>
      </x:c>
    </x:row>
    <x:row r="51" ht="34" customHeight="1">
      <x:c r="A51" s="33" t="str">
        <x:v>Draft</x:v>
      </x:c>
      <x:c r="B51" s="47" t="str">
        <x:v>JIC_F_SW_08_06</x:v>
      </x:c>
      <x:c r="C51" s="47" t="str">
        <x:v>FJX competitor matrix</x:v>
      </x:c>
      <x:c r="D51" s="47" t="str">
        <x:v>FJX-06-08W</x:v>
      </x:c>
      <x:c r="E51" s="33" t="str">
        <x:v>JIC 37°</x:v>
      </x:c>
      <x:c r="F51" s="47" t="str">
        <x:v>SAE J514 / ISO 8434-2</x:v>
      </x:c>
      <x:c r="G51" s="33" t="str">
        <x:v>Female</x:v>
      </x:c>
      <x:c r="H51" s="33" t="str">
        <x:v>Swivel</x:v>
      </x:c>
      <x:c r="I51" s="33" t="str">
        <x:v>0° Straight</x:v>
      </x:c>
      <x:c r="J51" s="47" t="str">
        <x:v>37° cone seat</x:v>
      </x:c>
      <x:c r="K51" s="47" t="str">
        <x:v>3/4-16 UNF</x:v>
      </x:c>
      <x:c r="L51" s="33" t="str">
        <x:v>-8</x:v>
      </x:c>
      <x:c r="M51" s="33" t="str">
        <x:v>-6</x:v>
      </x:c>
      <x:c r="N51" s="47" t="str"/>
      <x:c r="O51" s="33" t="str"/>
      <x:c r="P51" s="50" t="str"/>
      <x:c r="Q51" s="50" t="str"/>
      <x:c r="R51" s="50" t="str"/>
      <x:c r="S51" s="50" t="str"/>
      <x:c r="T51" s="50" t="str"/>
      <x:c r="U51" s="50" t="str"/>
      <x:c r="V51" s="50" t="str"/>
      <x:c r="W51" s="50" t="str"/>
      <x:c r="X51" s="47" t="str"/>
      <x:c r="Y51" s="47" t="str"/>
      <x:c r="Z51" s="47" t="str">
        <x:v>https://www.discounthydraulichose.com/v/vspfiles/downloadables/dhh-hose.pdf#page=21</x:v>
      </x:c>
      <x:c r="AA51" s="47" t="str">
        <x:v>Competitor public catalog matrix reference. Factory drawing, dimensions, material, coating, pressure and crimp compatibility must be verified.</x:v>
      </x:c>
      <x:c r="AB51" s="161" t="str">
        <x:v>Eligible</x:v>
      </x:c>
      <x:c r="AC51" s="161" t="str">
        <x:v>Pending</x:v>
      </x:c>
    </x:row>
    <x:row r="52" ht="34" customHeight="1">
      <x:c r="A52" s="33" t="str">
        <x:v>Draft</x:v>
      </x:c>
      <x:c r="B52" s="47" t="str">
        <x:v>JIC_F_SW_08_08</x:v>
      </x:c>
      <x:c r="C52" s="47" t="str">
        <x:v>FJX competitor matrix</x:v>
      </x:c>
      <x:c r="D52" s="47" t="str">
        <x:v>FJX-08-08W</x:v>
      </x:c>
      <x:c r="E52" s="33" t="str">
        <x:v>JIC 37°</x:v>
      </x:c>
      <x:c r="F52" s="47" t="str">
        <x:v>SAE J514 / ISO 8434-2</x:v>
      </x:c>
      <x:c r="G52" s="33" t="str">
        <x:v>Female</x:v>
      </x:c>
      <x:c r="H52" s="33" t="str">
        <x:v>Swivel</x:v>
      </x:c>
      <x:c r="I52" s="33" t="str">
        <x:v>0° Straight</x:v>
      </x:c>
      <x:c r="J52" s="47" t="str">
        <x:v>37° cone seat</x:v>
      </x:c>
      <x:c r="K52" s="47" t="str">
        <x:v>3/4-16 UNF</x:v>
      </x:c>
      <x:c r="L52" s="33" t="str">
        <x:v>-8</x:v>
      </x:c>
      <x:c r="M52" s="33" t="str">
        <x:v>-8</x:v>
      </x:c>
      <x:c r="N52" s="47" t="str"/>
      <x:c r="O52" s="33" t="str"/>
      <x:c r="P52" s="50" t="str"/>
      <x:c r="Q52" s="50" t="str"/>
      <x:c r="R52" s="50" t="str"/>
      <x:c r="S52" s="50" t="str"/>
      <x:c r="T52" s="50" t="str"/>
      <x:c r="U52" s="50" t="str"/>
      <x:c r="V52" s="50" t="str"/>
      <x:c r="W52" s="50" t="str"/>
      <x:c r="X52" s="47" t="str"/>
      <x:c r="Y52" s="47" t="str"/>
      <x:c r="Z52" s="47" t="str">
        <x:v>https://www.discounthydraulichose.com/v/vspfiles/downloadables/dhh-hose.pdf#page=21</x:v>
      </x:c>
      <x:c r="AA52" s="47" t="str">
        <x:v>Competitor public catalog matrix reference. Factory drawing, dimensions, material, coating, pressure and crimp compatibility must be verified.</x:v>
      </x:c>
      <x:c r="AB52" s="161" t="str">
        <x:v>Eligible</x:v>
      </x:c>
      <x:c r="AC52" s="161" t="str">
        <x:v>Pending</x:v>
      </x:c>
    </x:row>
    <x:row r="53" ht="34" customHeight="1">
      <x:c r="A53" s="33" t="str">
        <x:v>Draft</x:v>
      </x:c>
      <x:c r="B53" s="47" t="str">
        <x:v>JIC_F_SW_08_10</x:v>
      </x:c>
      <x:c r="C53" s="47" t="str">
        <x:v>FJX competitor matrix</x:v>
      </x:c>
      <x:c r="D53" s="47" t="str">
        <x:v>FJX-10-08W</x:v>
      </x:c>
      <x:c r="E53" s="33" t="str">
        <x:v>JIC 37°</x:v>
      </x:c>
      <x:c r="F53" s="47" t="str">
        <x:v>SAE J514 / ISO 8434-2</x:v>
      </x:c>
      <x:c r="G53" s="33" t="str">
        <x:v>Female</x:v>
      </x:c>
      <x:c r="H53" s="33" t="str">
        <x:v>Swivel</x:v>
      </x:c>
      <x:c r="I53" s="33" t="str">
        <x:v>0° Straight</x:v>
      </x:c>
      <x:c r="J53" s="47" t="str">
        <x:v>37° cone seat</x:v>
      </x:c>
      <x:c r="K53" s="47" t="str">
        <x:v>3/4-16 UNF</x:v>
      </x:c>
      <x:c r="L53" s="33" t="str">
        <x:v>-8</x:v>
      </x:c>
      <x:c r="M53" s="33" t="str">
        <x:v>-10</x:v>
      </x:c>
      <x:c r="N53" s="47" t="str"/>
      <x:c r="O53" s="33" t="str"/>
      <x:c r="P53" s="50" t="str"/>
      <x:c r="Q53" s="50" t="str"/>
      <x:c r="R53" s="50" t="str"/>
      <x:c r="S53" s="50" t="str"/>
      <x:c r="T53" s="50" t="str"/>
      <x:c r="U53" s="50" t="str"/>
      <x:c r="V53" s="50" t="str"/>
      <x:c r="W53" s="50" t="str"/>
      <x:c r="X53" s="47" t="str"/>
      <x:c r="Y53" s="47" t="str"/>
      <x:c r="Z53" s="47" t="str">
        <x:v>https://www.discounthydraulichose.com/v/vspfiles/downloadables/dhh-hose.pdf#page=21</x:v>
      </x:c>
      <x:c r="AA53" s="47" t="str">
        <x:v>Competitor public catalog matrix reference. Factory drawing, dimensions, material, coating, pressure and crimp compatibility must be verified.</x:v>
      </x:c>
      <x:c r="AB53" s="161" t="str">
        <x:v>Eligible</x:v>
      </x:c>
      <x:c r="AC53" s="161" t="str">
        <x:v>Pending</x:v>
      </x:c>
    </x:row>
    <x:row r="54" ht="34" customHeight="1">
      <x:c r="A54" s="33" t="str">
        <x:v>Draft</x:v>
      </x:c>
      <x:c r="B54" s="47" t="str">
        <x:v>JIC_F_SW_08_12</x:v>
      </x:c>
      <x:c r="C54" s="47" t="str">
        <x:v>FJX competitor matrix</x:v>
      </x:c>
      <x:c r="D54" s="47" t="str">
        <x:v>FJX-12-08W</x:v>
      </x:c>
      <x:c r="E54" s="33" t="str">
        <x:v>JIC 37°</x:v>
      </x:c>
      <x:c r="F54" s="47" t="str">
        <x:v>SAE J514 / ISO 8434-2</x:v>
      </x:c>
      <x:c r="G54" s="33" t="str">
        <x:v>Female</x:v>
      </x:c>
      <x:c r="H54" s="33" t="str">
        <x:v>Swivel</x:v>
      </x:c>
      <x:c r="I54" s="33" t="str">
        <x:v>0° Straight</x:v>
      </x:c>
      <x:c r="J54" s="47" t="str">
        <x:v>37° cone seat</x:v>
      </x:c>
      <x:c r="K54" s="47" t="str">
        <x:v>3/4-16 UNF</x:v>
      </x:c>
      <x:c r="L54" s="33" t="str">
        <x:v>-8</x:v>
      </x:c>
      <x:c r="M54" s="33" t="str">
        <x:v>-12</x:v>
      </x:c>
      <x:c r="N54" s="47" t="str"/>
      <x:c r="O54" s="33" t="str"/>
      <x:c r="P54" s="50" t="str"/>
      <x:c r="Q54" s="50" t="str"/>
      <x:c r="R54" s="50" t="str"/>
      <x:c r="S54" s="50" t="str"/>
      <x:c r="T54" s="50" t="str"/>
      <x:c r="U54" s="50" t="str"/>
      <x:c r="V54" s="50" t="str"/>
      <x:c r="W54" s="50" t="str"/>
      <x:c r="X54" s="47" t="str"/>
      <x:c r="Y54" s="47" t="str"/>
      <x:c r="Z54" s="47" t="str">
        <x:v>https://www.discounthydraulichose.com/v/vspfiles/downloadables/dhh-hose.pdf#page=21</x:v>
      </x:c>
      <x:c r="AA54" s="47" t="str">
        <x:v>Competitor public catalog matrix reference. Factory drawing, dimensions, material, coating, pressure and crimp compatibility must be verified.</x:v>
      </x:c>
      <x:c r="AB54" s="161" t="str">
        <x:v>Eligible</x:v>
      </x:c>
      <x:c r="AC54" s="161" t="str">
        <x:v>Pending</x:v>
      </x:c>
    </x:row>
    <x:row r="55" ht="34" customHeight="1">
      <x:c r="A55" s="33" t="str">
        <x:v>Draft</x:v>
      </x:c>
      <x:c r="B55" s="47" t="str">
        <x:v>JIC_F_SW_10_06</x:v>
      </x:c>
      <x:c r="C55" s="47" t="str">
        <x:v>FJX competitor matrix</x:v>
      </x:c>
      <x:c r="D55" s="47" t="str">
        <x:v>FJX-06-10W</x:v>
      </x:c>
      <x:c r="E55" s="33" t="str">
        <x:v>JIC 37°</x:v>
      </x:c>
      <x:c r="F55" s="47" t="str">
        <x:v>SAE J514 / ISO 8434-2</x:v>
      </x:c>
      <x:c r="G55" s="33" t="str">
        <x:v>Female</x:v>
      </x:c>
      <x:c r="H55" s="33" t="str">
        <x:v>Swivel</x:v>
      </x:c>
      <x:c r="I55" s="33" t="str">
        <x:v>0° Straight</x:v>
      </x:c>
      <x:c r="J55" s="47" t="str">
        <x:v>37° cone seat</x:v>
      </x:c>
      <x:c r="K55" s="47" t="str">
        <x:v>7/8-14 UNF</x:v>
      </x:c>
      <x:c r="L55" s="33" t="str">
        <x:v>-10</x:v>
      </x:c>
      <x:c r="M55" s="33" t="str">
        <x:v>-6</x:v>
      </x:c>
      <x:c r="N55" s="47" t="str"/>
      <x:c r="O55" s="33" t="str"/>
      <x:c r="P55" s="50" t="str"/>
      <x:c r="Q55" s="50" t="str"/>
      <x:c r="R55" s="50" t="str"/>
      <x:c r="S55" s="50" t="str"/>
      <x:c r="T55" s="50" t="str"/>
      <x:c r="U55" s="50" t="str"/>
      <x:c r="V55" s="50" t="str"/>
      <x:c r="W55" s="50" t="str"/>
      <x:c r="X55" s="47" t="str"/>
      <x:c r="Y55" s="47" t="str"/>
      <x:c r="Z55" s="47" t="str">
        <x:v>https://www.discounthydraulichose.com/v/vspfiles/downloadables/dhh-hose.pdf#page=21</x:v>
      </x:c>
      <x:c r="AA55" s="47" t="str">
        <x:v>Competitor public catalog matrix reference. Factory drawing, dimensions, material, coating, pressure and crimp compatibility must be verified.</x:v>
      </x:c>
      <x:c r="AB55" s="161" t="str">
        <x:v>Eligible</x:v>
      </x:c>
      <x:c r="AC55" s="161" t="str">
        <x:v>Pending</x:v>
      </x:c>
    </x:row>
    <x:row r="56" ht="34" customHeight="1">
      <x:c r="A56" s="33" t="str">
        <x:v>Draft</x:v>
      </x:c>
      <x:c r="B56" s="47" t="str">
        <x:v>JIC_F_SW_10_08</x:v>
      </x:c>
      <x:c r="C56" s="47" t="str">
        <x:v>FJX competitor matrix</x:v>
      </x:c>
      <x:c r="D56" s="47" t="str">
        <x:v>FJX-08-10W</x:v>
      </x:c>
      <x:c r="E56" s="33" t="str">
        <x:v>JIC 37°</x:v>
      </x:c>
      <x:c r="F56" s="47" t="str">
        <x:v>SAE J514 / ISO 8434-2</x:v>
      </x:c>
      <x:c r="G56" s="33" t="str">
        <x:v>Female</x:v>
      </x:c>
      <x:c r="H56" s="33" t="str">
        <x:v>Swivel</x:v>
      </x:c>
      <x:c r="I56" s="33" t="str">
        <x:v>0° Straight</x:v>
      </x:c>
      <x:c r="J56" s="47" t="str">
        <x:v>37° cone seat</x:v>
      </x:c>
      <x:c r="K56" s="47" t="str">
        <x:v>7/8-14 UNF</x:v>
      </x:c>
      <x:c r="L56" s="33" t="str">
        <x:v>-10</x:v>
      </x:c>
      <x:c r="M56" s="33" t="str">
        <x:v>-8</x:v>
      </x:c>
      <x:c r="N56" s="47" t="str"/>
      <x:c r="O56" s="33" t="str"/>
      <x:c r="P56" s="50" t="str"/>
      <x:c r="Q56" s="50" t="str"/>
      <x:c r="R56" s="50" t="str"/>
      <x:c r="S56" s="50" t="str"/>
      <x:c r="T56" s="50" t="str"/>
      <x:c r="U56" s="50" t="str"/>
      <x:c r="V56" s="50" t="str"/>
      <x:c r="W56" s="50" t="str"/>
      <x:c r="X56" s="47" t="str"/>
      <x:c r="Y56" s="47" t="str"/>
      <x:c r="Z56" s="47" t="str">
        <x:v>https://www.discounthydraulichose.com/v/vspfiles/downloadables/dhh-hose.pdf#page=21</x:v>
      </x:c>
      <x:c r="AA56" s="47" t="str">
        <x:v>Competitor public catalog matrix reference. Factory drawing, dimensions, material, coating, pressure and crimp compatibility must be verified.</x:v>
      </x:c>
      <x:c r="AB56" s="161" t="str">
        <x:v>Eligible</x:v>
      </x:c>
      <x:c r="AC56" s="161" t="str">
        <x:v>Pending</x:v>
      </x:c>
    </x:row>
    <x:row r="57" ht="34" customHeight="1">
      <x:c r="A57" s="33" t="str">
        <x:v>Draft</x:v>
      </x:c>
      <x:c r="B57" s="47" t="str">
        <x:v>JIC_F_SW_10_10</x:v>
      </x:c>
      <x:c r="C57" s="47" t="str">
        <x:v>FJX competitor matrix</x:v>
      </x:c>
      <x:c r="D57" s="47" t="str">
        <x:v>FJX-10-10W</x:v>
      </x:c>
      <x:c r="E57" s="33" t="str">
        <x:v>JIC 37°</x:v>
      </x:c>
      <x:c r="F57" s="47" t="str">
        <x:v>SAE J514 / ISO 8434-2</x:v>
      </x:c>
      <x:c r="G57" s="33" t="str">
        <x:v>Female</x:v>
      </x:c>
      <x:c r="H57" s="33" t="str">
        <x:v>Swivel</x:v>
      </x:c>
      <x:c r="I57" s="33" t="str">
        <x:v>0° Straight</x:v>
      </x:c>
      <x:c r="J57" s="47" t="str">
        <x:v>37° cone seat</x:v>
      </x:c>
      <x:c r="K57" s="47" t="str">
        <x:v>7/8-14 UNF</x:v>
      </x:c>
      <x:c r="L57" s="33" t="str">
        <x:v>-10</x:v>
      </x:c>
      <x:c r="M57" s="33" t="str">
        <x:v>-10</x:v>
      </x:c>
      <x:c r="N57" s="47" t="str"/>
      <x:c r="O57" s="33" t="str"/>
      <x:c r="P57" s="50" t="str"/>
      <x:c r="Q57" s="50" t="str"/>
      <x:c r="R57" s="50" t="str"/>
      <x:c r="S57" s="50" t="str"/>
      <x:c r="T57" s="50" t="str"/>
      <x:c r="U57" s="50" t="str"/>
      <x:c r="V57" s="50" t="str"/>
      <x:c r="W57" s="50" t="str"/>
      <x:c r="X57" s="47" t="str"/>
      <x:c r="Y57" s="47" t="str"/>
      <x:c r="Z57" s="47" t="str">
        <x:v>https://www.discounthydraulichose.com/v/vspfiles/downloadables/dhh-hose.pdf#page=21</x:v>
      </x:c>
      <x:c r="AA57" s="47" t="str">
        <x:v>Competitor public catalog matrix reference. Factory drawing, dimensions, material, coating, pressure and crimp compatibility must be verified.</x:v>
      </x:c>
      <x:c r="AB57" s="161" t="str">
        <x:v>Eligible</x:v>
      </x:c>
      <x:c r="AC57" s="161" t="str">
        <x:v>Pending</x:v>
      </x:c>
    </x:row>
    <x:row r="58" ht="34" customHeight="1">
      <x:c r="A58" s="33" t="str">
        <x:v>Draft</x:v>
      </x:c>
      <x:c r="B58" s="47" t="str">
        <x:v>JIC_F_SW_10_12</x:v>
      </x:c>
      <x:c r="C58" s="47" t="str">
        <x:v>FJX competitor matrix</x:v>
      </x:c>
      <x:c r="D58" s="47" t="str">
        <x:v>FJX-12-10W</x:v>
      </x:c>
      <x:c r="E58" s="33" t="str">
        <x:v>JIC 37°</x:v>
      </x:c>
      <x:c r="F58" s="47" t="str">
        <x:v>SAE J514 / ISO 8434-2</x:v>
      </x:c>
      <x:c r="G58" s="33" t="str">
        <x:v>Female</x:v>
      </x:c>
      <x:c r="H58" s="33" t="str">
        <x:v>Swivel</x:v>
      </x:c>
      <x:c r="I58" s="33" t="str">
        <x:v>0° Straight</x:v>
      </x:c>
      <x:c r="J58" s="47" t="str">
        <x:v>37° cone seat</x:v>
      </x:c>
      <x:c r="K58" s="47" t="str">
        <x:v>7/8-14 UNF</x:v>
      </x:c>
      <x:c r="L58" s="33" t="str">
        <x:v>-10</x:v>
      </x:c>
      <x:c r="M58" s="33" t="str">
        <x:v>-12</x:v>
      </x:c>
      <x:c r="N58" s="47" t="str"/>
      <x:c r="O58" s="33" t="str"/>
      <x:c r="P58" s="50" t="str"/>
      <x:c r="Q58" s="50" t="str"/>
      <x:c r="R58" s="50" t="str"/>
      <x:c r="S58" s="50" t="str"/>
      <x:c r="T58" s="50" t="str"/>
      <x:c r="U58" s="50" t="str"/>
      <x:c r="V58" s="50" t="str"/>
      <x:c r="W58" s="50" t="str"/>
      <x:c r="X58" s="47" t="str"/>
      <x:c r="Y58" s="47" t="str"/>
      <x:c r="Z58" s="47" t="str">
        <x:v>https://www.discounthydraulichose.com/v/vspfiles/downloadables/dhh-hose.pdf#page=21</x:v>
      </x:c>
      <x:c r="AA58" s="47" t="str">
        <x:v>Competitor public catalog matrix reference. Factory drawing, dimensions, material, coating, pressure and crimp compatibility must be verified.</x:v>
      </x:c>
      <x:c r="AB58" s="161" t="str">
        <x:v>Eligible</x:v>
      </x:c>
      <x:c r="AC58" s="161" t="str">
        <x:v>Pending</x:v>
      </x:c>
    </x:row>
    <x:row r="59" ht="34" customHeight="1">
      <x:c r="A59" s="33" t="str">
        <x:v>Draft</x:v>
      </x:c>
      <x:c r="B59" s="47" t="str">
        <x:v>JIC_F_SW_12_08</x:v>
      </x:c>
      <x:c r="C59" s="47" t="str">
        <x:v>FJX competitor matrix</x:v>
      </x:c>
      <x:c r="D59" s="47" t="str">
        <x:v>FJX-08-12W</x:v>
      </x:c>
      <x:c r="E59" s="33" t="str">
        <x:v>JIC 37°</x:v>
      </x:c>
      <x:c r="F59" s="47" t="str">
        <x:v>SAE J514 / ISO 8434-2</x:v>
      </x:c>
      <x:c r="G59" s="33" t="str">
        <x:v>Female</x:v>
      </x:c>
      <x:c r="H59" s="33" t="str">
        <x:v>Swivel</x:v>
      </x:c>
      <x:c r="I59" s="33" t="str">
        <x:v>0° Straight</x:v>
      </x:c>
      <x:c r="J59" s="47" t="str">
        <x:v>37° cone seat</x:v>
      </x:c>
      <x:c r="K59" s="47" t="str">
        <x:v>1-1/16-12 UN</x:v>
      </x:c>
      <x:c r="L59" s="33" t="str">
        <x:v>-12</x:v>
      </x:c>
      <x:c r="M59" s="33" t="str">
        <x:v>-8</x:v>
      </x:c>
      <x:c r="N59" s="47" t="str"/>
      <x:c r="O59" s="33" t="str"/>
      <x:c r="P59" s="50" t="str"/>
      <x:c r="Q59" s="50" t="str"/>
      <x:c r="R59" s="50" t="str"/>
      <x:c r="S59" s="50" t="str"/>
      <x:c r="T59" s="50" t="str"/>
      <x:c r="U59" s="50" t="str"/>
      <x:c r="V59" s="50" t="str"/>
      <x:c r="W59" s="50" t="str"/>
      <x:c r="X59" s="47" t="str"/>
      <x:c r="Y59" s="47" t="str"/>
      <x:c r="Z59" s="47" t="str">
        <x:v>https://www.discounthydraulichose.com/v/vspfiles/downloadables/dhh-hose.pdf#page=21</x:v>
      </x:c>
      <x:c r="AA59" s="47" t="str">
        <x:v>Competitor public catalog matrix reference. Factory drawing, dimensions, material, coating, pressure and crimp compatibility must be verified.</x:v>
      </x:c>
      <x:c r="AB59" s="161" t="str">
        <x:v>Eligible</x:v>
      </x:c>
      <x:c r="AC59" s="161" t="str">
        <x:v>Pending</x:v>
      </x:c>
    </x:row>
    <x:row r="60" ht="34" customHeight="1">
      <x:c r="A60" s="33" t="str">
        <x:v>Draft</x:v>
      </x:c>
      <x:c r="B60" s="47" t="str">
        <x:v>JIC_F_SW_12_10</x:v>
      </x:c>
      <x:c r="C60" s="47" t="str">
        <x:v>FJX competitor matrix</x:v>
      </x:c>
      <x:c r="D60" s="47" t="str">
        <x:v>FJX-10-12W</x:v>
      </x:c>
      <x:c r="E60" s="33" t="str">
        <x:v>JIC 37°</x:v>
      </x:c>
      <x:c r="F60" s="47" t="str">
        <x:v>SAE J514 / ISO 8434-2</x:v>
      </x:c>
      <x:c r="G60" s="33" t="str">
        <x:v>Female</x:v>
      </x:c>
      <x:c r="H60" s="33" t="str">
        <x:v>Swivel</x:v>
      </x:c>
      <x:c r="I60" s="33" t="str">
        <x:v>0° Straight</x:v>
      </x:c>
      <x:c r="J60" s="47" t="str">
        <x:v>37° cone seat</x:v>
      </x:c>
      <x:c r="K60" s="47" t="str">
        <x:v>1-1/16-12 UN</x:v>
      </x:c>
      <x:c r="L60" s="33" t="str">
        <x:v>-12</x:v>
      </x:c>
      <x:c r="M60" s="33" t="str">
        <x:v>-10</x:v>
      </x:c>
      <x:c r="N60" s="47" t="str"/>
      <x:c r="O60" s="33" t="str"/>
      <x:c r="P60" s="50" t="str"/>
      <x:c r="Q60" s="50" t="str"/>
      <x:c r="R60" s="50" t="str"/>
      <x:c r="S60" s="50" t="str"/>
      <x:c r="T60" s="50" t="str"/>
      <x:c r="U60" s="50" t="str"/>
      <x:c r="V60" s="50" t="str"/>
      <x:c r="W60" s="50" t="str"/>
      <x:c r="X60" s="47" t="str"/>
      <x:c r="Y60" s="47" t="str"/>
      <x:c r="Z60" s="47" t="str">
        <x:v>https://www.discounthydraulichose.com/v/vspfiles/downloadables/dhh-hose.pdf#page=21</x:v>
      </x:c>
      <x:c r="AA60" s="47" t="str">
        <x:v>Competitor public catalog matrix reference. Factory drawing, dimensions, material, coating, pressure and crimp compatibility must be verified.</x:v>
      </x:c>
      <x:c r="AB60" s="161" t="str">
        <x:v>Eligible</x:v>
      </x:c>
      <x:c r="AC60" s="161" t="str">
        <x:v>Pending</x:v>
      </x:c>
    </x:row>
    <x:row r="61" ht="34" customHeight="1">
      <x:c r="A61" s="33" t="str">
        <x:v>Draft</x:v>
      </x:c>
      <x:c r="B61" s="47" t="str">
        <x:v>JIC_F_SW_12_12</x:v>
      </x:c>
      <x:c r="C61" s="47" t="str">
        <x:v>FJX competitor matrix</x:v>
      </x:c>
      <x:c r="D61" s="47" t="str">
        <x:v>FJX-12-12W</x:v>
      </x:c>
      <x:c r="E61" s="33" t="str">
        <x:v>JIC 37°</x:v>
      </x:c>
      <x:c r="F61" s="47" t="str">
        <x:v>SAE J514 / ISO 8434-2</x:v>
      </x:c>
      <x:c r="G61" s="33" t="str">
        <x:v>Female</x:v>
      </x:c>
      <x:c r="H61" s="33" t="str">
        <x:v>Swivel</x:v>
      </x:c>
      <x:c r="I61" s="33" t="str">
        <x:v>0° Straight</x:v>
      </x:c>
      <x:c r="J61" s="47" t="str">
        <x:v>37° cone seat</x:v>
      </x:c>
      <x:c r="K61" s="47" t="str">
        <x:v>1-1/16-12 UN</x:v>
      </x:c>
      <x:c r="L61" s="33" t="str">
        <x:v>-12</x:v>
      </x:c>
      <x:c r="M61" s="33" t="str">
        <x:v>-12</x:v>
      </x:c>
      <x:c r="N61" s="47" t="str"/>
      <x:c r="O61" s="33" t="str"/>
      <x:c r="P61" s="50" t="str"/>
      <x:c r="Q61" s="50" t="str"/>
      <x:c r="R61" s="50" t="str"/>
      <x:c r="S61" s="50" t="str"/>
      <x:c r="T61" s="50" t="str"/>
      <x:c r="U61" s="50" t="str"/>
      <x:c r="V61" s="50" t="str"/>
      <x:c r="W61" s="50" t="str"/>
      <x:c r="X61" s="47" t="str"/>
      <x:c r="Y61" s="47" t="str"/>
      <x:c r="Z61" s="47" t="str">
        <x:v>https://www.discounthydraulichose.com/v/vspfiles/downloadables/dhh-hose.pdf#page=21</x:v>
      </x:c>
      <x:c r="AA61" s="47" t="str">
        <x:v>Competitor public catalog matrix reference. Factory drawing, dimensions, material, coating, pressure and crimp compatibility must be verified.</x:v>
      </x:c>
      <x:c r="AB61" s="161" t="str">
        <x:v>Eligible</x:v>
      </x:c>
      <x:c r="AC61" s="161" t="str">
        <x:v>Pending</x:v>
      </x:c>
    </x:row>
    <x:row r="62" ht="34" customHeight="1">
      <x:c r="A62" s="33" t="str">
        <x:v>Draft</x:v>
      </x:c>
      <x:c r="B62" s="47" t="str">
        <x:v>JIC_F_SW_12_16</x:v>
      </x:c>
      <x:c r="C62" s="47" t="str">
        <x:v>FJX competitor matrix</x:v>
      </x:c>
      <x:c r="D62" s="47" t="str">
        <x:v>FJX-16-12W</x:v>
      </x:c>
      <x:c r="E62" s="33" t="str">
        <x:v>JIC 37°</x:v>
      </x:c>
      <x:c r="F62" s="47" t="str">
        <x:v>SAE J514 / ISO 8434-2</x:v>
      </x:c>
      <x:c r="G62" s="33" t="str">
        <x:v>Female</x:v>
      </x:c>
      <x:c r="H62" s="33" t="str">
        <x:v>Swivel</x:v>
      </x:c>
      <x:c r="I62" s="33" t="str">
        <x:v>0° Straight</x:v>
      </x:c>
      <x:c r="J62" s="47" t="str">
        <x:v>37° cone seat</x:v>
      </x:c>
      <x:c r="K62" s="47" t="str">
        <x:v>1-1/16-12 UN</x:v>
      </x:c>
      <x:c r="L62" s="33" t="str">
        <x:v>-12</x:v>
      </x:c>
      <x:c r="M62" s="33" t="str">
        <x:v>-16</x:v>
      </x:c>
      <x:c r="N62" s="47" t="str"/>
      <x:c r="O62" s="33" t="str"/>
      <x:c r="P62" s="50" t="str"/>
      <x:c r="Q62" s="50" t="str"/>
      <x:c r="R62" s="50" t="str"/>
      <x:c r="S62" s="50" t="str"/>
      <x:c r="T62" s="50" t="str"/>
      <x:c r="U62" s="50" t="str"/>
      <x:c r="V62" s="50" t="str"/>
      <x:c r="W62" s="50" t="str"/>
      <x:c r="X62" s="47" t="str"/>
      <x:c r="Y62" s="47" t="str"/>
      <x:c r="Z62" s="47" t="str">
        <x:v>https://www.discounthydraulichose.com/v/vspfiles/downloadables/dhh-hose.pdf#page=21</x:v>
      </x:c>
      <x:c r="AA62" s="47" t="str">
        <x:v>Competitor public catalog matrix reference. Factory drawing, dimensions, material, coating, pressure and crimp compatibility must be verified.</x:v>
      </x:c>
      <x:c r="AB62" s="161" t="str">
        <x:v>Eligible</x:v>
      </x:c>
      <x:c r="AC62" s="161" t="str">
        <x:v>Pending</x:v>
      </x:c>
    </x:row>
    <x:row r="63" ht="34" customHeight="1">
      <x:c r="A63" s="33" t="str">
        <x:v>Draft</x:v>
      </x:c>
      <x:c r="B63" s="47" t="str">
        <x:v>JIC_F_SW_14_12</x:v>
      </x:c>
      <x:c r="C63" s="47" t="str">
        <x:v>FJX competitor matrix</x:v>
      </x:c>
      <x:c r="D63" s="47" t="str">
        <x:v>FJX-12-14W</x:v>
      </x:c>
      <x:c r="E63" s="33" t="str">
        <x:v>JIC 37°</x:v>
      </x:c>
      <x:c r="F63" s="47" t="str">
        <x:v>SAE J514 / ISO 8434-2</x:v>
      </x:c>
      <x:c r="G63" s="33" t="str">
        <x:v>Female</x:v>
      </x:c>
      <x:c r="H63" s="33" t="str">
        <x:v>Swivel</x:v>
      </x:c>
      <x:c r="I63" s="33" t="str">
        <x:v>0° Straight</x:v>
      </x:c>
      <x:c r="J63" s="47" t="str">
        <x:v>37° cone seat</x:v>
      </x:c>
      <x:c r="K63" s="47" t="str">
        <x:v>1-3/16-12 UN</x:v>
      </x:c>
      <x:c r="L63" s="33" t="str">
        <x:v>-14</x:v>
      </x:c>
      <x:c r="M63" s="33" t="str">
        <x:v>-12</x:v>
      </x:c>
      <x:c r="N63" s="47" t="str"/>
      <x:c r="O63" s="33" t="str"/>
      <x:c r="P63" s="50" t="str"/>
      <x:c r="Q63" s="50" t="str"/>
      <x:c r="R63" s="50" t="str"/>
      <x:c r="S63" s="50" t="str"/>
      <x:c r="T63" s="50" t="str"/>
      <x:c r="U63" s="50" t="str"/>
      <x:c r="V63" s="50" t="str"/>
      <x:c r="W63" s="50" t="str"/>
      <x:c r="X63" s="47" t="str"/>
      <x:c r="Y63" s="47" t="str"/>
      <x:c r="Z63" s="47" t="str">
        <x:v>https://www.discounthydraulichose.com/v/vspfiles/downloadables/dhh-hose.pdf#page=21</x:v>
      </x:c>
      <x:c r="AA63" s="47" t="str">
        <x:v>Competitor public catalog matrix reference. Factory drawing, dimensions, material, coating, pressure and crimp compatibility must be verified.</x:v>
      </x:c>
      <x:c r="AB63" s="161" t="str">
        <x:v>Eligible</x:v>
      </x:c>
      <x:c r="AC63" s="161" t="str">
        <x:v>Pending</x:v>
      </x:c>
    </x:row>
    <x:row r="64" ht="34" customHeight="1">
      <x:c r="A64" s="33" t="str">
        <x:v>Draft</x:v>
      </x:c>
      <x:c r="B64" s="47" t="str">
        <x:v>JIC_F_SW_16_12</x:v>
      </x:c>
      <x:c r="C64" s="47" t="str">
        <x:v>FJX competitor matrix</x:v>
      </x:c>
      <x:c r="D64" s="47" t="str">
        <x:v>FJX-12-16W</x:v>
      </x:c>
      <x:c r="E64" s="33" t="str">
        <x:v>JIC 37°</x:v>
      </x:c>
      <x:c r="F64" s="47" t="str">
        <x:v>SAE J514 / ISO 8434-2</x:v>
      </x:c>
      <x:c r="G64" s="33" t="str">
        <x:v>Female</x:v>
      </x:c>
      <x:c r="H64" s="33" t="str">
        <x:v>Swivel</x:v>
      </x:c>
      <x:c r="I64" s="33" t="str">
        <x:v>0° Straight</x:v>
      </x:c>
      <x:c r="J64" s="47" t="str">
        <x:v>37° cone seat</x:v>
      </x:c>
      <x:c r="K64" s="47" t="str">
        <x:v>1-5/16-12 UN</x:v>
      </x:c>
      <x:c r="L64" s="33" t="str">
        <x:v>-16</x:v>
      </x:c>
      <x:c r="M64" s="33" t="str">
        <x:v>-12</x:v>
      </x:c>
      <x:c r="N64" s="47" t="str"/>
      <x:c r="O64" s="33" t="str"/>
      <x:c r="P64" s="50" t="str"/>
      <x:c r="Q64" s="50" t="str"/>
      <x:c r="R64" s="50" t="str"/>
      <x:c r="S64" s="50" t="str"/>
      <x:c r="T64" s="50" t="str"/>
      <x:c r="U64" s="50" t="str"/>
      <x:c r="V64" s="50" t="str"/>
      <x:c r="W64" s="50" t="str"/>
      <x:c r="X64" s="47" t="str"/>
      <x:c r="Y64" s="47" t="str"/>
      <x:c r="Z64" s="47" t="str">
        <x:v>https://www.discounthydraulichose.com/v/vspfiles/downloadables/dhh-hose.pdf#page=21</x:v>
      </x:c>
      <x:c r="AA64" s="47" t="str">
        <x:v>Competitor public catalog matrix reference. Factory drawing, dimensions, material, coating, pressure and crimp compatibility must be verified.</x:v>
      </x:c>
      <x:c r="AB64" s="161" t="str">
        <x:v>Eligible</x:v>
      </x:c>
      <x:c r="AC64" s="161" t="str">
        <x:v>Pending</x:v>
      </x:c>
    </x:row>
    <x:row r="65" ht="34" customHeight="1">
      <x:c r="A65" s="33" t="str">
        <x:v>Draft</x:v>
      </x:c>
      <x:c r="B65" s="47" t="str">
        <x:v>JIC_F_SW_16_16</x:v>
      </x:c>
      <x:c r="C65" s="47" t="str">
        <x:v>FJX competitor matrix</x:v>
      </x:c>
      <x:c r="D65" s="47" t="str">
        <x:v>FJX-16-16W</x:v>
      </x:c>
      <x:c r="E65" s="33" t="str">
        <x:v>JIC 37°</x:v>
      </x:c>
      <x:c r="F65" s="47" t="str">
        <x:v>SAE J514 / ISO 8434-2</x:v>
      </x:c>
      <x:c r="G65" s="33" t="str">
        <x:v>Female</x:v>
      </x:c>
      <x:c r="H65" s="33" t="str">
        <x:v>Swivel</x:v>
      </x:c>
      <x:c r="I65" s="33" t="str">
        <x:v>0° Straight</x:v>
      </x:c>
      <x:c r="J65" s="47" t="str">
        <x:v>37° cone seat</x:v>
      </x:c>
      <x:c r="K65" s="47" t="str">
        <x:v>1-5/16-12 UN</x:v>
      </x:c>
      <x:c r="L65" s="33" t="str">
        <x:v>-16</x:v>
      </x:c>
      <x:c r="M65" s="33" t="str">
        <x:v>-16</x:v>
      </x:c>
      <x:c r="N65" s="47" t="str"/>
      <x:c r="O65" s="33" t="str"/>
      <x:c r="P65" s="50" t="str"/>
      <x:c r="Q65" s="50" t="str"/>
      <x:c r="R65" s="50" t="str"/>
      <x:c r="S65" s="50" t="str"/>
      <x:c r="T65" s="50" t="str"/>
      <x:c r="U65" s="50" t="str"/>
      <x:c r="V65" s="50" t="str"/>
      <x:c r="W65" s="50" t="str"/>
      <x:c r="X65" s="47" t="str"/>
      <x:c r="Y65" s="47" t="str"/>
      <x:c r="Z65" s="47" t="str">
        <x:v>https://www.discounthydraulichose.com/v/vspfiles/downloadables/dhh-hose.pdf#page=21</x:v>
      </x:c>
      <x:c r="AA65" s="47" t="str">
        <x:v>Competitor public catalog matrix reference. Factory drawing, dimensions, material, coating, pressure and crimp compatibility must be verified.</x:v>
      </x:c>
      <x:c r="AB65" s="161" t="str">
        <x:v>Eligible</x:v>
      </x:c>
      <x:c r="AC65" s="161" t="str">
        <x:v>Pending</x:v>
      </x:c>
    </x:row>
    <x:row r="66" ht="34" customHeight="1">
      <x:c r="A66" s="33" t="str">
        <x:v>Draft</x:v>
      </x:c>
      <x:c r="B66" s="47" t="str">
        <x:v>JIC_F_SW_20_16</x:v>
      </x:c>
      <x:c r="C66" s="47" t="str">
        <x:v>FJX competitor matrix</x:v>
      </x:c>
      <x:c r="D66" s="47" t="str">
        <x:v>FJX-16-20W</x:v>
      </x:c>
      <x:c r="E66" s="33" t="str">
        <x:v>JIC 37°</x:v>
      </x:c>
      <x:c r="F66" s="47" t="str">
        <x:v>SAE J514 / ISO 8434-2</x:v>
      </x:c>
      <x:c r="G66" s="33" t="str">
        <x:v>Female</x:v>
      </x:c>
      <x:c r="H66" s="33" t="str">
        <x:v>Swivel</x:v>
      </x:c>
      <x:c r="I66" s="33" t="str">
        <x:v>0° Straight</x:v>
      </x:c>
      <x:c r="J66" s="47" t="str">
        <x:v>37° cone seat</x:v>
      </x:c>
      <x:c r="K66" s="47" t="str">
        <x:v>1-5/8-12 UN</x:v>
      </x:c>
      <x:c r="L66" s="33" t="str">
        <x:v>-20</x:v>
      </x:c>
      <x:c r="M66" s="33" t="str">
        <x:v>-16</x:v>
      </x:c>
      <x:c r="N66" s="47" t="str"/>
      <x:c r="O66" s="33" t="str"/>
      <x:c r="P66" s="50" t="str"/>
      <x:c r="Q66" s="50" t="str"/>
      <x:c r="R66" s="50" t="str"/>
      <x:c r="S66" s="50" t="str"/>
      <x:c r="T66" s="50" t="str"/>
      <x:c r="U66" s="50" t="str"/>
      <x:c r="V66" s="50" t="str"/>
      <x:c r="W66" s="50" t="str"/>
      <x:c r="X66" s="47" t="str"/>
      <x:c r="Y66" s="47" t="str"/>
      <x:c r="Z66" s="47" t="str">
        <x:v>https://www.discounthydraulichose.com/v/vspfiles/downloadables/dhh-hose.pdf#page=21</x:v>
      </x:c>
      <x:c r="AA66" s="47" t="str">
        <x:v>Competitor public catalog matrix reference. Factory drawing, dimensions, material, coating, pressure and crimp compatibility must be verified.</x:v>
      </x:c>
      <x:c r="AB66" s="161" t="str">
        <x:v>Eligible</x:v>
      </x:c>
      <x:c r="AC66" s="161" t="str">
        <x:v>Pending</x:v>
      </x:c>
    </x:row>
    <x:row r="67" ht="34" customHeight="1">
      <x:c r="A67" s="33" t="str">
        <x:v>Draft</x:v>
      </x:c>
      <x:c r="B67" s="47" t="str">
        <x:v>JIC_M_FX_04_04</x:v>
      </x:c>
      <x:c r="C67" s="47" t="str">
        <x:v>MJ competitor matrix</x:v>
      </x:c>
      <x:c r="D67" s="47" t="str">
        <x:v>MJ-04-04W</x:v>
      </x:c>
      <x:c r="E67" s="33" t="str">
        <x:v>JIC 37°</x:v>
      </x:c>
      <x:c r="F67" s="47" t="str">
        <x:v>SAE J514 / ISO 8434-2</x:v>
      </x:c>
      <x:c r="G67" s="33" t="str">
        <x:v>Male</x:v>
      </x:c>
      <x:c r="H67" s="33" t="str">
        <x:v>Fixed</x:v>
      </x:c>
      <x:c r="I67" s="33" t="str">
        <x:v>0° Straight</x:v>
      </x:c>
      <x:c r="J67" s="47" t="str">
        <x:v>37° cone seat</x:v>
      </x:c>
      <x:c r="K67" s="47" t="str">
        <x:v>7/16-20 UNF</x:v>
      </x:c>
      <x:c r="L67" s="33" t="str">
        <x:v>-4</x:v>
      </x:c>
      <x:c r="M67" s="33" t="str">
        <x:v>-4</x:v>
      </x:c>
      <x:c r="N67" s="47" t="str"/>
      <x:c r="O67" s="33" t="str"/>
      <x:c r="P67" s="50" t="str"/>
      <x:c r="Q67" s="50" t="str"/>
      <x:c r="R67" s="50" t="str"/>
      <x:c r="S67" s="50" t="str"/>
      <x:c r="T67" s="50" t="str"/>
      <x:c r="U67" s="50" t="str"/>
      <x:c r="V67" s="50" t="str"/>
      <x:c r="W67" s="50" t="str"/>
      <x:c r="X67" s="47" t="str"/>
      <x:c r="Y67" s="47" t="str"/>
      <x:c r="Z67" s="47" t="str">
        <x:v>https://www.discounthydraulichose.com/v/vspfiles/downloadables/dhh-hose.pdf#page=21</x:v>
      </x:c>
      <x:c r="AA67" s="47" t="str">
        <x:v>Competitor public catalog matrix reference. Factory drawing, dimensions, material, coating, pressure and crimp compatibility must be verified.</x:v>
      </x:c>
      <x:c r="AB67" s="161" t="str">
        <x:v>Eligible</x:v>
      </x:c>
      <x:c r="AC67" s="161" t="str">
        <x:v>Pending</x:v>
      </x:c>
    </x:row>
    <x:row r="68" ht="34" customHeight="1">
      <x:c r="A68" s="33" t="str">
        <x:v>Draft</x:v>
      </x:c>
      <x:c r="B68" s="47" t="str">
        <x:v>JIC_M_FX_05_04</x:v>
      </x:c>
      <x:c r="C68" s="47" t="str">
        <x:v>MJ competitor matrix</x:v>
      </x:c>
      <x:c r="D68" s="47" t="str">
        <x:v>MJ-04-05W</x:v>
      </x:c>
      <x:c r="E68" s="33" t="str">
        <x:v>JIC 37°</x:v>
      </x:c>
      <x:c r="F68" s="47" t="str">
        <x:v>SAE J514 / ISO 8434-2</x:v>
      </x:c>
      <x:c r="G68" s="33" t="str">
        <x:v>Male</x:v>
      </x:c>
      <x:c r="H68" s="33" t="str">
        <x:v>Fixed</x:v>
      </x:c>
      <x:c r="I68" s="33" t="str">
        <x:v>0° Straight</x:v>
      </x:c>
      <x:c r="J68" s="47" t="str">
        <x:v>37° cone seat</x:v>
      </x:c>
      <x:c r="K68" s="47" t="str">
        <x:v>1/2-20 UNF</x:v>
      </x:c>
      <x:c r="L68" s="33" t="str">
        <x:v>-5</x:v>
      </x:c>
      <x:c r="M68" s="33" t="str">
        <x:v>-4</x:v>
      </x:c>
      <x:c r="N68" s="47" t="str"/>
      <x:c r="O68" s="33" t="str"/>
      <x:c r="P68" s="50" t="str"/>
      <x:c r="Q68" s="50" t="str"/>
      <x:c r="R68" s="50" t="str"/>
      <x:c r="S68" s="50" t="str"/>
      <x:c r="T68" s="50" t="str"/>
      <x:c r="U68" s="50" t="str"/>
      <x:c r="V68" s="50" t="str"/>
      <x:c r="W68" s="50" t="str"/>
      <x:c r="X68" s="47" t="str"/>
      <x:c r="Y68" s="47" t="str"/>
      <x:c r="Z68" s="47" t="str">
        <x:v>https://www.discounthydraulichose.com/v/vspfiles/downloadables/dhh-hose.pdf#page=21</x:v>
      </x:c>
      <x:c r="AA68" s="47" t="str">
        <x:v>Competitor public catalog matrix reference. Factory drawing, dimensions, material, coating, pressure and crimp compatibility must be verified.</x:v>
      </x:c>
      <x:c r="AB68" s="161" t="str">
        <x:v>Eligible</x:v>
      </x:c>
      <x:c r="AC68" s="161" t="str">
        <x:v>Pending</x:v>
      </x:c>
    </x:row>
    <x:row r="69" ht="34" customHeight="1">
      <x:c r="A69" s="33" t="str">
        <x:v>Draft</x:v>
      </x:c>
      <x:c r="B69" s="47" t="str">
        <x:v>JIC_M_FX_05_06</x:v>
      </x:c>
      <x:c r="C69" s="47" t="str">
        <x:v>MJ competitor matrix</x:v>
      </x:c>
      <x:c r="D69" s="47" t="str">
        <x:v>MJ-06-05W</x:v>
      </x:c>
      <x:c r="E69" s="33" t="str">
        <x:v>JIC 37°</x:v>
      </x:c>
      <x:c r="F69" s="47" t="str">
        <x:v>SAE J514 / ISO 8434-2</x:v>
      </x:c>
      <x:c r="G69" s="33" t="str">
        <x:v>Male</x:v>
      </x:c>
      <x:c r="H69" s="33" t="str">
        <x:v>Fixed</x:v>
      </x:c>
      <x:c r="I69" s="33" t="str">
        <x:v>0° Straight</x:v>
      </x:c>
      <x:c r="J69" s="47" t="str">
        <x:v>37° cone seat</x:v>
      </x:c>
      <x:c r="K69" s="47" t="str">
        <x:v>1/2-20 UNF</x:v>
      </x:c>
      <x:c r="L69" s="33" t="str">
        <x:v>-5</x:v>
      </x:c>
      <x:c r="M69" s="33" t="str">
        <x:v>-6</x:v>
      </x:c>
      <x:c r="N69" s="47" t="str"/>
      <x:c r="O69" s="33" t="str"/>
      <x:c r="P69" s="50" t="str"/>
      <x:c r="Q69" s="50" t="str"/>
      <x:c r="R69" s="50" t="str"/>
      <x:c r="S69" s="50" t="str"/>
      <x:c r="T69" s="50" t="str"/>
      <x:c r="U69" s="50" t="str"/>
      <x:c r="V69" s="50" t="str"/>
      <x:c r="W69" s="50" t="str"/>
      <x:c r="X69" s="47" t="str"/>
      <x:c r="Y69" s="47" t="str"/>
      <x:c r="Z69" s="47" t="str">
        <x:v>https://www.discounthydraulichose.com/v/vspfiles/downloadables/dhh-hose.pdf#page=21</x:v>
      </x:c>
      <x:c r="AA69" s="47" t="str">
        <x:v>Competitor public catalog matrix reference. Factory drawing, dimensions, material, coating, pressure and crimp compatibility must be verified.</x:v>
      </x:c>
      <x:c r="AB69" s="161" t="str">
        <x:v>Eligible</x:v>
      </x:c>
      <x:c r="AC69" s="161" t="str">
        <x:v>Pending</x:v>
      </x:c>
    </x:row>
    <x:row r="70" ht="34" customHeight="1">
      <x:c r="A70" s="33" t="str">
        <x:v>Draft</x:v>
      </x:c>
      <x:c r="B70" s="47" t="str">
        <x:v>JIC_M_FX_06_04</x:v>
      </x:c>
      <x:c r="C70" s="47" t="str">
        <x:v>MJ competitor matrix</x:v>
      </x:c>
      <x:c r="D70" s="47" t="str">
        <x:v>MJ-04-06W</x:v>
      </x:c>
      <x:c r="E70" s="33" t="str">
        <x:v>JIC 37°</x:v>
      </x:c>
      <x:c r="F70" s="47" t="str">
        <x:v>SAE J514 / ISO 8434-2</x:v>
      </x:c>
      <x:c r="G70" s="33" t="str">
        <x:v>Male</x:v>
      </x:c>
      <x:c r="H70" s="33" t="str">
        <x:v>Fixed</x:v>
      </x:c>
      <x:c r="I70" s="33" t="str">
        <x:v>0° Straight</x:v>
      </x:c>
      <x:c r="J70" s="47" t="str">
        <x:v>37° cone seat</x:v>
      </x:c>
      <x:c r="K70" s="47" t="str">
        <x:v>9/16-18 UNF</x:v>
      </x:c>
      <x:c r="L70" s="33" t="str">
        <x:v>-6</x:v>
      </x:c>
      <x:c r="M70" s="33" t="str">
        <x:v>-4</x:v>
      </x:c>
      <x:c r="N70" s="47" t="str"/>
      <x:c r="O70" s="33" t="str"/>
      <x:c r="P70" s="50" t="str"/>
      <x:c r="Q70" s="50" t="str"/>
      <x:c r="R70" s="50" t="str"/>
      <x:c r="S70" s="50" t="str"/>
      <x:c r="T70" s="50" t="str"/>
      <x:c r="U70" s="50" t="str"/>
      <x:c r="V70" s="50" t="str"/>
      <x:c r="W70" s="50" t="str"/>
      <x:c r="X70" s="47" t="str"/>
      <x:c r="Y70" s="47" t="str"/>
      <x:c r="Z70" s="47" t="str">
        <x:v>https://www.discounthydraulichose.com/v/vspfiles/downloadables/dhh-hose.pdf#page=21</x:v>
      </x:c>
      <x:c r="AA70" s="47" t="str">
        <x:v>Competitor public catalog matrix reference. Factory drawing, dimensions, material, coating, pressure and crimp compatibility must be verified.</x:v>
      </x:c>
      <x:c r="AB70" s="161" t="str">
        <x:v>Eligible</x:v>
      </x:c>
      <x:c r="AC70" s="161" t="str">
        <x:v>Pending</x:v>
      </x:c>
    </x:row>
    <x:row r="71" ht="34" customHeight="1">
      <x:c r="A71" s="33" t="str">
        <x:v>Draft</x:v>
      </x:c>
      <x:c r="B71" s="47" t="str">
        <x:v>JIC_M_FX_06_06</x:v>
      </x:c>
      <x:c r="C71" s="47" t="str">
        <x:v>MJ competitor matrix</x:v>
      </x:c>
      <x:c r="D71" s="47" t="str">
        <x:v>MJ-06-06W</x:v>
      </x:c>
      <x:c r="E71" s="33" t="str">
        <x:v>JIC 37°</x:v>
      </x:c>
      <x:c r="F71" s="47" t="str">
        <x:v>SAE J514 / ISO 8434-2</x:v>
      </x:c>
      <x:c r="G71" s="33" t="str">
        <x:v>Male</x:v>
      </x:c>
      <x:c r="H71" s="33" t="str">
        <x:v>Fixed</x:v>
      </x:c>
      <x:c r="I71" s="33" t="str">
        <x:v>0° Straight</x:v>
      </x:c>
      <x:c r="J71" s="47" t="str">
        <x:v>37° cone seat</x:v>
      </x:c>
      <x:c r="K71" s="47" t="str">
        <x:v>9/16-18 UNF</x:v>
      </x:c>
      <x:c r="L71" s="33" t="str">
        <x:v>-6</x:v>
      </x:c>
      <x:c r="M71" s="33" t="str">
        <x:v>-6</x:v>
      </x:c>
      <x:c r="N71" s="47" t="str"/>
      <x:c r="O71" s="33" t="str"/>
      <x:c r="P71" s="50" t="str"/>
      <x:c r="Q71" s="50" t="str"/>
      <x:c r="R71" s="50" t="str"/>
      <x:c r="S71" s="50" t="str"/>
      <x:c r="T71" s="50" t="str"/>
      <x:c r="U71" s="50" t="str"/>
      <x:c r="V71" s="50" t="str"/>
      <x:c r="W71" s="50" t="str"/>
      <x:c r="X71" s="47" t="str"/>
      <x:c r="Y71" s="47" t="str"/>
      <x:c r="Z71" s="47" t="str">
        <x:v>https://www.discounthydraulichose.com/v/vspfiles/downloadables/dhh-hose.pdf#page=21</x:v>
      </x:c>
      <x:c r="AA71" s="47" t="str">
        <x:v>Competitor public catalog matrix reference. Factory drawing, dimensions, material, coating, pressure and crimp compatibility must be verified.</x:v>
      </x:c>
      <x:c r="AB71" s="161" t="str">
        <x:v>Eligible</x:v>
      </x:c>
      <x:c r="AC71" s="161" t="str">
        <x:v>Pending</x:v>
      </x:c>
    </x:row>
    <x:row r="72" ht="34" customHeight="1">
      <x:c r="A72" s="33" t="str">
        <x:v>Draft</x:v>
      </x:c>
      <x:c r="B72" s="47" t="str">
        <x:v>JIC_M_FX_06_08</x:v>
      </x:c>
      <x:c r="C72" s="47" t="str">
        <x:v>MJ competitor matrix</x:v>
      </x:c>
      <x:c r="D72" s="47" t="str">
        <x:v>MJ-08-06W</x:v>
      </x:c>
      <x:c r="E72" s="33" t="str">
        <x:v>JIC 37°</x:v>
      </x:c>
      <x:c r="F72" s="47" t="str">
        <x:v>SAE J514 / ISO 8434-2</x:v>
      </x:c>
      <x:c r="G72" s="33" t="str">
        <x:v>Male</x:v>
      </x:c>
      <x:c r="H72" s="33" t="str">
        <x:v>Fixed</x:v>
      </x:c>
      <x:c r="I72" s="33" t="str">
        <x:v>0° Straight</x:v>
      </x:c>
      <x:c r="J72" s="47" t="str">
        <x:v>37° cone seat</x:v>
      </x:c>
      <x:c r="K72" s="47" t="str">
        <x:v>9/16-18 UNF</x:v>
      </x:c>
      <x:c r="L72" s="33" t="str">
        <x:v>-6</x:v>
      </x:c>
      <x:c r="M72" s="33" t="str">
        <x:v>-8</x:v>
      </x:c>
      <x:c r="N72" s="47" t="str"/>
      <x:c r="O72" s="33" t="str"/>
      <x:c r="P72" s="50" t="str"/>
      <x:c r="Q72" s="50" t="str"/>
      <x:c r="R72" s="50" t="str"/>
      <x:c r="S72" s="50" t="str"/>
      <x:c r="T72" s="50" t="str"/>
      <x:c r="U72" s="50" t="str"/>
      <x:c r="V72" s="50" t="str"/>
      <x:c r="W72" s="50" t="str"/>
      <x:c r="X72" s="47" t="str"/>
      <x:c r="Y72" s="47" t="str"/>
      <x:c r="Z72" s="47" t="str">
        <x:v>https://www.discounthydraulichose.com/v/vspfiles/downloadables/dhh-hose.pdf#page=21</x:v>
      </x:c>
      <x:c r="AA72" s="47" t="str">
        <x:v>Competitor public catalog matrix reference. Factory drawing, dimensions, material, coating, pressure and crimp compatibility must be verified.</x:v>
      </x:c>
      <x:c r="AB72" s="161" t="str">
        <x:v>Eligible</x:v>
      </x:c>
      <x:c r="AC72" s="161" t="str">
        <x:v>Pending</x:v>
      </x:c>
    </x:row>
    <x:row r="73" ht="34" customHeight="1">
      <x:c r="A73" s="33" t="str">
        <x:v>Draft</x:v>
      </x:c>
      <x:c r="B73" s="47" t="str">
        <x:v>JIC_M_FX_08_06</x:v>
      </x:c>
      <x:c r="C73" s="47" t="str">
        <x:v>MJ competitor matrix</x:v>
      </x:c>
      <x:c r="D73" s="47" t="str">
        <x:v>MJ-06-08W</x:v>
      </x:c>
      <x:c r="E73" s="33" t="str">
        <x:v>JIC 37°</x:v>
      </x:c>
      <x:c r="F73" s="47" t="str">
        <x:v>SAE J514 / ISO 8434-2</x:v>
      </x:c>
      <x:c r="G73" s="33" t="str">
        <x:v>Male</x:v>
      </x:c>
      <x:c r="H73" s="33" t="str">
        <x:v>Fixed</x:v>
      </x:c>
      <x:c r="I73" s="33" t="str">
        <x:v>0° Straight</x:v>
      </x:c>
      <x:c r="J73" s="47" t="str">
        <x:v>37° cone seat</x:v>
      </x:c>
      <x:c r="K73" s="47" t="str">
        <x:v>3/4-16 UNF</x:v>
      </x:c>
      <x:c r="L73" s="33" t="str">
        <x:v>-8</x:v>
      </x:c>
      <x:c r="M73" s="33" t="str">
        <x:v>-6</x:v>
      </x:c>
      <x:c r="N73" s="47" t="str"/>
      <x:c r="O73" s="33" t="str"/>
      <x:c r="P73" s="50" t="str"/>
      <x:c r="Q73" s="50" t="str"/>
      <x:c r="R73" s="50" t="str"/>
      <x:c r="S73" s="50" t="str"/>
      <x:c r="T73" s="50" t="str"/>
      <x:c r="U73" s="50" t="str"/>
      <x:c r="V73" s="50" t="str"/>
      <x:c r="W73" s="50" t="str"/>
      <x:c r="X73" s="47" t="str"/>
      <x:c r="Y73" s="47" t="str"/>
      <x:c r="Z73" s="47" t="str">
        <x:v>https://www.discounthydraulichose.com/v/vspfiles/downloadables/dhh-hose.pdf#page=21</x:v>
      </x:c>
      <x:c r="AA73" s="47" t="str">
        <x:v>Competitor public catalog matrix reference. Factory drawing, dimensions, material, coating, pressure and crimp compatibility must be verified.</x:v>
      </x:c>
      <x:c r="AB73" s="161" t="str">
        <x:v>Eligible</x:v>
      </x:c>
      <x:c r="AC73" s="161" t="str">
        <x:v>Pending</x:v>
      </x:c>
    </x:row>
    <x:row r="74" ht="34" customHeight="1">
      <x:c r="A74" s="33" t="str">
        <x:v>Draft</x:v>
      </x:c>
      <x:c r="B74" s="47" t="str">
        <x:v>JIC_M_FX_08_08</x:v>
      </x:c>
      <x:c r="C74" s="47" t="str">
        <x:v>MJ competitor matrix</x:v>
      </x:c>
      <x:c r="D74" s="47" t="str">
        <x:v>MJ-08-08W</x:v>
      </x:c>
      <x:c r="E74" s="33" t="str">
        <x:v>JIC 37°</x:v>
      </x:c>
      <x:c r="F74" s="47" t="str">
        <x:v>SAE J514 / ISO 8434-2</x:v>
      </x:c>
      <x:c r="G74" s="33" t="str">
        <x:v>Male</x:v>
      </x:c>
      <x:c r="H74" s="33" t="str">
        <x:v>Fixed</x:v>
      </x:c>
      <x:c r="I74" s="33" t="str">
        <x:v>0° Straight</x:v>
      </x:c>
      <x:c r="J74" s="47" t="str">
        <x:v>37° cone seat</x:v>
      </x:c>
      <x:c r="K74" s="47" t="str">
        <x:v>3/4-16 UNF</x:v>
      </x:c>
      <x:c r="L74" s="33" t="str">
        <x:v>-8</x:v>
      </x:c>
      <x:c r="M74" s="33" t="str">
        <x:v>-8</x:v>
      </x:c>
      <x:c r="N74" s="47" t="str"/>
      <x:c r="O74" s="33" t="str"/>
      <x:c r="P74" s="50" t="str"/>
      <x:c r="Q74" s="50" t="str"/>
      <x:c r="R74" s="50" t="str"/>
      <x:c r="S74" s="50" t="str"/>
      <x:c r="T74" s="50" t="str"/>
      <x:c r="U74" s="50" t="str"/>
      <x:c r="V74" s="50" t="str"/>
      <x:c r="W74" s="50" t="str"/>
      <x:c r="X74" s="47" t="str"/>
      <x:c r="Y74" s="47" t="str"/>
      <x:c r="Z74" s="47" t="str">
        <x:v>https://www.discounthydraulichose.com/v/vspfiles/downloadables/dhh-hose.pdf#page=21</x:v>
      </x:c>
      <x:c r="AA74" s="47" t="str">
        <x:v>Competitor public catalog matrix reference. Factory drawing, dimensions, material, coating, pressure and crimp compatibility must be verified.</x:v>
      </x:c>
      <x:c r="AB74" s="161" t="str">
        <x:v>Eligible</x:v>
      </x:c>
      <x:c r="AC74" s="161" t="str">
        <x:v>Pending</x:v>
      </x:c>
    </x:row>
    <x:row r="75" ht="34" customHeight="1">
      <x:c r="A75" s="33" t="str">
        <x:v>Draft</x:v>
      </x:c>
      <x:c r="B75" s="47" t="str">
        <x:v>JIC_M_FX_10_06</x:v>
      </x:c>
      <x:c r="C75" s="47" t="str">
        <x:v>MJ competitor matrix</x:v>
      </x:c>
      <x:c r="D75" s="47" t="str">
        <x:v>MJ-06-10W</x:v>
      </x:c>
      <x:c r="E75" s="33" t="str">
        <x:v>JIC 37°</x:v>
      </x:c>
      <x:c r="F75" s="47" t="str">
        <x:v>SAE J514 / ISO 8434-2</x:v>
      </x:c>
      <x:c r="G75" s="33" t="str">
        <x:v>Male</x:v>
      </x:c>
      <x:c r="H75" s="33" t="str">
        <x:v>Fixed</x:v>
      </x:c>
      <x:c r="I75" s="33" t="str">
        <x:v>0° Straight</x:v>
      </x:c>
      <x:c r="J75" s="47" t="str">
        <x:v>37° cone seat</x:v>
      </x:c>
      <x:c r="K75" s="47" t="str">
        <x:v>7/8-14 UNF</x:v>
      </x:c>
      <x:c r="L75" s="33" t="str">
        <x:v>-10</x:v>
      </x:c>
      <x:c r="M75" s="33" t="str">
        <x:v>-6</x:v>
      </x:c>
      <x:c r="N75" s="47" t="str"/>
      <x:c r="O75" s="33" t="str"/>
      <x:c r="P75" s="50" t="str"/>
      <x:c r="Q75" s="50" t="str"/>
      <x:c r="R75" s="50" t="str"/>
      <x:c r="S75" s="50" t="str"/>
      <x:c r="T75" s="50" t="str"/>
      <x:c r="U75" s="50" t="str"/>
      <x:c r="V75" s="50" t="str"/>
      <x:c r="W75" s="50" t="str"/>
      <x:c r="X75" s="47" t="str"/>
      <x:c r="Y75" s="47" t="str"/>
      <x:c r="Z75" s="47" t="str">
        <x:v>https://www.discounthydraulichose.com/v/vspfiles/downloadables/dhh-hose.pdf#page=21</x:v>
      </x:c>
      <x:c r="AA75" s="47" t="str">
        <x:v>Competitor public catalog matrix reference. Factory drawing, dimensions, material, coating, pressure and crimp compatibility must be verified.</x:v>
      </x:c>
      <x:c r="AB75" s="161" t="str">
        <x:v>Eligible</x:v>
      </x:c>
      <x:c r="AC75" s="161" t="str">
        <x:v>Pending</x:v>
      </x:c>
    </x:row>
    <x:row r="76" ht="34" customHeight="1">
      <x:c r="A76" s="33" t="str">
        <x:v>Draft</x:v>
      </x:c>
      <x:c r="B76" s="47" t="str">
        <x:v>JIC_M_FX_10_08</x:v>
      </x:c>
      <x:c r="C76" s="47" t="str">
        <x:v>MJ competitor matrix</x:v>
      </x:c>
      <x:c r="D76" s="47" t="str">
        <x:v>MJ-08-10W</x:v>
      </x:c>
      <x:c r="E76" s="33" t="str">
        <x:v>JIC 37°</x:v>
      </x:c>
      <x:c r="F76" s="47" t="str">
        <x:v>SAE J514 / ISO 8434-2</x:v>
      </x:c>
      <x:c r="G76" s="33" t="str">
        <x:v>Male</x:v>
      </x:c>
      <x:c r="H76" s="33" t="str">
        <x:v>Fixed</x:v>
      </x:c>
      <x:c r="I76" s="33" t="str">
        <x:v>0° Straight</x:v>
      </x:c>
      <x:c r="J76" s="47" t="str">
        <x:v>37° cone seat</x:v>
      </x:c>
      <x:c r="K76" s="47" t="str">
        <x:v>7/8-14 UNF</x:v>
      </x:c>
      <x:c r="L76" s="33" t="str">
        <x:v>-10</x:v>
      </x:c>
      <x:c r="M76" s="33" t="str">
        <x:v>-8</x:v>
      </x:c>
      <x:c r="N76" s="47" t="str"/>
      <x:c r="O76" s="33" t="str"/>
      <x:c r="P76" s="50" t="str"/>
      <x:c r="Q76" s="50" t="str"/>
      <x:c r="R76" s="50" t="str"/>
      <x:c r="S76" s="50" t="str"/>
      <x:c r="T76" s="50" t="str"/>
      <x:c r="U76" s="50" t="str"/>
      <x:c r="V76" s="50" t="str"/>
      <x:c r="W76" s="50" t="str"/>
      <x:c r="X76" s="47" t="str"/>
      <x:c r="Y76" s="47" t="str"/>
      <x:c r="Z76" s="47" t="str">
        <x:v>https://www.discounthydraulichose.com/v/vspfiles/downloadables/dhh-hose.pdf#page=21</x:v>
      </x:c>
      <x:c r="AA76" s="47" t="str">
        <x:v>Competitor public catalog matrix reference. Factory drawing, dimensions, material, coating, pressure and crimp compatibility must be verified.</x:v>
      </x:c>
      <x:c r="AB76" s="161" t="str">
        <x:v>Eligible</x:v>
      </x:c>
      <x:c r="AC76" s="161" t="str">
        <x:v>Pending</x:v>
      </x:c>
    </x:row>
    <x:row r="77" ht="34" customHeight="1">
      <x:c r="A77" s="33" t="str">
        <x:v>Draft</x:v>
      </x:c>
      <x:c r="B77" s="47" t="str">
        <x:v>JIC_M_FX_10_10</x:v>
      </x:c>
      <x:c r="C77" s="47" t="str">
        <x:v>MJ competitor matrix</x:v>
      </x:c>
      <x:c r="D77" s="47" t="str">
        <x:v>MJ-10-10W</x:v>
      </x:c>
      <x:c r="E77" s="33" t="str">
        <x:v>JIC 37°</x:v>
      </x:c>
      <x:c r="F77" s="47" t="str">
        <x:v>SAE J514 / ISO 8434-2</x:v>
      </x:c>
      <x:c r="G77" s="33" t="str">
        <x:v>Male</x:v>
      </x:c>
      <x:c r="H77" s="33" t="str">
        <x:v>Fixed</x:v>
      </x:c>
      <x:c r="I77" s="33" t="str">
        <x:v>0° Straight</x:v>
      </x:c>
      <x:c r="J77" s="47" t="str">
        <x:v>37° cone seat</x:v>
      </x:c>
      <x:c r="K77" s="47" t="str">
        <x:v>7/8-14 UNF</x:v>
      </x:c>
      <x:c r="L77" s="33" t="str">
        <x:v>-10</x:v>
      </x:c>
      <x:c r="M77" s="33" t="str">
        <x:v>-10</x:v>
      </x:c>
      <x:c r="N77" s="47" t="str"/>
      <x:c r="O77" s="33" t="str"/>
      <x:c r="P77" s="50" t="str"/>
      <x:c r="Q77" s="50" t="str"/>
      <x:c r="R77" s="50" t="str"/>
      <x:c r="S77" s="50" t="str"/>
      <x:c r="T77" s="50" t="str"/>
      <x:c r="U77" s="50" t="str"/>
      <x:c r="V77" s="50" t="str"/>
      <x:c r="W77" s="50" t="str"/>
      <x:c r="X77" s="47" t="str"/>
      <x:c r="Y77" s="47" t="str"/>
      <x:c r="Z77" s="47" t="str">
        <x:v>https://www.discounthydraulichose.com/v/vspfiles/downloadables/dhh-hose.pdf#page=21</x:v>
      </x:c>
      <x:c r="AA77" s="47" t="str">
        <x:v>Competitor public catalog matrix reference. Factory drawing, dimensions, material, coating, pressure and crimp compatibility must be verified.</x:v>
      </x:c>
      <x:c r="AB77" s="161" t="str">
        <x:v>Eligible</x:v>
      </x:c>
      <x:c r="AC77" s="161" t="str">
        <x:v>Pending</x:v>
      </x:c>
    </x:row>
    <x:row r="78" ht="34" customHeight="1">
      <x:c r="A78" s="33" t="str">
        <x:v>Draft</x:v>
      </x:c>
      <x:c r="B78" s="47" t="str">
        <x:v>JIC_M_FX_12_08</x:v>
      </x:c>
      <x:c r="C78" s="47" t="str">
        <x:v>MJ competitor matrix</x:v>
      </x:c>
      <x:c r="D78" s="47" t="str">
        <x:v>MJ-08-12W</x:v>
      </x:c>
      <x:c r="E78" s="33" t="str">
        <x:v>JIC 37°</x:v>
      </x:c>
      <x:c r="F78" s="47" t="str">
        <x:v>SAE J514 / ISO 8434-2</x:v>
      </x:c>
      <x:c r="G78" s="33" t="str">
        <x:v>Male</x:v>
      </x:c>
      <x:c r="H78" s="33" t="str">
        <x:v>Fixed</x:v>
      </x:c>
      <x:c r="I78" s="33" t="str">
        <x:v>0° Straight</x:v>
      </x:c>
      <x:c r="J78" s="47" t="str">
        <x:v>37° cone seat</x:v>
      </x:c>
      <x:c r="K78" s="47" t="str">
        <x:v>1-1/16-12 UN</x:v>
      </x:c>
      <x:c r="L78" s="33" t="str">
        <x:v>-12</x:v>
      </x:c>
      <x:c r="M78" s="33" t="str">
        <x:v>-8</x:v>
      </x:c>
      <x:c r="N78" s="47" t="str"/>
      <x:c r="O78" s="33" t="str"/>
      <x:c r="P78" s="50" t="str"/>
      <x:c r="Q78" s="50" t="str"/>
      <x:c r="R78" s="50" t="str"/>
      <x:c r="S78" s="50" t="str"/>
      <x:c r="T78" s="50" t="str"/>
      <x:c r="U78" s="50" t="str"/>
      <x:c r="V78" s="50" t="str"/>
      <x:c r="W78" s="50" t="str"/>
      <x:c r="X78" s="47" t="str"/>
      <x:c r="Y78" s="47" t="str"/>
      <x:c r="Z78" s="47" t="str">
        <x:v>https://www.discounthydraulichose.com/v/vspfiles/downloadables/dhh-hose.pdf#page=21</x:v>
      </x:c>
      <x:c r="AA78" s="47" t="str">
        <x:v>Competitor public catalog matrix reference. Factory drawing, dimensions, material, coating, pressure and crimp compatibility must be verified.</x:v>
      </x:c>
      <x:c r="AB78" s="161" t="str">
        <x:v>Eligible</x:v>
      </x:c>
      <x:c r="AC78" s="161" t="str">
        <x:v>Pending</x:v>
      </x:c>
    </x:row>
    <x:row r="79" ht="34" customHeight="1">
      <x:c r="A79" s="33" t="str">
        <x:v>Draft</x:v>
      </x:c>
      <x:c r="B79" s="47" t="str">
        <x:v>JIC_M_FX_12_12</x:v>
      </x:c>
      <x:c r="C79" s="47" t="str">
        <x:v>MJ competitor matrix</x:v>
      </x:c>
      <x:c r="D79" s="47" t="str">
        <x:v>MJ-12-12W</x:v>
      </x:c>
      <x:c r="E79" s="33" t="str">
        <x:v>JIC 37°</x:v>
      </x:c>
      <x:c r="F79" s="47" t="str">
        <x:v>SAE J514 / ISO 8434-2</x:v>
      </x:c>
      <x:c r="G79" s="33" t="str">
        <x:v>Male</x:v>
      </x:c>
      <x:c r="H79" s="33" t="str">
        <x:v>Fixed</x:v>
      </x:c>
      <x:c r="I79" s="33" t="str">
        <x:v>0° Straight</x:v>
      </x:c>
      <x:c r="J79" s="47" t="str">
        <x:v>37° cone seat</x:v>
      </x:c>
      <x:c r="K79" s="47" t="str">
        <x:v>1-1/16-12 UN</x:v>
      </x:c>
      <x:c r="L79" s="33" t="str">
        <x:v>-12</x:v>
      </x:c>
      <x:c r="M79" s="33" t="str">
        <x:v>-12</x:v>
      </x:c>
      <x:c r="N79" s="47" t="str"/>
      <x:c r="O79" s="33" t="str"/>
      <x:c r="P79" s="50" t="str"/>
      <x:c r="Q79" s="50" t="str"/>
      <x:c r="R79" s="50" t="str"/>
      <x:c r="S79" s="50" t="str"/>
      <x:c r="T79" s="50" t="str"/>
      <x:c r="U79" s="50" t="str"/>
      <x:c r="V79" s="50" t="str"/>
      <x:c r="W79" s="50" t="str"/>
      <x:c r="X79" s="47" t="str"/>
      <x:c r="Y79" s="47" t="str"/>
      <x:c r="Z79" s="47" t="str">
        <x:v>https://www.discounthydraulichose.com/v/vspfiles/downloadables/dhh-hose.pdf#page=21</x:v>
      </x:c>
      <x:c r="AA79" s="47" t="str">
        <x:v>Competitor public catalog matrix reference. Factory drawing, dimensions, material, coating, pressure and crimp compatibility must be verified.</x:v>
      </x:c>
      <x:c r="AB79" s="161" t="str">
        <x:v>Eligible</x:v>
      </x:c>
      <x:c r="AC79" s="161" t="str">
        <x:v>Pending</x:v>
      </x:c>
    </x:row>
    <x:row r="80" ht="34" customHeight="1">
      <x:c r="A80" s="33" t="str">
        <x:v>Draft</x:v>
      </x:c>
      <x:c r="B80" s="47" t="str">
        <x:v>JIC_M_FX_14_12</x:v>
      </x:c>
      <x:c r="C80" s="47" t="str">
        <x:v>MJ competitor matrix</x:v>
      </x:c>
      <x:c r="D80" s="47" t="str">
        <x:v>MJ-12-14W</x:v>
      </x:c>
      <x:c r="E80" s="33" t="str">
        <x:v>JIC 37°</x:v>
      </x:c>
      <x:c r="F80" s="47" t="str">
        <x:v>SAE J514 / ISO 8434-2</x:v>
      </x:c>
      <x:c r="G80" s="33" t="str">
        <x:v>Male</x:v>
      </x:c>
      <x:c r="H80" s="33" t="str">
        <x:v>Fixed</x:v>
      </x:c>
      <x:c r="I80" s="33" t="str">
        <x:v>0° Straight</x:v>
      </x:c>
      <x:c r="J80" s="47" t="str">
        <x:v>37° cone seat</x:v>
      </x:c>
      <x:c r="K80" s="47" t="str">
        <x:v>1-3/16-12 UN</x:v>
      </x:c>
      <x:c r="L80" s="33" t="str">
        <x:v>-14</x:v>
      </x:c>
      <x:c r="M80" s="33" t="str">
        <x:v>-12</x:v>
      </x:c>
      <x:c r="N80" s="47" t="str"/>
      <x:c r="O80" s="33" t="str"/>
      <x:c r="P80" s="50" t="str"/>
      <x:c r="Q80" s="50" t="str"/>
      <x:c r="R80" s="50" t="str"/>
      <x:c r="S80" s="50" t="str"/>
      <x:c r="T80" s="50" t="str"/>
      <x:c r="U80" s="50" t="str"/>
      <x:c r="V80" s="50" t="str"/>
      <x:c r="W80" s="50" t="str"/>
      <x:c r="X80" s="47" t="str"/>
      <x:c r="Y80" s="47" t="str"/>
      <x:c r="Z80" s="47" t="str">
        <x:v>https://www.discounthydraulichose.com/v/vspfiles/downloadables/dhh-hose.pdf#page=21</x:v>
      </x:c>
      <x:c r="AA80" s="47" t="str">
        <x:v>Competitor public catalog matrix reference. Factory drawing, dimensions, material, coating, pressure and crimp compatibility must be verified.</x:v>
      </x:c>
      <x:c r="AB80" s="161" t="str">
        <x:v>Eligible</x:v>
      </x:c>
      <x:c r="AC80" s="161" t="str">
        <x:v>Pending</x:v>
      </x:c>
    </x:row>
    <x:row r="81" ht="34" customHeight="1">
      <x:c r="A81" s="33" t="str">
        <x:v>Draft</x:v>
      </x:c>
      <x:c r="B81" s="47" t="str">
        <x:v>JIC_M_FX_16_12</x:v>
      </x:c>
      <x:c r="C81" s="47" t="str">
        <x:v>MJ competitor matrix</x:v>
      </x:c>
      <x:c r="D81" s="47" t="str">
        <x:v>MJ-12-16W</x:v>
      </x:c>
      <x:c r="E81" s="33" t="str">
        <x:v>JIC 37°</x:v>
      </x:c>
      <x:c r="F81" s="47" t="str">
        <x:v>SAE J514 / ISO 8434-2</x:v>
      </x:c>
      <x:c r="G81" s="33" t="str">
        <x:v>Male</x:v>
      </x:c>
      <x:c r="H81" s="33" t="str">
        <x:v>Fixed</x:v>
      </x:c>
      <x:c r="I81" s="33" t="str">
        <x:v>0° Straight</x:v>
      </x:c>
      <x:c r="J81" s="47" t="str">
        <x:v>37° cone seat</x:v>
      </x:c>
      <x:c r="K81" s="47" t="str">
        <x:v>1-5/16-12 UN</x:v>
      </x:c>
      <x:c r="L81" s="33" t="str">
        <x:v>-16</x:v>
      </x:c>
      <x:c r="M81" s="33" t="str">
        <x:v>-12</x:v>
      </x:c>
      <x:c r="N81" s="47" t="str"/>
      <x:c r="O81" s="33" t="str"/>
      <x:c r="P81" s="50" t="str"/>
      <x:c r="Q81" s="50" t="str"/>
      <x:c r="R81" s="50" t="str"/>
      <x:c r="S81" s="50" t="str"/>
      <x:c r="T81" s="50" t="str"/>
      <x:c r="U81" s="50" t="str"/>
      <x:c r="V81" s="50" t="str"/>
      <x:c r="W81" s="50" t="str"/>
      <x:c r="X81" s="47" t="str"/>
      <x:c r="Y81" s="47" t="str"/>
      <x:c r="Z81" s="47" t="str">
        <x:v>https://www.discounthydraulichose.com/v/vspfiles/downloadables/dhh-hose.pdf#page=21</x:v>
      </x:c>
      <x:c r="AA81" s="47" t="str">
        <x:v>Competitor public catalog matrix reference. Factory drawing, dimensions, material, coating, pressure and crimp compatibility must be verified.</x:v>
      </x:c>
      <x:c r="AB81" s="161" t="str">
        <x:v>Eligible</x:v>
      </x:c>
      <x:c r="AC81" s="161" t="str">
        <x:v>Pending</x:v>
      </x:c>
    </x:row>
    <x:row r="82" ht="34" customHeight="1">
      <x:c r="A82" s="33" t="str">
        <x:v>Draft</x:v>
      </x:c>
      <x:c r="B82" s="47" t="str">
        <x:v>JIC_M_FX_16_16</x:v>
      </x:c>
      <x:c r="C82" s="47" t="str">
        <x:v>MJ competitor matrix</x:v>
      </x:c>
      <x:c r="D82" s="47" t="str">
        <x:v>MJ-16-16W</x:v>
      </x:c>
      <x:c r="E82" s="33" t="str">
        <x:v>JIC 37°</x:v>
      </x:c>
      <x:c r="F82" s="47" t="str">
        <x:v>SAE J514 / ISO 8434-2</x:v>
      </x:c>
      <x:c r="G82" s="33" t="str">
        <x:v>Male</x:v>
      </x:c>
      <x:c r="H82" s="33" t="str">
        <x:v>Fixed</x:v>
      </x:c>
      <x:c r="I82" s="33" t="str">
        <x:v>0° Straight</x:v>
      </x:c>
      <x:c r="J82" s="47" t="str">
        <x:v>37° cone seat</x:v>
      </x:c>
      <x:c r="K82" s="47" t="str">
        <x:v>1-5/16-12 UN</x:v>
      </x:c>
      <x:c r="L82" s="33" t="str">
        <x:v>-16</x:v>
      </x:c>
      <x:c r="M82" s="33" t="str">
        <x:v>-16</x:v>
      </x:c>
      <x:c r="N82" s="47" t="str"/>
      <x:c r="O82" s="33" t="str"/>
      <x:c r="P82" s="50" t="str"/>
      <x:c r="Q82" s="50" t="str"/>
      <x:c r="R82" s="50" t="str"/>
      <x:c r="S82" s="50" t="str"/>
      <x:c r="T82" s="50" t="str"/>
      <x:c r="U82" s="50" t="str"/>
      <x:c r="V82" s="50" t="str"/>
      <x:c r="W82" s="50" t="str"/>
      <x:c r="X82" s="47" t="str"/>
      <x:c r="Y82" s="47" t="str"/>
      <x:c r="Z82" s="47" t="str">
        <x:v>https://www.discounthydraulichose.com/v/vspfiles/downloadables/dhh-hose.pdf#page=21</x:v>
      </x:c>
      <x:c r="AA82" s="47" t="str">
        <x:v>Competitor public catalog matrix reference. Factory drawing, dimensions, material, coating, pressure and crimp compatibility must be verified.</x:v>
      </x:c>
      <x:c r="AB82" s="161" t="str">
        <x:v>Eligible</x:v>
      </x:c>
      <x:c r="AC82" s="161" t="str">
        <x:v>Pending</x:v>
      </x:c>
    </x:row>
    <x:row r="83" ht="34" customHeight="1">
      <x:c r="A83" s="33" t="str">
        <x:v>Draft</x:v>
      </x:c>
      <x:c r="B83" s="47" t="str">
        <x:v>JIC_M_FX_20_16</x:v>
      </x:c>
      <x:c r="C83" s="47" t="str">
        <x:v>MJ competitor matrix</x:v>
      </x:c>
      <x:c r="D83" s="47" t="str">
        <x:v>MJ-16-20W</x:v>
      </x:c>
      <x:c r="E83" s="33" t="str">
        <x:v>JIC 37°</x:v>
      </x:c>
      <x:c r="F83" s="47" t="str">
        <x:v>SAE J514 / ISO 8434-2</x:v>
      </x:c>
      <x:c r="G83" s="33" t="str">
        <x:v>Male</x:v>
      </x:c>
      <x:c r="H83" s="33" t="str">
        <x:v>Fixed</x:v>
      </x:c>
      <x:c r="I83" s="33" t="str">
        <x:v>0° Straight</x:v>
      </x:c>
      <x:c r="J83" s="47" t="str">
        <x:v>37° cone seat</x:v>
      </x:c>
      <x:c r="K83" s="47" t="str">
        <x:v>1-5/8-12 UN</x:v>
      </x:c>
      <x:c r="L83" s="33" t="str">
        <x:v>-20</x:v>
      </x:c>
      <x:c r="M83" s="33" t="str">
        <x:v>-16</x:v>
      </x:c>
      <x:c r="N83" s="47" t="str"/>
      <x:c r="O83" s="33" t="str"/>
      <x:c r="P83" s="50" t="str"/>
      <x:c r="Q83" s="50" t="str"/>
      <x:c r="R83" s="50" t="str"/>
      <x:c r="S83" s="50" t="str"/>
      <x:c r="T83" s="50" t="str"/>
      <x:c r="U83" s="50" t="str"/>
      <x:c r="V83" s="50" t="str"/>
      <x:c r="W83" s="50" t="str"/>
      <x:c r="X83" s="47" t="str"/>
      <x:c r="Y83" s="47" t="str"/>
      <x:c r="Z83" s="47" t="str">
        <x:v>https://www.discounthydraulichose.com/v/vspfiles/downloadables/dhh-hose.pdf#page=21</x:v>
      </x:c>
      <x:c r="AA83" s="47" t="str">
        <x:v>Competitor public catalog matrix reference. Factory drawing, dimensions, material, coating, pressure and crimp compatibility must be verified.</x:v>
      </x:c>
      <x:c r="AB83" s="161" t="str">
        <x:v>Eligible</x:v>
      </x:c>
      <x:c r="AC83" s="161" t="str">
        <x:v>Pending</x:v>
      </x:c>
    </x:row>
    <x:row r="84" ht="34" customHeight="1">
      <x:c r="A84" s="33" t="str">
        <x:v>Draft</x:v>
      </x:c>
      <x:c r="B84" s="47" t="str">
        <x:v>JIC45_F_SW_04_04</x:v>
      </x:c>
      <x:c r="C84" s="47" t="str">
        <x:v>FJX45 competitor matrix</x:v>
      </x:c>
      <x:c r="D84" s="47" t="str">
        <x:v>FJX45-04-04W</x:v>
      </x:c>
      <x:c r="E84" s="33" t="str">
        <x:v>JIC 37°</x:v>
      </x:c>
      <x:c r="F84" s="47" t="str">
        <x:v>SAE J514 / ISO 8434-2</x:v>
      </x:c>
      <x:c r="G84" s="33" t="str">
        <x:v>Female</x:v>
      </x:c>
      <x:c r="H84" s="33" t="str">
        <x:v>Swivel</x:v>
      </x:c>
      <x:c r="I84" s="33" t="str">
        <x:v>45°</x:v>
      </x:c>
      <x:c r="J84" s="47" t="str">
        <x:v>37° cone seat</x:v>
      </x:c>
      <x:c r="K84" s="47" t="str">
        <x:v>7/16-20 UNF</x:v>
      </x:c>
      <x:c r="L84" s="33" t="str">
        <x:v>-4</x:v>
      </x:c>
      <x:c r="M84" s="33" t="str">
        <x:v>-4</x:v>
      </x:c>
      <x:c r="N84" s="47" t="str"/>
      <x:c r="O84" s="33" t="str"/>
      <x:c r="P84" s="50" t="str"/>
      <x:c r="Q84" s="50" t="str"/>
      <x:c r="R84" s="50" t="str"/>
      <x:c r="S84" s="50" t="str"/>
      <x:c r="T84" s="50" t="str"/>
      <x:c r="U84" s="50" t="str"/>
      <x:c r="V84" s="50" t="str"/>
      <x:c r="W84" s="50" t="str"/>
      <x:c r="X84" s="47" t="str"/>
      <x:c r="Y84" s="47" t="str"/>
      <x:c r="Z84" s="47" t="str">
        <x:v>https://www.discounthydraulichose.com/v/vspfiles/downloadables/dhh-hose.pdf#page=21</x:v>
      </x:c>
      <x:c r="AA84" s="47" t="str">
        <x:v>Competitor public catalog matrix reference. Factory drawing, dimensions, material, coating, pressure and crimp compatibility must be verified.</x:v>
      </x:c>
      <x:c r="AB84" s="161" t="str">
        <x:v>Eligible</x:v>
      </x:c>
      <x:c r="AC84" s="161" t="str">
        <x:v>Pending</x:v>
      </x:c>
    </x:row>
    <x:row r="85" ht="34" customHeight="1">
      <x:c r="A85" s="33" t="str">
        <x:v>Draft</x:v>
      </x:c>
      <x:c r="B85" s="47" t="str">
        <x:v>JIC45_F_SW_06_04</x:v>
      </x:c>
      <x:c r="C85" s="47" t="str">
        <x:v>FJX45 competitor matrix</x:v>
      </x:c>
      <x:c r="D85" s="47" t="str">
        <x:v>FJX45-04-06W</x:v>
      </x:c>
      <x:c r="E85" s="33" t="str">
        <x:v>JIC 37°</x:v>
      </x:c>
      <x:c r="F85" s="47" t="str">
        <x:v>SAE J514 / ISO 8434-2</x:v>
      </x:c>
      <x:c r="G85" s="33" t="str">
        <x:v>Female</x:v>
      </x:c>
      <x:c r="H85" s="33" t="str">
        <x:v>Swivel</x:v>
      </x:c>
      <x:c r="I85" s="33" t="str">
        <x:v>45°</x:v>
      </x:c>
      <x:c r="J85" s="47" t="str">
        <x:v>37° cone seat</x:v>
      </x:c>
      <x:c r="K85" s="47" t="str">
        <x:v>9/16-18 UNF</x:v>
      </x:c>
      <x:c r="L85" s="33" t="str">
        <x:v>-6</x:v>
      </x:c>
      <x:c r="M85" s="33" t="str">
        <x:v>-4</x:v>
      </x:c>
      <x:c r="N85" s="47" t="str"/>
      <x:c r="O85" s="33" t="str"/>
      <x:c r="P85" s="50" t="str"/>
      <x:c r="Q85" s="50" t="str"/>
      <x:c r="R85" s="50" t="str"/>
      <x:c r="S85" s="50" t="str"/>
      <x:c r="T85" s="50" t="str"/>
      <x:c r="U85" s="50" t="str"/>
      <x:c r="V85" s="50" t="str"/>
      <x:c r="W85" s="50" t="str"/>
      <x:c r="X85" s="47" t="str"/>
      <x:c r="Y85" s="47" t="str"/>
      <x:c r="Z85" s="47" t="str">
        <x:v>https://www.discounthydraulichose.com/v/vspfiles/downloadables/dhh-hose.pdf#page=21</x:v>
      </x:c>
      <x:c r="AA85" s="47" t="str">
        <x:v>Competitor public catalog matrix reference. Factory drawing, dimensions, material, coating, pressure and crimp compatibility must be verified.</x:v>
      </x:c>
      <x:c r="AB85" s="161" t="str">
        <x:v>Eligible</x:v>
      </x:c>
      <x:c r="AC85" s="161" t="str">
        <x:v>Pending</x:v>
      </x:c>
    </x:row>
    <x:row r="86" ht="34" customHeight="1">
      <x:c r="A86" s="33" t="str">
        <x:v>Draft</x:v>
      </x:c>
      <x:c r="B86" s="47" t="str">
        <x:v>JIC45_F_SW_06_06</x:v>
      </x:c>
      <x:c r="C86" s="47" t="str">
        <x:v>FJX45 competitor matrix</x:v>
      </x:c>
      <x:c r="D86" s="47" t="str">
        <x:v>FJX45-06-06W</x:v>
      </x:c>
      <x:c r="E86" s="33" t="str">
        <x:v>JIC 37°</x:v>
      </x:c>
      <x:c r="F86" s="47" t="str">
        <x:v>SAE J514 / ISO 8434-2</x:v>
      </x:c>
      <x:c r="G86" s="33" t="str">
        <x:v>Female</x:v>
      </x:c>
      <x:c r="H86" s="33" t="str">
        <x:v>Swivel</x:v>
      </x:c>
      <x:c r="I86" s="33" t="str">
        <x:v>45°</x:v>
      </x:c>
      <x:c r="J86" s="47" t="str">
        <x:v>37° cone seat</x:v>
      </x:c>
      <x:c r="K86" s="47" t="str">
        <x:v>9/16-18 UNF</x:v>
      </x:c>
      <x:c r="L86" s="33" t="str">
        <x:v>-6</x:v>
      </x:c>
      <x:c r="M86" s="33" t="str">
        <x:v>-6</x:v>
      </x:c>
      <x:c r="N86" s="47" t="str"/>
      <x:c r="O86" s="33" t="str"/>
      <x:c r="P86" s="50" t="str"/>
      <x:c r="Q86" s="50" t="str"/>
      <x:c r="R86" s="50" t="str"/>
      <x:c r="S86" s="50" t="str"/>
      <x:c r="T86" s="50" t="str"/>
      <x:c r="U86" s="50" t="str"/>
      <x:c r="V86" s="50" t="str"/>
      <x:c r="W86" s="50" t="str"/>
      <x:c r="X86" s="47" t="str"/>
      <x:c r="Y86" s="47" t="str"/>
      <x:c r="Z86" s="47" t="str">
        <x:v>https://www.discounthydraulichose.com/v/vspfiles/downloadables/dhh-hose.pdf#page=21</x:v>
      </x:c>
      <x:c r="AA86" s="47" t="str">
        <x:v>Competitor public catalog matrix reference. Factory drawing, dimensions, material, coating, pressure and crimp compatibility must be verified.</x:v>
      </x:c>
      <x:c r="AB86" s="161" t="str">
        <x:v>Eligible</x:v>
      </x:c>
      <x:c r="AC86" s="161" t="str">
        <x:v>Pending</x:v>
      </x:c>
    </x:row>
    <x:row r="87" ht="34" customHeight="1">
      <x:c r="A87" s="33" t="str">
        <x:v>Draft</x:v>
      </x:c>
      <x:c r="B87" s="47" t="str">
        <x:v>JIC45_F_SW_08_06</x:v>
      </x:c>
      <x:c r="C87" s="47" t="str">
        <x:v>FJX45 competitor matrix</x:v>
      </x:c>
      <x:c r="D87" s="47" t="str">
        <x:v>FJX45-06-08W</x:v>
      </x:c>
      <x:c r="E87" s="33" t="str">
        <x:v>JIC 37°</x:v>
      </x:c>
      <x:c r="F87" s="47" t="str">
        <x:v>SAE J514 / ISO 8434-2</x:v>
      </x:c>
      <x:c r="G87" s="33" t="str">
        <x:v>Female</x:v>
      </x:c>
      <x:c r="H87" s="33" t="str">
        <x:v>Swivel</x:v>
      </x:c>
      <x:c r="I87" s="33" t="str">
        <x:v>45°</x:v>
      </x:c>
      <x:c r="J87" s="47" t="str">
        <x:v>37° cone seat</x:v>
      </x:c>
      <x:c r="K87" s="47" t="str">
        <x:v>3/4-16 UNF</x:v>
      </x:c>
      <x:c r="L87" s="33" t="str">
        <x:v>-8</x:v>
      </x:c>
      <x:c r="M87" s="33" t="str">
        <x:v>-6</x:v>
      </x:c>
      <x:c r="N87" s="47" t="str"/>
      <x:c r="O87" s="33" t="str"/>
      <x:c r="P87" s="50" t="str"/>
      <x:c r="Q87" s="50" t="str"/>
      <x:c r="R87" s="50" t="str"/>
      <x:c r="S87" s="50" t="str"/>
      <x:c r="T87" s="50" t="str"/>
      <x:c r="U87" s="50" t="str"/>
      <x:c r="V87" s="50" t="str"/>
      <x:c r="W87" s="50" t="str"/>
      <x:c r="X87" s="47" t="str"/>
      <x:c r="Y87" s="47" t="str"/>
      <x:c r="Z87" s="47" t="str">
        <x:v>https://www.discounthydraulichose.com/v/vspfiles/downloadables/dhh-hose.pdf#page=21</x:v>
      </x:c>
      <x:c r="AA87" s="47" t="str">
        <x:v>Competitor public catalog matrix reference. Factory drawing, dimensions, material, coating, pressure and crimp compatibility must be verified.</x:v>
      </x:c>
      <x:c r="AB87" s="161" t="str">
        <x:v>Eligible</x:v>
      </x:c>
      <x:c r="AC87" s="161" t="str">
        <x:v>Pending</x:v>
      </x:c>
    </x:row>
    <x:row r="88" ht="34" customHeight="1">
      <x:c r="A88" s="33" t="str">
        <x:v>Draft</x:v>
      </x:c>
      <x:c r="B88" s="47" t="str">
        <x:v>JIC45_F_SW_08_08</x:v>
      </x:c>
      <x:c r="C88" s="47" t="str">
        <x:v>FJX45 competitor matrix</x:v>
      </x:c>
      <x:c r="D88" s="47" t="str">
        <x:v>FJX45-08-08W</x:v>
      </x:c>
      <x:c r="E88" s="33" t="str">
        <x:v>JIC 37°</x:v>
      </x:c>
      <x:c r="F88" s="47" t="str">
        <x:v>SAE J514 / ISO 8434-2</x:v>
      </x:c>
      <x:c r="G88" s="33" t="str">
        <x:v>Female</x:v>
      </x:c>
      <x:c r="H88" s="33" t="str">
        <x:v>Swivel</x:v>
      </x:c>
      <x:c r="I88" s="33" t="str">
        <x:v>45°</x:v>
      </x:c>
      <x:c r="J88" s="47" t="str">
        <x:v>37° cone seat</x:v>
      </x:c>
      <x:c r="K88" s="47" t="str">
        <x:v>3/4-16 UNF</x:v>
      </x:c>
      <x:c r="L88" s="33" t="str">
        <x:v>-8</x:v>
      </x:c>
      <x:c r="M88" s="33" t="str">
        <x:v>-8</x:v>
      </x:c>
      <x:c r="N88" s="47" t="str"/>
      <x:c r="O88" s="33" t="str"/>
      <x:c r="P88" s="50" t="str"/>
      <x:c r="Q88" s="50" t="str"/>
      <x:c r="R88" s="50" t="str"/>
      <x:c r="S88" s="50" t="str"/>
      <x:c r="T88" s="50" t="str"/>
      <x:c r="U88" s="50" t="str"/>
      <x:c r="V88" s="50" t="str"/>
      <x:c r="W88" s="50" t="str"/>
      <x:c r="X88" s="47" t="str"/>
      <x:c r="Y88" s="47" t="str"/>
      <x:c r="Z88" s="47" t="str">
        <x:v>https://www.discounthydraulichose.com/v/vspfiles/downloadables/dhh-hose.pdf#page=21</x:v>
      </x:c>
      <x:c r="AA88" s="47" t="str">
        <x:v>Competitor public catalog matrix reference. Factory drawing, dimensions, material, coating, pressure and crimp compatibility must be verified.</x:v>
      </x:c>
      <x:c r="AB88" s="161" t="str">
        <x:v>Eligible</x:v>
      </x:c>
      <x:c r="AC88" s="161" t="str">
        <x:v>Pending</x:v>
      </x:c>
    </x:row>
    <x:row r="89" ht="34" customHeight="1">
      <x:c r="A89" s="33" t="str">
        <x:v>Draft</x:v>
      </x:c>
      <x:c r="B89" s="47" t="str">
        <x:v>JIC45_F_SW_10_08</x:v>
      </x:c>
      <x:c r="C89" s="47" t="str">
        <x:v>FJX45 competitor matrix</x:v>
      </x:c>
      <x:c r="D89" s="47" t="str">
        <x:v>FJX45-08-10W</x:v>
      </x:c>
      <x:c r="E89" s="33" t="str">
        <x:v>JIC 37°</x:v>
      </x:c>
      <x:c r="F89" s="47" t="str">
        <x:v>SAE J514 / ISO 8434-2</x:v>
      </x:c>
      <x:c r="G89" s="33" t="str">
        <x:v>Female</x:v>
      </x:c>
      <x:c r="H89" s="33" t="str">
        <x:v>Swivel</x:v>
      </x:c>
      <x:c r="I89" s="33" t="str">
        <x:v>45°</x:v>
      </x:c>
      <x:c r="J89" s="47" t="str">
        <x:v>37° cone seat</x:v>
      </x:c>
      <x:c r="K89" s="47" t="str">
        <x:v>7/8-14 UNF</x:v>
      </x:c>
      <x:c r="L89" s="33" t="str">
        <x:v>-10</x:v>
      </x:c>
      <x:c r="M89" s="33" t="str">
        <x:v>-8</x:v>
      </x:c>
      <x:c r="N89" s="47" t="str"/>
      <x:c r="O89" s="33" t="str"/>
      <x:c r="P89" s="50" t="str"/>
      <x:c r="Q89" s="50" t="str"/>
      <x:c r="R89" s="50" t="str"/>
      <x:c r="S89" s="50" t="str"/>
      <x:c r="T89" s="50" t="str"/>
      <x:c r="U89" s="50" t="str"/>
      <x:c r="V89" s="50" t="str"/>
      <x:c r="W89" s="50" t="str"/>
      <x:c r="X89" s="47" t="str"/>
      <x:c r="Y89" s="47" t="str"/>
      <x:c r="Z89" s="47" t="str">
        <x:v>https://www.discounthydraulichose.com/v/vspfiles/downloadables/dhh-hose.pdf#page=21</x:v>
      </x:c>
      <x:c r="AA89" s="47" t="str">
        <x:v>Competitor public catalog matrix reference. Factory drawing, dimensions, material, coating, pressure and crimp compatibility must be verified.</x:v>
      </x:c>
      <x:c r="AB89" s="161" t="str">
        <x:v>Eligible</x:v>
      </x:c>
      <x:c r="AC89" s="161" t="str">
        <x:v>Pending</x:v>
      </x:c>
    </x:row>
    <x:row r="90" ht="34" customHeight="1">
      <x:c r="A90" s="33" t="str">
        <x:v>Draft</x:v>
      </x:c>
      <x:c r="B90" s="47" t="str">
        <x:v>JIC45_F_SW_10_10</x:v>
      </x:c>
      <x:c r="C90" s="47" t="str">
        <x:v>FJX45 competitor matrix</x:v>
      </x:c>
      <x:c r="D90" s="47" t="str">
        <x:v>FJX45-10-10W</x:v>
      </x:c>
      <x:c r="E90" s="33" t="str">
        <x:v>JIC 37°</x:v>
      </x:c>
      <x:c r="F90" s="47" t="str">
        <x:v>SAE J514 / ISO 8434-2</x:v>
      </x:c>
      <x:c r="G90" s="33" t="str">
        <x:v>Female</x:v>
      </x:c>
      <x:c r="H90" s="33" t="str">
        <x:v>Swivel</x:v>
      </x:c>
      <x:c r="I90" s="33" t="str">
        <x:v>45°</x:v>
      </x:c>
      <x:c r="J90" s="47" t="str">
        <x:v>37° cone seat</x:v>
      </x:c>
      <x:c r="K90" s="47" t="str">
        <x:v>7/8-14 UNF</x:v>
      </x:c>
      <x:c r="L90" s="33" t="str">
        <x:v>-10</x:v>
      </x:c>
      <x:c r="M90" s="33" t="str">
        <x:v>-10</x:v>
      </x:c>
      <x:c r="N90" s="47" t="str"/>
      <x:c r="O90" s="33" t="str"/>
      <x:c r="P90" s="50" t="str"/>
      <x:c r="Q90" s="50" t="str"/>
      <x:c r="R90" s="50" t="str"/>
      <x:c r="S90" s="50" t="str"/>
      <x:c r="T90" s="50" t="str"/>
      <x:c r="U90" s="50" t="str"/>
      <x:c r="V90" s="50" t="str"/>
      <x:c r="W90" s="50" t="str"/>
      <x:c r="X90" s="47" t="str"/>
      <x:c r="Y90" s="47" t="str"/>
      <x:c r="Z90" s="47" t="str">
        <x:v>https://www.discounthydraulichose.com/v/vspfiles/downloadables/dhh-hose.pdf#page=21</x:v>
      </x:c>
      <x:c r="AA90" s="47" t="str">
        <x:v>Competitor public catalog matrix reference. Factory drawing, dimensions, material, coating, pressure and crimp compatibility must be verified.</x:v>
      </x:c>
      <x:c r="AB90" s="161" t="str">
        <x:v>Eligible</x:v>
      </x:c>
      <x:c r="AC90" s="161" t="str">
        <x:v>Pending</x:v>
      </x:c>
    </x:row>
    <x:row r="91" ht="34" customHeight="1">
      <x:c r="A91" s="33" t="str">
        <x:v>Draft</x:v>
      </x:c>
      <x:c r="B91" s="47" t="str">
        <x:v>JIC45_F_SW_12_10</x:v>
      </x:c>
      <x:c r="C91" s="47" t="str">
        <x:v>FJX45 competitor matrix</x:v>
      </x:c>
      <x:c r="D91" s="47" t="str">
        <x:v>FJX45-10-12W</x:v>
      </x:c>
      <x:c r="E91" s="33" t="str">
        <x:v>JIC 37°</x:v>
      </x:c>
      <x:c r="F91" s="47" t="str">
        <x:v>SAE J514 / ISO 8434-2</x:v>
      </x:c>
      <x:c r="G91" s="33" t="str">
        <x:v>Female</x:v>
      </x:c>
      <x:c r="H91" s="33" t="str">
        <x:v>Swivel</x:v>
      </x:c>
      <x:c r="I91" s="33" t="str">
        <x:v>45°</x:v>
      </x:c>
      <x:c r="J91" s="47" t="str">
        <x:v>37° cone seat</x:v>
      </x:c>
      <x:c r="K91" s="47" t="str">
        <x:v>1-1/16-12 UN</x:v>
      </x:c>
      <x:c r="L91" s="33" t="str">
        <x:v>-12</x:v>
      </x:c>
      <x:c r="M91" s="33" t="str">
        <x:v>-10</x:v>
      </x:c>
      <x:c r="N91" s="47" t="str"/>
      <x:c r="O91" s="33" t="str"/>
      <x:c r="P91" s="50" t="str"/>
      <x:c r="Q91" s="50" t="str"/>
      <x:c r="R91" s="50" t="str"/>
      <x:c r="S91" s="50" t="str"/>
      <x:c r="T91" s="50" t="str"/>
      <x:c r="U91" s="50" t="str"/>
      <x:c r="V91" s="50" t="str"/>
      <x:c r="W91" s="50" t="str"/>
      <x:c r="X91" s="47" t="str"/>
      <x:c r="Y91" s="47" t="str"/>
      <x:c r="Z91" s="47" t="str">
        <x:v>https://www.discounthydraulichose.com/v/vspfiles/downloadables/dhh-hose.pdf#page=21</x:v>
      </x:c>
      <x:c r="AA91" s="47" t="str">
        <x:v>Competitor public catalog matrix reference. Factory drawing, dimensions, material, coating, pressure and crimp compatibility must be verified.</x:v>
      </x:c>
      <x:c r="AB91" s="161" t="str">
        <x:v>Eligible</x:v>
      </x:c>
      <x:c r="AC91" s="161" t="str">
        <x:v>Pending</x:v>
      </x:c>
    </x:row>
    <x:row r="92" ht="34" customHeight="1">
      <x:c r="A92" s="33" t="str">
        <x:v>Draft</x:v>
      </x:c>
      <x:c r="B92" s="47" t="str">
        <x:v>JIC45_F_SW_12_12</x:v>
      </x:c>
      <x:c r="C92" s="47" t="str">
        <x:v>FJX45 competitor matrix</x:v>
      </x:c>
      <x:c r="D92" s="47" t="str">
        <x:v>FJX45-12-12W</x:v>
      </x:c>
      <x:c r="E92" s="33" t="str">
        <x:v>JIC 37°</x:v>
      </x:c>
      <x:c r="F92" s="47" t="str">
        <x:v>SAE J514 / ISO 8434-2</x:v>
      </x:c>
      <x:c r="G92" s="33" t="str">
        <x:v>Female</x:v>
      </x:c>
      <x:c r="H92" s="33" t="str">
        <x:v>Swivel</x:v>
      </x:c>
      <x:c r="I92" s="33" t="str">
        <x:v>45°</x:v>
      </x:c>
      <x:c r="J92" s="47" t="str">
        <x:v>37° cone seat</x:v>
      </x:c>
      <x:c r="K92" s="47" t="str">
        <x:v>1-1/16-12 UN</x:v>
      </x:c>
      <x:c r="L92" s="33" t="str">
        <x:v>-12</x:v>
      </x:c>
      <x:c r="M92" s="33" t="str">
        <x:v>-12</x:v>
      </x:c>
      <x:c r="N92" s="47" t="str"/>
      <x:c r="O92" s="33" t="str"/>
      <x:c r="P92" s="50" t="str"/>
      <x:c r="Q92" s="50" t="str"/>
      <x:c r="R92" s="50" t="str"/>
      <x:c r="S92" s="50" t="str"/>
      <x:c r="T92" s="50" t="str"/>
      <x:c r="U92" s="50" t="str"/>
      <x:c r="V92" s="50" t="str"/>
      <x:c r="W92" s="50" t="str"/>
      <x:c r="X92" s="47" t="str"/>
      <x:c r="Y92" s="47" t="str"/>
      <x:c r="Z92" s="47" t="str">
        <x:v>https://www.discounthydraulichose.com/v/vspfiles/downloadables/dhh-hose.pdf#page=21</x:v>
      </x:c>
      <x:c r="AA92" s="47" t="str">
        <x:v>Competitor public catalog matrix reference. Factory drawing, dimensions, material, coating, pressure and crimp compatibility must be verified.</x:v>
      </x:c>
      <x:c r="AB92" s="161" t="str">
        <x:v>Eligible</x:v>
      </x:c>
      <x:c r="AC92" s="161" t="str">
        <x:v>Pending</x:v>
      </x:c>
    </x:row>
    <x:row r="93" ht="34" customHeight="1">
      <x:c r="A93" s="33" t="str">
        <x:v>Draft</x:v>
      </x:c>
      <x:c r="B93" s="47" t="str">
        <x:v>JIC45_F_SW_16_12</x:v>
      </x:c>
      <x:c r="C93" s="47" t="str">
        <x:v>FJX45 competitor matrix</x:v>
      </x:c>
      <x:c r="D93" s="47" t="str">
        <x:v>FJX45-12-16W</x:v>
      </x:c>
      <x:c r="E93" s="33" t="str">
        <x:v>JIC 37°</x:v>
      </x:c>
      <x:c r="F93" s="47" t="str">
        <x:v>SAE J514 / ISO 8434-2</x:v>
      </x:c>
      <x:c r="G93" s="33" t="str">
        <x:v>Female</x:v>
      </x:c>
      <x:c r="H93" s="33" t="str">
        <x:v>Swivel</x:v>
      </x:c>
      <x:c r="I93" s="33" t="str">
        <x:v>45°</x:v>
      </x:c>
      <x:c r="J93" s="47" t="str">
        <x:v>37° cone seat</x:v>
      </x:c>
      <x:c r="K93" s="47" t="str">
        <x:v>1-5/16-12 UN</x:v>
      </x:c>
      <x:c r="L93" s="33" t="str">
        <x:v>-16</x:v>
      </x:c>
      <x:c r="M93" s="33" t="str">
        <x:v>-12</x:v>
      </x:c>
      <x:c r="N93" s="47" t="str"/>
      <x:c r="O93" s="33" t="str"/>
      <x:c r="P93" s="50" t="str"/>
      <x:c r="Q93" s="50" t="str"/>
      <x:c r="R93" s="50" t="str"/>
      <x:c r="S93" s="50" t="str"/>
      <x:c r="T93" s="50" t="str"/>
      <x:c r="U93" s="50" t="str"/>
      <x:c r="V93" s="50" t="str"/>
      <x:c r="W93" s="50" t="str"/>
      <x:c r="X93" s="47" t="str"/>
      <x:c r="Y93" s="47" t="str"/>
      <x:c r="Z93" s="47" t="str">
        <x:v>https://www.discounthydraulichose.com/v/vspfiles/downloadables/dhh-hose.pdf#page=21</x:v>
      </x:c>
      <x:c r="AA93" s="47" t="str">
        <x:v>Competitor public catalog matrix reference. Factory drawing, dimensions, material, coating, pressure and crimp compatibility must be verified.</x:v>
      </x:c>
      <x:c r="AB93" s="161" t="str">
        <x:v>Eligible</x:v>
      </x:c>
      <x:c r="AC93" s="161" t="str">
        <x:v>Pending</x:v>
      </x:c>
    </x:row>
    <x:row r="94" ht="34" customHeight="1">
      <x:c r="A94" s="33" t="str">
        <x:v>Draft</x:v>
      </x:c>
      <x:c r="B94" s="47" t="str">
        <x:v>JIC45_F_SW_16_16</x:v>
      </x:c>
      <x:c r="C94" s="47" t="str">
        <x:v>FJX45 competitor matrix</x:v>
      </x:c>
      <x:c r="D94" s="47" t="str">
        <x:v>FJX45-16-16W</x:v>
      </x:c>
      <x:c r="E94" s="33" t="str">
        <x:v>JIC 37°</x:v>
      </x:c>
      <x:c r="F94" s="47" t="str">
        <x:v>SAE J514 / ISO 8434-2</x:v>
      </x:c>
      <x:c r="G94" s="33" t="str">
        <x:v>Female</x:v>
      </x:c>
      <x:c r="H94" s="33" t="str">
        <x:v>Swivel</x:v>
      </x:c>
      <x:c r="I94" s="33" t="str">
        <x:v>45°</x:v>
      </x:c>
      <x:c r="J94" s="47" t="str">
        <x:v>37° cone seat</x:v>
      </x:c>
      <x:c r="K94" s="47" t="str">
        <x:v>1-5/16-12 UN</x:v>
      </x:c>
      <x:c r="L94" s="33" t="str">
        <x:v>-16</x:v>
      </x:c>
      <x:c r="M94" s="33" t="str">
        <x:v>-16</x:v>
      </x:c>
      <x:c r="N94" s="47" t="str"/>
      <x:c r="O94" s="33" t="str"/>
      <x:c r="P94" s="50" t="str"/>
      <x:c r="Q94" s="50" t="str"/>
      <x:c r="R94" s="50" t="str"/>
      <x:c r="S94" s="50" t="str"/>
      <x:c r="T94" s="50" t="str"/>
      <x:c r="U94" s="50" t="str"/>
      <x:c r="V94" s="50" t="str"/>
      <x:c r="W94" s="50" t="str"/>
      <x:c r="X94" s="47" t="str"/>
      <x:c r="Y94" s="47" t="str"/>
      <x:c r="Z94" s="47" t="str">
        <x:v>https://www.discounthydraulichose.com/v/vspfiles/downloadables/dhh-hose.pdf#page=21</x:v>
      </x:c>
      <x:c r="AA94" s="47" t="str">
        <x:v>Competitor public catalog matrix reference. Factory drawing, dimensions, material, coating, pressure and crimp compatibility must be verified.</x:v>
      </x:c>
      <x:c r="AB94" s="161" t="str">
        <x:v>Eligible</x:v>
      </x:c>
      <x:c r="AC94" s="161" t="str">
        <x:v>Pending</x:v>
      </x:c>
    </x:row>
    <x:row r="95" ht="34" customHeight="1">
      <x:c r="A95" s="33" t="str">
        <x:v>Draft</x:v>
      </x:c>
      <x:c r="B95" s="47" t="str">
        <x:v>JIC45_F_SW_20_16</x:v>
      </x:c>
      <x:c r="C95" s="47" t="str">
        <x:v>FJX45 competitor matrix</x:v>
      </x:c>
      <x:c r="D95" s="47" t="str">
        <x:v>FJX45-16-20W</x:v>
      </x:c>
      <x:c r="E95" s="33" t="str">
        <x:v>JIC 37°</x:v>
      </x:c>
      <x:c r="F95" s="47" t="str">
        <x:v>SAE J514 / ISO 8434-2</x:v>
      </x:c>
      <x:c r="G95" s="33" t="str">
        <x:v>Female</x:v>
      </x:c>
      <x:c r="H95" s="33" t="str">
        <x:v>Swivel</x:v>
      </x:c>
      <x:c r="I95" s="33" t="str">
        <x:v>45°</x:v>
      </x:c>
      <x:c r="J95" s="47" t="str">
        <x:v>37° cone seat</x:v>
      </x:c>
      <x:c r="K95" s="47" t="str">
        <x:v>1-5/8-12 UN</x:v>
      </x:c>
      <x:c r="L95" s="33" t="str">
        <x:v>-20</x:v>
      </x:c>
      <x:c r="M95" s="33" t="str">
        <x:v>-16</x:v>
      </x:c>
      <x:c r="N95" s="47" t="str"/>
      <x:c r="O95" s="33" t="str"/>
      <x:c r="P95" s="50" t="str"/>
      <x:c r="Q95" s="50" t="str"/>
      <x:c r="R95" s="50" t="str"/>
      <x:c r="S95" s="50" t="str"/>
      <x:c r="T95" s="50" t="str"/>
      <x:c r="U95" s="50" t="str"/>
      <x:c r="V95" s="50" t="str"/>
      <x:c r="W95" s="50" t="str"/>
      <x:c r="X95" s="47" t="str"/>
      <x:c r="Y95" s="47" t="str"/>
      <x:c r="Z95" s="47" t="str">
        <x:v>https://www.discounthydraulichose.com/v/vspfiles/downloadables/dhh-hose.pdf#page=21</x:v>
      </x:c>
      <x:c r="AA95" s="47" t="str">
        <x:v>Competitor public catalog matrix reference. Factory drawing, dimensions, material, coating, pressure and crimp compatibility must be verified.</x:v>
      </x:c>
      <x:c r="AB95" s="161" t="str">
        <x:v>Eligible</x:v>
      </x:c>
      <x:c r="AC95" s="161" t="str">
        <x:v>Pending</x:v>
      </x:c>
    </x:row>
    <x:row r="96" ht="34" customHeight="1">
      <x:c r="A96" s="33" t="str">
        <x:v>Draft</x:v>
      </x:c>
      <x:c r="B96" s="47" t="str">
        <x:v>JIC90_F_SW_04_04</x:v>
      </x:c>
      <x:c r="C96" s="47" t="str">
        <x:v>FJX90 competitor matrix</x:v>
      </x:c>
      <x:c r="D96" s="47" t="str">
        <x:v>FJX90-04-04W</x:v>
      </x:c>
      <x:c r="E96" s="33" t="str">
        <x:v>JIC 37°</x:v>
      </x:c>
      <x:c r="F96" s="47" t="str">
        <x:v>SAE J514 / ISO 8434-2</x:v>
      </x:c>
      <x:c r="G96" s="33" t="str">
        <x:v>Female</x:v>
      </x:c>
      <x:c r="H96" s="33" t="str">
        <x:v>Swivel</x:v>
      </x:c>
      <x:c r="I96" s="33" t="str">
        <x:v>90°</x:v>
      </x:c>
      <x:c r="J96" s="47" t="str">
        <x:v>37° cone seat</x:v>
      </x:c>
      <x:c r="K96" s="47" t="str">
        <x:v>7/16-20 UNF</x:v>
      </x:c>
      <x:c r="L96" s="33" t="str">
        <x:v>-4</x:v>
      </x:c>
      <x:c r="M96" s="33" t="str">
        <x:v>-4</x:v>
      </x:c>
      <x:c r="N96" s="47" t="str"/>
      <x:c r="O96" s="33" t="str"/>
      <x:c r="P96" s="50" t="str"/>
      <x:c r="Q96" s="50" t="str"/>
      <x:c r="R96" s="50" t="str"/>
      <x:c r="S96" s="50" t="str"/>
      <x:c r="T96" s="50" t="str"/>
      <x:c r="U96" s="50" t="str"/>
      <x:c r="V96" s="50" t="str"/>
      <x:c r="W96" s="50" t="str"/>
      <x:c r="X96" s="47" t="str"/>
      <x:c r="Y96" s="47" t="str"/>
      <x:c r="Z96" s="47" t="str">
        <x:v>https://www.discounthydraulichose.com/v/vspfiles/downloadables/dhh-hose.pdf#page=21</x:v>
      </x:c>
      <x:c r="AA96" s="47" t="str">
        <x:v>Competitor public catalog matrix reference. Factory drawing, dimensions, material, coating, pressure and crimp compatibility must be verified.</x:v>
      </x:c>
      <x:c r="AB96" s="161" t="str">
        <x:v>Eligible</x:v>
      </x:c>
      <x:c r="AC96" s="161" t="str">
        <x:v>Pending</x:v>
      </x:c>
    </x:row>
    <x:row r="97" ht="34" customHeight="1">
      <x:c r="A97" s="33" t="str">
        <x:v>Draft</x:v>
      </x:c>
      <x:c r="B97" s="47" t="str">
        <x:v>JIC90_F_SW_04_06</x:v>
      </x:c>
      <x:c r="C97" s="47" t="str">
        <x:v>FJX90 competitor matrix</x:v>
      </x:c>
      <x:c r="D97" s="47" t="str">
        <x:v>FJX90-06-04W</x:v>
      </x:c>
      <x:c r="E97" s="33" t="str">
        <x:v>JIC 37°</x:v>
      </x:c>
      <x:c r="F97" s="47" t="str">
        <x:v>SAE J514 / ISO 8434-2</x:v>
      </x:c>
      <x:c r="G97" s="33" t="str">
        <x:v>Female</x:v>
      </x:c>
      <x:c r="H97" s="33" t="str">
        <x:v>Swivel</x:v>
      </x:c>
      <x:c r="I97" s="33" t="str">
        <x:v>90°</x:v>
      </x:c>
      <x:c r="J97" s="47" t="str">
        <x:v>37° cone seat</x:v>
      </x:c>
      <x:c r="K97" s="47" t="str">
        <x:v>7/16-20 UNF</x:v>
      </x:c>
      <x:c r="L97" s="33" t="str">
        <x:v>-4</x:v>
      </x:c>
      <x:c r="M97" s="33" t="str">
        <x:v>-6</x:v>
      </x:c>
      <x:c r="N97" s="47" t="str"/>
      <x:c r="O97" s="33" t="str"/>
      <x:c r="P97" s="50" t="str"/>
      <x:c r="Q97" s="50" t="str"/>
      <x:c r="R97" s="50" t="str"/>
      <x:c r="S97" s="50" t="str"/>
      <x:c r="T97" s="50" t="str"/>
      <x:c r="U97" s="50" t="str"/>
      <x:c r="V97" s="50" t="str"/>
      <x:c r="W97" s="50" t="str"/>
      <x:c r="X97" s="47" t="str"/>
      <x:c r="Y97" s="47" t="str"/>
      <x:c r="Z97" s="47" t="str">
        <x:v>https://www.discounthydraulichose.com/v/vspfiles/downloadables/dhh-hose.pdf#page=21</x:v>
      </x:c>
      <x:c r="AA97" s="47" t="str">
        <x:v>Competitor public catalog matrix reference. Factory drawing, dimensions, material, coating, pressure and crimp compatibility must be verified.</x:v>
      </x:c>
      <x:c r="AB97" s="161" t="str">
        <x:v>Eligible</x:v>
      </x:c>
      <x:c r="AC97" s="161" t="str">
        <x:v>Pending</x:v>
      </x:c>
    </x:row>
    <x:row r="98" ht="34" customHeight="1">
      <x:c r="A98" s="33" t="str">
        <x:v>Draft</x:v>
      </x:c>
      <x:c r="B98" s="47" t="str">
        <x:v>JIC90_F_SW_05_04</x:v>
      </x:c>
      <x:c r="C98" s="47" t="str">
        <x:v>FJX90 competitor matrix</x:v>
      </x:c>
      <x:c r="D98" s="47" t="str">
        <x:v>FJX90-04-05W</x:v>
      </x:c>
      <x:c r="E98" s="33" t="str">
        <x:v>JIC 37°</x:v>
      </x:c>
      <x:c r="F98" s="47" t="str">
        <x:v>SAE J514 / ISO 8434-2</x:v>
      </x:c>
      <x:c r="G98" s="33" t="str">
        <x:v>Female</x:v>
      </x:c>
      <x:c r="H98" s="33" t="str">
        <x:v>Swivel</x:v>
      </x:c>
      <x:c r="I98" s="33" t="str">
        <x:v>90°</x:v>
      </x:c>
      <x:c r="J98" s="47" t="str">
        <x:v>37° cone seat</x:v>
      </x:c>
      <x:c r="K98" s="47" t="str">
        <x:v>1/2-20 UNF</x:v>
      </x:c>
      <x:c r="L98" s="33" t="str">
        <x:v>-5</x:v>
      </x:c>
      <x:c r="M98" s="33" t="str">
        <x:v>-4</x:v>
      </x:c>
      <x:c r="N98" s="47" t="str"/>
      <x:c r="O98" s="33" t="str"/>
      <x:c r="P98" s="50" t="str"/>
      <x:c r="Q98" s="50" t="str"/>
      <x:c r="R98" s="50" t="str"/>
      <x:c r="S98" s="50" t="str"/>
      <x:c r="T98" s="50" t="str"/>
      <x:c r="U98" s="50" t="str"/>
      <x:c r="V98" s="50" t="str"/>
      <x:c r="W98" s="50" t="str"/>
      <x:c r="X98" s="47" t="str"/>
      <x:c r="Y98" s="47" t="str"/>
      <x:c r="Z98" s="47" t="str">
        <x:v>https://www.discounthydraulichose.com/v/vspfiles/downloadables/dhh-hose.pdf#page=21</x:v>
      </x:c>
      <x:c r="AA98" s="47" t="str">
        <x:v>Competitor public catalog matrix reference. Factory drawing, dimensions, material, coating, pressure and crimp compatibility must be verified.</x:v>
      </x:c>
      <x:c r="AB98" s="161" t="str">
        <x:v>Eligible</x:v>
      </x:c>
      <x:c r="AC98" s="161" t="str">
        <x:v>Pending</x:v>
      </x:c>
    </x:row>
    <x:row r="99" ht="34" customHeight="1">
      <x:c r="A99" s="33" t="str">
        <x:v>Draft</x:v>
      </x:c>
      <x:c r="B99" s="47" t="str">
        <x:v>JIC90_F_SW_06_04</x:v>
      </x:c>
      <x:c r="C99" s="47" t="str">
        <x:v>FJX90 competitor matrix</x:v>
      </x:c>
      <x:c r="D99" s="47" t="str">
        <x:v>FJX90-04-06W</x:v>
      </x:c>
      <x:c r="E99" s="33" t="str">
        <x:v>JIC 37°</x:v>
      </x:c>
      <x:c r="F99" s="47" t="str">
        <x:v>SAE J514 / ISO 8434-2</x:v>
      </x:c>
      <x:c r="G99" s="33" t="str">
        <x:v>Female</x:v>
      </x:c>
      <x:c r="H99" s="33" t="str">
        <x:v>Swivel</x:v>
      </x:c>
      <x:c r="I99" s="33" t="str">
        <x:v>90°</x:v>
      </x:c>
      <x:c r="J99" s="47" t="str">
        <x:v>37° cone seat</x:v>
      </x:c>
      <x:c r="K99" s="47" t="str">
        <x:v>9/16-18 UNF</x:v>
      </x:c>
      <x:c r="L99" s="33" t="str">
        <x:v>-6</x:v>
      </x:c>
      <x:c r="M99" s="33" t="str">
        <x:v>-4</x:v>
      </x:c>
      <x:c r="N99" s="47" t="str"/>
      <x:c r="O99" s="33" t="str"/>
      <x:c r="P99" s="50" t="str"/>
      <x:c r="Q99" s="50" t="str"/>
      <x:c r="R99" s="50" t="str"/>
      <x:c r="S99" s="50" t="str"/>
      <x:c r="T99" s="50" t="str"/>
      <x:c r="U99" s="50" t="str"/>
      <x:c r="V99" s="50" t="str"/>
      <x:c r="W99" s="50" t="str"/>
      <x:c r="X99" s="47" t="str"/>
      <x:c r="Y99" s="47" t="str"/>
      <x:c r="Z99" s="47" t="str">
        <x:v>https://www.discounthydraulichose.com/v/vspfiles/downloadables/dhh-hose.pdf#page=21</x:v>
      </x:c>
      <x:c r="AA99" s="47" t="str">
        <x:v>Competitor public catalog matrix reference. Factory drawing, dimensions, material, coating, pressure and crimp compatibility must be verified.</x:v>
      </x:c>
      <x:c r="AB99" s="161" t="str">
        <x:v>Eligible</x:v>
      </x:c>
      <x:c r="AC99" s="161" t="str">
        <x:v>Pending</x:v>
      </x:c>
    </x:row>
    <x:row r="100" ht="34" customHeight="1">
      <x:c r="A100" s="33" t="str">
        <x:v>Draft</x:v>
      </x:c>
      <x:c r="B100" s="47" t="str">
        <x:v>JIC90_F_SW_06_06</x:v>
      </x:c>
      <x:c r="C100" s="47" t="str">
        <x:v>FJX90 competitor matrix</x:v>
      </x:c>
      <x:c r="D100" s="47" t="str">
        <x:v>FJX90-06-06W</x:v>
      </x:c>
      <x:c r="E100" s="33" t="str">
        <x:v>JIC 37°</x:v>
      </x:c>
      <x:c r="F100" s="47" t="str">
        <x:v>SAE J514 / ISO 8434-2</x:v>
      </x:c>
      <x:c r="G100" s="33" t="str">
        <x:v>Female</x:v>
      </x:c>
      <x:c r="H100" s="33" t="str">
        <x:v>Swivel</x:v>
      </x:c>
      <x:c r="I100" s="33" t="str">
        <x:v>90°</x:v>
      </x:c>
      <x:c r="J100" s="47" t="str">
        <x:v>37° cone seat</x:v>
      </x:c>
      <x:c r="K100" s="47" t="str">
        <x:v>9/16-18 UNF</x:v>
      </x:c>
      <x:c r="L100" s="33" t="str">
        <x:v>-6</x:v>
      </x:c>
      <x:c r="M100" s="33" t="str">
        <x:v>-6</x:v>
      </x:c>
      <x:c r="N100" s="47" t="str"/>
      <x:c r="O100" s="33" t="str"/>
      <x:c r="P100" s="50" t="str"/>
      <x:c r="Q100" s="50" t="str"/>
      <x:c r="R100" s="50" t="str"/>
      <x:c r="S100" s="50" t="str"/>
      <x:c r="T100" s="50" t="str"/>
      <x:c r="U100" s="50" t="str"/>
      <x:c r="V100" s="50" t="str"/>
      <x:c r="W100" s="50" t="str"/>
      <x:c r="X100" s="47" t="str"/>
      <x:c r="Y100" s="47" t="str"/>
      <x:c r="Z100" s="47" t="str">
        <x:v>https://www.discounthydraulichose.com/v/vspfiles/downloadables/dhh-hose.pdf#page=21</x:v>
      </x:c>
      <x:c r="AA100" s="47" t="str">
        <x:v>Competitor public catalog matrix reference. Factory drawing, dimensions, material, coating, pressure and crimp compatibility must be verified.</x:v>
      </x:c>
      <x:c r="AB100" s="161" t="str">
        <x:v>Eligible</x:v>
      </x:c>
      <x:c r="AC100" s="161" t="str">
        <x:v>Pending</x:v>
      </x:c>
    </x:row>
    <x:row r="101" ht="34" customHeight="1">
      <x:c r="A101" s="33" t="str">
        <x:v>Draft</x:v>
      </x:c>
      <x:c r="B101" s="47" t="str">
        <x:v>JIC90_F_SW_06_08</x:v>
      </x:c>
      <x:c r="C101" s="47" t="str">
        <x:v>FJX90 competitor matrix</x:v>
      </x:c>
      <x:c r="D101" s="47" t="str">
        <x:v>FJX90-08-06W</x:v>
      </x:c>
      <x:c r="E101" s="33" t="str">
        <x:v>JIC 37°</x:v>
      </x:c>
      <x:c r="F101" s="47" t="str">
        <x:v>SAE J514 / ISO 8434-2</x:v>
      </x:c>
      <x:c r="G101" s="33" t="str">
        <x:v>Female</x:v>
      </x:c>
      <x:c r="H101" s="33" t="str">
        <x:v>Swivel</x:v>
      </x:c>
      <x:c r="I101" s="33" t="str">
        <x:v>90°</x:v>
      </x:c>
      <x:c r="J101" s="47" t="str">
        <x:v>37° cone seat</x:v>
      </x:c>
      <x:c r="K101" s="47" t="str">
        <x:v>9/16-18 UNF</x:v>
      </x:c>
      <x:c r="L101" s="33" t="str">
        <x:v>-6</x:v>
      </x:c>
      <x:c r="M101" s="33" t="str">
        <x:v>-8</x:v>
      </x:c>
      <x:c r="N101" s="47" t="str"/>
      <x:c r="O101" s="33" t="str"/>
      <x:c r="P101" s="50" t="str"/>
      <x:c r="Q101" s="50" t="str"/>
      <x:c r="R101" s="50" t="str"/>
      <x:c r="S101" s="50" t="str"/>
      <x:c r="T101" s="50" t="str"/>
      <x:c r="U101" s="50" t="str"/>
      <x:c r="V101" s="50" t="str"/>
      <x:c r="W101" s="50" t="str"/>
      <x:c r="X101" s="47" t="str"/>
      <x:c r="Y101" s="47" t="str"/>
      <x:c r="Z101" s="47" t="str">
        <x:v>https://www.discounthydraulichose.com/v/vspfiles/downloadables/dhh-hose.pdf#page=21</x:v>
      </x:c>
      <x:c r="AA101" s="47" t="str">
        <x:v>Competitor public catalog matrix reference. Factory drawing, dimensions, material, coating, pressure and crimp compatibility must be verified.</x:v>
      </x:c>
      <x:c r="AB101" s="161" t="str">
        <x:v>Eligible</x:v>
      </x:c>
      <x:c r="AC101" s="161" t="str">
        <x:v>Pending</x:v>
      </x:c>
    </x:row>
    <x:row r="102" ht="34" customHeight="1">
      <x:c r="A102" s="33" t="str">
        <x:v>Draft</x:v>
      </x:c>
      <x:c r="B102" s="47" t="str">
        <x:v>JIC90_F_SW_08_06</x:v>
      </x:c>
      <x:c r="C102" s="47" t="str">
        <x:v>FJX90 competitor matrix</x:v>
      </x:c>
      <x:c r="D102" s="47" t="str">
        <x:v>FJX90-06-08W</x:v>
      </x:c>
      <x:c r="E102" s="33" t="str">
        <x:v>JIC 37°</x:v>
      </x:c>
      <x:c r="F102" s="47" t="str">
        <x:v>SAE J514 / ISO 8434-2</x:v>
      </x:c>
      <x:c r="G102" s="33" t="str">
        <x:v>Female</x:v>
      </x:c>
      <x:c r="H102" s="33" t="str">
        <x:v>Swivel</x:v>
      </x:c>
      <x:c r="I102" s="33" t="str">
        <x:v>90°</x:v>
      </x:c>
      <x:c r="J102" s="47" t="str">
        <x:v>37° cone seat</x:v>
      </x:c>
      <x:c r="K102" s="47" t="str">
        <x:v>3/4-16 UNF</x:v>
      </x:c>
      <x:c r="L102" s="33" t="str">
        <x:v>-8</x:v>
      </x:c>
      <x:c r="M102" s="33" t="str">
        <x:v>-6</x:v>
      </x:c>
      <x:c r="N102" s="47" t="str"/>
      <x:c r="O102" s="33" t="str"/>
      <x:c r="P102" s="50" t="str"/>
      <x:c r="Q102" s="50" t="str"/>
      <x:c r="R102" s="50" t="str"/>
      <x:c r="S102" s="50" t="str"/>
      <x:c r="T102" s="50" t="str"/>
      <x:c r="U102" s="50" t="str"/>
      <x:c r="V102" s="50" t="str"/>
      <x:c r="W102" s="50" t="str"/>
      <x:c r="X102" s="47" t="str"/>
      <x:c r="Y102" s="47" t="str"/>
      <x:c r="Z102" s="47" t="str">
        <x:v>https://www.discounthydraulichose.com/v/vspfiles/downloadables/dhh-hose.pdf#page=21</x:v>
      </x:c>
      <x:c r="AA102" s="47" t="str">
        <x:v>Competitor public catalog matrix reference. Factory drawing, dimensions, material, coating, pressure and crimp compatibility must be verified.</x:v>
      </x:c>
      <x:c r="AB102" s="161" t="str">
        <x:v>Eligible</x:v>
      </x:c>
      <x:c r="AC102" s="161" t="str">
        <x:v>Pending</x:v>
      </x:c>
    </x:row>
    <x:row r="103" ht="34" customHeight="1">
      <x:c r="A103" s="33" t="str">
        <x:v>Draft</x:v>
      </x:c>
      <x:c r="B103" s="47" t="str">
        <x:v>JIC90_F_SW_08_08</x:v>
      </x:c>
      <x:c r="C103" s="47" t="str">
        <x:v>FJX90 competitor matrix</x:v>
      </x:c>
      <x:c r="D103" s="47" t="str">
        <x:v>FJX90-08-08W</x:v>
      </x:c>
      <x:c r="E103" s="33" t="str">
        <x:v>JIC 37°</x:v>
      </x:c>
      <x:c r="F103" s="47" t="str">
        <x:v>SAE J514 / ISO 8434-2</x:v>
      </x:c>
      <x:c r="G103" s="33" t="str">
        <x:v>Female</x:v>
      </x:c>
      <x:c r="H103" s="33" t="str">
        <x:v>Swivel</x:v>
      </x:c>
      <x:c r="I103" s="33" t="str">
        <x:v>90°</x:v>
      </x:c>
      <x:c r="J103" s="47" t="str">
        <x:v>37° cone seat</x:v>
      </x:c>
      <x:c r="K103" s="47" t="str">
        <x:v>3/4-16 UNF</x:v>
      </x:c>
      <x:c r="L103" s="33" t="str">
        <x:v>-8</x:v>
      </x:c>
      <x:c r="M103" s="33" t="str">
        <x:v>-8</x:v>
      </x:c>
      <x:c r="N103" s="47" t="str"/>
      <x:c r="O103" s="33" t="str"/>
      <x:c r="P103" s="50" t="str"/>
      <x:c r="Q103" s="50" t="str"/>
      <x:c r="R103" s="50" t="str"/>
      <x:c r="S103" s="50" t="str"/>
      <x:c r="T103" s="50" t="str"/>
      <x:c r="U103" s="50" t="str"/>
      <x:c r="V103" s="50" t="str"/>
      <x:c r="W103" s="50" t="str"/>
      <x:c r="X103" s="47" t="str"/>
      <x:c r="Y103" s="47" t="str"/>
      <x:c r="Z103" s="47" t="str">
        <x:v>https://www.discounthydraulichose.com/v/vspfiles/downloadables/dhh-hose.pdf#page=21</x:v>
      </x:c>
      <x:c r="AA103" s="47" t="str">
        <x:v>Competitor public catalog matrix reference. Factory drawing, dimensions, material, coating, pressure and crimp compatibility must be verified.</x:v>
      </x:c>
      <x:c r="AB103" s="161" t="str">
        <x:v>Eligible</x:v>
      </x:c>
      <x:c r="AC103" s="161" t="str">
        <x:v>Pending</x:v>
      </x:c>
    </x:row>
    <x:row r="104" ht="34" customHeight="1">
      <x:c r="A104" s="33" t="str">
        <x:v>Draft</x:v>
      </x:c>
      <x:c r="B104" s="47" t="str">
        <x:v>JIC90_F_SW_10_08</x:v>
      </x:c>
      <x:c r="C104" s="47" t="str">
        <x:v>FJX90 competitor matrix</x:v>
      </x:c>
      <x:c r="D104" s="47" t="str">
        <x:v>FJX90-08-10W</x:v>
      </x:c>
      <x:c r="E104" s="33" t="str">
        <x:v>JIC 37°</x:v>
      </x:c>
      <x:c r="F104" s="47" t="str">
        <x:v>SAE J514 / ISO 8434-2</x:v>
      </x:c>
      <x:c r="G104" s="33" t="str">
        <x:v>Female</x:v>
      </x:c>
      <x:c r="H104" s="33" t="str">
        <x:v>Swivel</x:v>
      </x:c>
      <x:c r="I104" s="33" t="str">
        <x:v>90°</x:v>
      </x:c>
      <x:c r="J104" s="47" t="str">
        <x:v>37° cone seat</x:v>
      </x:c>
      <x:c r="K104" s="47" t="str">
        <x:v>7/8-14 UNF</x:v>
      </x:c>
      <x:c r="L104" s="33" t="str">
        <x:v>-10</x:v>
      </x:c>
      <x:c r="M104" s="33" t="str">
        <x:v>-8</x:v>
      </x:c>
      <x:c r="N104" s="47" t="str"/>
      <x:c r="O104" s="33" t="str"/>
      <x:c r="P104" s="50" t="str"/>
      <x:c r="Q104" s="50" t="str"/>
      <x:c r="R104" s="50" t="str"/>
      <x:c r="S104" s="50" t="str"/>
      <x:c r="T104" s="50" t="str"/>
      <x:c r="U104" s="50" t="str"/>
      <x:c r="V104" s="50" t="str"/>
      <x:c r="W104" s="50" t="str"/>
      <x:c r="X104" s="47" t="str"/>
      <x:c r="Y104" s="47" t="str"/>
      <x:c r="Z104" s="47" t="str">
        <x:v>https://www.discounthydraulichose.com/v/vspfiles/downloadables/dhh-hose.pdf#page=21</x:v>
      </x:c>
      <x:c r="AA104" s="47" t="str">
        <x:v>Competitor public catalog matrix reference. Factory drawing, dimensions, material, coating, pressure and crimp compatibility must be verified.</x:v>
      </x:c>
      <x:c r="AB104" s="161" t="str">
        <x:v>Eligible</x:v>
      </x:c>
      <x:c r="AC104" s="161" t="str">
        <x:v>Pending</x:v>
      </x:c>
    </x:row>
    <x:row r="105" ht="34" customHeight="1">
      <x:c r="A105" s="33" t="str">
        <x:v>Draft</x:v>
      </x:c>
      <x:c r="B105" s="47" t="str">
        <x:v>JIC90_F_SW_10_10</x:v>
      </x:c>
      <x:c r="C105" s="47" t="str">
        <x:v>FJX90 competitor matrix</x:v>
      </x:c>
      <x:c r="D105" s="47" t="str">
        <x:v>FJX90-10-10W</x:v>
      </x:c>
      <x:c r="E105" s="33" t="str">
        <x:v>JIC 37°</x:v>
      </x:c>
      <x:c r="F105" s="47" t="str">
        <x:v>SAE J514 / ISO 8434-2</x:v>
      </x:c>
      <x:c r="G105" s="33" t="str">
        <x:v>Female</x:v>
      </x:c>
      <x:c r="H105" s="33" t="str">
        <x:v>Swivel</x:v>
      </x:c>
      <x:c r="I105" s="33" t="str">
        <x:v>90°</x:v>
      </x:c>
      <x:c r="J105" s="47" t="str">
        <x:v>37° cone seat</x:v>
      </x:c>
      <x:c r="K105" s="47" t="str">
        <x:v>7/8-14 UNF</x:v>
      </x:c>
      <x:c r="L105" s="33" t="str">
        <x:v>-10</x:v>
      </x:c>
      <x:c r="M105" s="33" t="str">
        <x:v>-10</x:v>
      </x:c>
      <x:c r="N105" s="47" t="str"/>
      <x:c r="O105" s="33" t="str"/>
      <x:c r="P105" s="50" t="str"/>
      <x:c r="Q105" s="50" t="str"/>
      <x:c r="R105" s="50" t="str"/>
      <x:c r="S105" s="50" t="str"/>
      <x:c r="T105" s="50" t="str"/>
      <x:c r="U105" s="50" t="str"/>
      <x:c r="V105" s="50" t="str"/>
      <x:c r="W105" s="50" t="str"/>
      <x:c r="X105" s="47" t="str"/>
      <x:c r="Y105" s="47" t="str"/>
      <x:c r="Z105" s="47" t="str">
        <x:v>https://www.discounthydraulichose.com/v/vspfiles/downloadables/dhh-hose.pdf#page=21</x:v>
      </x:c>
      <x:c r="AA105" s="47" t="str">
        <x:v>Competitor public catalog matrix reference. Factory drawing, dimensions, material, coating, pressure and crimp compatibility must be verified.</x:v>
      </x:c>
      <x:c r="AB105" s="161" t="str">
        <x:v>Eligible</x:v>
      </x:c>
      <x:c r="AC105" s="161" t="str">
        <x:v>Pending</x:v>
      </x:c>
    </x:row>
    <x:row r="106" ht="34" customHeight="1">
      <x:c r="A106" s="33" t="str">
        <x:v>Draft</x:v>
      </x:c>
      <x:c r="B106" s="47" t="str">
        <x:v>JIC90_F_SW_12_08</x:v>
      </x:c>
      <x:c r="C106" s="47" t="str">
        <x:v>FJX90 competitor matrix</x:v>
      </x:c>
      <x:c r="D106" s="47" t="str">
        <x:v>FJX90-08-12W</x:v>
      </x:c>
      <x:c r="E106" s="33" t="str">
        <x:v>JIC 37°</x:v>
      </x:c>
      <x:c r="F106" s="47" t="str">
        <x:v>SAE J514 / ISO 8434-2</x:v>
      </x:c>
      <x:c r="G106" s="33" t="str">
        <x:v>Female</x:v>
      </x:c>
      <x:c r="H106" s="33" t="str">
        <x:v>Swivel</x:v>
      </x:c>
      <x:c r="I106" s="33" t="str">
        <x:v>90°</x:v>
      </x:c>
      <x:c r="J106" s="47" t="str">
        <x:v>37° cone seat</x:v>
      </x:c>
      <x:c r="K106" s="47" t="str">
        <x:v>1-1/16-12 UN</x:v>
      </x:c>
      <x:c r="L106" s="33" t="str">
        <x:v>-12</x:v>
      </x:c>
      <x:c r="M106" s="33" t="str">
        <x:v>-8</x:v>
      </x:c>
      <x:c r="N106" s="47" t="str"/>
      <x:c r="O106" s="33" t="str"/>
      <x:c r="P106" s="50" t="str"/>
      <x:c r="Q106" s="50" t="str"/>
      <x:c r="R106" s="50" t="str"/>
      <x:c r="S106" s="50" t="str"/>
      <x:c r="T106" s="50" t="str"/>
      <x:c r="U106" s="50" t="str"/>
      <x:c r="V106" s="50" t="str"/>
      <x:c r="W106" s="50" t="str"/>
      <x:c r="X106" s="47" t="str"/>
      <x:c r="Y106" s="47" t="str"/>
      <x:c r="Z106" s="47" t="str">
        <x:v>https://www.discounthydraulichose.com/v/vspfiles/downloadables/dhh-hose.pdf#page=21</x:v>
      </x:c>
      <x:c r="AA106" s="47" t="str">
        <x:v>Competitor public catalog matrix reference. Factory drawing, dimensions, material, coating, pressure and crimp compatibility must be verified.</x:v>
      </x:c>
      <x:c r="AB106" s="161" t="str">
        <x:v>Eligible</x:v>
      </x:c>
      <x:c r="AC106" s="161" t="str">
        <x:v>Pending</x:v>
      </x:c>
    </x:row>
    <x:row r="107" ht="34" customHeight="1">
      <x:c r="A107" s="33" t="str">
        <x:v>Draft</x:v>
      </x:c>
      <x:c r="B107" s="47" t="str">
        <x:v>JIC90_F_SW_12_10</x:v>
      </x:c>
      <x:c r="C107" s="47" t="str">
        <x:v>FJX90 competitor matrix</x:v>
      </x:c>
      <x:c r="D107" s="47" t="str">
        <x:v>FJX90-10-12W</x:v>
      </x:c>
      <x:c r="E107" s="33" t="str">
        <x:v>JIC 37°</x:v>
      </x:c>
      <x:c r="F107" s="47" t="str">
        <x:v>SAE J514 / ISO 8434-2</x:v>
      </x:c>
      <x:c r="G107" s="33" t="str">
        <x:v>Female</x:v>
      </x:c>
      <x:c r="H107" s="33" t="str">
        <x:v>Swivel</x:v>
      </x:c>
      <x:c r="I107" s="33" t="str">
        <x:v>90°</x:v>
      </x:c>
      <x:c r="J107" s="47" t="str">
        <x:v>37° cone seat</x:v>
      </x:c>
      <x:c r="K107" s="47" t="str">
        <x:v>1-1/16-12 UN</x:v>
      </x:c>
      <x:c r="L107" s="33" t="str">
        <x:v>-12</x:v>
      </x:c>
      <x:c r="M107" s="33" t="str">
        <x:v>-10</x:v>
      </x:c>
      <x:c r="N107" s="47" t="str"/>
      <x:c r="O107" s="33" t="str"/>
      <x:c r="P107" s="50" t="str"/>
      <x:c r="Q107" s="50" t="str"/>
      <x:c r="R107" s="50" t="str"/>
      <x:c r="S107" s="50" t="str"/>
      <x:c r="T107" s="50" t="str"/>
      <x:c r="U107" s="50" t="str"/>
      <x:c r="V107" s="50" t="str"/>
      <x:c r="W107" s="50" t="str"/>
      <x:c r="X107" s="47" t="str"/>
      <x:c r="Y107" s="47" t="str"/>
      <x:c r="Z107" s="47" t="str">
        <x:v>https://www.discounthydraulichose.com/v/vspfiles/downloadables/dhh-hose.pdf#page=21</x:v>
      </x:c>
      <x:c r="AA107" s="47" t="str">
        <x:v>Competitor public catalog matrix reference. Factory drawing, dimensions, material, coating, pressure and crimp compatibility must be verified.</x:v>
      </x:c>
      <x:c r="AB107" s="161" t="str">
        <x:v>Eligible</x:v>
      </x:c>
      <x:c r="AC107" s="161" t="str">
        <x:v>Pending</x:v>
      </x:c>
    </x:row>
    <x:row r="108" ht="34" customHeight="1">
      <x:c r="A108" s="33" t="str">
        <x:v>Draft</x:v>
      </x:c>
      <x:c r="B108" s="47" t="str">
        <x:v>JIC90_F_SW_12_12</x:v>
      </x:c>
      <x:c r="C108" s="47" t="str">
        <x:v>FJX90 competitor matrix</x:v>
      </x:c>
      <x:c r="D108" s="47" t="str">
        <x:v>FJX90-12-12W</x:v>
      </x:c>
      <x:c r="E108" s="33" t="str">
        <x:v>JIC 37°</x:v>
      </x:c>
      <x:c r="F108" s="47" t="str">
        <x:v>SAE J514 / ISO 8434-2</x:v>
      </x:c>
      <x:c r="G108" s="33" t="str">
        <x:v>Female</x:v>
      </x:c>
      <x:c r="H108" s="33" t="str">
        <x:v>Swivel</x:v>
      </x:c>
      <x:c r="I108" s="33" t="str">
        <x:v>90°</x:v>
      </x:c>
      <x:c r="J108" s="47" t="str">
        <x:v>37° cone seat</x:v>
      </x:c>
      <x:c r="K108" s="47" t="str">
        <x:v>1-1/16-12 UN</x:v>
      </x:c>
      <x:c r="L108" s="33" t="str">
        <x:v>-12</x:v>
      </x:c>
      <x:c r="M108" s="33" t="str">
        <x:v>-12</x:v>
      </x:c>
      <x:c r="N108" s="47" t="str"/>
      <x:c r="O108" s="33" t="str"/>
      <x:c r="P108" s="50" t="str"/>
      <x:c r="Q108" s="50" t="str"/>
      <x:c r="R108" s="50" t="str"/>
      <x:c r="S108" s="50" t="str"/>
      <x:c r="T108" s="50" t="str"/>
      <x:c r="U108" s="50" t="str"/>
      <x:c r="V108" s="50" t="str"/>
      <x:c r="W108" s="50" t="str"/>
      <x:c r="X108" s="47" t="str"/>
      <x:c r="Y108" s="47" t="str"/>
      <x:c r="Z108" s="47" t="str">
        <x:v>https://www.discounthydraulichose.com/v/vspfiles/downloadables/dhh-hose.pdf#page=21</x:v>
      </x:c>
      <x:c r="AA108" s="47" t="str">
        <x:v>Competitor public catalog matrix reference. Factory drawing, dimensions, material, coating, pressure and crimp compatibility must be verified.</x:v>
      </x:c>
      <x:c r="AB108" s="161" t="str">
        <x:v>Eligible</x:v>
      </x:c>
      <x:c r="AC108" s="161" t="str">
        <x:v>Pending</x:v>
      </x:c>
    </x:row>
    <x:row r="109" ht="34" customHeight="1">
      <x:c r="A109" s="33" t="str">
        <x:v>Draft</x:v>
      </x:c>
      <x:c r="B109" s="47" t="str">
        <x:v>JIC90_F_SW_16_12</x:v>
      </x:c>
      <x:c r="C109" s="47" t="str">
        <x:v>FJX90 competitor matrix</x:v>
      </x:c>
      <x:c r="D109" s="47" t="str">
        <x:v>FJX90-12-16W</x:v>
      </x:c>
      <x:c r="E109" s="33" t="str">
        <x:v>JIC 37°</x:v>
      </x:c>
      <x:c r="F109" s="47" t="str">
        <x:v>SAE J514 / ISO 8434-2</x:v>
      </x:c>
      <x:c r="G109" s="33" t="str">
        <x:v>Female</x:v>
      </x:c>
      <x:c r="H109" s="33" t="str">
        <x:v>Swivel</x:v>
      </x:c>
      <x:c r="I109" s="33" t="str">
        <x:v>90°</x:v>
      </x:c>
      <x:c r="J109" s="47" t="str">
        <x:v>37° cone seat</x:v>
      </x:c>
      <x:c r="K109" s="47" t="str">
        <x:v>1-5/16-12 UN</x:v>
      </x:c>
      <x:c r="L109" s="33" t="str">
        <x:v>-16</x:v>
      </x:c>
      <x:c r="M109" s="33" t="str">
        <x:v>-12</x:v>
      </x:c>
      <x:c r="N109" s="47" t="str"/>
      <x:c r="O109" s="33" t="str"/>
      <x:c r="P109" s="50" t="str"/>
      <x:c r="Q109" s="50" t="str"/>
      <x:c r="R109" s="50" t="str"/>
      <x:c r="S109" s="50" t="str"/>
      <x:c r="T109" s="50" t="str"/>
      <x:c r="U109" s="50" t="str"/>
      <x:c r="V109" s="50" t="str"/>
      <x:c r="W109" s="50" t="str"/>
      <x:c r="X109" s="47" t="str"/>
      <x:c r="Y109" s="47" t="str"/>
      <x:c r="Z109" s="47" t="str">
        <x:v>https://www.discounthydraulichose.com/v/vspfiles/downloadables/dhh-hose.pdf#page=21</x:v>
      </x:c>
      <x:c r="AA109" s="47" t="str">
        <x:v>Competitor public catalog matrix reference. Factory drawing, dimensions, material, coating, pressure and crimp compatibility must be verified.</x:v>
      </x:c>
      <x:c r="AB109" s="161" t="str">
        <x:v>Eligible</x:v>
      </x:c>
      <x:c r="AC109" s="161" t="str">
        <x:v>Pending</x:v>
      </x:c>
    </x:row>
    <x:row r="110" ht="34" customHeight="1">
      <x:c r="A110" s="33" t="str">
        <x:v>Draft</x:v>
      </x:c>
      <x:c r="B110" s="47" t="str">
        <x:v>JIC90_F_SW_16_16</x:v>
      </x:c>
      <x:c r="C110" s="47" t="str">
        <x:v>FJX90 competitor matrix</x:v>
      </x:c>
      <x:c r="D110" s="47" t="str">
        <x:v>FJX90-16-16W</x:v>
      </x:c>
      <x:c r="E110" s="33" t="str">
        <x:v>JIC 37°</x:v>
      </x:c>
      <x:c r="F110" s="47" t="str">
        <x:v>SAE J514 / ISO 8434-2</x:v>
      </x:c>
      <x:c r="G110" s="33" t="str">
        <x:v>Female</x:v>
      </x:c>
      <x:c r="H110" s="33" t="str">
        <x:v>Swivel</x:v>
      </x:c>
      <x:c r="I110" s="33" t="str">
        <x:v>90°</x:v>
      </x:c>
      <x:c r="J110" s="47" t="str">
        <x:v>37° cone seat</x:v>
      </x:c>
      <x:c r="K110" s="47" t="str">
        <x:v>1-5/16-12 UN</x:v>
      </x:c>
      <x:c r="L110" s="33" t="str">
        <x:v>-16</x:v>
      </x:c>
      <x:c r="M110" s="33" t="str">
        <x:v>-16</x:v>
      </x:c>
      <x:c r="N110" s="47" t="str"/>
      <x:c r="O110" s="33" t="str"/>
      <x:c r="P110" s="50" t="str"/>
      <x:c r="Q110" s="50" t="str"/>
      <x:c r="R110" s="50" t="str"/>
      <x:c r="S110" s="50" t="str"/>
      <x:c r="T110" s="50" t="str"/>
      <x:c r="U110" s="50" t="str"/>
      <x:c r="V110" s="50" t="str"/>
      <x:c r="W110" s="50" t="str"/>
      <x:c r="X110" s="47" t="str"/>
      <x:c r="Y110" s="47" t="str"/>
      <x:c r="Z110" s="47" t="str">
        <x:v>https://www.discounthydraulichose.com/v/vspfiles/downloadables/dhh-hose.pdf#page=21</x:v>
      </x:c>
      <x:c r="AA110" s="47" t="str">
        <x:v>Competitor public catalog matrix reference. Factory drawing, dimensions, material, coating, pressure and crimp compatibility must be verified.</x:v>
      </x:c>
      <x:c r="AB110" s="161" t="str">
        <x:v>Eligible</x:v>
      </x:c>
      <x:c r="AC110" s="161" t="str">
        <x:v>Pending</x:v>
      </x:c>
    </x:row>
    <x:row r="111" ht="34" customHeight="1">
      <x:c r="A111" s="33" t="str">
        <x:v>Draft</x:v>
      </x:c>
      <x:c r="B111" s="47" t="str">
        <x:v>JIC90_F_SW_20_16</x:v>
      </x:c>
      <x:c r="C111" s="47" t="str">
        <x:v>FJX90 competitor matrix</x:v>
      </x:c>
      <x:c r="D111" s="47" t="str">
        <x:v>FJX90-16-20W</x:v>
      </x:c>
      <x:c r="E111" s="33" t="str">
        <x:v>JIC 37°</x:v>
      </x:c>
      <x:c r="F111" s="47" t="str">
        <x:v>SAE J514 / ISO 8434-2</x:v>
      </x:c>
      <x:c r="G111" s="33" t="str">
        <x:v>Female</x:v>
      </x:c>
      <x:c r="H111" s="33" t="str">
        <x:v>Swivel</x:v>
      </x:c>
      <x:c r="I111" s="33" t="str">
        <x:v>90°</x:v>
      </x:c>
      <x:c r="J111" s="47" t="str">
        <x:v>37° cone seat</x:v>
      </x:c>
      <x:c r="K111" s="47" t="str">
        <x:v>1-5/8-12 UN</x:v>
      </x:c>
      <x:c r="L111" s="33" t="str">
        <x:v>-20</x:v>
      </x:c>
      <x:c r="M111" s="33" t="str">
        <x:v>-16</x:v>
      </x:c>
      <x:c r="N111" s="47" t="str"/>
      <x:c r="O111" s="33" t="str"/>
      <x:c r="P111" s="50" t="str"/>
      <x:c r="Q111" s="50" t="str"/>
      <x:c r="R111" s="50" t="str"/>
      <x:c r="S111" s="50" t="str"/>
      <x:c r="T111" s="50" t="str"/>
      <x:c r="U111" s="50" t="str"/>
      <x:c r="V111" s="50" t="str"/>
      <x:c r="W111" s="50" t="str"/>
      <x:c r="X111" s="47" t="str"/>
      <x:c r="Y111" s="47" t="str"/>
      <x:c r="Z111" s="47" t="str">
        <x:v>https://www.discounthydraulichose.com/v/vspfiles/downloadables/dhh-hose.pdf#page=21</x:v>
      </x:c>
      <x:c r="AA111" s="47" t="str">
        <x:v>Competitor public catalog matrix reference. Factory drawing, dimensions, material, coating, pressure and crimp compatibility must be verified.</x:v>
      </x:c>
      <x:c r="AB111" s="161" t="str">
        <x:v>Eligible</x:v>
      </x:c>
      <x:c r="AC111" s="161" t="str">
        <x:v>Pending</x:v>
      </x:c>
    </x:row>
    <x:row r="112" ht="34" customHeight="1">
      <x:c r="A112" s="33" t="str">
        <x:v>Draft</x:v>
      </x:c>
      <x:c r="B112" s="47" t="str">
        <x:v>NPT_F_FX_02_04</x:v>
      </x:c>
      <x:c r="C112" s="47" t="str">
        <x:v>FP competitor matrix</x:v>
      </x:c>
      <x:c r="D112" s="47" t="str">
        <x:v>FP-04-02W</x:v>
      </x:c>
      <x:c r="E112" s="33" t="str">
        <x:v>NPTF</x:v>
      </x:c>
      <x:c r="F112" s="47" t="str">
        <x:v>SAE J476 / ASME B1.20.3</x:v>
      </x:c>
      <x:c r="G112" s="33" t="str">
        <x:v>Female</x:v>
      </x:c>
      <x:c r="H112" s="33" t="str">
        <x:v>Fixed</x:v>
      </x:c>
      <x:c r="I112" s="33" t="str">
        <x:v>0° Straight</x:v>
      </x:c>
      <x:c r="J112" s="47" t="str">
        <x:v>Tapered thread</x:v>
      </x:c>
      <x:c r="K112" s="47" t="str">
        <x:v>1/8-27 NPTF</x:v>
      </x:c>
      <x:c r="L112" s="33" t="str">
        <x:v>-2</x:v>
      </x:c>
      <x:c r="M112" s="33" t="str">
        <x:v>-4</x:v>
      </x:c>
      <x:c r="N112" s="47" t="str"/>
      <x:c r="O112" s="33" t="str"/>
      <x:c r="P112" s="50" t="str"/>
      <x:c r="Q112" s="50" t="str"/>
      <x:c r="R112" s="50" t="str"/>
      <x:c r="S112" s="50" t="str"/>
      <x:c r="T112" s="50" t="str"/>
      <x:c r="U112" s="50" t="str"/>
      <x:c r="V112" s="50" t="str"/>
      <x:c r="W112" s="50" t="str"/>
      <x:c r="X112" s="47" t="str"/>
      <x:c r="Y112" s="47" t="str"/>
      <x:c r="Z112" s="47" t="str">
        <x:v>https://www.discounthydraulichose.com/v/vspfiles/downloadables/dhh-hose.pdf#page=22</x:v>
      </x:c>
      <x:c r="AA112" s="47" t="str">
        <x:v>Competitor public catalog matrix reference. Factory drawing, dimensions, material, coating, pressure and crimp compatibility must be verified.</x:v>
      </x:c>
      <x:c r="AB112" s="161" t="str">
        <x:v>Eligible</x:v>
      </x:c>
      <x:c r="AC112" s="161" t="str">
        <x:v>Pending</x:v>
      </x:c>
    </x:row>
    <x:row r="113" ht="34" customHeight="1">
      <x:c r="A113" s="33" t="str">
        <x:v>Draft</x:v>
      </x:c>
      <x:c r="B113" s="47" t="str">
        <x:v>NPT_F_FX_04_04</x:v>
      </x:c>
      <x:c r="C113" s="47" t="str">
        <x:v>FP competitor matrix</x:v>
      </x:c>
      <x:c r="D113" s="47" t="str">
        <x:v>FP-04-04W</x:v>
      </x:c>
      <x:c r="E113" s="33" t="str">
        <x:v>NPTF</x:v>
      </x:c>
      <x:c r="F113" s="47" t="str">
        <x:v>SAE J476 / ASME B1.20.3</x:v>
      </x:c>
      <x:c r="G113" s="33" t="str">
        <x:v>Female</x:v>
      </x:c>
      <x:c r="H113" s="33" t="str">
        <x:v>Fixed</x:v>
      </x:c>
      <x:c r="I113" s="33" t="str">
        <x:v>0° Straight</x:v>
      </x:c>
      <x:c r="J113" s="47" t="str">
        <x:v>Tapered thread</x:v>
      </x:c>
      <x:c r="K113" s="47" t="str">
        <x:v>1/4-18 NPTF</x:v>
      </x:c>
      <x:c r="L113" s="33" t="str">
        <x:v>-4</x:v>
      </x:c>
      <x:c r="M113" s="33" t="str">
        <x:v>-4</x:v>
      </x:c>
      <x:c r="N113" s="47" t="str"/>
      <x:c r="O113" s="33" t="str"/>
      <x:c r="P113" s="50" t="str"/>
      <x:c r="Q113" s="50" t="str"/>
      <x:c r="R113" s="50" t="str"/>
      <x:c r="S113" s="50" t="str"/>
      <x:c r="T113" s="50" t="str"/>
      <x:c r="U113" s="50" t="str"/>
      <x:c r="V113" s="50" t="str"/>
      <x:c r="W113" s="50" t="str"/>
      <x:c r="X113" s="47" t="str"/>
      <x:c r="Y113" s="47" t="str"/>
      <x:c r="Z113" s="47" t="str">
        <x:v>https://www.discounthydraulichose.com/v/vspfiles/downloadables/dhh-hose.pdf#page=22</x:v>
      </x:c>
      <x:c r="AA113" s="47" t="str">
        <x:v>Competitor public catalog matrix reference. Factory drawing, dimensions, material, coating, pressure and crimp compatibility must be verified.</x:v>
      </x:c>
      <x:c r="AB113" s="161" t="str">
        <x:v>Eligible</x:v>
      </x:c>
      <x:c r="AC113" s="161" t="str">
        <x:v>Pending</x:v>
      </x:c>
    </x:row>
    <x:row r="114" ht="34" customHeight="1">
      <x:c r="A114" s="33" t="str">
        <x:v>Draft</x:v>
      </x:c>
      <x:c r="B114" s="47" t="str">
        <x:v>NPT_F_FX_04_06</x:v>
      </x:c>
      <x:c r="C114" s="47" t="str">
        <x:v>FP competitor matrix</x:v>
      </x:c>
      <x:c r="D114" s="47" t="str">
        <x:v>FP-06-04W</x:v>
      </x:c>
      <x:c r="E114" s="33" t="str">
        <x:v>NPTF</x:v>
      </x:c>
      <x:c r="F114" s="47" t="str">
        <x:v>SAE J476 / ASME B1.20.3</x:v>
      </x:c>
      <x:c r="G114" s="33" t="str">
        <x:v>Female</x:v>
      </x:c>
      <x:c r="H114" s="33" t="str">
        <x:v>Fixed</x:v>
      </x:c>
      <x:c r="I114" s="33" t="str">
        <x:v>0° Straight</x:v>
      </x:c>
      <x:c r="J114" s="47" t="str">
        <x:v>Tapered thread</x:v>
      </x:c>
      <x:c r="K114" s="47" t="str">
        <x:v>1/4-18 NPTF</x:v>
      </x:c>
      <x:c r="L114" s="33" t="str">
        <x:v>-4</x:v>
      </x:c>
      <x:c r="M114" s="33" t="str">
        <x:v>-6</x:v>
      </x:c>
      <x:c r="N114" s="47" t="str"/>
      <x:c r="O114" s="33" t="str"/>
      <x:c r="P114" s="50" t="str"/>
      <x:c r="Q114" s="50" t="str"/>
      <x:c r="R114" s="50" t="str"/>
      <x:c r="S114" s="50" t="str"/>
      <x:c r="T114" s="50" t="str"/>
      <x:c r="U114" s="50" t="str"/>
      <x:c r="V114" s="50" t="str"/>
      <x:c r="W114" s="50" t="str"/>
      <x:c r="X114" s="47" t="str"/>
      <x:c r="Y114" s="47" t="str"/>
      <x:c r="Z114" s="47" t="str">
        <x:v>https://www.discounthydraulichose.com/v/vspfiles/downloadables/dhh-hose.pdf#page=22</x:v>
      </x:c>
      <x:c r="AA114" s="47" t="str">
        <x:v>Competitor public catalog matrix reference. Factory drawing, dimensions, material, coating, pressure and crimp compatibility must be verified.</x:v>
      </x:c>
      <x:c r="AB114" s="161" t="str">
        <x:v>Eligible</x:v>
      </x:c>
      <x:c r="AC114" s="161" t="str">
        <x:v>Pending</x:v>
      </x:c>
    </x:row>
    <x:row r="115" ht="34" customHeight="1">
      <x:c r="A115" s="33" t="str">
        <x:v>Draft</x:v>
      </x:c>
      <x:c r="B115" s="47" t="str">
        <x:v>NPT_F_FX_06_04</x:v>
      </x:c>
      <x:c r="C115" s="47" t="str">
        <x:v>FP competitor matrix</x:v>
      </x:c>
      <x:c r="D115" s="47" t="str">
        <x:v>FP-04-06W</x:v>
      </x:c>
      <x:c r="E115" s="33" t="str">
        <x:v>NPTF</x:v>
      </x:c>
      <x:c r="F115" s="47" t="str">
        <x:v>SAE J476 / ASME B1.20.3</x:v>
      </x:c>
      <x:c r="G115" s="33" t="str">
        <x:v>Female</x:v>
      </x:c>
      <x:c r="H115" s="33" t="str">
        <x:v>Fixed</x:v>
      </x:c>
      <x:c r="I115" s="33" t="str">
        <x:v>0° Straight</x:v>
      </x:c>
      <x:c r="J115" s="47" t="str">
        <x:v>Tapered thread</x:v>
      </x:c>
      <x:c r="K115" s="47" t="str">
        <x:v>3/8-18 NPTF</x:v>
      </x:c>
      <x:c r="L115" s="33" t="str">
        <x:v>-6</x:v>
      </x:c>
      <x:c r="M115" s="33" t="str">
        <x:v>-4</x:v>
      </x:c>
      <x:c r="N115" s="47" t="str"/>
      <x:c r="O115" s="33" t="str"/>
      <x:c r="P115" s="50" t="str"/>
      <x:c r="Q115" s="50" t="str"/>
      <x:c r="R115" s="50" t="str"/>
      <x:c r="S115" s="50" t="str"/>
      <x:c r="T115" s="50" t="str"/>
      <x:c r="U115" s="50" t="str"/>
      <x:c r="V115" s="50" t="str"/>
      <x:c r="W115" s="50" t="str"/>
      <x:c r="X115" s="47" t="str"/>
      <x:c r="Y115" s="47" t="str"/>
      <x:c r="Z115" s="47" t="str">
        <x:v>https://www.discounthydraulichose.com/v/vspfiles/downloadables/dhh-hose.pdf#page=22</x:v>
      </x:c>
      <x:c r="AA115" s="47" t="str">
        <x:v>Competitor public catalog matrix reference. Factory drawing, dimensions, material, coating, pressure and crimp compatibility must be verified.</x:v>
      </x:c>
      <x:c r="AB115" s="161" t="str">
        <x:v>Eligible</x:v>
      </x:c>
      <x:c r="AC115" s="161" t="str">
        <x:v>Pending</x:v>
      </x:c>
    </x:row>
    <x:row r="116" ht="34" customHeight="1">
      <x:c r="A116" s="33" t="str">
        <x:v>Draft</x:v>
      </x:c>
      <x:c r="B116" s="47" t="str">
        <x:v>NPT_F_FX_06_06</x:v>
      </x:c>
      <x:c r="C116" s="47" t="str">
        <x:v>FP competitor matrix</x:v>
      </x:c>
      <x:c r="D116" s="47" t="str">
        <x:v>FP-06-06W</x:v>
      </x:c>
      <x:c r="E116" s="33" t="str">
        <x:v>NPTF</x:v>
      </x:c>
      <x:c r="F116" s="47" t="str">
        <x:v>SAE J476 / ASME B1.20.3</x:v>
      </x:c>
      <x:c r="G116" s="33" t="str">
        <x:v>Female</x:v>
      </x:c>
      <x:c r="H116" s="33" t="str">
        <x:v>Fixed</x:v>
      </x:c>
      <x:c r="I116" s="33" t="str">
        <x:v>0° Straight</x:v>
      </x:c>
      <x:c r="J116" s="47" t="str">
        <x:v>Tapered thread</x:v>
      </x:c>
      <x:c r="K116" s="47" t="str">
        <x:v>3/8-18 NPTF</x:v>
      </x:c>
      <x:c r="L116" s="33" t="str">
        <x:v>-6</x:v>
      </x:c>
      <x:c r="M116" s="33" t="str">
        <x:v>-6</x:v>
      </x:c>
      <x:c r="N116" s="47" t="str"/>
      <x:c r="O116" s="33" t="str"/>
      <x:c r="P116" s="50" t="str"/>
      <x:c r="Q116" s="50" t="str"/>
      <x:c r="R116" s="50" t="str"/>
      <x:c r="S116" s="50" t="str"/>
      <x:c r="T116" s="50" t="str"/>
      <x:c r="U116" s="50" t="str"/>
      <x:c r="V116" s="50" t="str"/>
      <x:c r="W116" s="50" t="str"/>
      <x:c r="X116" s="47" t="str"/>
      <x:c r="Y116" s="47" t="str"/>
      <x:c r="Z116" s="47" t="str">
        <x:v>https://www.discounthydraulichose.com/v/vspfiles/downloadables/dhh-hose.pdf#page=22</x:v>
      </x:c>
      <x:c r="AA116" s="47" t="str">
        <x:v>Competitor public catalog matrix reference. Factory drawing, dimensions, material, coating, pressure and crimp compatibility must be verified.</x:v>
      </x:c>
      <x:c r="AB116" s="161" t="str">
        <x:v>Eligible</x:v>
      </x:c>
      <x:c r="AC116" s="161" t="str">
        <x:v>Pending</x:v>
      </x:c>
    </x:row>
    <x:row r="117" ht="34" customHeight="1">
      <x:c r="A117" s="33" t="str">
        <x:v>Draft</x:v>
      </x:c>
      <x:c r="B117" s="47" t="str">
        <x:v>NPT_F_FX_08_06</x:v>
      </x:c>
      <x:c r="C117" s="47" t="str">
        <x:v>FP competitor matrix</x:v>
      </x:c>
      <x:c r="D117" s="47" t="str">
        <x:v>FP-06-08W</x:v>
      </x:c>
      <x:c r="E117" s="33" t="str">
        <x:v>NPTF</x:v>
      </x:c>
      <x:c r="F117" s="47" t="str">
        <x:v>SAE J476 / ASME B1.20.3</x:v>
      </x:c>
      <x:c r="G117" s="33" t="str">
        <x:v>Female</x:v>
      </x:c>
      <x:c r="H117" s="33" t="str">
        <x:v>Fixed</x:v>
      </x:c>
      <x:c r="I117" s="33" t="str">
        <x:v>0° Straight</x:v>
      </x:c>
      <x:c r="J117" s="47" t="str">
        <x:v>Tapered thread</x:v>
      </x:c>
      <x:c r="K117" s="47" t="str">
        <x:v>1/2-14 NPTF</x:v>
      </x:c>
      <x:c r="L117" s="33" t="str">
        <x:v>-8</x:v>
      </x:c>
      <x:c r="M117" s="33" t="str">
        <x:v>-6</x:v>
      </x:c>
      <x:c r="N117" s="47" t="str"/>
      <x:c r="O117" s="33" t="str"/>
      <x:c r="P117" s="50" t="str"/>
      <x:c r="Q117" s="50" t="str"/>
      <x:c r="R117" s="50" t="str"/>
      <x:c r="S117" s="50" t="str"/>
      <x:c r="T117" s="50" t="str"/>
      <x:c r="U117" s="50" t="str"/>
      <x:c r="V117" s="50" t="str"/>
      <x:c r="W117" s="50" t="str"/>
      <x:c r="X117" s="47" t="str"/>
      <x:c r="Y117" s="47" t="str"/>
      <x:c r="Z117" s="47" t="str">
        <x:v>https://www.discounthydraulichose.com/v/vspfiles/downloadables/dhh-hose.pdf#page=22</x:v>
      </x:c>
      <x:c r="AA117" s="47" t="str">
        <x:v>Competitor public catalog matrix reference. Factory drawing, dimensions, material, coating, pressure and crimp compatibility must be verified.</x:v>
      </x:c>
      <x:c r="AB117" s="161" t="str">
        <x:v>Eligible</x:v>
      </x:c>
      <x:c r="AC117" s="161" t="str">
        <x:v>Pending</x:v>
      </x:c>
    </x:row>
    <x:row r="118" ht="34" customHeight="1">
      <x:c r="A118" s="33" t="str">
        <x:v>Draft</x:v>
      </x:c>
      <x:c r="B118" s="47" t="str">
        <x:v>NPT_F_FX_08_08</x:v>
      </x:c>
      <x:c r="C118" s="47" t="str">
        <x:v>FP competitor matrix</x:v>
      </x:c>
      <x:c r="D118" s="47" t="str">
        <x:v>FP-08-08W</x:v>
      </x:c>
      <x:c r="E118" s="33" t="str">
        <x:v>NPTF</x:v>
      </x:c>
      <x:c r="F118" s="47" t="str">
        <x:v>SAE J476 / ASME B1.20.3</x:v>
      </x:c>
      <x:c r="G118" s="33" t="str">
        <x:v>Female</x:v>
      </x:c>
      <x:c r="H118" s="33" t="str">
        <x:v>Fixed</x:v>
      </x:c>
      <x:c r="I118" s="33" t="str">
        <x:v>0° Straight</x:v>
      </x:c>
      <x:c r="J118" s="47" t="str">
        <x:v>Tapered thread</x:v>
      </x:c>
      <x:c r="K118" s="47" t="str">
        <x:v>1/2-14 NPTF</x:v>
      </x:c>
      <x:c r="L118" s="33" t="str">
        <x:v>-8</x:v>
      </x:c>
      <x:c r="M118" s="33" t="str">
        <x:v>-8</x:v>
      </x:c>
      <x:c r="N118" s="47" t="str"/>
      <x:c r="O118" s="33" t="str"/>
      <x:c r="P118" s="50" t="str"/>
      <x:c r="Q118" s="50" t="str"/>
      <x:c r="R118" s="50" t="str"/>
      <x:c r="S118" s="50" t="str"/>
      <x:c r="T118" s="50" t="str"/>
      <x:c r="U118" s="50" t="str"/>
      <x:c r="V118" s="50" t="str"/>
      <x:c r="W118" s="50" t="str"/>
      <x:c r="X118" s="47" t="str"/>
      <x:c r="Y118" s="47" t="str"/>
      <x:c r="Z118" s="47" t="str">
        <x:v>https://www.discounthydraulichose.com/v/vspfiles/downloadables/dhh-hose.pdf#page=22</x:v>
      </x:c>
      <x:c r="AA118" s="47" t="str">
        <x:v>Competitor public catalog matrix reference. Factory drawing, dimensions, material, coating, pressure and crimp compatibility must be verified.</x:v>
      </x:c>
      <x:c r="AB118" s="161" t="str">
        <x:v>Eligible</x:v>
      </x:c>
      <x:c r="AC118" s="161" t="str">
        <x:v>Pending</x:v>
      </x:c>
    </x:row>
    <x:row r="119" ht="34" customHeight="1">
      <x:c r="A119" s="33" t="str">
        <x:v>Draft</x:v>
      </x:c>
      <x:c r="B119" s="47" t="str">
        <x:v>NPT_F_FX_12_12</x:v>
      </x:c>
      <x:c r="C119" s="47" t="str">
        <x:v>FP competitor matrix</x:v>
      </x:c>
      <x:c r="D119" s="47" t="str">
        <x:v>FP-12-12W</x:v>
      </x:c>
      <x:c r="E119" s="33" t="str">
        <x:v>NPTF</x:v>
      </x:c>
      <x:c r="F119" s="47" t="str">
        <x:v>SAE J476 / ASME B1.20.3</x:v>
      </x:c>
      <x:c r="G119" s="33" t="str">
        <x:v>Female</x:v>
      </x:c>
      <x:c r="H119" s="33" t="str">
        <x:v>Fixed</x:v>
      </x:c>
      <x:c r="I119" s="33" t="str">
        <x:v>0° Straight</x:v>
      </x:c>
      <x:c r="J119" s="47" t="str">
        <x:v>Tapered thread</x:v>
      </x:c>
      <x:c r="K119" s="47" t="str">
        <x:v>3/4-14 NPTF</x:v>
      </x:c>
      <x:c r="L119" s="33" t="str">
        <x:v>-12</x:v>
      </x:c>
      <x:c r="M119" s="33" t="str">
        <x:v>-12</x:v>
      </x:c>
      <x:c r="N119" s="47" t="str"/>
      <x:c r="O119" s="33" t="str"/>
      <x:c r="P119" s="50" t="str"/>
      <x:c r="Q119" s="50" t="str"/>
      <x:c r="R119" s="50" t="str"/>
      <x:c r="S119" s="50" t="str"/>
      <x:c r="T119" s="50" t="str"/>
      <x:c r="U119" s="50" t="str"/>
      <x:c r="V119" s="50" t="str"/>
      <x:c r="W119" s="50" t="str"/>
      <x:c r="X119" s="47" t="str"/>
      <x:c r="Y119" s="47" t="str"/>
      <x:c r="Z119" s="47" t="str">
        <x:v>https://www.discounthydraulichose.com/v/vspfiles/downloadables/dhh-hose.pdf#page=22</x:v>
      </x:c>
      <x:c r="AA119" s="47" t="str">
        <x:v>Competitor public catalog matrix reference. Factory drawing, dimensions, material, coating, pressure and crimp compatibility must be verified.</x:v>
      </x:c>
      <x:c r="AB119" s="161" t="str">
        <x:v>Eligible</x:v>
      </x:c>
      <x:c r="AC119" s="161" t="str">
        <x:v>Pending</x:v>
      </x:c>
    </x:row>
    <x:row r="120" ht="34" customHeight="1">
      <x:c r="A120" s="33" t="str">
        <x:v>Draft</x:v>
      </x:c>
      <x:c r="B120" s="47" t="str">
        <x:v>NPT_M_FX_02_04</x:v>
      </x:c>
      <x:c r="C120" s="47" t="str">
        <x:v>MP competitor matrix</x:v>
      </x:c>
      <x:c r="D120" s="47" t="str">
        <x:v>MP-04-02W</x:v>
      </x:c>
      <x:c r="E120" s="33" t="str">
        <x:v>NPTF</x:v>
      </x:c>
      <x:c r="F120" s="47" t="str">
        <x:v>SAE J476 / ASME B1.20.3</x:v>
      </x:c>
      <x:c r="G120" s="33" t="str">
        <x:v>Male</x:v>
      </x:c>
      <x:c r="H120" s="33" t="str">
        <x:v>Fixed</x:v>
      </x:c>
      <x:c r="I120" s="33" t="str">
        <x:v>0° Straight</x:v>
      </x:c>
      <x:c r="J120" s="47" t="str">
        <x:v>Tapered thread</x:v>
      </x:c>
      <x:c r="K120" s="47" t="str">
        <x:v>1/8-27 NPTF</x:v>
      </x:c>
      <x:c r="L120" s="33" t="str">
        <x:v>-2</x:v>
      </x:c>
      <x:c r="M120" s="33" t="str">
        <x:v>-4</x:v>
      </x:c>
      <x:c r="N120" s="47" t="str"/>
      <x:c r="O120" s="33" t="str"/>
      <x:c r="P120" s="50" t="str"/>
      <x:c r="Q120" s="50" t="str"/>
      <x:c r="R120" s="50" t="str"/>
      <x:c r="S120" s="50" t="str"/>
      <x:c r="T120" s="50" t="str"/>
      <x:c r="U120" s="50" t="str"/>
      <x:c r="V120" s="50" t="str"/>
      <x:c r="W120" s="50" t="str"/>
      <x:c r="X120" s="47" t="str"/>
      <x:c r="Y120" s="47" t="str"/>
      <x:c r="Z120" s="47" t="str">
        <x:v>https://www.discounthydraulichose.com/v/vspfiles/downloadables/dhh-hose.pdf#page=21</x:v>
      </x:c>
      <x:c r="AA120" s="47" t="str">
        <x:v>Competitor public catalog matrix reference. Factory drawing, dimensions, material, coating, pressure and crimp compatibility must be verified.</x:v>
      </x:c>
      <x:c r="AB120" s="161" t="str">
        <x:v>Eligible</x:v>
      </x:c>
      <x:c r="AC120" s="161" t="str">
        <x:v>Pending</x:v>
      </x:c>
    </x:row>
    <x:row r="121" ht="34" customHeight="1">
      <x:c r="A121" s="33" t="str">
        <x:v>Draft</x:v>
      </x:c>
      <x:c r="B121" s="47" t="str">
        <x:v>NPT_M_FX_04_04</x:v>
      </x:c>
      <x:c r="C121" s="47" t="str">
        <x:v>MP competitor matrix</x:v>
      </x:c>
      <x:c r="D121" s="47" t="str">
        <x:v>MP-04-04W</x:v>
      </x:c>
      <x:c r="E121" s="33" t="str">
        <x:v>NPTF</x:v>
      </x:c>
      <x:c r="F121" s="47" t="str">
        <x:v>SAE J476 / ASME B1.20.3</x:v>
      </x:c>
      <x:c r="G121" s="33" t="str">
        <x:v>Male</x:v>
      </x:c>
      <x:c r="H121" s="33" t="str">
        <x:v>Fixed</x:v>
      </x:c>
      <x:c r="I121" s="33" t="str">
        <x:v>0° Straight</x:v>
      </x:c>
      <x:c r="J121" s="47" t="str">
        <x:v>Tapered thread</x:v>
      </x:c>
      <x:c r="K121" s="47" t="str">
        <x:v>1/4-18 NPTF</x:v>
      </x:c>
      <x:c r="L121" s="33" t="str">
        <x:v>-4</x:v>
      </x:c>
      <x:c r="M121" s="33" t="str">
        <x:v>-4</x:v>
      </x:c>
      <x:c r="N121" s="47" t="str"/>
      <x:c r="O121" s="33" t="str"/>
      <x:c r="P121" s="50" t="str"/>
      <x:c r="Q121" s="50" t="str"/>
      <x:c r="R121" s="50" t="str"/>
      <x:c r="S121" s="50" t="str"/>
      <x:c r="T121" s="50" t="str"/>
      <x:c r="U121" s="50" t="str"/>
      <x:c r="V121" s="50" t="str"/>
      <x:c r="W121" s="50" t="str"/>
      <x:c r="X121" s="47" t="str"/>
      <x:c r="Y121" s="47" t="str"/>
      <x:c r="Z121" s="47" t="str">
        <x:v>https://www.discounthydraulichose.com/v/vspfiles/downloadables/dhh-hose.pdf#page=21</x:v>
      </x:c>
      <x:c r="AA121" s="47" t="str">
        <x:v>Competitor public catalog matrix reference. Factory drawing, dimensions, material, coating, pressure and crimp compatibility must be verified.</x:v>
      </x:c>
      <x:c r="AB121" s="161" t="str">
        <x:v>Eligible</x:v>
      </x:c>
      <x:c r="AC121" s="161" t="str">
        <x:v>Pending</x:v>
      </x:c>
    </x:row>
    <x:row r="122" ht="34" customHeight="1">
      <x:c r="A122" s="33" t="str">
        <x:v>Draft</x:v>
      </x:c>
      <x:c r="B122" s="47" t="str">
        <x:v>NPT_M_FX_04_06</x:v>
      </x:c>
      <x:c r="C122" s="47" t="str">
        <x:v>MP competitor matrix</x:v>
      </x:c>
      <x:c r="D122" s="47" t="str">
        <x:v>MP-06-04W</x:v>
      </x:c>
      <x:c r="E122" s="33" t="str">
        <x:v>NPTF</x:v>
      </x:c>
      <x:c r="F122" s="47" t="str">
        <x:v>SAE J476 / ASME B1.20.3</x:v>
      </x:c>
      <x:c r="G122" s="33" t="str">
        <x:v>Male</x:v>
      </x:c>
      <x:c r="H122" s="33" t="str">
        <x:v>Fixed</x:v>
      </x:c>
      <x:c r="I122" s="33" t="str">
        <x:v>0° Straight</x:v>
      </x:c>
      <x:c r="J122" s="47" t="str">
        <x:v>Tapered thread</x:v>
      </x:c>
      <x:c r="K122" s="47" t="str">
        <x:v>1/4-18 NPTF</x:v>
      </x:c>
      <x:c r="L122" s="33" t="str">
        <x:v>-4</x:v>
      </x:c>
      <x:c r="M122" s="33" t="str">
        <x:v>-6</x:v>
      </x:c>
      <x:c r="N122" s="47" t="str"/>
      <x:c r="O122" s="33" t="str"/>
      <x:c r="P122" s="50" t="str"/>
      <x:c r="Q122" s="50" t="str"/>
      <x:c r="R122" s="50" t="str"/>
      <x:c r="S122" s="50" t="str"/>
      <x:c r="T122" s="50" t="str"/>
      <x:c r="U122" s="50" t="str"/>
      <x:c r="V122" s="50" t="str"/>
      <x:c r="W122" s="50" t="str"/>
      <x:c r="X122" s="47" t="str"/>
      <x:c r="Y122" s="47" t="str"/>
      <x:c r="Z122" s="47" t="str">
        <x:v>https://www.discounthydraulichose.com/v/vspfiles/downloadables/dhh-hose.pdf#page=21</x:v>
      </x:c>
      <x:c r="AA122" s="47" t="str">
        <x:v>Competitor public catalog matrix reference. Factory drawing, dimensions, material, coating, pressure and crimp compatibility must be verified.</x:v>
      </x:c>
      <x:c r="AB122" s="161" t="str">
        <x:v>Eligible</x:v>
      </x:c>
      <x:c r="AC122" s="161" t="str">
        <x:v>Pending</x:v>
      </x:c>
    </x:row>
    <x:row r="123" ht="34" customHeight="1">
      <x:c r="A123" s="33" t="str">
        <x:v>Draft</x:v>
      </x:c>
      <x:c r="B123" s="47" t="str">
        <x:v>NPT_M_FX_06_04</x:v>
      </x:c>
      <x:c r="C123" s="47" t="str">
        <x:v>MP competitor matrix</x:v>
      </x:c>
      <x:c r="D123" s="47" t="str">
        <x:v>MP-04-06W</x:v>
      </x:c>
      <x:c r="E123" s="33" t="str">
        <x:v>NPTF</x:v>
      </x:c>
      <x:c r="F123" s="47" t="str">
        <x:v>SAE J476 / ASME B1.20.3</x:v>
      </x:c>
      <x:c r="G123" s="33" t="str">
        <x:v>Male</x:v>
      </x:c>
      <x:c r="H123" s="33" t="str">
        <x:v>Fixed</x:v>
      </x:c>
      <x:c r="I123" s="33" t="str">
        <x:v>0° Straight</x:v>
      </x:c>
      <x:c r="J123" s="47" t="str">
        <x:v>Tapered thread</x:v>
      </x:c>
      <x:c r="K123" s="47" t="str">
        <x:v>3/8-18 NPTF</x:v>
      </x:c>
      <x:c r="L123" s="33" t="str">
        <x:v>-6</x:v>
      </x:c>
      <x:c r="M123" s="33" t="str">
        <x:v>-4</x:v>
      </x:c>
      <x:c r="N123" s="47" t="str"/>
      <x:c r="O123" s="33" t="str"/>
      <x:c r="P123" s="50" t="str"/>
      <x:c r="Q123" s="50" t="str"/>
      <x:c r="R123" s="50" t="str"/>
      <x:c r="S123" s="50" t="str"/>
      <x:c r="T123" s="50" t="str"/>
      <x:c r="U123" s="50" t="str"/>
      <x:c r="V123" s="50" t="str"/>
      <x:c r="W123" s="50" t="str"/>
      <x:c r="X123" s="47" t="str"/>
      <x:c r="Y123" s="47" t="str"/>
      <x:c r="Z123" s="47" t="str">
        <x:v>https://www.discounthydraulichose.com/v/vspfiles/downloadables/dhh-hose.pdf#page=21</x:v>
      </x:c>
      <x:c r="AA123" s="47" t="str">
        <x:v>Competitor public catalog matrix reference. Factory drawing, dimensions, material, coating, pressure and crimp compatibility must be verified.</x:v>
      </x:c>
      <x:c r="AB123" s="161" t="str">
        <x:v>Eligible</x:v>
      </x:c>
      <x:c r="AC123" s="161" t="str">
        <x:v>Pending</x:v>
      </x:c>
    </x:row>
    <x:row r="124" ht="34" customHeight="1">
      <x:c r="A124" s="33" t="str">
        <x:v>Draft</x:v>
      </x:c>
      <x:c r="B124" s="47" t="str">
        <x:v>NPT_M_FX_06_06</x:v>
      </x:c>
      <x:c r="C124" s="47" t="str">
        <x:v>MP competitor matrix</x:v>
      </x:c>
      <x:c r="D124" s="47" t="str">
        <x:v>MP-06-06W</x:v>
      </x:c>
      <x:c r="E124" s="33" t="str">
        <x:v>NPTF</x:v>
      </x:c>
      <x:c r="F124" s="47" t="str">
        <x:v>SAE J476 / ASME B1.20.3</x:v>
      </x:c>
      <x:c r="G124" s="33" t="str">
        <x:v>Male</x:v>
      </x:c>
      <x:c r="H124" s="33" t="str">
        <x:v>Fixed</x:v>
      </x:c>
      <x:c r="I124" s="33" t="str">
        <x:v>0° Straight</x:v>
      </x:c>
      <x:c r="J124" s="47" t="str">
        <x:v>Tapered thread</x:v>
      </x:c>
      <x:c r="K124" s="47" t="str">
        <x:v>3/8-18 NPTF</x:v>
      </x:c>
      <x:c r="L124" s="33" t="str">
        <x:v>-6</x:v>
      </x:c>
      <x:c r="M124" s="33" t="str">
        <x:v>-6</x:v>
      </x:c>
      <x:c r="N124" s="47" t="str"/>
      <x:c r="O124" s="33" t="str"/>
      <x:c r="P124" s="50" t="str"/>
      <x:c r="Q124" s="50" t="str"/>
      <x:c r="R124" s="50" t="str"/>
      <x:c r="S124" s="50" t="str"/>
      <x:c r="T124" s="50" t="str"/>
      <x:c r="U124" s="50" t="str"/>
      <x:c r="V124" s="50" t="str"/>
      <x:c r="W124" s="50" t="str"/>
      <x:c r="X124" s="47" t="str"/>
      <x:c r="Y124" s="47" t="str"/>
      <x:c r="Z124" s="47" t="str">
        <x:v>https://www.discounthydraulichose.com/v/vspfiles/downloadables/dhh-hose.pdf#page=21</x:v>
      </x:c>
      <x:c r="AA124" s="47" t="str">
        <x:v>Competitor public catalog matrix reference. Factory drawing, dimensions, material, coating, pressure and crimp compatibility must be verified.</x:v>
      </x:c>
      <x:c r="AB124" s="161" t="str">
        <x:v>Eligible</x:v>
      </x:c>
      <x:c r="AC124" s="161" t="str">
        <x:v>Pending</x:v>
      </x:c>
    </x:row>
    <x:row r="125" ht="34" customHeight="1">
      <x:c r="A125" s="33" t="str">
        <x:v>Draft</x:v>
      </x:c>
      <x:c r="B125" s="47" t="str">
        <x:v>NPT_M_FX_06_08</x:v>
      </x:c>
      <x:c r="C125" s="47" t="str">
        <x:v>MP competitor matrix</x:v>
      </x:c>
      <x:c r="D125" s="47" t="str">
        <x:v>MP-08-06W</x:v>
      </x:c>
      <x:c r="E125" s="33" t="str">
        <x:v>NPTF</x:v>
      </x:c>
      <x:c r="F125" s="47" t="str">
        <x:v>SAE J476 / ASME B1.20.3</x:v>
      </x:c>
      <x:c r="G125" s="33" t="str">
        <x:v>Male</x:v>
      </x:c>
      <x:c r="H125" s="33" t="str">
        <x:v>Fixed</x:v>
      </x:c>
      <x:c r="I125" s="33" t="str">
        <x:v>0° Straight</x:v>
      </x:c>
      <x:c r="J125" s="47" t="str">
        <x:v>Tapered thread</x:v>
      </x:c>
      <x:c r="K125" s="47" t="str">
        <x:v>3/8-18 NPTF</x:v>
      </x:c>
      <x:c r="L125" s="33" t="str">
        <x:v>-6</x:v>
      </x:c>
      <x:c r="M125" s="33" t="str">
        <x:v>-8</x:v>
      </x:c>
      <x:c r="N125" s="47" t="str"/>
      <x:c r="O125" s="33" t="str"/>
      <x:c r="P125" s="50" t="str"/>
      <x:c r="Q125" s="50" t="str"/>
      <x:c r="R125" s="50" t="str"/>
      <x:c r="S125" s="50" t="str"/>
      <x:c r="T125" s="50" t="str"/>
      <x:c r="U125" s="50" t="str"/>
      <x:c r="V125" s="50" t="str"/>
      <x:c r="W125" s="50" t="str"/>
      <x:c r="X125" s="47" t="str"/>
      <x:c r="Y125" s="47" t="str"/>
      <x:c r="Z125" s="47" t="str">
        <x:v>https://www.discounthydraulichose.com/v/vspfiles/downloadables/dhh-hose.pdf#page=21</x:v>
      </x:c>
      <x:c r="AA125" s="47" t="str">
        <x:v>Competitor public catalog matrix reference. Factory drawing, dimensions, material, coating, pressure and crimp compatibility must be verified.</x:v>
      </x:c>
      <x:c r="AB125" s="161" t="str">
        <x:v>Eligible</x:v>
      </x:c>
      <x:c r="AC125" s="161" t="str">
        <x:v>Pending</x:v>
      </x:c>
    </x:row>
    <x:row r="126" ht="34" customHeight="1">
      <x:c r="A126" s="33" t="str">
        <x:v>Draft</x:v>
      </x:c>
      <x:c r="B126" s="47" t="str">
        <x:v>NPT_M_FX_06_10</x:v>
      </x:c>
      <x:c r="C126" s="47" t="str">
        <x:v>MP competitor matrix</x:v>
      </x:c>
      <x:c r="D126" s="47" t="str">
        <x:v>MP-10-06W</x:v>
      </x:c>
      <x:c r="E126" s="33" t="str">
        <x:v>NPTF</x:v>
      </x:c>
      <x:c r="F126" s="47" t="str">
        <x:v>SAE J476 / ASME B1.20.3</x:v>
      </x:c>
      <x:c r="G126" s="33" t="str">
        <x:v>Male</x:v>
      </x:c>
      <x:c r="H126" s="33" t="str">
        <x:v>Fixed</x:v>
      </x:c>
      <x:c r="I126" s="33" t="str">
        <x:v>0° Straight</x:v>
      </x:c>
      <x:c r="J126" s="47" t="str">
        <x:v>Tapered thread</x:v>
      </x:c>
      <x:c r="K126" s="47" t="str">
        <x:v>3/8-18 NPTF</x:v>
      </x:c>
      <x:c r="L126" s="33" t="str">
        <x:v>-6</x:v>
      </x:c>
      <x:c r="M126" s="33" t="str">
        <x:v>-10</x:v>
      </x:c>
      <x:c r="N126" s="47" t="str"/>
      <x:c r="O126" s="33" t="str"/>
      <x:c r="P126" s="50" t="str"/>
      <x:c r="Q126" s="50" t="str"/>
      <x:c r="R126" s="50" t="str"/>
      <x:c r="S126" s="50" t="str"/>
      <x:c r="T126" s="50" t="str"/>
      <x:c r="U126" s="50" t="str"/>
      <x:c r="V126" s="50" t="str"/>
      <x:c r="W126" s="50" t="str"/>
      <x:c r="X126" s="47" t="str"/>
      <x:c r="Y126" s="47" t="str"/>
      <x:c r="Z126" s="47" t="str">
        <x:v>https://www.discounthydraulichose.com/v/vspfiles/downloadables/dhh-hose.pdf#page=21</x:v>
      </x:c>
      <x:c r="AA126" s="47" t="str">
        <x:v>Competitor public catalog matrix reference. Factory drawing, dimensions, material, coating, pressure and crimp compatibility must be verified.</x:v>
      </x:c>
      <x:c r="AB126" s="161" t="str">
        <x:v>Eligible</x:v>
      </x:c>
      <x:c r="AC126" s="161" t="str">
        <x:v>Pending</x:v>
      </x:c>
    </x:row>
    <x:row r="127" ht="34" customHeight="1">
      <x:c r="A127" s="33" t="str">
        <x:v>Draft</x:v>
      </x:c>
      <x:c r="B127" s="47" t="str">
        <x:v>NPT_M_FX_08_04</x:v>
      </x:c>
      <x:c r="C127" s="47" t="str">
        <x:v>MP competitor matrix</x:v>
      </x:c>
      <x:c r="D127" s="47" t="str">
        <x:v>MP-04-08W</x:v>
      </x:c>
      <x:c r="E127" s="33" t="str">
        <x:v>NPTF</x:v>
      </x:c>
      <x:c r="F127" s="47" t="str">
        <x:v>SAE J476 / ASME B1.20.3</x:v>
      </x:c>
      <x:c r="G127" s="33" t="str">
        <x:v>Male</x:v>
      </x:c>
      <x:c r="H127" s="33" t="str">
        <x:v>Fixed</x:v>
      </x:c>
      <x:c r="I127" s="33" t="str">
        <x:v>0° Straight</x:v>
      </x:c>
      <x:c r="J127" s="47" t="str">
        <x:v>Tapered thread</x:v>
      </x:c>
      <x:c r="K127" s="47" t="str">
        <x:v>1/2-14 NPTF</x:v>
      </x:c>
      <x:c r="L127" s="33" t="str">
        <x:v>-8</x:v>
      </x:c>
      <x:c r="M127" s="33" t="str">
        <x:v>-4</x:v>
      </x:c>
      <x:c r="N127" s="47" t="str"/>
      <x:c r="O127" s="33" t="str"/>
      <x:c r="P127" s="50" t="str"/>
      <x:c r="Q127" s="50" t="str"/>
      <x:c r="R127" s="50" t="str"/>
      <x:c r="S127" s="50" t="str"/>
      <x:c r="T127" s="50" t="str"/>
      <x:c r="U127" s="50" t="str"/>
      <x:c r="V127" s="50" t="str"/>
      <x:c r="W127" s="50" t="str"/>
      <x:c r="X127" s="47" t="str"/>
      <x:c r="Y127" s="47" t="str"/>
      <x:c r="Z127" s="47" t="str">
        <x:v>https://www.discounthydraulichose.com/v/vspfiles/downloadables/dhh-hose.pdf#page=21</x:v>
      </x:c>
      <x:c r="AA127" s="47" t="str">
        <x:v>Competitor public catalog matrix reference. Factory drawing, dimensions, material, coating, pressure and crimp compatibility must be verified.</x:v>
      </x:c>
      <x:c r="AB127" s="161" t="str">
        <x:v>Eligible</x:v>
      </x:c>
      <x:c r="AC127" s="161" t="str">
        <x:v>Pending</x:v>
      </x:c>
    </x:row>
    <x:row r="128" ht="34" customHeight="1">
      <x:c r="A128" s="33" t="str">
        <x:v>Draft</x:v>
      </x:c>
      <x:c r="B128" s="47" t="str">
        <x:v>NPT_M_FX_08_06</x:v>
      </x:c>
      <x:c r="C128" s="47" t="str">
        <x:v>MP competitor matrix</x:v>
      </x:c>
      <x:c r="D128" s="47" t="str">
        <x:v>MP-06-08W</x:v>
      </x:c>
      <x:c r="E128" s="33" t="str">
        <x:v>NPTF</x:v>
      </x:c>
      <x:c r="F128" s="47" t="str">
        <x:v>SAE J476 / ASME B1.20.3</x:v>
      </x:c>
      <x:c r="G128" s="33" t="str">
        <x:v>Male</x:v>
      </x:c>
      <x:c r="H128" s="33" t="str">
        <x:v>Fixed</x:v>
      </x:c>
      <x:c r="I128" s="33" t="str">
        <x:v>0° Straight</x:v>
      </x:c>
      <x:c r="J128" s="47" t="str">
        <x:v>Tapered thread</x:v>
      </x:c>
      <x:c r="K128" s="47" t="str">
        <x:v>1/2-14 NPTF</x:v>
      </x:c>
      <x:c r="L128" s="33" t="str">
        <x:v>-8</x:v>
      </x:c>
      <x:c r="M128" s="33" t="str">
        <x:v>-6</x:v>
      </x:c>
      <x:c r="N128" s="47" t="str"/>
      <x:c r="O128" s="33" t="str"/>
      <x:c r="P128" s="50" t="str"/>
      <x:c r="Q128" s="50" t="str"/>
      <x:c r="R128" s="50" t="str"/>
      <x:c r="S128" s="50" t="str"/>
      <x:c r="T128" s="50" t="str"/>
      <x:c r="U128" s="50" t="str"/>
      <x:c r="V128" s="50" t="str"/>
      <x:c r="W128" s="50" t="str"/>
      <x:c r="X128" s="47" t="str"/>
      <x:c r="Y128" s="47" t="str"/>
      <x:c r="Z128" s="47" t="str">
        <x:v>https://www.discounthydraulichose.com/v/vspfiles/downloadables/dhh-hose.pdf#page=21</x:v>
      </x:c>
      <x:c r="AA128" s="47" t="str">
        <x:v>Competitor public catalog matrix reference. Factory drawing, dimensions, material, coating, pressure and crimp compatibility must be verified.</x:v>
      </x:c>
      <x:c r="AB128" s="161" t="str">
        <x:v>Eligible</x:v>
      </x:c>
      <x:c r="AC128" s="161" t="str">
        <x:v>Pending</x:v>
      </x:c>
    </x:row>
    <x:row r="129" ht="34" customHeight="1">
      <x:c r="A129" s="33" t="str">
        <x:v>Draft</x:v>
      </x:c>
      <x:c r="B129" s="47" t="str">
        <x:v>NPT_M_FX_08_08</x:v>
      </x:c>
      <x:c r="C129" s="47" t="str">
        <x:v>MP competitor matrix</x:v>
      </x:c>
      <x:c r="D129" s="47" t="str">
        <x:v>MP-08-08W</x:v>
      </x:c>
      <x:c r="E129" s="33" t="str">
        <x:v>NPTF</x:v>
      </x:c>
      <x:c r="F129" s="47" t="str">
        <x:v>SAE J476 / ASME B1.20.3</x:v>
      </x:c>
      <x:c r="G129" s="33" t="str">
        <x:v>Male</x:v>
      </x:c>
      <x:c r="H129" s="33" t="str">
        <x:v>Fixed</x:v>
      </x:c>
      <x:c r="I129" s="33" t="str">
        <x:v>0° Straight</x:v>
      </x:c>
      <x:c r="J129" s="47" t="str">
        <x:v>Tapered thread</x:v>
      </x:c>
      <x:c r="K129" s="47" t="str">
        <x:v>1/2-14 NPTF</x:v>
      </x:c>
      <x:c r="L129" s="33" t="str">
        <x:v>-8</x:v>
      </x:c>
      <x:c r="M129" s="33" t="str">
        <x:v>-8</x:v>
      </x:c>
      <x:c r="N129" s="47" t="str"/>
      <x:c r="O129" s="33" t="str"/>
      <x:c r="P129" s="50" t="str"/>
      <x:c r="Q129" s="50" t="str"/>
      <x:c r="R129" s="50" t="str"/>
      <x:c r="S129" s="50" t="str"/>
      <x:c r="T129" s="50" t="str"/>
      <x:c r="U129" s="50" t="str"/>
      <x:c r="V129" s="50" t="str"/>
      <x:c r="W129" s="50" t="str"/>
      <x:c r="X129" s="47" t="str"/>
      <x:c r="Y129" s="47" t="str"/>
      <x:c r="Z129" s="47" t="str">
        <x:v>https://www.discounthydraulichose.com/v/vspfiles/downloadables/dhh-hose.pdf#page=21</x:v>
      </x:c>
      <x:c r="AA129" s="47" t="str">
        <x:v>Competitor public catalog matrix reference. Factory drawing, dimensions, material, coating, pressure and crimp compatibility must be verified.</x:v>
      </x:c>
      <x:c r="AB129" s="161" t="str">
        <x:v>Eligible</x:v>
      </x:c>
      <x:c r="AC129" s="161" t="str">
        <x:v>Pending</x:v>
      </x:c>
    </x:row>
    <x:row r="130" ht="34" customHeight="1">
      <x:c r="A130" s="33" t="str">
        <x:v>Draft</x:v>
      </x:c>
      <x:c r="B130" s="47" t="str">
        <x:v>NPT_M_FX_08_10</x:v>
      </x:c>
      <x:c r="C130" s="47" t="str">
        <x:v>MP competitor matrix</x:v>
      </x:c>
      <x:c r="D130" s="47" t="str">
        <x:v>MP-10-08W</x:v>
      </x:c>
      <x:c r="E130" s="33" t="str">
        <x:v>NPTF</x:v>
      </x:c>
      <x:c r="F130" s="47" t="str">
        <x:v>SAE J476 / ASME B1.20.3</x:v>
      </x:c>
      <x:c r="G130" s="33" t="str">
        <x:v>Male</x:v>
      </x:c>
      <x:c r="H130" s="33" t="str">
        <x:v>Fixed</x:v>
      </x:c>
      <x:c r="I130" s="33" t="str">
        <x:v>0° Straight</x:v>
      </x:c>
      <x:c r="J130" s="47" t="str">
        <x:v>Tapered thread</x:v>
      </x:c>
      <x:c r="K130" s="47" t="str">
        <x:v>1/2-14 NPTF</x:v>
      </x:c>
      <x:c r="L130" s="33" t="str">
        <x:v>-8</x:v>
      </x:c>
      <x:c r="M130" s="33" t="str">
        <x:v>-10</x:v>
      </x:c>
      <x:c r="N130" s="47" t="str"/>
      <x:c r="O130" s="33" t="str"/>
      <x:c r="P130" s="50" t="str"/>
      <x:c r="Q130" s="50" t="str"/>
      <x:c r="R130" s="50" t="str"/>
      <x:c r="S130" s="50" t="str"/>
      <x:c r="T130" s="50" t="str"/>
      <x:c r="U130" s="50" t="str"/>
      <x:c r="V130" s="50" t="str"/>
      <x:c r="W130" s="50" t="str"/>
      <x:c r="X130" s="47" t="str"/>
      <x:c r="Y130" s="47" t="str"/>
      <x:c r="Z130" s="47" t="str">
        <x:v>https://www.discounthydraulichose.com/v/vspfiles/downloadables/dhh-hose.pdf#page=21</x:v>
      </x:c>
      <x:c r="AA130" s="47" t="str">
        <x:v>Competitor public catalog matrix reference. Factory drawing, dimensions, material, coating, pressure and crimp compatibility must be verified.</x:v>
      </x:c>
      <x:c r="AB130" s="161" t="str">
        <x:v>Eligible</x:v>
      </x:c>
      <x:c r="AC130" s="161" t="str">
        <x:v>Pending</x:v>
      </x:c>
    </x:row>
    <x:row r="131" ht="34" customHeight="1">
      <x:c r="A131" s="33" t="str">
        <x:v>Draft</x:v>
      </x:c>
      <x:c r="B131" s="47" t="str">
        <x:v>NPT_M_FX_08_12</x:v>
      </x:c>
      <x:c r="C131" s="47" t="str">
        <x:v>MP competitor matrix</x:v>
      </x:c>
      <x:c r="D131" s="47" t="str">
        <x:v>MP-12-08W</x:v>
      </x:c>
      <x:c r="E131" s="33" t="str">
        <x:v>NPTF</x:v>
      </x:c>
      <x:c r="F131" s="47" t="str">
        <x:v>SAE J476 / ASME B1.20.3</x:v>
      </x:c>
      <x:c r="G131" s="33" t="str">
        <x:v>Male</x:v>
      </x:c>
      <x:c r="H131" s="33" t="str">
        <x:v>Fixed</x:v>
      </x:c>
      <x:c r="I131" s="33" t="str">
        <x:v>0° Straight</x:v>
      </x:c>
      <x:c r="J131" s="47" t="str">
        <x:v>Tapered thread</x:v>
      </x:c>
      <x:c r="K131" s="47" t="str">
        <x:v>1/2-14 NPTF</x:v>
      </x:c>
      <x:c r="L131" s="33" t="str">
        <x:v>-8</x:v>
      </x:c>
      <x:c r="M131" s="33" t="str">
        <x:v>-12</x:v>
      </x:c>
      <x:c r="N131" s="47" t="str"/>
      <x:c r="O131" s="33" t="str"/>
      <x:c r="P131" s="50" t="str"/>
      <x:c r="Q131" s="50" t="str"/>
      <x:c r="R131" s="50" t="str"/>
      <x:c r="S131" s="50" t="str"/>
      <x:c r="T131" s="50" t="str"/>
      <x:c r="U131" s="50" t="str"/>
      <x:c r="V131" s="50" t="str"/>
      <x:c r="W131" s="50" t="str"/>
      <x:c r="X131" s="47" t="str"/>
      <x:c r="Y131" s="47" t="str"/>
      <x:c r="Z131" s="47" t="str">
        <x:v>https://www.discounthydraulichose.com/v/vspfiles/downloadables/dhh-hose.pdf#page=21</x:v>
      </x:c>
      <x:c r="AA131" s="47" t="str">
        <x:v>Competitor public catalog matrix reference. Factory drawing, dimensions, material, coating, pressure and crimp compatibility must be verified.</x:v>
      </x:c>
      <x:c r="AB131" s="161" t="str">
        <x:v>Eligible</x:v>
      </x:c>
      <x:c r="AC131" s="161" t="str">
        <x:v>Pending</x:v>
      </x:c>
    </x:row>
    <x:row r="132" ht="34" customHeight="1">
      <x:c r="A132" s="33" t="str">
        <x:v>Draft</x:v>
      </x:c>
      <x:c r="B132" s="47" t="str">
        <x:v>NPT_M_FX_12_08</x:v>
      </x:c>
      <x:c r="C132" s="47" t="str">
        <x:v>MP competitor matrix</x:v>
      </x:c>
      <x:c r="D132" s="47" t="str">
        <x:v>MP-08-12W</x:v>
      </x:c>
      <x:c r="E132" s="33" t="str">
        <x:v>NPTF</x:v>
      </x:c>
      <x:c r="F132" s="47" t="str">
        <x:v>SAE J476 / ASME B1.20.3</x:v>
      </x:c>
      <x:c r="G132" s="33" t="str">
        <x:v>Male</x:v>
      </x:c>
      <x:c r="H132" s="33" t="str">
        <x:v>Fixed</x:v>
      </x:c>
      <x:c r="I132" s="33" t="str">
        <x:v>0° Straight</x:v>
      </x:c>
      <x:c r="J132" s="47" t="str">
        <x:v>Tapered thread</x:v>
      </x:c>
      <x:c r="K132" s="47" t="str">
        <x:v>3/4-14 NPTF</x:v>
      </x:c>
      <x:c r="L132" s="33" t="str">
        <x:v>-12</x:v>
      </x:c>
      <x:c r="M132" s="33" t="str">
        <x:v>-8</x:v>
      </x:c>
      <x:c r="N132" s="47" t="str"/>
      <x:c r="O132" s="33" t="str"/>
      <x:c r="P132" s="50" t="str"/>
      <x:c r="Q132" s="50" t="str"/>
      <x:c r="R132" s="50" t="str"/>
      <x:c r="S132" s="50" t="str"/>
      <x:c r="T132" s="50" t="str"/>
      <x:c r="U132" s="50" t="str"/>
      <x:c r="V132" s="50" t="str"/>
      <x:c r="W132" s="50" t="str"/>
      <x:c r="X132" s="47" t="str"/>
      <x:c r="Y132" s="47" t="str"/>
      <x:c r="Z132" s="47" t="str">
        <x:v>https://www.discounthydraulichose.com/v/vspfiles/downloadables/dhh-hose.pdf#page=21</x:v>
      </x:c>
      <x:c r="AA132" s="47" t="str">
        <x:v>Competitor public catalog matrix reference. Factory drawing, dimensions, material, coating, pressure and crimp compatibility must be verified.</x:v>
      </x:c>
      <x:c r="AB132" s="161" t="str">
        <x:v>Eligible</x:v>
      </x:c>
      <x:c r="AC132" s="161" t="str">
        <x:v>Pending</x:v>
      </x:c>
    </x:row>
    <x:row r="133" ht="34" customHeight="1">
      <x:c r="A133" s="33" t="str">
        <x:v>Draft</x:v>
      </x:c>
      <x:c r="B133" s="47" t="str">
        <x:v>NPT_M_FX_12_10</x:v>
      </x:c>
      <x:c r="C133" s="47" t="str">
        <x:v>MP competitor matrix</x:v>
      </x:c>
      <x:c r="D133" s="47" t="str">
        <x:v>MP-10-12W</x:v>
      </x:c>
      <x:c r="E133" s="33" t="str">
        <x:v>NPTF</x:v>
      </x:c>
      <x:c r="F133" s="47" t="str">
        <x:v>SAE J476 / ASME B1.20.3</x:v>
      </x:c>
      <x:c r="G133" s="33" t="str">
        <x:v>Male</x:v>
      </x:c>
      <x:c r="H133" s="33" t="str">
        <x:v>Fixed</x:v>
      </x:c>
      <x:c r="I133" s="33" t="str">
        <x:v>0° Straight</x:v>
      </x:c>
      <x:c r="J133" s="47" t="str">
        <x:v>Tapered thread</x:v>
      </x:c>
      <x:c r="K133" s="47" t="str">
        <x:v>3/4-14 NPTF</x:v>
      </x:c>
      <x:c r="L133" s="33" t="str">
        <x:v>-12</x:v>
      </x:c>
      <x:c r="M133" s="33" t="str">
        <x:v>-10</x:v>
      </x:c>
      <x:c r="N133" s="47" t="str"/>
      <x:c r="O133" s="33" t="str"/>
      <x:c r="P133" s="50" t="str"/>
      <x:c r="Q133" s="50" t="str"/>
      <x:c r="R133" s="50" t="str"/>
      <x:c r="S133" s="50" t="str"/>
      <x:c r="T133" s="50" t="str"/>
      <x:c r="U133" s="50" t="str"/>
      <x:c r="V133" s="50" t="str"/>
      <x:c r="W133" s="50" t="str"/>
      <x:c r="X133" s="47" t="str"/>
      <x:c r="Y133" s="47" t="str"/>
      <x:c r="Z133" s="47" t="str">
        <x:v>https://www.discounthydraulichose.com/v/vspfiles/downloadables/dhh-hose.pdf#page=21</x:v>
      </x:c>
      <x:c r="AA133" s="47" t="str">
        <x:v>Competitor public catalog matrix reference. Factory drawing, dimensions, material, coating, pressure and crimp compatibility must be verified.</x:v>
      </x:c>
      <x:c r="AB133" s="161" t="str">
        <x:v>Eligible</x:v>
      </x:c>
      <x:c r="AC133" s="161" t="str">
        <x:v>Pending</x:v>
      </x:c>
    </x:row>
    <x:row r="134" ht="34" customHeight="1">
      <x:c r="A134" s="33" t="str">
        <x:v>Draft</x:v>
      </x:c>
      <x:c r="B134" s="47" t="str">
        <x:v>NPT_M_FX_12_12</x:v>
      </x:c>
      <x:c r="C134" s="47" t="str">
        <x:v>MP competitor matrix</x:v>
      </x:c>
      <x:c r="D134" s="47" t="str">
        <x:v>MP-12-12W</x:v>
      </x:c>
      <x:c r="E134" s="33" t="str">
        <x:v>NPTF</x:v>
      </x:c>
      <x:c r="F134" s="47" t="str">
        <x:v>SAE J476 / ASME B1.20.3</x:v>
      </x:c>
      <x:c r="G134" s="33" t="str">
        <x:v>Male</x:v>
      </x:c>
      <x:c r="H134" s="33" t="str">
        <x:v>Fixed</x:v>
      </x:c>
      <x:c r="I134" s="33" t="str">
        <x:v>0° Straight</x:v>
      </x:c>
      <x:c r="J134" s="47" t="str">
        <x:v>Tapered thread</x:v>
      </x:c>
      <x:c r="K134" s="47" t="str">
        <x:v>3/4-14 NPTF</x:v>
      </x:c>
      <x:c r="L134" s="33" t="str">
        <x:v>-12</x:v>
      </x:c>
      <x:c r="M134" s="33" t="str">
        <x:v>-12</x:v>
      </x:c>
      <x:c r="N134" s="47" t="str"/>
      <x:c r="O134" s="33" t="str"/>
      <x:c r="P134" s="50" t="str"/>
      <x:c r="Q134" s="50" t="str"/>
      <x:c r="R134" s="50" t="str"/>
      <x:c r="S134" s="50" t="str"/>
      <x:c r="T134" s="50" t="str"/>
      <x:c r="U134" s="50" t="str"/>
      <x:c r="V134" s="50" t="str"/>
      <x:c r="W134" s="50" t="str"/>
      <x:c r="X134" s="47" t="str"/>
      <x:c r="Y134" s="47" t="str"/>
      <x:c r="Z134" s="47" t="str">
        <x:v>https://www.discounthydraulichose.com/v/vspfiles/downloadables/dhh-hose.pdf#page=21</x:v>
      </x:c>
      <x:c r="AA134" s="47" t="str">
        <x:v>Competitor public catalog matrix reference. Factory drawing, dimensions, material, coating, pressure and crimp compatibility must be verified.</x:v>
      </x:c>
      <x:c r="AB134" s="161" t="str">
        <x:v>Eligible</x:v>
      </x:c>
      <x:c r="AC134" s="161" t="str">
        <x:v>Pending</x:v>
      </x:c>
    </x:row>
    <x:row r="135" ht="34" customHeight="1">
      <x:c r="A135" s="33" t="str">
        <x:v>Draft</x:v>
      </x:c>
      <x:c r="B135" s="47" t="str">
        <x:v>NPT_M_FX_12_16</x:v>
      </x:c>
      <x:c r="C135" s="47" t="str">
        <x:v>MP competitor matrix</x:v>
      </x:c>
      <x:c r="D135" s="47" t="str">
        <x:v>MP-16-12W</x:v>
      </x:c>
      <x:c r="E135" s="33" t="str">
        <x:v>NPTF</x:v>
      </x:c>
      <x:c r="F135" s="47" t="str">
        <x:v>SAE J476 / ASME B1.20.3</x:v>
      </x:c>
      <x:c r="G135" s="33" t="str">
        <x:v>Male</x:v>
      </x:c>
      <x:c r="H135" s="33" t="str">
        <x:v>Fixed</x:v>
      </x:c>
      <x:c r="I135" s="33" t="str">
        <x:v>0° Straight</x:v>
      </x:c>
      <x:c r="J135" s="47" t="str">
        <x:v>Tapered thread</x:v>
      </x:c>
      <x:c r="K135" s="47" t="str">
        <x:v>3/4-14 NPTF</x:v>
      </x:c>
      <x:c r="L135" s="33" t="str">
        <x:v>-12</x:v>
      </x:c>
      <x:c r="M135" s="33" t="str">
        <x:v>-16</x:v>
      </x:c>
      <x:c r="N135" s="47" t="str"/>
      <x:c r="O135" s="33" t="str"/>
      <x:c r="P135" s="50" t="str"/>
      <x:c r="Q135" s="50" t="str"/>
      <x:c r="R135" s="50" t="str"/>
      <x:c r="S135" s="50" t="str"/>
      <x:c r="T135" s="50" t="str"/>
      <x:c r="U135" s="50" t="str"/>
      <x:c r="V135" s="50" t="str"/>
      <x:c r="W135" s="50" t="str"/>
      <x:c r="X135" s="47" t="str"/>
      <x:c r="Y135" s="47" t="str"/>
      <x:c r="Z135" s="47" t="str">
        <x:v>https://www.discounthydraulichose.com/v/vspfiles/downloadables/dhh-hose.pdf#page=21</x:v>
      </x:c>
      <x:c r="AA135" s="47" t="str">
        <x:v>Competitor public catalog matrix reference. Factory drawing, dimensions, material, coating, pressure and crimp compatibility must be verified.</x:v>
      </x:c>
      <x:c r="AB135" s="161" t="str">
        <x:v>Eligible</x:v>
      </x:c>
      <x:c r="AC135" s="161" t="str">
        <x:v>Pending</x:v>
      </x:c>
    </x:row>
    <x:row r="136" ht="34" customHeight="1">
      <x:c r="A136" s="33" t="str">
        <x:v>Draft</x:v>
      </x:c>
      <x:c r="B136" s="47" t="str">
        <x:v>NPT_M_FX_16_12</x:v>
      </x:c>
      <x:c r="C136" s="47" t="str">
        <x:v>MP competitor matrix</x:v>
      </x:c>
      <x:c r="D136" s="47" t="str">
        <x:v>MP-12-16W</x:v>
      </x:c>
      <x:c r="E136" s="33" t="str">
        <x:v>NPTF</x:v>
      </x:c>
      <x:c r="F136" s="47" t="str">
        <x:v>SAE J476 / ASME B1.20.3</x:v>
      </x:c>
      <x:c r="G136" s="33" t="str">
        <x:v>Male</x:v>
      </x:c>
      <x:c r="H136" s="33" t="str">
        <x:v>Fixed</x:v>
      </x:c>
      <x:c r="I136" s="33" t="str">
        <x:v>0° Straight</x:v>
      </x:c>
      <x:c r="J136" s="47" t="str">
        <x:v>Tapered thread</x:v>
      </x:c>
      <x:c r="K136" s="47" t="str">
        <x:v>1-11.5 NPTF</x:v>
      </x:c>
      <x:c r="L136" s="33" t="str">
        <x:v>-16</x:v>
      </x:c>
      <x:c r="M136" s="33" t="str">
        <x:v>-12</x:v>
      </x:c>
      <x:c r="N136" s="47" t="str"/>
      <x:c r="O136" s="33" t="str"/>
      <x:c r="P136" s="50" t="str"/>
      <x:c r="Q136" s="50" t="str"/>
      <x:c r="R136" s="50" t="str"/>
      <x:c r="S136" s="50" t="str"/>
      <x:c r="T136" s="50" t="str"/>
      <x:c r="U136" s="50" t="str"/>
      <x:c r="V136" s="50" t="str"/>
      <x:c r="W136" s="50" t="str"/>
      <x:c r="X136" s="47" t="str"/>
      <x:c r="Y136" s="47" t="str"/>
      <x:c r="Z136" s="47" t="str">
        <x:v>https://www.discounthydraulichose.com/v/vspfiles/downloadables/dhh-hose.pdf#page=21</x:v>
      </x:c>
      <x:c r="AA136" s="47" t="str">
        <x:v>Competitor public catalog matrix reference. Factory drawing, dimensions, material, coating, pressure and crimp compatibility must be verified.</x:v>
      </x:c>
      <x:c r="AB136" s="161" t="str">
        <x:v>Eligible</x:v>
      </x:c>
      <x:c r="AC136" s="161" t="str">
        <x:v>Pending</x:v>
      </x:c>
    </x:row>
    <x:row r="137" ht="34" customHeight="1">
      <x:c r="A137" s="33" t="str">
        <x:v>Draft</x:v>
      </x:c>
      <x:c r="B137" s="47" t="str">
        <x:v>NPT_M_FX_16_16</x:v>
      </x:c>
      <x:c r="C137" s="47" t="str">
        <x:v>MP competitor matrix</x:v>
      </x:c>
      <x:c r="D137" s="47" t="str">
        <x:v>MP-16-16W</x:v>
      </x:c>
      <x:c r="E137" s="33" t="str">
        <x:v>NPTF</x:v>
      </x:c>
      <x:c r="F137" s="47" t="str">
        <x:v>SAE J476 / ASME B1.20.3</x:v>
      </x:c>
      <x:c r="G137" s="33" t="str">
        <x:v>Male</x:v>
      </x:c>
      <x:c r="H137" s="33" t="str">
        <x:v>Fixed</x:v>
      </x:c>
      <x:c r="I137" s="33" t="str">
        <x:v>0° Straight</x:v>
      </x:c>
      <x:c r="J137" s="47" t="str">
        <x:v>Tapered thread</x:v>
      </x:c>
      <x:c r="K137" s="47" t="str">
        <x:v>1-11.5 NPTF</x:v>
      </x:c>
      <x:c r="L137" s="33" t="str">
        <x:v>-16</x:v>
      </x:c>
      <x:c r="M137" s="33" t="str">
        <x:v>-16</x:v>
      </x:c>
      <x:c r="N137" s="47" t="str"/>
      <x:c r="O137" s="33" t="str"/>
      <x:c r="P137" s="50" t="str"/>
      <x:c r="Q137" s="50" t="str"/>
      <x:c r="R137" s="50" t="str"/>
      <x:c r="S137" s="50" t="str"/>
      <x:c r="T137" s="50" t="str"/>
      <x:c r="U137" s="50" t="str"/>
      <x:c r="V137" s="50" t="str"/>
      <x:c r="W137" s="50" t="str"/>
      <x:c r="X137" s="47" t="str"/>
      <x:c r="Y137" s="47" t="str"/>
      <x:c r="Z137" s="47" t="str">
        <x:v>https://www.discounthydraulichose.com/v/vspfiles/downloadables/dhh-hose.pdf#page=21</x:v>
      </x:c>
      <x:c r="AA137" s="47" t="str">
        <x:v>Competitor public catalog matrix reference. Factory drawing, dimensions, material, coating, pressure and crimp compatibility must be verified.</x:v>
      </x:c>
      <x:c r="AB137" s="161" t="str">
        <x:v>Eligible</x:v>
      </x:c>
      <x:c r="AC137" s="161" t="str">
        <x:v>Pending</x:v>
      </x:c>
    </x:row>
    <x:row r="138" ht="34" customHeight="1">
      <x:c r="A138" s="33" t="str">
        <x:v>Draft</x:v>
      </x:c>
      <x:c r="B138" s="47" t="str">
        <x:v>NPT_M_FX_20_16</x:v>
      </x:c>
      <x:c r="C138" s="47" t="str">
        <x:v>MP competitor matrix</x:v>
      </x:c>
      <x:c r="D138" s="47" t="str">
        <x:v>MP-16-20W</x:v>
      </x:c>
      <x:c r="E138" s="33" t="str">
        <x:v>NPTF</x:v>
      </x:c>
      <x:c r="F138" s="47" t="str">
        <x:v>SAE J476 / ASME B1.20.3</x:v>
      </x:c>
      <x:c r="G138" s="33" t="str">
        <x:v>Male</x:v>
      </x:c>
      <x:c r="H138" s="33" t="str">
        <x:v>Fixed</x:v>
      </x:c>
      <x:c r="I138" s="33" t="str">
        <x:v>0° Straight</x:v>
      </x:c>
      <x:c r="J138" s="47" t="str">
        <x:v>Tapered thread</x:v>
      </x:c>
      <x:c r="K138" s="47" t="str">
        <x:v>1-1/4-11.5 NPTF</x:v>
      </x:c>
      <x:c r="L138" s="33" t="str">
        <x:v>-20</x:v>
      </x:c>
      <x:c r="M138" s="33" t="str">
        <x:v>-16</x:v>
      </x:c>
      <x:c r="N138" s="47" t="str"/>
      <x:c r="O138" s="33" t="str"/>
      <x:c r="P138" s="50" t="str"/>
      <x:c r="Q138" s="50" t="str"/>
      <x:c r="R138" s="50" t="str"/>
      <x:c r="S138" s="50" t="str"/>
      <x:c r="T138" s="50" t="str"/>
      <x:c r="U138" s="50" t="str"/>
      <x:c r="V138" s="50" t="str"/>
      <x:c r="W138" s="50" t="str"/>
      <x:c r="X138" s="47" t="str"/>
      <x:c r="Y138" s="47" t="str"/>
      <x:c r="Z138" s="47" t="str">
        <x:v>https://www.discounthydraulichose.com/v/vspfiles/downloadables/dhh-hose.pdf#page=21</x:v>
      </x:c>
      <x:c r="AA138" s="47" t="str">
        <x:v>Competitor public catalog matrix reference. Factory drawing, dimensions, material, coating, pressure and crimp compatibility must be verified.</x:v>
      </x:c>
      <x:c r="AB138" s="161" t="str">
        <x:v>Eligible</x:v>
      </x:c>
      <x:c r="AC138" s="161" t="str">
        <x:v>Pending</x:v>
      </x:c>
    </x:row>
    <x:row r="139" ht="34" customHeight="1">
      <x:c r="A139" s="33" t="str">
        <x:v>Draft</x:v>
      </x:c>
      <x:c r="B139" s="47" t="str">
        <x:v>NPT90_M_SW_04_04</x:v>
      </x:c>
      <x:c r="C139" s="47" t="str">
        <x:v>MPX90 competitor matrix</x:v>
      </x:c>
      <x:c r="D139" s="47" t="str">
        <x:v>MPX90-04-04W</x:v>
      </x:c>
      <x:c r="E139" s="33" t="str">
        <x:v>NPTF</x:v>
      </x:c>
      <x:c r="F139" s="47" t="str">
        <x:v>SAE J476 / ASME B1.20.3</x:v>
      </x:c>
      <x:c r="G139" s="33" t="str">
        <x:v>Male</x:v>
      </x:c>
      <x:c r="H139" s="33" t="str">
        <x:v>Swivel</x:v>
      </x:c>
      <x:c r="I139" s="33" t="str">
        <x:v>90°</x:v>
      </x:c>
      <x:c r="J139" s="47" t="str">
        <x:v>Tapered thread</x:v>
      </x:c>
      <x:c r="K139" s="47" t="str">
        <x:v>1/4-18 NPTF</x:v>
      </x:c>
      <x:c r="L139" s="33" t="str">
        <x:v>-4</x:v>
      </x:c>
      <x:c r="M139" s="33" t="str">
        <x:v>-4</x:v>
      </x:c>
      <x:c r="N139" s="47" t="str"/>
      <x:c r="O139" s="33" t="str"/>
      <x:c r="P139" s="50" t="str"/>
      <x:c r="Q139" s="50" t="str"/>
      <x:c r="R139" s="50" t="str"/>
      <x:c r="S139" s="50" t="str"/>
      <x:c r="T139" s="50" t="str"/>
      <x:c r="U139" s="50" t="str"/>
      <x:c r="V139" s="50" t="str"/>
      <x:c r="W139" s="50" t="str"/>
      <x:c r="X139" s="47" t="str"/>
      <x:c r="Y139" s="47" t="str"/>
      <x:c r="Z139" s="47" t="str">
        <x:v>https://www.discounthydraulichose.com/v/vspfiles/downloadables/dhh-hose.pdf#page=22</x:v>
      </x:c>
      <x:c r="AA139" s="47" t="str">
        <x:v>Competitor public catalog matrix reference. Factory drawing, dimensions, material, coating, pressure and crimp compatibility must be verified.</x:v>
      </x:c>
      <x:c r="AB139" s="161" t="str">
        <x:v>Eligible</x:v>
      </x:c>
      <x:c r="AC139" s="161" t="str">
        <x:v>Pending</x:v>
      </x:c>
    </x:row>
    <x:row r="140" ht="34" customHeight="1">
      <x:c r="A140" s="33" t="str">
        <x:v>Draft</x:v>
      </x:c>
      <x:c r="B140" s="47" t="str">
        <x:v>NPT90_M_SW_06_06</x:v>
      </x:c>
      <x:c r="C140" s="47" t="str">
        <x:v>MPX90 competitor matrix</x:v>
      </x:c>
      <x:c r="D140" s="47" t="str">
        <x:v>MPX90-06-06W</x:v>
      </x:c>
      <x:c r="E140" s="33" t="str">
        <x:v>NPTF</x:v>
      </x:c>
      <x:c r="F140" s="47" t="str">
        <x:v>SAE J476 / ASME B1.20.3</x:v>
      </x:c>
      <x:c r="G140" s="33" t="str">
        <x:v>Male</x:v>
      </x:c>
      <x:c r="H140" s="33" t="str">
        <x:v>Swivel</x:v>
      </x:c>
      <x:c r="I140" s="33" t="str">
        <x:v>90°</x:v>
      </x:c>
      <x:c r="J140" s="47" t="str">
        <x:v>Tapered thread</x:v>
      </x:c>
      <x:c r="K140" s="47" t="str">
        <x:v>3/8-18 NPTF</x:v>
      </x:c>
      <x:c r="L140" s="33" t="str">
        <x:v>-6</x:v>
      </x:c>
      <x:c r="M140" s="33" t="str">
        <x:v>-6</x:v>
      </x:c>
      <x:c r="N140" s="47" t="str"/>
      <x:c r="O140" s="33" t="str"/>
      <x:c r="P140" s="50" t="str"/>
      <x:c r="Q140" s="50" t="str"/>
      <x:c r="R140" s="50" t="str"/>
      <x:c r="S140" s="50" t="str"/>
      <x:c r="T140" s="50" t="str"/>
      <x:c r="U140" s="50" t="str"/>
      <x:c r="V140" s="50" t="str"/>
      <x:c r="W140" s="50" t="str"/>
      <x:c r="X140" s="47" t="str"/>
      <x:c r="Y140" s="47" t="str"/>
      <x:c r="Z140" s="47" t="str">
        <x:v>https://www.discounthydraulichose.com/v/vspfiles/downloadables/dhh-hose.pdf#page=22</x:v>
      </x:c>
      <x:c r="AA140" s="47" t="str">
        <x:v>Competitor public catalog matrix reference. Factory drawing, dimensions, material, coating, pressure and crimp compatibility must be verified.</x:v>
      </x:c>
      <x:c r="AB140" s="161" t="str">
        <x:v>Eligible</x:v>
      </x:c>
      <x:c r="AC140" s="161" t="str">
        <x:v>Pending</x:v>
      </x:c>
    </x:row>
    <x:row r="141" ht="34" customHeight="1">
      <x:c r="A141" s="33" t="str">
        <x:v>Draft</x:v>
      </x:c>
      <x:c r="B141" s="47" t="str">
        <x:v>NPT90_M_SW_08_06</x:v>
      </x:c>
      <x:c r="C141" s="47" t="str">
        <x:v>MPX90 competitor matrix</x:v>
      </x:c>
      <x:c r="D141" s="47" t="str">
        <x:v>MPX90-06-08W</x:v>
      </x:c>
      <x:c r="E141" s="33" t="str">
        <x:v>NPTF</x:v>
      </x:c>
      <x:c r="F141" s="47" t="str">
        <x:v>SAE J476 / ASME B1.20.3</x:v>
      </x:c>
      <x:c r="G141" s="33" t="str">
        <x:v>Male</x:v>
      </x:c>
      <x:c r="H141" s="33" t="str">
        <x:v>Swivel</x:v>
      </x:c>
      <x:c r="I141" s="33" t="str">
        <x:v>90°</x:v>
      </x:c>
      <x:c r="J141" s="47" t="str">
        <x:v>Tapered thread</x:v>
      </x:c>
      <x:c r="K141" s="47" t="str">
        <x:v>1/2-14 NPTF</x:v>
      </x:c>
      <x:c r="L141" s="33" t="str">
        <x:v>-8</x:v>
      </x:c>
      <x:c r="M141" s="33" t="str">
        <x:v>-6</x:v>
      </x:c>
      <x:c r="N141" s="47" t="str"/>
      <x:c r="O141" s="33" t="str"/>
      <x:c r="P141" s="50" t="str"/>
      <x:c r="Q141" s="50" t="str"/>
      <x:c r="R141" s="50" t="str"/>
      <x:c r="S141" s="50" t="str"/>
      <x:c r="T141" s="50" t="str"/>
      <x:c r="U141" s="50" t="str"/>
      <x:c r="V141" s="50" t="str"/>
      <x:c r="W141" s="50" t="str"/>
      <x:c r="X141" s="47" t="str"/>
      <x:c r="Y141" s="47" t="str"/>
      <x:c r="Z141" s="47" t="str">
        <x:v>https://www.discounthydraulichose.com/v/vspfiles/downloadables/dhh-hose.pdf#page=22</x:v>
      </x:c>
      <x:c r="AA141" s="47" t="str">
        <x:v>Competitor public catalog matrix reference. Factory drawing, dimensions, material, coating, pressure and crimp compatibility must be verified.</x:v>
      </x:c>
      <x:c r="AB141" s="161" t="str">
        <x:v>Eligible</x:v>
      </x:c>
      <x:c r="AC141" s="161" t="str">
        <x:v>Pending</x:v>
      </x:c>
    </x:row>
    <x:row r="142" ht="34" customHeight="1">
      <x:c r="A142" s="33" t="str">
        <x:v>Draft</x:v>
      </x:c>
      <x:c r="B142" s="47" t="str">
        <x:v>NPT90_M_SW_08_08</x:v>
      </x:c>
      <x:c r="C142" s="47" t="str">
        <x:v>MPX90 competitor matrix</x:v>
      </x:c>
      <x:c r="D142" s="47" t="str">
        <x:v>MPX90-08-08W</x:v>
      </x:c>
      <x:c r="E142" s="33" t="str">
        <x:v>NPTF</x:v>
      </x:c>
      <x:c r="F142" s="47" t="str">
        <x:v>SAE J476 / ASME B1.20.3</x:v>
      </x:c>
      <x:c r="G142" s="33" t="str">
        <x:v>Male</x:v>
      </x:c>
      <x:c r="H142" s="33" t="str">
        <x:v>Swivel</x:v>
      </x:c>
      <x:c r="I142" s="33" t="str">
        <x:v>90°</x:v>
      </x:c>
      <x:c r="J142" s="47" t="str">
        <x:v>Tapered thread</x:v>
      </x:c>
      <x:c r="K142" s="47" t="str">
        <x:v>1/2-14 NPTF</x:v>
      </x:c>
      <x:c r="L142" s="33" t="str">
        <x:v>-8</x:v>
      </x:c>
      <x:c r="M142" s="33" t="str">
        <x:v>-8</x:v>
      </x:c>
      <x:c r="N142" s="47" t="str"/>
      <x:c r="O142" s="33" t="str"/>
      <x:c r="P142" s="50" t="str"/>
      <x:c r="Q142" s="50" t="str"/>
      <x:c r="R142" s="50" t="str"/>
      <x:c r="S142" s="50" t="str"/>
      <x:c r="T142" s="50" t="str"/>
      <x:c r="U142" s="50" t="str"/>
      <x:c r="V142" s="50" t="str"/>
      <x:c r="W142" s="50" t="str"/>
      <x:c r="X142" s="47" t="str"/>
      <x:c r="Y142" s="47" t="str"/>
      <x:c r="Z142" s="47" t="str">
        <x:v>https://www.discounthydraulichose.com/v/vspfiles/downloadables/dhh-hose.pdf#page=22</x:v>
      </x:c>
      <x:c r="AA142" s="47" t="str">
        <x:v>Competitor public catalog matrix reference. Factory drawing, dimensions, material, coating, pressure and crimp compatibility must be verified.</x:v>
      </x:c>
      <x:c r="AB142" s="161" t="str">
        <x:v>Eligible</x:v>
      </x:c>
      <x:c r="AC142" s="161" t="str">
        <x:v>Pending</x:v>
      </x:c>
    </x:row>
    <x:row r="143" ht="34" customHeight="1">
      <x:c r="A143" s="33" t="str">
        <x:v>Draft</x:v>
      </x:c>
      <x:c r="B143" s="47" t="str">
        <x:v>NPT90_M_SW_12_12</x:v>
      </x:c>
      <x:c r="C143" s="47" t="str">
        <x:v>MPX90 competitor matrix</x:v>
      </x:c>
      <x:c r="D143" s="47" t="str">
        <x:v>MPX90-12-12W</x:v>
      </x:c>
      <x:c r="E143" s="33" t="str">
        <x:v>NPTF</x:v>
      </x:c>
      <x:c r="F143" s="47" t="str">
        <x:v>SAE J476 / ASME B1.20.3</x:v>
      </x:c>
      <x:c r="G143" s="33" t="str">
        <x:v>Male</x:v>
      </x:c>
      <x:c r="H143" s="33" t="str">
        <x:v>Swivel</x:v>
      </x:c>
      <x:c r="I143" s="33" t="str">
        <x:v>90°</x:v>
      </x:c>
      <x:c r="J143" s="47" t="str">
        <x:v>Tapered thread</x:v>
      </x:c>
      <x:c r="K143" s="47" t="str">
        <x:v>3/4-14 NPTF</x:v>
      </x:c>
      <x:c r="L143" s="33" t="str">
        <x:v>-12</x:v>
      </x:c>
      <x:c r="M143" s="33" t="str">
        <x:v>-12</x:v>
      </x:c>
      <x:c r="N143" s="47" t="str"/>
      <x:c r="O143" s="33" t="str"/>
      <x:c r="P143" s="50" t="str"/>
      <x:c r="Q143" s="50" t="str"/>
      <x:c r="R143" s="50" t="str"/>
      <x:c r="S143" s="50" t="str"/>
      <x:c r="T143" s="50" t="str"/>
      <x:c r="U143" s="50" t="str"/>
      <x:c r="V143" s="50" t="str"/>
      <x:c r="W143" s="50" t="str"/>
      <x:c r="X143" s="47" t="str"/>
      <x:c r="Y143" s="47" t="str"/>
      <x:c r="Z143" s="47" t="str">
        <x:v>https://www.discounthydraulichose.com/v/vspfiles/downloadables/dhh-hose.pdf#page=22</x:v>
      </x:c>
      <x:c r="AA143" s="47" t="str">
        <x:v>Competitor public catalog matrix reference. Factory drawing, dimensions, material, coating, pressure and crimp compatibility must be verified.</x:v>
      </x:c>
      <x:c r="AB143" s="161" t="str">
        <x:v>Eligible</x:v>
      </x:c>
      <x:c r="AC143" s="161" t="str">
        <x:v>Pending</x:v>
      </x:c>
    </x:row>
    <x:row r="144" ht="34" customHeight="1">
      <x:c r="A144" s="33" t="str">
        <x:v>Draft</x:v>
      </x:c>
      <x:c r="B144" s="47" t="str">
        <x:v>ORFS_F_SW_04_04</x:v>
      </x:c>
      <x:c r="C144" s="47" t="str">
        <x:v>FFX competitor matrix</x:v>
      </x:c>
      <x:c r="D144" s="47" t="str">
        <x:v>FFX-04-04W</x:v>
      </x:c>
      <x:c r="E144" s="33" t="str">
        <x:v>ORFS</x:v>
      </x:c>
      <x:c r="F144" s="47" t="str">
        <x:v>SAE J1453 / ISO 8434-3</x:v>
      </x:c>
      <x:c r="G144" s="33" t="str">
        <x:v>Female</x:v>
      </x:c>
      <x:c r="H144" s="33" t="str">
        <x:v>Swivel</x:v>
      </x:c>
      <x:c r="I144" s="33" t="str">
        <x:v>0° Straight</x:v>
      </x:c>
      <x:c r="J144" s="47" t="str">
        <x:v>O-ring face seal</x:v>
      </x:c>
      <x:c r="K144" s="47" t="str">
        <x:v>9/16-18 UNF</x:v>
      </x:c>
      <x:c r="L144" s="33" t="str">
        <x:v>-4</x:v>
      </x:c>
      <x:c r="M144" s="33" t="str">
        <x:v>-4</x:v>
      </x:c>
      <x:c r="N144" s="47" t="str"/>
      <x:c r="O144" s="33" t="str"/>
      <x:c r="P144" s="50" t="str"/>
      <x:c r="Q144" s="50" t="str"/>
      <x:c r="R144" s="50" t="str"/>
      <x:c r="S144" s="50" t="str"/>
      <x:c r="T144" s="50" t="str"/>
      <x:c r="U144" s="50" t="str"/>
      <x:c r="V144" s="50" t="str"/>
      <x:c r="W144" s="50" t="str"/>
      <x:c r="X144" s="47" t="str"/>
      <x:c r="Y144" s="47" t="str"/>
      <x:c r="Z144" s="47" t="str">
        <x:v>https://www.discounthydraulichose.com/v/vspfiles/downloadables/dhh-hose.pdf#page=22</x:v>
      </x:c>
      <x:c r="AA144" s="47" t="str">
        <x:v>Competitor public catalog matrix reference. Factory drawing, dimensions, material, coating, pressure and crimp compatibility must be verified.</x:v>
      </x:c>
      <x:c r="AB144" s="161" t="str">
        <x:v>Eligible</x:v>
      </x:c>
      <x:c r="AC144" s="161" t="str">
        <x:v>Pending</x:v>
      </x:c>
    </x:row>
    <x:row r="145" ht="34" customHeight="1">
      <x:c r="A145" s="33" t="str">
        <x:v>Draft</x:v>
      </x:c>
      <x:c r="B145" s="47" t="str">
        <x:v>ORFS_F_SW_06_04</x:v>
      </x:c>
      <x:c r="C145" s="47" t="str">
        <x:v>FFX competitor matrix</x:v>
      </x:c>
      <x:c r="D145" s="47" t="str">
        <x:v>FFX-04-06W</x:v>
      </x:c>
      <x:c r="E145" s="33" t="str">
        <x:v>ORFS</x:v>
      </x:c>
      <x:c r="F145" s="47" t="str">
        <x:v>SAE J1453 / ISO 8434-3</x:v>
      </x:c>
      <x:c r="G145" s="33" t="str">
        <x:v>Female</x:v>
      </x:c>
      <x:c r="H145" s="33" t="str">
        <x:v>Swivel</x:v>
      </x:c>
      <x:c r="I145" s="33" t="str">
        <x:v>0° Straight</x:v>
      </x:c>
      <x:c r="J145" s="47" t="str">
        <x:v>O-ring face seal</x:v>
      </x:c>
      <x:c r="K145" s="47" t="str">
        <x:v>11/16-16 UN</x:v>
      </x:c>
      <x:c r="L145" s="33" t="str">
        <x:v>-6</x:v>
      </x:c>
      <x:c r="M145" s="33" t="str">
        <x:v>-4</x:v>
      </x:c>
      <x:c r="N145" s="47" t="str"/>
      <x:c r="O145" s="33" t="str"/>
      <x:c r="P145" s="50" t="str"/>
      <x:c r="Q145" s="50" t="str"/>
      <x:c r="R145" s="50" t="str"/>
      <x:c r="S145" s="50" t="str"/>
      <x:c r="T145" s="50" t="str"/>
      <x:c r="U145" s="50" t="str"/>
      <x:c r="V145" s="50" t="str"/>
      <x:c r="W145" s="50" t="str"/>
      <x:c r="X145" s="47" t="str"/>
      <x:c r="Y145" s="47" t="str"/>
      <x:c r="Z145" s="47" t="str">
        <x:v>https://www.discounthydraulichose.com/v/vspfiles/downloadables/dhh-hose.pdf#page=22</x:v>
      </x:c>
      <x:c r="AA145" s="47" t="str">
        <x:v>Competitor public catalog matrix reference. Factory drawing, dimensions, material, coating, pressure and crimp compatibility must be verified.</x:v>
      </x:c>
      <x:c r="AB145" s="161" t="str">
        <x:v>Eligible</x:v>
      </x:c>
      <x:c r="AC145" s="161" t="str">
        <x:v>Pending</x:v>
      </x:c>
    </x:row>
    <x:row r="146" ht="34" customHeight="1">
      <x:c r="A146" s="33" t="str">
        <x:v>Draft</x:v>
      </x:c>
      <x:c r="B146" s="47" t="str">
        <x:v>ORFS_F_SW_06_06</x:v>
      </x:c>
      <x:c r="C146" s="47" t="str">
        <x:v>FFX competitor matrix</x:v>
      </x:c>
      <x:c r="D146" s="47" t="str">
        <x:v>FFX-06-06W</x:v>
      </x:c>
      <x:c r="E146" s="33" t="str">
        <x:v>ORFS</x:v>
      </x:c>
      <x:c r="F146" s="47" t="str">
        <x:v>SAE J1453 / ISO 8434-3</x:v>
      </x:c>
      <x:c r="G146" s="33" t="str">
        <x:v>Female</x:v>
      </x:c>
      <x:c r="H146" s="33" t="str">
        <x:v>Swivel</x:v>
      </x:c>
      <x:c r="I146" s="33" t="str">
        <x:v>0° Straight</x:v>
      </x:c>
      <x:c r="J146" s="47" t="str">
        <x:v>O-ring face seal</x:v>
      </x:c>
      <x:c r="K146" s="47" t="str">
        <x:v>11/16-16 UN</x:v>
      </x:c>
      <x:c r="L146" s="33" t="str">
        <x:v>-6</x:v>
      </x:c>
      <x:c r="M146" s="33" t="str">
        <x:v>-6</x:v>
      </x:c>
      <x:c r="N146" s="47" t="str"/>
      <x:c r="O146" s="33" t="str"/>
      <x:c r="P146" s="50" t="str"/>
      <x:c r="Q146" s="50" t="str"/>
      <x:c r="R146" s="50" t="str"/>
      <x:c r="S146" s="50" t="str"/>
      <x:c r="T146" s="50" t="str"/>
      <x:c r="U146" s="50" t="str"/>
      <x:c r="V146" s="50" t="str"/>
      <x:c r="W146" s="50" t="str"/>
      <x:c r="X146" s="47" t="str"/>
      <x:c r="Y146" s="47" t="str"/>
      <x:c r="Z146" s="47" t="str">
        <x:v>https://www.discounthydraulichose.com/v/vspfiles/downloadables/dhh-hose.pdf#page=22</x:v>
      </x:c>
      <x:c r="AA146" s="47" t="str">
        <x:v>Competitor public catalog matrix reference. Factory drawing, dimensions, material, coating, pressure and crimp compatibility must be verified.</x:v>
      </x:c>
      <x:c r="AB146" s="161" t="str">
        <x:v>Eligible</x:v>
      </x:c>
      <x:c r="AC146" s="161" t="str">
        <x:v>Pending</x:v>
      </x:c>
    </x:row>
    <x:row r="147" ht="34" customHeight="1">
      <x:c r="A147" s="33" t="str">
        <x:v>Draft</x:v>
      </x:c>
      <x:c r="B147" s="47" t="str">
        <x:v>ORFS_F_SW_06_08</x:v>
      </x:c>
      <x:c r="C147" s="47" t="str">
        <x:v>FFX competitor matrix</x:v>
      </x:c>
      <x:c r="D147" s="47" t="str">
        <x:v>FFX-08-06W</x:v>
      </x:c>
      <x:c r="E147" s="33" t="str">
        <x:v>ORFS</x:v>
      </x:c>
      <x:c r="F147" s="47" t="str">
        <x:v>SAE J1453 / ISO 8434-3</x:v>
      </x:c>
      <x:c r="G147" s="33" t="str">
        <x:v>Female</x:v>
      </x:c>
      <x:c r="H147" s="33" t="str">
        <x:v>Swivel</x:v>
      </x:c>
      <x:c r="I147" s="33" t="str">
        <x:v>0° Straight</x:v>
      </x:c>
      <x:c r="J147" s="47" t="str">
        <x:v>O-ring face seal</x:v>
      </x:c>
      <x:c r="K147" s="47" t="str">
        <x:v>11/16-16 UN</x:v>
      </x:c>
      <x:c r="L147" s="33" t="str">
        <x:v>-6</x:v>
      </x:c>
      <x:c r="M147" s="33" t="str">
        <x:v>-8</x:v>
      </x:c>
      <x:c r="N147" s="47" t="str"/>
      <x:c r="O147" s="33" t="str"/>
      <x:c r="P147" s="50" t="str"/>
      <x:c r="Q147" s="50" t="str"/>
      <x:c r="R147" s="50" t="str"/>
      <x:c r="S147" s="50" t="str"/>
      <x:c r="T147" s="50" t="str"/>
      <x:c r="U147" s="50" t="str"/>
      <x:c r="V147" s="50" t="str"/>
      <x:c r="W147" s="50" t="str"/>
      <x:c r="X147" s="47" t="str"/>
      <x:c r="Y147" s="47" t="str"/>
      <x:c r="Z147" s="47" t="str">
        <x:v>https://www.discounthydraulichose.com/v/vspfiles/downloadables/dhh-hose.pdf#page=22</x:v>
      </x:c>
      <x:c r="AA147" s="47" t="str">
        <x:v>Competitor public catalog matrix reference. Factory drawing, dimensions, material, coating, pressure and crimp compatibility must be verified.</x:v>
      </x:c>
      <x:c r="AB147" s="161" t="str">
        <x:v>Eligible</x:v>
      </x:c>
      <x:c r="AC147" s="161" t="str">
        <x:v>Pending</x:v>
      </x:c>
    </x:row>
    <x:row r="148" ht="34" customHeight="1">
      <x:c r="A148" s="33" t="str">
        <x:v>Draft</x:v>
      </x:c>
      <x:c r="B148" s="47" t="str">
        <x:v>ORFS_F_SW_08_04</x:v>
      </x:c>
      <x:c r="C148" s="47" t="str">
        <x:v>FFX competitor matrix</x:v>
      </x:c>
      <x:c r="D148" s="47" t="str">
        <x:v>FFX-04-08W</x:v>
      </x:c>
      <x:c r="E148" s="33" t="str">
        <x:v>ORFS</x:v>
      </x:c>
      <x:c r="F148" s="47" t="str">
        <x:v>SAE J1453 / ISO 8434-3</x:v>
      </x:c>
      <x:c r="G148" s="33" t="str">
        <x:v>Female</x:v>
      </x:c>
      <x:c r="H148" s="33" t="str">
        <x:v>Swivel</x:v>
      </x:c>
      <x:c r="I148" s="33" t="str">
        <x:v>0° Straight</x:v>
      </x:c>
      <x:c r="J148" s="47" t="str">
        <x:v>O-ring face seal</x:v>
      </x:c>
      <x:c r="K148" s="47" t="str">
        <x:v>13/16-16 UN</x:v>
      </x:c>
      <x:c r="L148" s="33" t="str">
        <x:v>-8</x:v>
      </x:c>
      <x:c r="M148" s="33" t="str">
        <x:v>-4</x:v>
      </x:c>
      <x:c r="N148" s="47" t="str"/>
      <x:c r="O148" s="33" t="str"/>
      <x:c r="P148" s="50" t="str"/>
      <x:c r="Q148" s="50" t="str"/>
      <x:c r="R148" s="50" t="str"/>
      <x:c r="S148" s="50" t="str"/>
      <x:c r="T148" s="50" t="str"/>
      <x:c r="U148" s="50" t="str"/>
      <x:c r="V148" s="50" t="str"/>
      <x:c r="W148" s="50" t="str"/>
      <x:c r="X148" s="47" t="str"/>
      <x:c r="Y148" s="47" t="str"/>
      <x:c r="Z148" s="47" t="str">
        <x:v>https://www.discounthydraulichose.com/v/vspfiles/downloadables/dhh-hose.pdf#page=22</x:v>
      </x:c>
      <x:c r="AA148" s="47" t="str">
        <x:v>Competitor public catalog matrix reference. Factory drawing, dimensions, material, coating, pressure and crimp compatibility must be verified.</x:v>
      </x:c>
      <x:c r="AB148" s="161" t="str">
        <x:v>Eligible</x:v>
      </x:c>
      <x:c r="AC148" s="161" t="str">
        <x:v>Pending</x:v>
      </x:c>
    </x:row>
    <x:row r="149" ht="34" customHeight="1">
      <x:c r="A149" s="33" t="str">
        <x:v>Draft</x:v>
      </x:c>
      <x:c r="B149" s="47" t="str">
        <x:v>ORFS_F_SW_08_06</x:v>
      </x:c>
      <x:c r="C149" s="47" t="str">
        <x:v>FFX competitor matrix</x:v>
      </x:c>
      <x:c r="D149" s="47" t="str">
        <x:v>FFX-06-08W</x:v>
      </x:c>
      <x:c r="E149" s="33" t="str">
        <x:v>ORFS</x:v>
      </x:c>
      <x:c r="F149" s="47" t="str">
        <x:v>SAE J1453 / ISO 8434-3</x:v>
      </x:c>
      <x:c r="G149" s="33" t="str">
        <x:v>Female</x:v>
      </x:c>
      <x:c r="H149" s="33" t="str">
        <x:v>Swivel</x:v>
      </x:c>
      <x:c r="I149" s="33" t="str">
        <x:v>0° Straight</x:v>
      </x:c>
      <x:c r="J149" s="47" t="str">
        <x:v>O-ring face seal</x:v>
      </x:c>
      <x:c r="K149" s="47" t="str">
        <x:v>13/16-16 UN</x:v>
      </x:c>
      <x:c r="L149" s="33" t="str">
        <x:v>-8</x:v>
      </x:c>
      <x:c r="M149" s="33" t="str">
        <x:v>-6</x:v>
      </x:c>
      <x:c r="N149" s="47" t="str"/>
      <x:c r="O149" s="33" t="str"/>
      <x:c r="P149" s="50" t="str"/>
      <x:c r="Q149" s="50" t="str"/>
      <x:c r="R149" s="50" t="str"/>
      <x:c r="S149" s="50" t="str"/>
      <x:c r="T149" s="50" t="str"/>
      <x:c r="U149" s="50" t="str"/>
      <x:c r="V149" s="50" t="str"/>
      <x:c r="W149" s="50" t="str"/>
      <x:c r="X149" s="47" t="str"/>
      <x:c r="Y149" s="47" t="str"/>
      <x:c r="Z149" s="47" t="str">
        <x:v>https://www.discounthydraulichose.com/v/vspfiles/downloadables/dhh-hose.pdf#page=22</x:v>
      </x:c>
      <x:c r="AA149" s="47" t="str">
        <x:v>Competitor public catalog matrix reference. Factory drawing, dimensions, material, coating, pressure and crimp compatibility must be verified.</x:v>
      </x:c>
      <x:c r="AB149" s="161" t="str">
        <x:v>Eligible</x:v>
      </x:c>
      <x:c r="AC149" s="161" t="str">
        <x:v>Pending</x:v>
      </x:c>
    </x:row>
    <x:row r="150" ht="34" customHeight="1">
      <x:c r="A150" s="33" t="str">
        <x:v>Draft</x:v>
      </x:c>
      <x:c r="B150" s="47" t="str">
        <x:v>ORFS_F_SW_08_08</x:v>
      </x:c>
      <x:c r="C150" s="47" t="str">
        <x:v>FFX competitor matrix</x:v>
      </x:c>
      <x:c r="D150" s="47" t="str">
        <x:v>FFX-08-08W</x:v>
      </x:c>
      <x:c r="E150" s="33" t="str">
        <x:v>ORFS</x:v>
      </x:c>
      <x:c r="F150" s="47" t="str">
        <x:v>SAE J1453 / ISO 8434-3</x:v>
      </x:c>
      <x:c r="G150" s="33" t="str">
        <x:v>Female</x:v>
      </x:c>
      <x:c r="H150" s="33" t="str">
        <x:v>Swivel</x:v>
      </x:c>
      <x:c r="I150" s="33" t="str">
        <x:v>0° Straight</x:v>
      </x:c>
      <x:c r="J150" s="47" t="str">
        <x:v>O-ring face seal</x:v>
      </x:c>
      <x:c r="K150" s="47" t="str">
        <x:v>13/16-16 UN</x:v>
      </x:c>
      <x:c r="L150" s="33" t="str">
        <x:v>-8</x:v>
      </x:c>
      <x:c r="M150" s="33" t="str">
        <x:v>-8</x:v>
      </x:c>
      <x:c r="N150" s="47" t="str"/>
      <x:c r="O150" s="33" t="str"/>
      <x:c r="P150" s="50" t="str"/>
      <x:c r="Q150" s="50" t="str"/>
      <x:c r="R150" s="50" t="str"/>
      <x:c r="S150" s="50" t="str"/>
      <x:c r="T150" s="50" t="str"/>
      <x:c r="U150" s="50" t="str"/>
      <x:c r="V150" s="50" t="str"/>
      <x:c r="W150" s="50" t="str"/>
      <x:c r="X150" s="47" t="str"/>
      <x:c r="Y150" s="47" t="str"/>
      <x:c r="Z150" s="47" t="str">
        <x:v>https://www.discounthydraulichose.com/v/vspfiles/downloadables/dhh-hose.pdf#page=22</x:v>
      </x:c>
      <x:c r="AA150" s="47" t="str">
        <x:v>Competitor public catalog matrix reference. Factory drawing, dimensions, material, coating, pressure and crimp compatibility must be verified.</x:v>
      </x:c>
      <x:c r="AB150" s="161" t="str">
        <x:v>Eligible</x:v>
      </x:c>
      <x:c r="AC150" s="161" t="str">
        <x:v>Pending</x:v>
      </x:c>
    </x:row>
    <x:row r="151" ht="34" customHeight="1">
      <x:c r="A151" s="33" t="str">
        <x:v>Draft</x:v>
      </x:c>
      <x:c r="B151" s="47" t="str">
        <x:v>ORFS_F_SW_08_10</x:v>
      </x:c>
      <x:c r="C151" s="47" t="str">
        <x:v>FFX competitor matrix</x:v>
      </x:c>
      <x:c r="D151" s="47" t="str">
        <x:v>FFX-10-08W</x:v>
      </x:c>
      <x:c r="E151" s="33" t="str">
        <x:v>ORFS</x:v>
      </x:c>
      <x:c r="F151" s="47" t="str">
        <x:v>SAE J1453 / ISO 8434-3</x:v>
      </x:c>
      <x:c r="G151" s="33" t="str">
        <x:v>Female</x:v>
      </x:c>
      <x:c r="H151" s="33" t="str">
        <x:v>Swivel</x:v>
      </x:c>
      <x:c r="I151" s="33" t="str">
        <x:v>0° Straight</x:v>
      </x:c>
      <x:c r="J151" s="47" t="str">
        <x:v>O-ring face seal</x:v>
      </x:c>
      <x:c r="K151" s="47" t="str">
        <x:v>13/16-16 UN</x:v>
      </x:c>
      <x:c r="L151" s="33" t="str">
        <x:v>-8</x:v>
      </x:c>
      <x:c r="M151" s="33" t="str">
        <x:v>-10</x:v>
      </x:c>
      <x:c r="N151" s="47" t="str"/>
      <x:c r="O151" s="33" t="str"/>
      <x:c r="P151" s="50" t="str"/>
      <x:c r="Q151" s="50" t="str"/>
      <x:c r="R151" s="50" t="str"/>
      <x:c r="S151" s="50" t="str"/>
      <x:c r="T151" s="50" t="str"/>
      <x:c r="U151" s="50" t="str"/>
      <x:c r="V151" s="50" t="str"/>
      <x:c r="W151" s="50" t="str"/>
      <x:c r="X151" s="47" t="str"/>
      <x:c r="Y151" s="47" t="str"/>
      <x:c r="Z151" s="47" t="str">
        <x:v>https://www.discounthydraulichose.com/v/vspfiles/downloadables/dhh-hose.pdf#page=22</x:v>
      </x:c>
      <x:c r="AA151" s="47" t="str">
        <x:v>Competitor public catalog matrix reference. Factory drawing, dimensions, material, coating, pressure and crimp compatibility must be verified.</x:v>
      </x:c>
      <x:c r="AB151" s="161" t="str">
        <x:v>Eligible</x:v>
      </x:c>
      <x:c r="AC151" s="161" t="str">
        <x:v>Pending</x:v>
      </x:c>
    </x:row>
    <x:row r="152" ht="34" customHeight="1">
      <x:c r="A152" s="33" t="str">
        <x:v>Draft</x:v>
      </x:c>
      <x:c r="B152" s="47" t="str">
        <x:v>ORFS_F_SW_10_08</x:v>
      </x:c>
      <x:c r="C152" s="47" t="str">
        <x:v>FFX competitor matrix</x:v>
      </x:c>
      <x:c r="D152" s="47" t="str">
        <x:v>FFX-08-10W</x:v>
      </x:c>
      <x:c r="E152" s="33" t="str">
        <x:v>ORFS</x:v>
      </x:c>
      <x:c r="F152" s="47" t="str">
        <x:v>SAE J1453 / ISO 8434-3</x:v>
      </x:c>
      <x:c r="G152" s="33" t="str">
        <x:v>Female</x:v>
      </x:c>
      <x:c r="H152" s="33" t="str">
        <x:v>Swivel</x:v>
      </x:c>
      <x:c r="I152" s="33" t="str">
        <x:v>0° Straight</x:v>
      </x:c>
      <x:c r="J152" s="47" t="str">
        <x:v>O-ring face seal</x:v>
      </x:c>
      <x:c r="K152" s="47" t="str">
        <x:v>1-14 UN</x:v>
      </x:c>
      <x:c r="L152" s="33" t="str">
        <x:v>-10</x:v>
      </x:c>
      <x:c r="M152" s="33" t="str">
        <x:v>-8</x:v>
      </x:c>
      <x:c r="N152" s="47" t="str"/>
      <x:c r="O152" s="33" t="str"/>
      <x:c r="P152" s="50" t="str"/>
      <x:c r="Q152" s="50" t="str"/>
      <x:c r="R152" s="50" t="str"/>
      <x:c r="S152" s="50" t="str"/>
      <x:c r="T152" s="50" t="str"/>
      <x:c r="U152" s="50" t="str"/>
      <x:c r="V152" s="50" t="str"/>
      <x:c r="W152" s="50" t="str"/>
      <x:c r="X152" s="47" t="str"/>
      <x:c r="Y152" s="47" t="str"/>
      <x:c r="Z152" s="47" t="str">
        <x:v>https://www.discounthydraulichose.com/v/vspfiles/downloadables/dhh-hose.pdf#page=22</x:v>
      </x:c>
      <x:c r="AA152" s="47" t="str">
        <x:v>Competitor public catalog matrix reference. Factory drawing, dimensions, material, coating, pressure and crimp compatibility must be verified.</x:v>
      </x:c>
      <x:c r="AB152" s="161" t="str">
        <x:v>Eligible</x:v>
      </x:c>
      <x:c r="AC152" s="161" t="str">
        <x:v>Pending</x:v>
      </x:c>
    </x:row>
    <x:row r="153" ht="34" customHeight="1">
      <x:c r="A153" s="33" t="str">
        <x:v>Draft</x:v>
      </x:c>
      <x:c r="B153" s="47" t="str">
        <x:v>ORFS_F_SW_10_10</x:v>
      </x:c>
      <x:c r="C153" s="47" t="str">
        <x:v>FFX competitor matrix</x:v>
      </x:c>
      <x:c r="D153" s="47" t="str">
        <x:v>FFX-10-10W</x:v>
      </x:c>
      <x:c r="E153" s="33" t="str">
        <x:v>ORFS</x:v>
      </x:c>
      <x:c r="F153" s="47" t="str">
        <x:v>SAE J1453 / ISO 8434-3</x:v>
      </x:c>
      <x:c r="G153" s="33" t="str">
        <x:v>Female</x:v>
      </x:c>
      <x:c r="H153" s="33" t="str">
        <x:v>Swivel</x:v>
      </x:c>
      <x:c r="I153" s="33" t="str">
        <x:v>0° Straight</x:v>
      </x:c>
      <x:c r="J153" s="47" t="str">
        <x:v>O-ring face seal</x:v>
      </x:c>
      <x:c r="K153" s="47" t="str">
        <x:v>1-14 UN</x:v>
      </x:c>
      <x:c r="L153" s="33" t="str">
        <x:v>-10</x:v>
      </x:c>
      <x:c r="M153" s="33" t="str">
        <x:v>-10</x:v>
      </x:c>
      <x:c r="N153" s="47" t="str"/>
      <x:c r="O153" s="33" t="str"/>
      <x:c r="P153" s="50" t="str"/>
      <x:c r="Q153" s="50" t="str"/>
      <x:c r="R153" s="50" t="str"/>
      <x:c r="S153" s="50" t="str"/>
      <x:c r="T153" s="50" t="str"/>
      <x:c r="U153" s="50" t="str"/>
      <x:c r="V153" s="50" t="str"/>
      <x:c r="W153" s="50" t="str"/>
      <x:c r="X153" s="47" t="str"/>
      <x:c r="Y153" s="47" t="str"/>
      <x:c r="Z153" s="47" t="str">
        <x:v>https://www.discounthydraulichose.com/v/vspfiles/downloadables/dhh-hose.pdf#page=22</x:v>
      </x:c>
      <x:c r="AA153" s="47" t="str">
        <x:v>Competitor public catalog matrix reference. Factory drawing, dimensions, material, coating, pressure and crimp compatibility must be verified.</x:v>
      </x:c>
      <x:c r="AB153" s="161" t="str">
        <x:v>Eligible</x:v>
      </x:c>
      <x:c r="AC153" s="161" t="str">
        <x:v>Pending</x:v>
      </x:c>
    </x:row>
    <x:row r="154" ht="34" customHeight="1">
      <x:c r="A154" s="33" t="str">
        <x:v>Draft</x:v>
      </x:c>
      <x:c r="B154" s="47" t="str">
        <x:v>ORFS_F_SW_10_12</x:v>
      </x:c>
      <x:c r="C154" s="47" t="str">
        <x:v>FFX competitor matrix</x:v>
      </x:c>
      <x:c r="D154" s="47" t="str">
        <x:v>FFX-12-10W</x:v>
      </x:c>
      <x:c r="E154" s="33" t="str">
        <x:v>ORFS</x:v>
      </x:c>
      <x:c r="F154" s="47" t="str">
        <x:v>SAE J1453 / ISO 8434-3</x:v>
      </x:c>
      <x:c r="G154" s="33" t="str">
        <x:v>Female</x:v>
      </x:c>
      <x:c r="H154" s="33" t="str">
        <x:v>Swivel</x:v>
      </x:c>
      <x:c r="I154" s="33" t="str">
        <x:v>0° Straight</x:v>
      </x:c>
      <x:c r="J154" s="47" t="str">
        <x:v>O-ring face seal</x:v>
      </x:c>
      <x:c r="K154" s="47" t="str">
        <x:v>1-14 UN</x:v>
      </x:c>
      <x:c r="L154" s="33" t="str">
        <x:v>-10</x:v>
      </x:c>
      <x:c r="M154" s="33" t="str">
        <x:v>-12</x:v>
      </x:c>
      <x:c r="N154" s="47" t="str"/>
      <x:c r="O154" s="33" t="str"/>
      <x:c r="P154" s="50" t="str"/>
      <x:c r="Q154" s="50" t="str"/>
      <x:c r="R154" s="50" t="str"/>
      <x:c r="S154" s="50" t="str"/>
      <x:c r="T154" s="50" t="str"/>
      <x:c r="U154" s="50" t="str"/>
      <x:c r="V154" s="50" t="str"/>
      <x:c r="W154" s="50" t="str"/>
      <x:c r="X154" s="47" t="str"/>
      <x:c r="Y154" s="47" t="str"/>
      <x:c r="Z154" s="47" t="str">
        <x:v>https://www.discounthydraulichose.com/v/vspfiles/downloadables/dhh-hose.pdf#page=22</x:v>
      </x:c>
      <x:c r="AA154" s="47" t="str">
        <x:v>Competitor public catalog matrix reference. Factory drawing, dimensions, material, coating, pressure and crimp compatibility must be verified.</x:v>
      </x:c>
      <x:c r="AB154" s="161" t="str">
        <x:v>Eligible</x:v>
      </x:c>
      <x:c r="AC154" s="161" t="str">
        <x:v>Pending</x:v>
      </x:c>
    </x:row>
    <x:row r="155" ht="34" customHeight="1">
      <x:c r="A155" s="33" t="str">
        <x:v>Draft</x:v>
      </x:c>
      <x:c r="B155" s="47" t="str">
        <x:v>ORFS_F_SW_12_08</x:v>
      </x:c>
      <x:c r="C155" s="47" t="str">
        <x:v>FFX competitor matrix</x:v>
      </x:c>
      <x:c r="D155" s="47" t="str">
        <x:v>FFX-08-12W</x:v>
      </x:c>
      <x:c r="E155" s="33" t="str">
        <x:v>ORFS</x:v>
      </x:c>
      <x:c r="F155" s="47" t="str">
        <x:v>SAE J1453 / ISO 8434-3</x:v>
      </x:c>
      <x:c r="G155" s="33" t="str">
        <x:v>Female</x:v>
      </x:c>
      <x:c r="H155" s="33" t="str">
        <x:v>Swivel</x:v>
      </x:c>
      <x:c r="I155" s="33" t="str">
        <x:v>0° Straight</x:v>
      </x:c>
      <x:c r="J155" s="47" t="str">
        <x:v>O-ring face seal</x:v>
      </x:c>
      <x:c r="K155" s="47" t="str">
        <x:v>1-3/16-12 UN</x:v>
      </x:c>
      <x:c r="L155" s="33" t="str">
        <x:v>-12</x:v>
      </x:c>
      <x:c r="M155" s="33" t="str">
        <x:v>-8</x:v>
      </x:c>
      <x:c r="N155" s="47" t="str"/>
      <x:c r="O155" s="33" t="str"/>
      <x:c r="P155" s="50" t="str"/>
      <x:c r="Q155" s="50" t="str"/>
      <x:c r="R155" s="50" t="str"/>
      <x:c r="S155" s="50" t="str"/>
      <x:c r="T155" s="50" t="str"/>
      <x:c r="U155" s="50" t="str"/>
      <x:c r="V155" s="50" t="str"/>
      <x:c r="W155" s="50" t="str"/>
      <x:c r="X155" s="47" t="str"/>
      <x:c r="Y155" s="47" t="str"/>
      <x:c r="Z155" s="47" t="str">
        <x:v>https://www.discounthydraulichose.com/v/vspfiles/downloadables/dhh-hose.pdf#page=22</x:v>
      </x:c>
      <x:c r="AA155" s="47" t="str">
        <x:v>Competitor public catalog matrix reference. Factory drawing, dimensions, material, coating, pressure and crimp compatibility must be verified.</x:v>
      </x:c>
      <x:c r="AB155" s="161" t="str">
        <x:v>Eligible</x:v>
      </x:c>
      <x:c r="AC155" s="161" t="str">
        <x:v>Pending</x:v>
      </x:c>
    </x:row>
    <x:row r="156" ht="34" customHeight="1">
      <x:c r="A156" s="33" t="str">
        <x:v>Draft</x:v>
      </x:c>
      <x:c r="B156" s="47" t="str">
        <x:v>ORFS_F_SW_12_10</x:v>
      </x:c>
      <x:c r="C156" s="47" t="str">
        <x:v>FFX competitor matrix</x:v>
      </x:c>
      <x:c r="D156" s="47" t="str">
        <x:v>FFX-10-12W</x:v>
      </x:c>
      <x:c r="E156" s="33" t="str">
        <x:v>ORFS</x:v>
      </x:c>
      <x:c r="F156" s="47" t="str">
        <x:v>SAE J1453 / ISO 8434-3</x:v>
      </x:c>
      <x:c r="G156" s="33" t="str">
        <x:v>Female</x:v>
      </x:c>
      <x:c r="H156" s="33" t="str">
        <x:v>Swivel</x:v>
      </x:c>
      <x:c r="I156" s="33" t="str">
        <x:v>0° Straight</x:v>
      </x:c>
      <x:c r="J156" s="47" t="str">
        <x:v>O-ring face seal</x:v>
      </x:c>
      <x:c r="K156" s="47" t="str">
        <x:v>1-3/16-12 UN</x:v>
      </x:c>
      <x:c r="L156" s="33" t="str">
        <x:v>-12</x:v>
      </x:c>
      <x:c r="M156" s="33" t="str">
        <x:v>-10</x:v>
      </x:c>
      <x:c r="N156" s="47" t="str"/>
      <x:c r="O156" s="33" t="str"/>
      <x:c r="P156" s="50" t="str"/>
      <x:c r="Q156" s="50" t="str"/>
      <x:c r="R156" s="50" t="str"/>
      <x:c r="S156" s="50" t="str"/>
      <x:c r="T156" s="50" t="str"/>
      <x:c r="U156" s="50" t="str"/>
      <x:c r="V156" s="50" t="str"/>
      <x:c r="W156" s="50" t="str"/>
      <x:c r="X156" s="47" t="str"/>
      <x:c r="Y156" s="47" t="str"/>
      <x:c r="Z156" s="47" t="str">
        <x:v>https://www.discounthydraulichose.com/v/vspfiles/downloadables/dhh-hose.pdf#page=22</x:v>
      </x:c>
      <x:c r="AA156" s="47" t="str">
        <x:v>Competitor public catalog matrix reference. Factory drawing, dimensions, material, coating, pressure and crimp compatibility must be verified.</x:v>
      </x:c>
      <x:c r="AB156" s="161" t="str">
        <x:v>Eligible</x:v>
      </x:c>
      <x:c r="AC156" s="161" t="str">
        <x:v>Pending</x:v>
      </x:c>
    </x:row>
    <x:row r="157" ht="34" customHeight="1">
      <x:c r="A157" s="33" t="str">
        <x:v>Draft</x:v>
      </x:c>
      <x:c r="B157" s="47" t="str">
        <x:v>ORFS_F_SW_12_12</x:v>
      </x:c>
      <x:c r="C157" s="47" t="str">
        <x:v>FFX competitor matrix</x:v>
      </x:c>
      <x:c r="D157" s="47" t="str">
        <x:v>FFX-12-12W</x:v>
      </x:c>
      <x:c r="E157" s="33" t="str">
        <x:v>ORFS</x:v>
      </x:c>
      <x:c r="F157" s="47" t="str">
        <x:v>SAE J1453 / ISO 8434-3</x:v>
      </x:c>
      <x:c r="G157" s="33" t="str">
        <x:v>Female</x:v>
      </x:c>
      <x:c r="H157" s="33" t="str">
        <x:v>Swivel</x:v>
      </x:c>
      <x:c r="I157" s="33" t="str">
        <x:v>0° Straight</x:v>
      </x:c>
      <x:c r="J157" s="47" t="str">
        <x:v>O-ring face seal</x:v>
      </x:c>
      <x:c r="K157" s="47" t="str">
        <x:v>1-3/16-12 UN</x:v>
      </x:c>
      <x:c r="L157" s="33" t="str">
        <x:v>-12</x:v>
      </x:c>
      <x:c r="M157" s="33" t="str">
        <x:v>-12</x:v>
      </x:c>
      <x:c r="N157" s="47" t="str"/>
      <x:c r="O157" s="33" t="str"/>
      <x:c r="P157" s="50" t="str"/>
      <x:c r="Q157" s="50" t="str"/>
      <x:c r="R157" s="50" t="str"/>
      <x:c r="S157" s="50" t="str"/>
      <x:c r="T157" s="50" t="str"/>
      <x:c r="U157" s="50" t="str"/>
      <x:c r="V157" s="50" t="str"/>
      <x:c r="W157" s="50" t="str"/>
      <x:c r="X157" s="47" t="str"/>
      <x:c r="Y157" s="47" t="str"/>
      <x:c r="Z157" s="47" t="str">
        <x:v>https://www.discounthydraulichose.com/v/vspfiles/downloadables/dhh-hose.pdf#page=22</x:v>
      </x:c>
      <x:c r="AA157" s="47" t="str">
        <x:v>Competitor public catalog matrix reference. Factory drawing, dimensions, material, coating, pressure and crimp compatibility must be verified.</x:v>
      </x:c>
      <x:c r="AB157" s="161" t="str">
        <x:v>Eligible</x:v>
      </x:c>
      <x:c r="AC157" s="161" t="str">
        <x:v>Pending</x:v>
      </x:c>
    </x:row>
    <x:row r="158" ht="34" customHeight="1">
      <x:c r="A158" s="33" t="str">
        <x:v>Draft</x:v>
      </x:c>
      <x:c r="B158" s="47" t="str">
        <x:v>ORFS_F_SW_12_16</x:v>
      </x:c>
      <x:c r="C158" s="47" t="str">
        <x:v>FFX competitor matrix</x:v>
      </x:c>
      <x:c r="D158" s="47" t="str">
        <x:v>FFX-16-12W</x:v>
      </x:c>
      <x:c r="E158" s="33" t="str">
        <x:v>ORFS</x:v>
      </x:c>
      <x:c r="F158" s="47" t="str">
        <x:v>SAE J1453 / ISO 8434-3</x:v>
      </x:c>
      <x:c r="G158" s="33" t="str">
        <x:v>Female</x:v>
      </x:c>
      <x:c r="H158" s="33" t="str">
        <x:v>Swivel</x:v>
      </x:c>
      <x:c r="I158" s="33" t="str">
        <x:v>0° Straight</x:v>
      </x:c>
      <x:c r="J158" s="47" t="str">
        <x:v>O-ring face seal</x:v>
      </x:c>
      <x:c r="K158" s="47" t="str">
        <x:v>1-3/16-12 UN</x:v>
      </x:c>
      <x:c r="L158" s="33" t="str">
        <x:v>-12</x:v>
      </x:c>
      <x:c r="M158" s="33" t="str">
        <x:v>-16</x:v>
      </x:c>
      <x:c r="N158" s="47" t="str"/>
      <x:c r="O158" s="33" t="str"/>
      <x:c r="P158" s="50" t="str"/>
      <x:c r="Q158" s="50" t="str"/>
      <x:c r="R158" s="50" t="str"/>
      <x:c r="S158" s="50" t="str"/>
      <x:c r="T158" s="50" t="str"/>
      <x:c r="U158" s="50" t="str"/>
      <x:c r="V158" s="50" t="str"/>
      <x:c r="W158" s="50" t="str"/>
      <x:c r="X158" s="47" t="str"/>
      <x:c r="Y158" s="47" t="str"/>
      <x:c r="Z158" s="47" t="str">
        <x:v>https://www.discounthydraulichose.com/v/vspfiles/downloadables/dhh-hose.pdf#page=22</x:v>
      </x:c>
      <x:c r="AA158" s="47" t="str">
        <x:v>Competitor public catalog matrix reference. Factory drawing, dimensions, material, coating, pressure and crimp compatibility must be verified.</x:v>
      </x:c>
      <x:c r="AB158" s="161" t="str">
        <x:v>Eligible</x:v>
      </x:c>
      <x:c r="AC158" s="161" t="str">
        <x:v>Pending</x:v>
      </x:c>
    </x:row>
    <x:row r="159" ht="34" customHeight="1">
      <x:c r="A159" s="33" t="str">
        <x:v>Draft</x:v>
      </x:c>
      <x:c r="B159" s="47" t="str">
        <x:v>ORFS_F_SW_16_12</x:v>
      </x:c>
      <x:c r="C159" s="47" t="str">
        <x:v>FFX competitor matrix</x:v>
      </x:c>
      <x:c r="D159" s="47" t="str">
        <x:v>FFX-12-16W</x:v>
      </x:c>
      <x:c r="E159" s="33" t="str">
        <x:v>ORFS</x:v>
      </x:c>
      <x:c r="F159" s="47" t="str">
        <x:v>SAE J1453 / ISO 8434-3</x:v>
      </x:c>
      <x:c r="G159" s="33" t="str">
        <x:v>Female</x:v>
      </x:c>
      <x:c r="H159" s="33" t="str">
        <x:v>Swivel</x:v>
      </x:c>
      <x:c r="I159" s="33" t="str">
        <x:v>0° Straight</x:v>
      </x:c>
      <x:c r="J159" s="47" t="str">
        <x:v>O-ring face seal</x:v>
      </x:c>
      <x:c r="K159" s="47" t="str">
        <x:v>1-7/16-12 UN</x:v>
      </x:c>
      <x:c r="L159" s="33" t="str">
        <x:v>-16</x:v>
      </x:c>
      <x:c r="M159" s="33" t="str">
        <x:v>-12</x:v>
      </x:c>
      <x:c r="N159" s="47" t="str"/>
      <x:c r="O159" s="33" t="str"/>
      <x:c r="P159" s="50" t="str"/>
      <x:c r="Q159" s="50" t="str"/>
      <x:c r="R159" s="50" t="str"/>
      <x:c r="S159" s="50" t="str"/>
      <x:c r="T159" s="50" t="str"/>
      <x:c r="U159" s="50" t="str"/>
      <x:c r="V159" s="50" t="str"/>
      <x:c r="W159" s="50" t="str"/>
      <x:c r="X159" s="47" t="str"/>
      <x:c r="Y159" s="47" t="str"/>
      <x:c r="Z159" s="47" t="str">
        <x:v>https://www.discounthydraulichose.com/v/vspfiles/downloadables/dhh-hose.pdf#page=22</x:v>
      </x:c>
      <x:c r="AA159" s="47" t="str">
        <x:v>Competitor public catalog matrix reference. Factory drawing, dimensions, material, coating, pressure and crimp compatibility must be verified.</x:v>
      </x:c>
      <x:c r="AB159" s="161" t="str">
        <x:v>Eligible</x:v>
      </x:c>
      <x:c r="AC159" s="161" t="str">
        <x:v>Pending</x:v>
      </x:c>
    </x:row>
    <x:row r="160" ht="34" customHeight="1">
      <x:c r="A160" s="33" t="str">
        <x:v>Draft</x:v>
      </x:c>
      <x:c r="B160" s="47" t="str">
        <x:v>ORFS_F_SW_16_16</x:v>
      </x:c>
      <x:c r="C160" s="47" t="str">
        <x:v>FFX competitor matrix</x:v>
      </x:c>
      <x:c r="D160" s="47" t="str">
        <x:v>FFX-16-16W</x:v>
      </x:c>
      <x:c r="E160" s="33" t="str">
        <x:v>ORFS</x:v>
      </x:c>
      <x:c r="F160" s="47" t="str">
        <x:v>SAE J1453 / ISO 8434-3</x:v>
      </x:c>
      <x:c r="G160" s="33" t="str">
        <x:v>Female</x:v>
      </x:c>
      <x:c r="H160" s="33" t="str">
        <x:v>Swivel</x:v>
      </x:c>
      <x:c r="I160" s="33" t="str">
        <x:v>0° Straight</x:v>
      </x:c>
      <x:c r="J160" s="47" t="str">
        <x:v>O-ring face seal</x:v>
      </x:c>
      <x:c r="K160" s="47" t="str">
        <x:v>1-7/16-12 UN</x:v>
      </x:c>
      <x:c r="L160" s="33" t="str">
        <x:v>-16</x:v>
      </x:c>
      <x:c r="M160" s="33" t="str">
        <x:v>-16</x:v>
      </x:c>
      <x:c r="N160" s="47" t="str"/>
      <x:c r="O160" s="33" t="str"/>
      <x:c r="P160" s="50" t="str"/>
      <x:c r="Q160" s="50" t="str"/>
      <x:c r="R160" s="50" t="str"/>
      <x:c r="S160" s="50" t="str"/>
      <x:c r="T160" s="50" t="str"/>
      <x:c r="U160" s="50" t="str"/>
      <x:c r="V160" s="50" t="str"/>
      <x:c r="W160" s="50" t="str"/>
      <x:c r="X160" s="47" t="str"/>
      <x:c r="Y160" s="47" t="str"/>
      <x:c r="Z160" s="47" t="str">
        <x:v>https://www.discounthydraulichose.com/v/vspfiles/downloadables/dhh-hose.pdf#page=22</x:v>
      </x:c>
      <x:c r="AA160" s="47" t="str">
        <x:v>Competitor public catalog matrix reference. Factory drawing, dimensions, material, coating, pressure and crimp compatibility must be verified.</x:v>
      </x:c>
      <x:c r="AB160" s="161" t="str">
        <x:v>Eligible</x:v>
      </x:c>
      <x:c r="AC160" s="161" t="str">
        <x:v>Pending</x:v>
      </x:c>
    </x:row>
    <x:row r="161" ht="34" customHeight="1">
      <x:c r="A161" s="33" t="str">
        <x:v>Draft</x:v>
      </x:c>
      <x:c r="B161" s="47" t="str">
        <x:v>ORFS_F_SW_20_16</x:v>
      </x:c>
      <x:c r="C161" s="47" t="str">
        <x:v>FFX competitor matrix</x:v>
      </x:c>
      <x:c r="D161" s="47" t="str">
        <x:v>FFX-16-20W</x:v>
      </x:c>
      <x:c r="E161" s="33" t="str">
        <x:v>ORFS</x:v>
      </x:c>
      <x:c r="F161" s="47" t="str">
        <x:v>SAE J1453 / ISO 8434-3</x:v>
      </x:c>
      <x:c r="G161" s="33" t="str">
        <x:v>Female</x:v>
      </x:c>
      <x:c r="H161" s="33" t="str">
        <x:v>Swivel</x:v>
      </x:c>
      <x:c r="I161" s="33" t="str">
        <x:v>0° Straight</x:v>
      </x:c>
      <x:c r="J161" s="47" t="str">
        <x:v>O-ring face seal</x:v>
      </x:c>
      <x:c r="K161" s="47" t="str">
        <x:v>1-11/16-12 UN</x:v>
      </x:c>
      <x:c r="L161" s="33" t="str">
        <x:v>-20</x:v>
      </x:c>
      <x:c r="M161" s="33" t="str">
        <x:v>-16</x:v>
      </x:c>
      <x:c r="N161" s="47" t="str"/>
      <x:c r="O161" s="33" t="str"/>
      <x:c r="P161" s="50" t="str"/>
      <x:c r="Q161" s="50" t="str"/>
      <x:c r="R161" s="50" t="str"/>
      <x:c r="S161" s="50" t="str"/>
      <x:c r="T161" s="50" t="str"/>
      <x:c r="U161" s="50" t="str"/>
      <x:c r="V161" s="50" t="str"/>
      <x:c r="W161" s="50" t="str"/>
      <x:c r="X161" s="47" t="str"/>
      <x:c r="Y161" s="47" t="str"/>
      <x:c r="Z161" s="47" t="str">
        <x:v>https://www.discounthydraulichose.com/v/vspfiles/downloadables/dhh-hose.pdf#page=22</x:v>
      </x:c>
      <x:c r="AA161" s="47" t="str">
        <x:v>Competitor public catalog matrix reference. Factory drawing, dimensions, material, coating, pressure and crimp compatibility must be verified.</x:v>
      </x:c>
      <x:c r="AB161" s="161" t="str">
        <x:v>Eligible</x:v>
      </x:c>
      <x:c r="AC161" s="161" t="str">
        <x:v>Pending</x:v>
      </x:c>
    </x:row>
    <x:row r="162" ht="34" customHeight="1">
      <x:c r="A162" s="33" t="str">
        <x:v>Draft</x:v>
      </x:c>
      <x:c r="B162" s="47" t="str">
        <x:v>ORFS_M_FX_04_04</x:v>
      </x:c>
      <x:c r="C162" s="47" t="str">
        <x:v>MF competitor matrix</x:v>
      </x:c>
      <x:c r="D162" s="47" t="str">
        <x:v>MF-04-04W</x:v>
      </x:c>
      <x:c r="E162" s="33" t="str">
        <x:v>ORFS</x:v>
      </x:c>
      <x:c r="F162" s="47" t="str">
        <x:v>SAE J1453 / ISO 8434-3</x:v>
      </x:c>
      <x:c r="G162" s="33" t="str">
        <x:v>Male</x:v>
      </x:c>
      <x:c r="H162" s="33" t="str">
        <x:v>Fixed</x:v>
      </x:c>
      <x:c r="I162" s="33" t="str">
        <x:v>0° Straight</x:v>
      </x:c>
      <x:c r="J162" s="47" t="str">
        <x:v>O-ring face seal</x:v>
      </x:c>
      <x:c r="K162" s="47" t="str">
        <x:v>9/16-18 UNF</x:v>
      </x:c>
      <x:c r="L162" s="33" t="str">
        <x:v>-4</x:v>
      </x:c>
      <x:c r="M162" s="33" t="str">
        <x:v>-4</x:v>
      </x:c>
      <x:c r="N162" s="47" t="str"/>
      <x:c r="O162" s="33" t="str"/>
      <x:c r="P162" s="50" t="str"/>
      <x:c r="Q162" s="50" t="str"/>
      <x:c r="R162" s="50" t="str"/>
      <x:c r="S162" s="50" t="str"/>
      <x:c r="T162" s="50" t="str"/>
      <x:c r="U162" s="50" t="str"/>
      <x:c r="V162" s="50" t="str"/>
      <x:c r="W162" s="50" t="str"/>
      <x:c r="X162" s="47" t="str"/>
      <x:c r="Y162" s="47" t="str"/>
      <x:c r="Z162" s="47" t="str">
        <x:v>https://www.discounthydraulichose.com/v/vspfiles/downloadables/dhh-hose.pdf#page=23</x:v>
      </x:c>
      <x:c r="AA162" s="47" t="str">
        <x:v>Competitor public catalog matrix reference. Factory drawing, dimensions, material, coating, pressure and crimp compatibility must be verified.</x:v>
      </x:c>
      <x:c r="AB162" s="161" t="str">
        <x:v>Eligible</x:v>
      </x:c>
      <x:c r="AC162" s="161" t="str">
        <x:v>Pending</x:v>
      </x:c>
    </x:row>
    <x:row r="163" ht="34" customHeight="1">
      <x:c r="A163" s="33" t="str">
        <x:v>Draft</x:v>
      </x:c>
      <x:c r="B163" s="47" t="str">
        <x:v>ORFS_M_FX_06_04</x:v>
      </x:c>
      <x:c r="C163" s="47" t="str">
        <x:v>MF competitor matrix</x:v>
      </x:c>
      <x:c r="D163" s="47" t="str">
        <x:v>MF-04-06W</x:v>
      </x:c>
      <x:c r="E163" s="33" t="str">
        <x:v>ORFS</x:v>
      </x:c>
      <x:c r="F163" s="47" t="str">
        <x:v>SAE J1453 / ISO 8434-3</x:v>
      </x:c>
      <x:c r="G163" s="33" t="str">
        <x:v>Male</x:v>
      </x:c>
      <x:c r="H163" s="33" t="str">
        <x:v>Fixed</x:v>
      </x:c>
      <x:c r="I163" s="33" t="str">
        <x:v>0° Straight</x:v>
      </x:c>
      <x:c r="J163" s="47" t="str">
        <x:v>O-ring face seal</x:v>
      </x:c>
      <x:c r="K163" s="47" t="str">
        <x:v>11/16-16 UN</x:v>
      </x:c>
      <x:c r="L163" s="33" t="str">
        <x:v>-6</x:v>
      </x:c>
      <x:c r="M163" s="33" t="str">
        <x:v>-4</x:v>
      </x:c>
      <x:c r="N163" s="47" t="str"/>
      <x:c r="O163" s="33" t="str"/>
      <x:c r="P163" s="50" t="str"/>
      <x:c r="Q163" s="50" t="str"/>
      <x:c r="R163" s="50" t="str"/>
      <x:c r="S163" s="50" t="str"/>
      <x:c r="T163" s="50" t="str"/>
      <x:c r="U163" s="50" t="str"/>
      <x:c r="V163" s="50" t="str"/>
      <x:c r="W163" s="50" t="str"/>
      <x:c r="X163" s="47" t="str"/>
      <x:c r="Y163" s="47" t="str"/>
      <x:c r="Z163" s="47" t="str">
        <x:v>https://www.discounthydraulichose.com/v/vspfiles/downloadables/dhh-hose.pdf#page=23</x:v>
      </x:c>
      <x:c r="AA163" s="47" t="str">
        <x:v>Competitor public catalog matrix reference. Factory drawing, dimensions, material, coating, pressure and crimp compatibility must be verified.</x:v>
      </x:c>
      <x:c r="AB163" s="161" t="str">
        <x:v>Eligible</x:v>
      </x:c>
      <x:c r="AC163" s="161" t="str">
        <x:v>Pending</x:v>
      </x:c>
    </x:row>
    <x:row r="164" ht="34" customHeight="1">
      <x:c r="A164" s="33" t="str">
        <x:v>Draft</x:v>
      </x:c>
      <x:c r="B164" s="47" t="str">
        <x:v>ORFS_M_FX_06_06</x:v>
      </x:c>
      <x:c r="C164" s="47" t="str">
        <x:v>MF competitor matrix</x:v>
      </x:c>
      <x:c r="D164" s="47" t="str">
        <x:v>MF-06-06W</x:v>
      </x:c>
      <x:c r="E164" s="33" t="str">
        <x:v>ORFS</x:v>
      </x:c>
      <x:c r="F164" s="47" t="str">
        <x:v>SAE J1453 / ISO 8434-3</x:v>
      </x:c>
      <x:c r="G164" s="33" t="str">
        <x:v>Male</x:v>
      </x:c>
      <x:c r="H164" s="33" t="str">
        <x:v>Fixed</x:v>
      </x:c>
      <x:c r="I164" s="33" t="str">
        <x:v>0° Straight</x:v>
      </x:c>
      <x:c r="J164" s="47" t="str">
        <x:v>O-ring face seal</x:v>
      </x:c>
      <x:c r="K164" s="47" t="str">
        <x:v>11/16-16 UN</x:v>
      </x:c>
      <x:c r="L164" s="33" t="str">
        <x:v>-6</x:v>
      </x:c>
      <x:c r="M164" s="33" t="str">
        <x:v>-6</x:v>
      </x:c>
      <x:c r="N164" s="47" t="str"/>
      <x:c r="O164" s="33" t="str"/>
      <x:c r="P164" s="50" t="str"/>
      <x:c r="Q164" s="50" t="str"/>
      <x:c r="R164" s="50" t="str"/>
      <x:c r="S164" s="50" t="str"/>
      <x:c r="T164" s="50" t="str"/>
      <x:c r="U164" s="50" t="str"/>
      <x:c r="V164" s="50" t="str"/>
      <x:c r="W164" s="50" t="str"/>
      <x:c r="X164" s="47" t="str"/>
      <x:c r="Y164" s="47" t="str"/>
      <x:c r="Z164" s="47" t="str">
        <x:v>https://www.discounthydraulichose.com/v/vspfiles/downloadables/dhh-hose.pdf#page=23</x:v>
      </x:c>
      <x:c r="AA164" s="47" t="str">
        <x:v>Competitor public catalog matrix reference. Factory drawing, dimensions, material, coating, pressure and crimp compatibility must be verified.</x:v>
      </x:c>
      <x:c r="AB164" s="161" t="str">
        <x:v>Eligible</x:v>
      </x:c>
      <x:c r="AC164" s="161" t="str">
        <x:v>Pending</x:v>
      </x:c>
    </x:row>
    <x:row r="165" ht="34" customHeight="1">
      <x:c r="A165" s="33" t="str">
        <x:v>Draft</x:v>
      </x:c>
      <x:c r="B165" s="47" t="str">
        <x:v>ORFS_M_FX_08_06</x:v>
      </x:c>
      <x:c r="C165" s="47" t="str">
        <x:v>MF competitor matrix</x:v>
      </x:c>
      <x:c r="D165" s="47" t="str">
        <x:v>MF-06-08W</x:v>
      </x:c>
      <x:c r="E165" s="33" t="str">
        <x:v>ORFS</x:v>
      </x:c>
      <x:c r="F165" s="47" t="str">
        <x:v>SAE J1453 / ISO 8434-3</x:v>
      </x:c>
      <x:c r="G165" s="33" t="str">
        <x:v>Male</x:v>
      </x:c>
      <x:c r="H165" s="33" t="str">
        <x:v>Fixed</x:v>
      </x:c>
      <x:c r="I165" s="33" t="str">
        <x:v>0° Straight</x:v>
      </x:c>
      <x:c r="J165" s="47" t="str">
        <x:v>O-ring face seal</x:v>
      </x:c>
      <x:c r="K165" s="47" t="str">
        <x:v>13/16-16 UN</x:v>
      </x:c>
      <x:c r="L165" s="33" t="str">
        <x:v>-8</x:v>
      </x:c>
      <x:c r="M165" s="33" t="str">
        <x:v>-6</x:v>
      </x:c>
      <x:c r="N165" s="47" t="str"/>
      <x:c r="O165" s="33" t="str"/>
      <x:c r="P165" s="50" t="str"/>
      <x:c r="Q165" s="50" t="str"/>
      <x:c r="R165" s="50" t="str"/>
      <x:c r="S165" s="50" t="str"/>
      <x:c r="T165" s="50" t="str"/>
      <x:c r="U165" s="50" t="str"/>
      <x:c r="V165" s="50" t="str"/>
      <x:c r="W165" s="50" t="str"/>
      <x:c r="X165" s="47" t="str"/>
      <x:c r="Y165" s="47" t="str"/>
      <x:c r="Z165" s="47" t="str">
        <x:v>https://www.discounthydraulichose.com/v/vspfiles/downloadables/dhh-hose.pdf#page=23</x:v>
      </x:c>
      <x:c r="AA165" s="47" t="str">
        <x:v>Competitor public catalog matrix reference. Factory drawing, dimensions, material, coating, pressure and crimp compatibility must be verified.</x:v>
      </x:c>
      <x:c r="AB165" s="161" t="str">
        <x:v>Eligible</x:v>
      </x:c>
      <x:c r="AC165" s="161" t="str">
        <x:v>Pending</x:v>
      </x:c>
    </x:row>
    <x:row r="166" ht="34" customHeight="1">
      <x:c r="A166" s="33" t="str">
        <x:v>Draft</x:v>
      </x:c>
      <x:c r="B166" s="47" t="str">
        <x:v>ORFS_M_FX_08_08</x:v>
      </x:c>
      <x:c r="C166" s="47" t="str">
        <x:v>MF competitor matrix</x:v>
      </x:c>
      <x:c r="D166" s="47" t="str">
        <x:v>MF-08-08W</x:v>
      </x:c>
      <x:c r="E166" s="33" t="str">
        <x:v>ORFS</x:v>
      </x:c>
      <x:c r="F166" s="47" t="str">
        <x:v>SAE J1453 / ISO 8434-3</x:v>
      </x:c>
      <x:c r="G166" s="33" t="str">
        <x:v>Male</x:v>
      </x:c>
      <x:c r="H166" s="33" t="str">
        <x:v>Fixed</x:v>
      </x:c>
      <x:c r="I166" s="33" t="str">
        <x:v>0° Straight</x:v>
      </x:c>
      <x:c r="J166" s="47" t="str">
        <x:v>O-ring face seal</x:v>
      </x:c>
      <x:c r="K166" s="47" t="str">
        <x:v>13/16-16 UN</x:v>
      </x:c>
      <x:c r="L166" s="33" t="str">
        <x:v>-8</x:v>
      </x:c>
      <x:c r="M166" s="33" t="str">
        <x:v>-8</x:v>
      </x:c>
      <x:c r="N166" s="47" t="str"/>
      <x:c r="O166" s="33" t="str"/>
      <x:c r="P166" s="50" t="str"/>
      <x:c r="Q166" s="50" t="str"/>
      <x:c r="R166" s="50" t="str"/>
      <x:c r="S166" s="50" t="str"/>
      <x:c r="T166" s="50" t="str"/>
      <x:c r="U166" s="50" t="str"/>
      <x:c r="V166" s="50" t="str"/>
      <x:c r="W166" s="50" t="str"/>
      <x:c r="X166" s="47" t="str"/>
      <x:c r="Y166" s="47" t="str"/>
      <x:c r="Z166" s="47" t="str">
        <x:v>https://www.discounthydraulichose.com/v/vspfiles/downloadables/dhh-hose.pdf#page=23</x:v>
      </x:c>
      <x:c r="AA166" s="47" t="str">
        <x:v>Competitor public catalog matrix reference. Factory drawing, dimensions, material, coating, pressure and crimp compatibility must be verified.</x:v>
      </x:c>
      <x:c r="AB166" s="161" t="str">
        <x:v>Eligible</x:v>
      </x:c>
      <x:c r="AC166" s="161" t="str">
        <x:v>Pending</x:v>
      </x:c>
    </x:row>
    <x:row r="167" ht="34" customHeight="1">
      <x:c r="A167" s="33" t="str">
        <x:v>Draft</x:v>
      </x:c>
      <x:c r="B167" s="47" t="str">
        <x:v>ORFS_M_FX_10_08</x:v>
      </x:c>
      <x:c r="C167" s="47" t="str">
        <x:v>MF competitor matrix</x:v>
      </x:c>
      <x:c r="D167" s="47" t="str">
        <x:v>MF-08-10W</x:v>
      </x:c>
      <x:c r="E167" s="33" t="str">
        <x:v>ORFS</x:v>
      </x:c>
      <x:c r="F167" s="47" t="str">
        <x:v>SAE J1453 / ISO 8434-3</x:v>
      </x:c>
      <x:c r="G167" s="33" t="str">
        <x:v>Male</x:v>
      </x:c>
      <x:c r="H167" s="33" t="str">
        <x:v>Fixed</x:v>
      </x:c>
      <x:c r="I167" s="33" t="str">
        <x:v>0° Straight</x:v>
      </x:c>
      <x:c r="J167" s="47" t="str">
        <x:v>O-ring face seal</x:v>
      </x:c>
      <x:c r="K167" s="47" t="str">
        <x:v>1-14 UN</x:v>
      </x:c>
      <x:c r="L167" s="33" t="str">
        <x:v>-10</x:v>
      </x:c>
      <x:c r="M167" s="33" t="str">
        <x:v>-8</x:v>
      </x:c>
      <x:c r="N167" s="47" t="str"/>
      <x:c r="O167" s="33" t="str"/>
      <x:c r="P167" s="50" t="str"/>
      <x:c r="Q167" s="50" t="str"/>
      <x:c r="R167" s="50" t="str"/>
      <x:c r="S167" s="50" t="str"/>
      <x:c r="T167" s="50" t="str"/>
      <x:c r="U167" s="50" t="str"/>
      <x:c r="V167" s="50" t="str"/>
      <x:c r="W167" s="50" t="str"/>
      <x:c r="X167" s="47" t="str"/>
      <x:c r="Y167" s="47" t="str"/>
      <x:c r="Z167" s="47" t="str">
        <x:v>https://www.discounthydraulichose.com/v/vspfiles/downloadables/dhh-hose.pdf#page=23</x:v>
      </x:c>
      <x:c r="AA167" s="47" t="str">
        <x:v>Competitor public catalog matrix reference. Factory drawing, dimensions, material, coating, pressure and crimp compatibility must be verified.</x:v>
      </x:c>
      <x:c r="AB167" s="161" t="str">
        <x:v>Eligible</x:v>
      </x:c>
      <x:c r="AC167" s="161" t="str">
        <x:v>Pending</x:v>
      </x:c>
    </x:row>
    <x:row r="168" ht="34" customHeight="1">
      <x:c r="A168" s="33" t="str">
        <x:v>Draft</x:v>
      </x:c>
      <x:c r="B168" s="47" t="str">
        <x:v>ORFS_M_FX_10_10</x:v>
      </x:c>
      <x:c r="C168" s="47" t="str">
        <x:v>MF competitor matrix</x:v>
      </x:c>
      <x:c r="D168" s="47" t="str">
        <x:v>MF-10-10W</x:v>
      </x:c>
      <x:c r="E168" s="33" t="str">
        <x:v>ORFS</x:v>
      </x:c>
      <x:c r="F168" s="47" t="str">
        <x:v>SAE J1453 / ISO 8434-3</x:v>
      </x:c>
      <x:c r="G168" s="33" t="str">
        <x:v>Male</x:v>
      </x:c>
      <x:c r="H168" s="33" t="str">
        <x:v>Fixed</x:v>
      </x:c>
      <x:c r="I168" s="33" t="str">
        <x:v>0° Straight</x:v>
      </x:c>
      <x:c r="J168" s="47" t="str">
        <x:v>O-ring face seal</x:v>
      </x:c>
      <x:c r="K168" s="47" t="str">
        <x:v>1-14 UN</x:v>
      </x:c>
      <x:c r="L168" s="33" t="str">
        <x:v>-10</x:v>
      </x:c>
      <x:c r="M168" s="33" t="str">
        <x:v>-10</x:v>
      </x:c>
      <x:c r="N168" s="47" t="str"/>
      <x:c r="O168" s="33" t="str"/>
      <x:c r="P168" s="50" t="str"/>
      <x:c r="Q168" s="50" t="str"/>
      <x:c r="R168" s="50" t="str"/>
      <x:c r="S168" s="50" t="str"/>
      <x:c r="T168" s="50" t="str"/>
      <x:c r="U168" s="50" t="str"/>
      <x:c r="V168" s="50" t="str"/>
      <x:c r="W168" s="50" t="str"/>
      <x:c r="X168" s="47" t="str"/>
      <x:c r="Y168" s="47" t="str"/>
      <x:c r="Z168" s="47" t="str">
        <x:v>https://www.discounthydraulichose.com/v/vspfiles/downloadables/dhh-hose.pdf#page=23</x:v>
      </x:c>
      <x:c r="AA168" s="47" t="str">
        <x:v>Competitor public catalog matrix reference. Factory drawing, dimensions, material, coating, pressure and crimp compatibility must be verified.</x:v>
      </x:c>
      <x:c r="AB168" s="161" t="str">
        <x:v>Eligible</x:v>
      </x:c>
      <x:c r="AC168" s="161" t="str">
        <x:v>Pending</x:v>
      </x:c>
    </x:row>
    <x:row r="169" ht="34" customHeight="1">
      <x:c r="A169" s="33" t="str">
        <x:v>Draft</x:v>
      </x:c>
      <x:c r="B169" s="47" t="str">
        <x:v>ORFS_M_FX_12_08</x:v>
      </x:c>
      <x:c r="C169" s="47" t="str">
        <x:v>MF competitor matrix</x:v>
      </x:c>
      <x:c r="D169" s="47" t="str">
        <x:v>MF-08-12W</x:v>
      </x:c>
      <x:c r="E169" s="33" t="str">
        <x:v>ORFS</x:v>
      </x:c>
      <x:c r="F169" s="47" t="str">
        <x:v>SAE J1453 / ISO 8434-3</x:v>
      </x:c>
      <x:c r="G169" s="33" t="str">
        <x:v>Male</x:v>
      </x:c>
      <x:c r="H169" s="33" t="str">
        <x:v>Fixed</x:v>
      </x:c>
      <x:c r="I169" s="33" t="str">
        <x:v>0° Straight</x:v>
      </x:c>
      <x:c r="J169" s="47" t="str">
        <x:v>O-ring face seal</x:v>
      </x:c>
      <x:c r="K169" s="47" t="str">
        <x:v>1-3/16-12 UN</x:v>
      </x:c>
      <x:c r="L169" s="33" t="str">
        <x:v>-12</x:v>
      </x:c>
      <x:c r="M169" s="33" t="str">
        <x:v>-8</x:v>
      </x:c>
      <x:c r="N169" s="47" t="str"/>
      <x:c r="O169" s="33" t="str"/>
      <x:c r="P169" s="50" t="str"/>
      <x:c r="Q169" s="50" t="str"/>
      <x:c r="R169" s="50" t="str"/>
      <x:c r="S169" s="50" t="str"/>
      <x:c r="T169" s="50" t="str"/>
      <x:c r="U169" s="50" t="str"/>
      <x:c r="V169" s="50" t="str"/>
      <x:c r="W169" s="50" t="str"/>
      <x:c r="X169" s="47" t="str"/>
      <x:c r="Y169" s="47" t="str"/>
      <x:c r="Z169" s="47" t="str">
        <x:v>https://www.discounthydraulichose.com/v/vspfiles/downloadables/dhh-hose.pdf#page=23</x:v>
      </x:c>
      <x:c r="AA169" s="47" t="str">
        <x:v>Competitor public catalog matrix reference. Factory drawing, dimensions, material, coating, pressure and crimp compatibility must be verified.</x:v>
      </x:c>
      <x:c r="AB169" s="161" t="str">
        <x:v>Eligible</x:v>
      </x:c>
      <x:c r="AC169" s="161" t="str">
        <x:v>Pending</x:v>
      </x:c>
    </x:row>
    <x:row r="170" ht="34" customHeight="1">
      <x:c r="A170" s="33" t="str">
        <x:v>Draft</x:v>
      </x:c>
      <x:c r="B170" s="47" t="str">
        <x:v>ORFS_M_FX_12_10</x:v>
      </x:c>
      <x:c r="C170" s="47" t="str">
        <x:v>MF competitor matrix</x:v>
      </x:c>
      <x:c r="D170" s="47" t="str">
        <x:v>MF-10-12W</x:v>
      </x:c>
      <x:c r="E170" s="33" t="str">
        <x:v>ORFS</x:v>
      </x:c>
      <x:c r="F170" s="47" t="str">
        <x:v>SAE J1453 / ISO 8434-3</x:v>
      </x:c>
      <x:c r="G170" s="33" t="str">
        <x:v>Male</x:v>
      </x:c>
      <x:c r="H170" s="33" t="str">
        <x:v>Fixed</x:v>
      </x:c>
      <x:c r="I170" s="33" t="str">
        <x:v>0° Straight</x:v>
      </x:c>
      <x:c r="J170" s="47" t="str">
        <x:v>O-ring face seal</x:v>
      </x:c>
      <x:c r="K170" s="47" t="str">
        <x:v>1-3/16-12 UN</x:v>
      </x:c>
      <x:c r="L170" s="33" t="str">
        <x:v>-12</x:v>
      </x:c>
      <x:c r="M170" s="33" t="str">
        <x:v>-10</x:v>
      </x:c>
      <x:c r="N170" s="47" t="str"/>
      <x:c r="O170" s="33" t="str"/>
      <x:c r="P170" s="50" t="str"/>
      <x:c r="Q170" s="50" t="str"/>
      <x:c r="R170" s="50" t="str"/>
      <x:c r="S170" s="50" t="str"/>
      <x:c r="T170" s="50" t="str"/>
      <x:c r="U170" s="50" t="str"/>
      <x:c r="V170" s="50" t="str"/>
      <x:c r="W170" s="50" t="str"/>
      <x:c r="X170" s="47" t="str"/>
      <x:c r="Y170" s="47" t="str"/>
      <x:c r="Z170" s="47" t="str">
        <x:v>https://www.discounthydraulichose.com/v/vspfiles/downloadables/dhh-hose.pdf#page=23</x:v>
      </x:c>
      <x:c r="AA170" s="47" t="str">
        <x:v>Competitor public catalog matrix reference. Factory drawing, dimensions, material, coating, pressure and crimp compatibility must be verified.</x:v>
      </x:c>
      <x:c r="AB170" s="161" t="str">
        <x:v>Eligible</x:v>
      </x:c>
      <x:c r="AC170" s="161" t="str">
        <x:v>Pending</x:v>
      </x:c>
    </x:row>
    <x:row r="171" ht="34" customHeight="1">
      <x:c r="A171" s="33" t="str">
        <x:v>Draft</x:v>
      </x:c>
      <x:c r="B171" s="47" t="str">
        <x:v>ORFS_M_FX_12_12</x:v>
      </x:c>
      <x:c r="C171" s="47" t="str">
        <x:v>MF competitor matrix</x:v>
      </x:c>
      <x:c r="D171" s="47" t="str">
        <x:v>MF-12-12W</x:v>
      </x:c>
      <x:c r="E171" s="33" t="str">
        <x:v>ORFS</x:v>
      </x:c>
      <x:c r="F171" s="47" t="str">
        <x:v>SAE J1453 / ISO 8434-3</x:v>
      </x:c>
      <x:c r="G171" s="33" t="str">
        <x:v>Male</x:v>
      </x:c>
      <x:c r="H171" s="33" t="str">
        <x:v>Fixed</x:v>
      </x:c>
      <x:c r="I171" s="33" t="str">
        <x:v>0° Straight</x:v>
      </x:c>
      <x:c r="J171" s="47" t="str">
        <x:v>O-ring face seal</x:v>
      </x:c>
      <x:c r="K171" s="47" t="str">
        <x:v>1-3/16-12 UN</x:v>
      </x:c>
      <x:c r="L171" s="33" t="str">
        <x:v>-12</x:v>
      </x:c>
      <x:c r="M171" s="33" t="str">
        <x:v>-12</x:v>
      </x:c>
      <x:c r="N171" s="47" t="str"/>
      <x:c r="O171" s="33" t="str"/>
      <x:c r="P171" s="50" t="str"/>
      <x:c r="Q171" s="50" t="str"/>
      <x:c r="R171" s="50" t="str"/>
      <x:c r="S171" s="50" t="str"/>
      <x:c r="T171" s="50" t="str"/>
      <x:c r="U171" s="50" t="str"/>
      <x:c r="V171" s="50" t="str"/>
      <x:c r="W171" s="50" t="str"/>
      <x:c r="X171" s="47" t="str"/>
      <x:c r="Y171" s="47" t="str"/>
      <x:c r="Z171" s="47" t="str">
        <x:v>https://www.discounthydraulichose.com/v/vspfiles/downloadables/dhh-hose.pdf#page=23</x:v>
      </x:c>
      <x:c r="AA171" s="47" t="str">
        <x:v>Competitor public catalog matrix reference. Factory drawing, dimensions, material, coating, pressure and crimp compatibility must be verified.</x:v>
      </x:c>
      <x:c r="AB171" s="161" t="str">
        <x:v>Eligible</x:v>
      </x:c>
      <x:c r="AC171" s="161" t="str">
        <x:v>Pending</x:v>
      </x:c>
    </x:row>
    <x:row r="172" ht="34" customHeight="1">
      <x:c r="A172" s="33" t="str">
        <x:v>Draft</x:v>
      </x:c>
      <x:c r="B172" s="47" t="str">
        <x:v>ORFS_M_FX_12_16</x:v>
      </x:c>
      <x:c r="C172" s="47" t="str">
        <x:v>MF competitor matrix</x:v>
      </x:c>
      <x:c r="D172" s="47" t="str">
        <x:v>MF-16-12W</x:v>
      </x:c>
      <x:c r="E172" s="33" t="str">
        <x:v>ORFS</x:v>
      </x:c>
      <x:c r="F172" s="47" t="str">
        <x:v>SAE J1453 / ISO 8434-3</x:v>
      </x:c>
      <x:c r="G172" s="33" t="str">
        <x:v>Male</x:v>
      </x:c>
      <x:c r="H172" s="33" t="str">
        <x:v>Fixed</x:v>
      </x:c>
      <x:c r="I172" s="33" t="str">
        <x:v>0° Straight</x:v>
      </x:c>
      <x:c r="J172" s="47" t="str">
        <x:v>O-ring face seal</x:v>
      </x:c>
      <x:c r="K172" s="47" t="str">
        <x:v>1-3/16-12 UN</x:v>
      </x:c>
      <x:c r="L172" s="33" t="str">
        <x:v>-12</x:v>
      </x:c>
      <x:c r="M172" s="33" t="str">
        <x:v>-16</x:v>
      </x:c>
      <x:c r="N172" s="47" t="str"/>
      <x:c r="O172" s="33" t="str"/>
      <x:c r="P172" s="50" t="str"/>
      <x:c r="Q172" s="50" t="str"/>
      <x:c r="R172" s="50" t="str"/>
      <x:c r="S172" s="50" t="str"/>
      <x:c r="T172" s="50" t="str"/>
      <x:c r="U172" s="50" t="str"/>
      <x:c r="V172" s="50" t="str"/>
      <x:c r="W172" s="50" t="str"/>
      <x:c r="X172" s="47" t="str"/>
      <x:c r="Y172" s="47" t="str"/>
      <x:c r="Z172" s="47" t="str">
        <x:v>https://www.discounthydraulichose.com/v/vspfiles/downloadables/dhh-hose.pdf#page=23</x:v>
      </x:c>
      <x:c r="AA172" s="47" t="str">
        <x:v>Competitor public catalog matrix reference. Factory drawing, dimensions, material, coating, pressure and crimp compatibility must be verified.</x:v>
      </x:c>
      <x:c r="AB172" s="161" t="str">
        <x:v>Eligible</x:v>
      </x:c>
      <x:c r="AC172" s="161" t="str">
        <x:v>Pending</x:v>
      </x:c>
    </x:row>
    <x:row r="173" ht="34" customHeight="1">
      <x:c r="A173" s="33" t="str">
        <x:v>Draft</x:v>
      </x:c>
      <x:c r="B173" s="47" t="str">
        <x:v>ORFS_M_FX_16_12</x:v>
      </x:c>
      <x:c r="C173" s="47" t="str">
        <x:v>MF competitor matrix</x:v>
      </x:c>
      <x:c r="D173" s="47" t="str">
        <x:v>MF-12-16W</x:v>
      </x:c>
      <x:c r="E173" s="33" t="str">
        <x:v>ORFS</x:v>
      </x:c>
      <x:c r="F173" s="47" t="str">
        <x:v>SAE J1453 / ISO 8434-3</x:v>
      </x:c>
      <x:c r="G173" s="33" t="str">
        <x:v>Male</x:v>
      </x:c>
      <x:c r="H173" s="33" t="str">
        <x:v>Fixed</x:v>
      </x:c>
      <x:c r="I173" s="33" t="str">
        <x:v>0° Straight</x:v>
      </x:c>
      <x:c r="J173" s="47" t="str">
        <x:v>O-ring face seal</x:v>
      </x:c>
      <x:c r="K173" s="47" t="str">
        <x:v>1-7/16-12 UN</x:v>
      </x:c>
      <x:c r="L173" s="33" t="str">
        <x:v>-16</x:v>
      </x:c>
      <x:c r="M173" s="33" t="str">
        <x:v>-12</x:v>
      </x:c>
      <x:c r="N173" s="47" t="str"/>
      <x:c r="O173" s="33" t="str"/>
      <x:c r="P173" s="50" t="str"/>
      <x:c r="Q173" s="50" t="str"/>
      <x:c r="R173" s="50" t="str"/>
      <x:c r="S173" s="50" t="str"/>
      <x:c r="T173" s="50" t="str"/>
      <x:c r="U173" s="50" t="str"/>
      <x:c r="V173" s="50" t="str"/>
      <x:c r="W173" s="50" t="str"/>
      <x:c r="X173" s="47" t="str"/>
      <x:c r="Y173" s="47" t="str"/>
      <x:c r="Z173" s="47" t="str">
        <x:v>https://www.discounthydraulichose.com/v/vspfiles/downloadables/dhh-hose.pdf#page=23</x:v>
      </x:c>
      <x:c r="AA173" s="47" t="str">
        <x:v>Competitor public catalog matrix reference. Factory drawing, dimensions, material, coating, pressure and crimp compatibility must be verified.</x:v>
      </x:c>
      <x:c r="AB173" s="161" t="str">
        <x:v>Eligible</x:v>
      </x:c>
      <x:c r="AC173" s="161" t="str">
        <x:v>Pending</x:v>
      </x:c>
    </x:row>
    <x:row r="174" ht="34" customHeight="1">
      <x:c r="A174" s="33" t="str">
        <x:v>Draft</x:v>
      </x:c>
      <x:c r="B174" s="47" t="str">
        <x:v>ORFS_M_FX_16_16</x:v>
      </x:c>
      <x:c r="C174" s="47" t="str">
        <x:v>MF competitor matrix</x:v>
      </x:c>
      <x:c r="D174" s="47" t="str">
        <x:v>MF-16-16W</x:v>
      </x:c>
      <x:c r="E174" s="33" t="str">
        <x:v>ORFS</x:v>
      </x:c>
      <x:c r="F174" s="47" t="str">
        <x:v>SAE J1453 / ISO 8434-3</x:v>
      </x:c>
      <x:c r="G174" s="33" t="str">
        <x:v>Male</x:v>
      </x:c>
      <x:c r="H174" s="33" t="str">
        <x:v>Fixed</x:v>
      </x:c>
      <x:c r="I174" s="33" t="str">
        <x:v>0° Straight</x:v>
      </x:c>
      <x:c r="J174" s="47" t="str">
        <x:v>O-ring face seal</x:v>
      </x:c>
      <x:c r="K174" s="47" t="str">
        <x:v>1-7/16-12 UN</x:v>
      </x:c>
      <x:c r="L174" s="33" t="str">
        <x:v>-16</x:v>
      </x:c>
      <x:c r="M174" s="33" t="str">
        <x:v>-16</x:v>
      </x:c>
      <x:c r="N174" s="47" t="str"/>
      <x:c r="O174" s="33" t="str"/>
      <x:c r="P174" s="50" t="str"/>
      <x:c r="Q174" s="50" t="str"/>
      <x:c r="R174" s="50" t="str"/>
      <x:c r="S174" s="50" t="str"/>
      <x:c r="T174" s="50" t="str"/>
      <x:c r="U174" s="50" t="str"/>
      <x:c r="V174" s="50" t="str"/>
      <x:c r="W174" s="50" t="str"/>
      <x:c r="X174" s="47" t="str"/>
      <x:c r="Y174" s="47" t="str"/>
      <x:c r="Z174" s="47" t="str">
        <x:v>https://www.discounthydraulichose.com/v/vspfiles/downloadables/dhh-hose.pdf#page=23</x:v>
      </x:c>
      <x:c r="AA174" s="47" t="str">
        <x:v>Competitor public catalog matrix reference. Factory drawing, dimensions, material, coating, pressure and crimp compatibility must be verified.</x:v>
      </x:c>
      <x:c r="AB174" s="161" t="str">
        <x:v>Eligible</x:v>
      </x:c>
      <x:c r="AC174" s="161" t="str">
        <x:v>Pending</x:v>
      </x:c>
    </x:row>
    <x:row r="175" ht="34" customHeight="1">
      <x:c r="A175" s="33" t="str">
        <x:v>Draft</x:v>
      </x:c>
      <x:c r="B175" s="47" t="str">
        <x:v>ORFS45_F_SW_04_04</x:v>
      </x:c>
      <x:c r="C175" s="47" t="str">
        <x:v>FFX45 competitor matrix</x:v>
      </x:c>
      <x:c r="D175" s="47" t="str">
        <x:v>FFX45-04-04W</x:v>
      </x:c>
      <x:c r="E175" s="33" t="str">
        <x:v>ORFS</x:v>
      </x:c>
      <x:c r="F175" s="47" t="str">
        <x:v>SAE J1453 / ISO 8434-3</x:v>
      </x:c>
      <x:c r="G175" s="33" t="str">
        <x:v>Female</x:v>
      </x:c>
      <x:c r="H175" s="33" t="str">
        <x:v>Swivel</x:v>
      </x:c>
      <x:c r="I175" s="33" t="str">
        <x:v>45°</x:v>
      </x:c>
      <x:c r="J175" s="47" t="str">
        <x:v>O-ring face seal</x:v>
      </x:c>
      <x:c r="K175" s="47" t="str">
        <x:v>9/16-18 UNF</x:v>
      </x:c>
      <x:c r="L175" s="33" t="str">
        <x:v>-4</x:v>
      </x:c>
      <x:c r="M175" s="33" t="str">
        <x:v>-4</x:v>
      </x:c>
      <x:c r="N175" s="47" t="str"/>
      <x:c r="O175" s="33" t="str"/>
      <x:c r="P175" s="50" t="str"/>
      <x:c r="Q175" s="50" t="str"/>
      <x:c r="R175" s="50" t="str"/>
      <x:c r="S175" s="50" t="str"/>
      <x:c r="T175" s="50" t="str"/>
      <x:c r="U175" s="50" t="str"/>
      <x:c r="V175" s="50" t="str"/>
      <x:c r="W175" s="50" t="str"/>
      <x:c r="X175" s="47" t="str"/>
      <x:c r="Y175" s="47" t="str"/>
      <x:c r="Z175" s="47" t="str">
        <x:v>https://www.discounthydraulichose.com/v/vspfiles/downloadables/dhh-hose.pdf#page=22</x:v>
      </x:c>
      <x:c r="AA175" s="47" t="str">
        <x:v>Competitor public catalog matrix reference. Factory drawing, dimensions, material, coating, pressure and crimp compatibility must be verified.</x:v>
      </x:c>
      <x:c r="AB175" s="161" t="str">
        <x:v>Eligible</x:v>
      </x:c>
      <x:c r="AC175" s="161" t="str">
        <x:v>Pending</x:v>
      </x:c>
    </x:row>
    <x:row r="176" ht="34" customHeight="1">
      <x:c r="A176" s="33" t="str">
        <x:v>Draft</x:v>
      </x:c>
      <x:c r="B176" s="47" t="str">
        <x:v>ORFS45_F_SW_06_04</x:v>
      </x:c>
      <x:c r="C176" s="47" t="str">
        <x:v>FFX45 competitor matrix</x:v>
      </x:c>
      <x:c r="D176" s="47" t="str">
        <x:v>FFX45-04-06W</x:v>
      </x:c>
      <x:c r="E176" s="33" t="str">
        <x:v>ORFS</x:v>
      </x:c>
      <x:c r="F176" s="47" t="str">
        <x:v>SAE J1453 / ISO 8434-3</x:v>
      </x:c>
      <x:c r="G176" s="33" t="str">
        <x:v>Female</x:v>
      </x:c>
      <x:c r="H176" s="33" t="str">
        <x:v>Swivel</x:v>
      </x:c>
      <x:c r="I176" s="33" t="str">
        <x:v>45°</x:v>
      </x:c>
      <x:c r="J176" s="47" t="str">
        <x:v>O-ring face seal</x:v>
      </x:c>
      <x:c r="K176" s="47" t="str">
        <x:v>11/16-16 UN</x:v>
      </x:c>
      <x:c r="L176" s="33" t="str">
        <x:v>-6</x:v>
      </x:c>
      <x:c r="M176" s="33" t="str">
        <x:v>-4</x:v>
      </x:c>
      <x:c r="N176" s="47" t="str"/>
      <x:c r="O176" s="33" t="str"/>
      <x:c r="P176" s="50" t="str"/>
      <x:c r="Q176" s="50" t="str"/>
      <x:c r="R176" s="50" t="str"/>
      <x:c r="S176" s="50" t="str"/>
      <x:c r="T176" s="50" t="str"/>
      <x:c r="U176" s="50" t="str"/>
      <x:c r="V176" s="50" t="str"/>
      <x:c r="W176" s="50" t="str"/>
      <x:c r="X176" s="47" t="str"/>
      <x:c r="Y176" s="47" t="str"/>
      <x:c r="Z176" s="47" t="str">
        <x:v>https://www.discounthydraulichose.com/v/vspfiles/downloadables/dhh-hose.pdf#page=22</x:v>
      </x:c>
      <x:c r="AA176" s="47" t="str">
        <x:v>Competitor public catalog matrix reference. Factory drawing, dimensions, material, coating, pressure and crimp compatibility must be verified.</x:v>
      </x:c>
      <x:c r="AB176" s="161" t="str">
        <x:v>Eligible</x:v>
      </x:c>
      <x:c r="AC176" s="161" t="str">
        <x:v>Pending</x:v>
      </x:c>
    </x:row>
    <x:row r="177" ht="34" customHeight="1">
      <x:c r="A177" s="33" t="str">
        <x:v>Draft</x:v>
      </x:c>
      <x:c r="B177" s="47" t="str">
        <x:v>ORFS45_F_SW_06_06</x:v>
      </x:c>
      <x:c r="C177" s="47" t="str">
        <x:v>FFX45 competitor matrix</x:v>
      </x:c>
      <x:c r="D177" s="47" t="str">
        <x:v>FFX45-06-06W</x:v>
      </x:c>
      <x:c r="E177" s="33" t="str">
        <x:v>ORFS</x:v>
      </x:c>
      <x:c r="F177" s="47" t="str">
        <x:v>SAE J1453 / ISO 8434-3</x:v>
      </x:c>
      <x:c r="G177" s="33" t="str">
        <x:v>Female</x:v>
      </x:c>
      <x:c r="H177" s="33" t="str">
        <x:v>Swivel</x:v>
      </x:c>
      <x:c r="I177" s="33" t="str">
        <x:v>45°</x:v>
      </x:c>
      <x:c r="J177" s="47" t="str">
        <x:v>O-ring face seal</x:v>
      </x:c>
      <x:c r="K177" s="47" t="str">
        <x:v>11/16-16 UN</x:v>
      </x:c>
      <x:c r="L177" s="33" t="str">
        <x:v>-6</x:v>
      </x:c>
      <x:c r="M177" s="33" t="str">
        <x:v>-6</x:v>
      </x:c>
      <x:c r="N177" s="47" t="str"/>
      <x:c r="O177" s="33" t="str"/>
      <x:c r="P177" s="50" t="str"/>
      <x:c r="Q177" s="50" t="str"/>
      <x:c r="R177" s="50" t="str"/>
      <x:c r="S177" s="50" t="str"/>
      <x:c r="T177" s="50" t="str"/>
      <x:c r="U177" s="50" t="str"/>
      <x:c r="V177" s="50" t="str"/>
      <x:c r="W177" s="50" t="str"/>
      <x:c r="X177" s="47" t="str"/>
      <x:c r="Y177" s="47" t="str"/>
      <x:c r="Z177" s="47" t="str">
        <x:v>https://www.discounthydraulichose.com/v/vspfiles/downloadables/dhh-hose.pdf#page=22</x:v>
      </x:c>
      <x:c r="AA177" s="47" t="str">
        <x:v>Competitor public catalog matrix reference. Factory drawing, dimensions, material, coating, pressure and crimp compatibility must be verified.</x:v>
      </x:c>
      <x:c r="AB177" s="161" t="str">
        <x:v>Eligible</x:v>
      </x:c>
      <x:c r="AC177" s="161" t="str">
        <x:v>Pending</x:v>
      </x:c>
    </x:row>
    <x:row r="178" ht="34" customHeight="1">
      <x:c r="A178" s="33" t="str">
        <x:v>Draft</x:v>
      </x:c>
      <x:c r="B178" s="47" t="str">
        <x:v>ORFS45_F_SW_08_06</x:v>
      </x:c>
      <x:c r="C178" s="47" t="str">
        <x:v>FFX45 competitor matrix</x:v>
      </x:c>
      <x:c r="D178" s="47" t="str">
        <x:v>FFX45-06-08W</x:v>
      </x:c>
      <x:c r="E178" s="33" t="str">
        <x:v>ORFS</x:v>
      </x:c>
      <x:c r="F178" s="47" t="str">
        <x:v>SAE J1453 / ISO 8434-3</x:v>
      </x:c>
      <x:c r="G178" s="33" t="str">
        <x:v>Female</x:v>
      </x:c>
      <x:c r="H178" s="33" t="str">
        <x:v>Swivel</x:v>
      </x:c>
      <x:c r="I178" s="33" t="str">
        <x:v>45°</x:v>
      </x:c>
      <x:c r="J178" s="47" t="str">
        <x:v>O-ring face seal</x:v>
      </x:c>
      <x:c r="K178" s="47" t="str">
        <x:v>13/16-16 UN</x:v>
      </x:c>
      <x:c r="L178" s="33" t="str">
        <x:v>-8</x:v>
      </x:c>
      <x:c r="M178" s="33" t="str">
        <x:v>-6</x:v>
      </x:c>
      <x:c r="N178" s="47" t="str"/>
      <x:c r="O178" s="33" t="str"/>
      <x:c r="P178" s="50" t="str"/>
      <x:c r="Q178" s="50" t="str"/>
      <x:c r="R178" s="50" t="str"/>
      <x:c r="S178" s="50" t="str"/>
      <x:c r="T178" s="50" t="str"/>
      <x:c r="U178" s="50" t="str"/>
      <x:c r="V178" s="50" t="str"/>
      <x:c r="W178" s="50" t="str"/>
      <x:c r="X178" s="47" t="str"/>
      <x:c r="Y178" s="47" t="str"/>
      <x:c r="Z178" s="47" t="str">
        <x:v>https://www.discounthydraulichose.com/v/vspfiles/downloadables/dhh-hose.pdf#page=22</x:v>
      </x:c>
      <x:c r="AA178" s="47" t="str">
        <x:v>Competitor public catalog matrix reference. Factory drawing, dimensions, material, coating, pressure and crimp compatibility must be verified.</x:v>
      </x:c>
      <x:c r="AB178" s="161" t="str">
        <x:v>Eligible</x:v>
      </x:c>
      <x:c r="AC178" s="161" t="str">
        <x:v>Pending</x:v>
      </x:c>
    </x:row>
    <x:row r="179" ht="34" customHeight="1">
      <x:c r="A179" s="33" t="str">
        <x:v>Draft</x:v>
      </x:c>
      <x:c r="B179" s="47" t="str">
        <x:v>ORFS45_F_SW_08_08</x:v>
      </x:c>
      <x:c r="C179" s="47" t="str">
        <x:v>FFX45 competitor matrix</x:v>
      </x:c>
      <x:c r="D179" s="47" t="str">
        <x:v>FFX45-08-08W</x:v>
      </x:c>
      <x:c r="E179" s="33" t="str">
        <x:v>ORFS</x:v>
      </x:c>
      <x:c r="F179" s="47" t="str">
        <x:v>SAE J1453 / ISO 8434-3</x:v>
      </x:c>
      <x:c r="G179" s="33" t="str">
        <x:v>Female</x:v>
      </x:c>
      <x:c r="H179" s="33" t="str">
        <x:v>Swivel</x:v>
      </x:c>
      <x:c r="I179" s="33" t="str">
        <x:v>45°</x:v>
      </x:c>
      <x:c r="J179" s="47" t="str">
        <x:v>O-ring face seal</x:v>
      </x:c>
      <x:c r="K179" s="47" t="str">
        <x:v>13/16-16 UN</x:v>
      </x:c>
      <x:c r="L179" s="33" t="str">
        <x:v>-8</x:v>
      </x:c>
      <x:c r="M179" s="33" t="str">
        <x:v>-8</x:v>
      </x:c>
      <x:c r="N179" s="47" t="str"/>
      <x:c r="O179" s="33" t="str"/>
      <x:c r="P179" s="50" t="str"/>
      <x:c r="Q179" s="50" t="str"/>
      <x:c r="R179" s="50" t="str"/>
      <x:c r="S179" s="50" t="str"/>
      <x:c r="T179" s="50" t="str"/>
      <x:c r="U179" s="50" t="str"/>
      <x:c r="V179" s="50" t="str"/>
      <x:c r="W179" s="50" t="str"/>
      <x:c r="X179" s="47" t="str"/>
      <x:c r="Y179" s="47" t="str"/>
      <x:c r="Z179" s="47" t="str">
        <x:v>https://www.discounthydraulichose.com/v/vspfiles/downloadables/dhh-hose.pdf#page=22</x:v>
      </x:c>
      <x:c r="AA179" s="47" t="str">
        <x:v>Competitor public catalog matrix reference. Factory drawing, dimensions, material, coating, pressure and crimp compatibility must be verified.</x:v>
      </x:c>
      <x:c r="AB179" s="161" t="str">
        <x:v>Eligible</x:v>
      </x:c>
      <x:c r="AC179" s="161" t="str">
        <x:v>Pending</x:v>
      </x:c>
    </x:row>
    <x:row r="180" ht="34" customHeight="1">
      <x:c r="A180" s="33" t="str">
        <x:v>Draft</x:v>
      </x:c>
      <x:c r="B180" s="47" t="str">
        <x:v>ORFS45_F_SW_10_08</x:v>
      </x:c>
      <x:c r="C180" s="47" t="str">
        <x:v>FFX45 competitor matrix</x:v>
      </x:c>
      <x:c r="D180" s="47" t="str">
        <x:v>FFX45-08-10W</x:v>
      </x:c>
      <x:c r="E180" s="33" t="str">
        <x:v>ORFS</x:v>
      </x:c>
      <x:c r="F180" s="47" t="str">
        <x:v>SAE J1453 / ISO 8434-3</x:v>
      </x:c>
      <x:c r="G180" s="33" t="str">
        <x:v>Female</x:v>
      </x:c>
      <x:c r="H180" s="33" t="str">
        <x:v>Swivel</x:v>
      </x:c>
      <x:c r="I180" s="33" t="str">
        <x:v>45°</x:v>
      </x:c>
      <x:c r="J180" s="47" t="str">
        <x:v>O-ring face seal</x:v>
      </x:c>
      <x:c r="K180" s="47" t="str">
        <x:v>1-14 UN</x:v>
      </x:c>
      <x:c r="L180" s="33" t="str">
        <x:v>-10</x:v>
      </x:c>
      <x:c r="M180" s="33" t="str">
        <x:v>-8</x:v>
      </x:c>
      <x:c r="N180" s="47" t="str"/>
      <x:c r="O180" s="33" t="str"/>
      <x:c r="P180" s="50" t="str"/>
      <x:c r="Q180" s="50" t="str"/>
      <x:c r="R180" s="50" t="str"/>
      <x:c r="S180" s="50" t="str"/>
      <x:c r="T180" s="50" t="str"/>
      <x:c r="U180" s="50" t="str"/>
      <x:c r="V180" s="50" t="str"/>
      <x:c r="W180" s="50" t="str"/>
      <x:c r="X180" s="47" t="str"/>
      <x:c r="Y180" s="47" t="str"/>
      <x:c r="Z180" s="47" t="str">
        <x:v>https://www.discounthydraulichose.com/v/vspfiles/downloadables/dhh-hose.pdf#page=22</x:v>
      </x:c>
      <x:c r="AA180" s="47" t="str">
        <x:v>Competitor public catalog matrix reference. Factory drawing, dimensions, material, coating, pressure and crimp compatibility must be verified.</x:v>
      </x:c>
      <x:c r="AB180" s="161" t="str">
        <x:v>Eligible</x:v>
      </x:c>
      <x:c r="AC180" s="161" t="str">
        <x:v>Pending</x:v>
      </x:c>
    </x:row>
    <x:row r="181" ht="34" customHeight="1">
      <x:c r="A181" s="33" t="str">
        <x:v>Draft</x:v>
      </x:c>
      <x:c r="B181" s="47" t="str">
        <x:v>ORFS45_F_SW_10_10</x:v>
      </x:c>
      <x:c r="C181" s="47" t="str">
        <x:v>FFX45 competitor matrix</x:v>
      </x:c>
      <x:c r="D181" s="47" t="str">
        <x:v>FFX45-10-10W</x:v>
      </x:c>
      <x:c r="E181" s="33" t="str">
        <x:v>ORFS</x:v>
      </x:c>
      <x:c r="F181" s="47" t="str">
        <x:v>SAE J1453 / ISO 8434-3</x:v>
      </x:c>
      <x:c r="G181" s="33" t="str">
        <x:v>Female</x:v>
      </x:c>
      <x:c r="H181" s="33" t="str">
        <x:v>Swivel</x:v>
      </x:c>
      <x:c r="I181" s="33" t="str">
        <x:v>45°</x:v>
      </x:c>
      <x:c r="J181" s="47" t="str">
        <x:v>O-ring face seal</x:v>
      </x:c>
      <x:c r="K181" s="47" t="str">
        <x:v>1-14 UN</x:v>
      </x:c>
      <x:c r="L181" s="33" t="str">
        <x:v>-10</x:v>
      </x:c>
      <x:c r="M181" s="33" t="str">
        <x:v>-10</x:v>
      </x:c>
      <x:c r="N181" s="47" t="str"/>
      <x:c r="O181" s="33" t="str"/>
      <x:c r="P181" s="50" t="str"/>
      <x:c r="Q181" s="50" t="str"/>
      <x:c r="R181" s="50" t="str"/>
      <x:c r="S181" s="50" t="str"/>
      <x:c r="T181" s="50" t="str"/>
      <x:c r="U181" s="50" t="str"/>
      <x:c r="V181" s="50" t="str"/>
      <x:c r="W181" s="50" t="str"/>
      <x:c r="X181" s="47" t="str"/>
      <x:c r="Y181" s="47" t="str"/>
      <x:c r="Z181" s="47" t="str">
        <x:v>https://www.discounthydraulichose.com/v/vspfiles/downloadables/dhh-hose.pdf#page=22</x:v>
      </x:c>
      <x:c r="AA181" s="47" t="str">
        <x:v>Competitor public catalog matrix reference. Factory drawing, dimensions, material, coating, pressure and crimp compatibility must be verified.</x:v>
      </x:c>
      <x:c r="AB181" s="161" t="str">
        <x:v>Eligible</x:v>
      </x:c>
      <x:c r="AC181" s="161" t="str">
        <x:v>Pending</x:v>
      </x:c>
    </x:row>
    <x:row r="182" ht="34" customHeight="1">
      <x:c r="A182" s="33" t="str">
        <x:v>Draft</x:v>
      </x:c>
      <x:c r="B182" s="47" t="str">
        <x:v>ORFS45_F_SW_10_12</x:v>
      </x:c>
      <x:c r="C182" s="47" t="str">
        <x:v>FFX45 competitor matrix</x:v>
      </x:c>
      <x:c r="D182" s="47" t="str">
        <x:v>FFX45-12-10W</x:v>
      </x:c>
      <x:c r="E182" s="33" t="str">
        <x:v>ORFS</x:v>
      </x:c>
      <x:c r="F182" s="47" t="str">
        <x:v>SAE J1453 / ISO 8434-3</x:v>
      </x:c>
      <x:c r="G182" s="33" t="str">
        <x:v>Female</x:v>
      </x:c>
      <x:c r="H182" s="33" t="str">
        <x:v>Swivel</x:v>
      </x:c>
      <x:c r="I182" s="33" t="str">
        <x:v>45°</x:v>
      </x:c>
      <x:c r="J182" s="47" t="str">
        <x:v>O-ring face seal</x:v>
      </x:c>
      <x:c r="K182" s="47" t="str">
        <x:v>1-14 UN</x:v>
      </x:c>
      <x:c r="L182" s="33" t="str">
        <x:v>-10</x:v>
      </x:c>
      <x:c r="M182" s="33" t="str">
        <x:v>-12</x:v>
      </x:c>
      <x:c r="N182" s="47" t="str"/>
      <x:c r="O182" s="33" t="str"/>
      <x:c r="P182" s="50" t="str"/>
      <x:c r="Q182" s="50" t="str"/>
      <x:c r="R182" s="50" t="str"/>
      <x:c r="S182" s="50" t="str"/>
      <x:c r="T182" s="50" t="str"/>
      <x:c r="U182" s="50" t="str"/>
      <x:c r="V182" s="50" t="str"/>
      <x:c r="W182" s="50" t="str"/>
      <x:c r="X182" s="47" t="str"/>
      <x:c r="Y182" s="47" t="str"/>
      <x:c r="Z182" s="47" t="str">
        <x:v>https://www.discounthydraulichose.com/v/vspfiles/downloadables/dhh-hose.pdf#page=22</x:v>
      </x:c>
      <x:c r="AA182" s="47" t="str">
        <x:v>Competitor public catalog matrix reference. Factory drawing, dimensions, material, coating, pressure and crimp compatibility must be verified.</x:v>
      </x:c>
      <x:c r="AB182" s="161" t="str">
        <x:v>Eligible</x:v>
      </x:c>
      <x:c r="AC182" s="161" t="str">
        <x:v>Pending</x:v>
      </x:c>
    </x:row>
    <x:row r="183" ht="34" customHeight="1">
      <x:c r="A183" s="33" t="str">
        <x:v>Draft</x:v>
      </x:c>
      <x:c r="B183" s="47" t="str">
        <x:v>ORFS45_F_SW_12_08</x:v>
      </x:c>
      <x:c r="C183" s="47" t="str">
        <x:v>FFX45 competitor matrix</x:v>
      </x:c>
      <x:c r="D183" s="47" t="str">
        <x:v>FFX45-08-12W</x:v>
      </x:c>
      <x:c r="E183" s="33" t="str">
        <x:v>ORFS</x:v>
      </x:c>
      <x:c r="F183" s="47" t="str">
        <x:v>SAE J1453 / ISO 8434-3</x:v>
      </x:c>
      <x:c r="G183" s="33" t="str">
        <x:v>Female</x:v>
      </x:c>
      <x:c r="H183" s="33" t="str">
        <x:v>Swivel</x:v>
      </x:c>
      <x:c r="I183" s="33" t="str">
        <x:v>45°</x:v>
      </x:c>
      <x:c r="J183" s="47" t="str">
        <x:v>O-ring face seal</x:v>
      </x:c>
      <x:c r="K183" s="47" t="str">
        <x:v>1-3/16-12 UN</x:v>
      </x:c>
      <x:c r="L183" s="33" t="str">
        <x:v>-12</x:v>
      </x:c>
      <x:c r="M183" s="33" t="str">
        <x:v>-8</x:v>
      </x:c>
      <x:c r="N183" s="47" t="str"/>
      <x:c r="O183" s="33" t="str"/>
      <x:c r="P183" s="50" t="str"/>
      <x:c r="Q183" s="50" t="str"/>
      <x:c r="R183" s="50" t="str"/>
      <x:c r="S183" s="50" t="str"/>
      <x:c r="T183" s="50" t="str"/>
      <x:c r="U183" s="50" t="str"/>
      <x:c r="V183" s="50" t="str"/>
      <x:c r="W183" s="50" t="str"/>
      <x:c r="X183" s="47" t="str"/>
      <x:c r="Y183" s="47" t="str"/>
      <x:c r="Z183" s="47" t="str">
        <x:v>https://www.discounthydraulichose.com/v/vspfiles/downloadables/dhh-hose.pdf#page=22</x:v>
      </x:c>
      <x:c r="AA183" s="47" t="str">
        <x:v>Competitor public catalog matrix reference. Factory drawing, dimensions, material, coating, pressure and crimp compatibility must be verified.</x:v>
      </x:c>
      <x:c r="AB183" s="161" t="str">
        <x:v>Eligible</x:v>
      </x:c>
      <x:c r="AC183" s="161" t="str">
        <x:v>Pending</x:v>
      </x:c>
    </x:row>
    <x:row r="184" ht="34" customHeight="1">
      <x:c r="A184" s="33" t="str">
        <x:v>Draft</x:v>
      </x:c>
      <x:c r="B184" s="47" t="str">
        <x:v>ORFS45_F_SW_12_10</x:v>
      </x:c>
      <x:c r="C184" s="47" t="str">
        <x:v>FFX45 competitor matrix</x:v>
      </x:c>
      <x:c r="D184" s="47" t="str">
        <x:v>FFX45-10-12W</x:v>
      </x:c>
      <x:c r="E184" s="33" t="str">
        <x:v>ORFS</x:v>
      </x:c>
      <x:c r="F184" s="47" t="str">
        <x:v>SAE J1453 / ISO 8434-3</x:v>
      </x:c>
      <x:c r="G184" s="33" t="str">
        <x:v>Female</x:v>
      </x:c>
      <x:c r="H184" s="33" t="str">
        <x:v>Swivel</x:v>
      </x:c>
      <x:c r="I184" s="33" t="str">
        <x:v>45°</x:v>
      </x:c>
      <x:c r="J184" s="47" t="str">
        <x:v>O-ring face seal</x:v>
      </x:c>
      <x:c r="K184" s="47" t="str">
        <x:v>1-3/16-12 UN</x:v>
      </x:c>
      <x:c r="L184" s="33" t="str">
        <x:v>-12</x:v>
      </x:c>
      <x:c r="M184" s="33" t="str">
        <x:v>-10</x:v>
      </x:c>
      <x:c r="N184" s="47" t="str"/>
      <x:c r="O184" s="33" t="str"/>
      <x:c r="P184" s="50" t="str"/>
      <x:c r="Q184" s="50" t="str"/>
      <x:c r="R184" s="50" t="str"/>
      <x:c r="S184" s="50" t="str"/>
      <x:c r="T184" s="50" t="str"/>
      <x:c r="U184" s="50" t="str"/>
      <x:c r="V184" s="50" t="str"/>
      <x:c r="W184" s="50" t="str"/>
      <x:c r="X184" s="47" t="str"/>
      <x:c r="Y184" s="47" t="str"/>
      <x:c r="Z184" s="47" t="str">
        <x:v>https://www.discounthydraulichose.com/v/vspfiles/downloadables/dhh-hose.pdf#page=22</x:v>
      </x:c>
      <x:c r="AA184" s="47" t="str">
        <x:v>Competitor public catalog matrix reference. Factory drawing, dimensions, material, coating, pressure and crimp compatibility must be verified.</x:v>
      </x:c>
      <x:c r="AB184" s="161" t="str">
        <x:v>Eligible</x:v>
      </x:c>
      <x:c r="AC184" s="161" t="str">
        <x:v>Pending</x:v>
      </x:c>
    </x:row>
    <x:row r="185" ht="34" customHeight="1">
      <x:c r="A185" s="33" t="str">
        <x:v>Draft</x:v>
      </x:c>
      <x:c r="B185" s="47" t="str">
        <x:v>ORFS45_F_SW_12_12</x:v>
      </x:c>
      <x:c r="C185" s="47" t="str">
        <x:v>FFX45 competitor matrix</x:v>
      </x:c>
      <x:c r="D185" s="47" t="str">
        <x:v>FFX45-12-12W</x:v>
      </x:c>
      <x:c r="E185" s="33" t="str">
        <x:v>ORFS</x:v>
      </x:c>
      <x:c r="F185" s="47" t="str">
        <x:v>SAE J1453 / ISO 8434-3</x:v>
      </x:c>
      <x:c r="G185" s="33" t="str">
        <x:v>Female</x:v>
      </x:c>
      <x:c r="H185" s="33" t="str">
        <x:v>Swivel</x:v>
      </x:c>
      <x:c r="I185" s="33" t="str">
        <x:v>45°</x:v>
      </x:c>
      <x:c r="J185" s="47" t="str">
        <x:v>O-ring face seal</x:v>
      </x:c>
      <x:c r="K185" s="47" t="str">
        <x:v>1-3/16-12 UN</x:v>
      </x:c>
      <x:c r="L185" s="33" t="str">
        <x:v>-12</x:v>
      </x:c>
      <x:c r="M185" s="33" t="str">
        <x:v>-12</x:v>
      </x:c>
      <x:c r="N185" s="47" t="str"/>
      <x:c r="O185" s="33" t="str"/>
      <x:c r="P185" s="50" t="str"/>
      <x:c r="Q185" s="50" t="str"/>
      <x:c r="R185" s="50" t="str"/>
      <x:c r="S185" s="50" t="str"/>
      <x:c r="T185" s="50" t="str"/>
      <x:c r="U185" s="50" t="str"/>
      <x:c r="V185" s="50" t="str"/>
      <x:c r="W185" s="50" t="str"/>
      <x:c r="X185" s="47" t="str"/>
      <x:c r="Y185" s="47" t="str"/>
      <x:c r="Z185" s="47" t="str">
        <x:v>https://www.discounthydraulichose.com/v/vspfiles/downloadables/dhh-hose.pdf#page=22</x:v>
      </x:c>
      <x:c r="AA185" s="47" t="str">
        <x:v>Competitor public catalog matrix reference. Factory drawing, dimensions, material, coating, pressure and crimp compatibility must be verified.</x:v>
      </x:c>
      <x:c r="AB185" s="161" t="str">
        <x:v>Eligible</x:v>
      </x:c>
      <x:c r="AC185" s="161" t="str">
        <x:v>Pending</x:v>
      </x:c>
    </x:row>
    <x:row r="186" ht="34" customHeight="1">
      <x:c r="A186" s="33" t="str">
        <x:v>Draft</x:v>
      </x:c>
      <x:c r="B186" s="47" t="str">
        <x:v>ORFS45_F_SW_16_12</x:v>
      </x:c>
      <x:c r="C186" s="47" t="str">
        <x:v>FFX45 competitor matrix</x:v>
      </x:c>
      <x:c r="D186" s="47" t="str">
        <x:v>FFX45-12-16W</x:v>
      </x:c>
      <x:c r="E186" s="33" t="str">
        <x:v>ORFS</x:v>
      </x:c>
      <x:c r="F186" s="47" t="str">
        <x:v>SAE J1453 / ISO 8434-3</x:v>
      </x:c>
      <x:c r="G186" s="33" t="str">
        <x:v>Female</x:v>
      </x:c>
      <x:c r="H186" s="33" t="str">
        <x:v>Swivel</x:v>
      </x:c>
      <x:c r="I186" s="33" t="str">
        <x:v>45°</x:v>
      </x:c>
      <x:c r="J186" s="47" t="str">
        <x:v>O-ring face seal</x:v>
      </x:c>
      <x:c r="K186" s="47" t="str">
        <x:v>1-7/16-12 UN</x:v>
      </x:c>
      <x:c r="L186" s="33" t="str">
        <x:v>-16</x:v>
      </x:c>
      <x:c r="M186" s="33" t="str">
        <x:v>-12</x:v>
      </x:c>
      <x:c r="N186" s="47" t="str"/>
      <x:c r="O186" s="33" t="str"/>
      <x:c r="P186" s="50" t="str"/>
      <x:c r="Q186" s="50" t="str"/>
      <x:c r="R186" s="50" t="str"/>
      <x:c r="S186" s="50" t="str"/>
      <x:c r="T186" s="50" t="str"/>
      <x:c r="U186" s="50" t="str"/>
      <x:c r="V186" s="50" t="str"/>
      <x:c r="W186" s="50" t="str"/>
      <x:c r="X186" s="47" t="str"/>
      <x:c r="Y186" s="47" t="str"/>
      <x:c r="Z186" s="47" t="str">
        <x:v>https://www.discounthydraulichose.com/v/vspfiles/downloadables/dhh-hose.pdf#page=22</x:v>
      </x:c>
      <x:c r="AA186" s="47" t="str">
        <x:v>Competitor public catalog matrix reference. Factory drawing, dimensions, material, coating, pressure and crimp compatibility must be verified.</x:v>
      </x:c>
      <x:c r="AB186" s="161" t="str">
        <x:v>Eligible</x:v>
      </x:c>
      <x:c r="AC186" s="161" t="str">
        <x:v>Pending</x:v>
      </x:c>
    </x:row>
    <x:row r="187" ht="34" customHeight="1">
      <x:c r="A187" s="33" t="str">
        <x:v>Draft</x:v>
      </x:c>
      <x:c r="B187" s="47" t="str">
        <x:v>ORFS45_F_SW_16_16</x:v>
      </x:c>
      <x:c r="C187" s="47" t="str">
        <x:v>FFX45 competitor matrix</x:v>
      </x:c>
      <x:c r="D187" s="47" t="str">
        <x:v>FFX45-16-16W</x:v>
      </x:c>
      <x:c r="E187" s="33" t="str">
        <x:v>ORFS</x:v>
      </x:c>
      <x:c r="F187" s="47" t="str">
        <x:v>SAE J1453 / ISO 8434-3</x:v>
      </x:c>
      <x:c r="G187" s="33" t="str">
        <x:v>Female</x:v>
      </x:c>
      <x:c r="H187" s="33" t="str">
        <x:v>Swivel</x:v>
      </x:c>
      <x:c r="I187" s="33" t="str">
        <x:v>45°</x:v>
      </x:c>
      <x:c r="J187" s="47" t="str">
        <x:v>O-ring face seal</x:v>
      </x:c>
      <x:c r="K187" s="47" t="str">
        <x:v>1-7/16-12 UN</x:v>
      </x:c>
      <x:c r="L187" s="33" t="str">
        <x:v>-16</x:v>
      </x:c>
      <x:c r="M187" s="33" t="str">
        <x:v>-16</x:v>
      </x:c>
      <x:c r="N187" s="47" t="str"/>
      <x:c r="O187" s="33" t="str"/>
      <x:c r="P187" s="50" t="str"/>
      <x:c r="Q187" s="50" t="str"/>
      <x:c r="R187" s="50" t="str"/>
      <x:c r="S187" s="50" t="str"/>
      <x:c r="T187" s="50" t="str"/>
      <x:c r="U187" s="50" t="str"/>
      <x:c r="V187" s="50" t="str"/>
      <x:c r="W187" s="50" t="str"/>
      <x:c r="X187" s="47" t="str"/>
      <x:c r="Y187" s="47" t="str"/>
      <x:c r="Z187" s="47" t="str">
        <x:v>https://www.discounthydraulichose.com/v/vspfiles/downloadables/dhh-hose.pdf#page=22</x:v>
      </x:c>
      <x:c r="AA187" s="47" t="str">
        <x:v>Competitor public catalog matrix reference. Factory drawing, dimensions, material, coating, pressure and crimp compatibility must be verified.</x:v>
      </x:c>
      <x:c r="AB187" s="161" t="str">
        <x:v>Eligible</x:v>
      </x:c>
      <x:c r="AC187" s="161" t="str">
        <x:v>Pending</x:v>
      </x:c>
    </x:row>
    <x:row r="188" ht="34" customHeight="1">
      <x:c r="A188" s="33" t="str">
        <x:v>Draft</x:v>
      </x:c>
      <x:c r="B188" s="47" t="str">
        <x:v>ORFS45_F_SW_20_16</x:v>
      </x:c>
      <x:c r="C188" s="47" t="str">
        <x:v>FFX45 competitor matrix</x:v>
      </x:c>
      <x:c r="D188" s="47" t="str">
        <x:v>FFX45-16-20W</x:v>
      </x:c>
      <x:c r="E188" s="33" t="str">
        <x:v>ORFS</x:v>
      </x:c>
      <x:c r="F188" s="47" t="str">
        <x:v>SAE J1453 / ISO 8434-3</x:v>
      </x:c>
      <x:c r="G188" s="33" t="str">
        <x:v>Female</x:v>
      </x:c>
      <x:c r="H188" s="33" t="str">
        <x:v>Swivel</x:v>
      </x:c>
      <x:c r="I188" s="33" t="str">
        <x:v>45°</x:v>
      </x:c>
      <x:c r="J188" s="47" t="str">
        <x:v>O-ring face seal</x:v>
      </x:c>
      <x:c r="K188" s="47" t="str">
        <x:v>1-11/16-12 UN</x:v>
      </x:c>
      <x:c r="L188" s="33" t="str">
        <x:v>-20</x:v>
      </x:c>
      <x:c r="M188" s="33" t="str">
        <x:v>-16</x:v>
      </x:c>
      <x:c r="N188" s="47" t="str"/>
      <x:c r="O188" s="33" t="str"/>
      <x:c r="P188" s="50" t="str"/>
      <x:c r="Q188" s="50" t="str"/>
      <x:c r="R188" s="50" t="str"/>
      <x:c r="S188" s="50" t="str"/>
      <x:c r="T188" s="50" t="str"/>
      <x:c r="U188" s="50" t="str"/>
      <x:c r="V188" s="50" t="str"/>
      <x:c r="W188" s="50" t="str"/>
      <x:c r="X188" s="47" t="str"/>
      <x:c r="Y188" s="47" t="str"/>
      <x:c r="Z188" s="47" t="str">
        <x:v>https://www.discounthydraulichose.com/v/vspfiles/downloadables/dhh-hose.pdf#page=22</x:v>
      </x:c>
      <x:c r="AA188" s="47" t="str">
        <x:v>Competitor public catalog matrix reference. Factory drawing, dimensions, material, coating, pressure and crimp compatibility must be verified.</x:v>
      </x:c>
      <x:c r="AB188" s="161" t="str">
        <x:v>Eligible</x:v>
      </x:c>
      <x:c r="AC188" s="161" t="str">
        <x:v>Pending</x:v>
      </x:c>
    </x:row>
    <x:row r="189" ht="34" customHeight="1">
      <x:c r="A189" s="33" t="str">
        <x:v>Draft</x:v>
      </x:c>
      <x:c r="B189" s="47" t="str">
        <x:v>ORFS90_F_SW_04_04</x:v>
      </x:c>
      <x:c r="C189" s="47" t="str">
        <x:v>FFX90 competitor matrix</x:v>
      </x:c>
      <x:c r="D189" s="47" t="str">
        <x:v>FFX90-04-04W</x:v>
      </x:c>
      <x:c r="E189" s="33" t="str">
        <x:v>ORFS</x:v>
      </x:c>
      <x:c r="F189" s="47" t="str">
        <x:v>SAE J1453 / ISO 8434-3</x:v>
      </x:c>
      <x:c r="G189" s="33" t="str">
        <x:v>Female</x:v>
      </x:c>
      <x:c r="H189" s="33" t="str">
        <x:v>Swivel</x:v>
      </x:c>
      <x:c r="I189" s="33" t="str">
        <x:v>90°</x:v>
      </x:c>
      <x:c r="J189" s="47" t="str">
        <x:v>O-ring face seal</x:v>
      </x:c>
      <x:c r="K189" s="47" t="str">
        <x:v>9/16-18 UNF</x:v>
      </x:c>
      <x:c r="L189" s="33" t="str">
        <x:v>-4</x:v>
      </x:c>
      <x:c r="M189" s="33" t="str">
        <x:v>-4</x:v>
      </x:c>
      <x:c r="N189" s="47" t="str"/>
      <x:c r="O189" s="33" t="str"/>
      <x:c r="P189" s="50" t="str"/>
      <x:c r="Q189" s="50" t="str"/>
      <x:c r="R189" s="50" t="str"/>
      <x:c r="S189" s="50" t="str"/>
      <x:c r="T189" s="50" t="str"/>
      <x:c r="U189" s="50" t="str"/>
      <x:c r="V189" s="50" t="str"/>
      <x:c r="W189" s="50" t="str"/>
      <x:c r="X189" s="47" t="str"/>
      <x:c r="Y189" s="47" t="str"/>
      <x:c r="Z189" s="47" t="str">
        <x:v>https://www.discounthydraulichose.com/v/vspfiles/downloadables/dhh-hose.pdf#page=22</x:v>
      </x:c>
      <x:c r="AA189" s="47" t="str">
        <x:v>Competitor public catalog matrix reference. Factory drawing, dimensions, material, coating, pressure and crimp compatibility must be verified.</x:v>
      </x:c>
      <x:c r="AB189" s="161" t="str">
        <x:v>Eligible</x:v>
      </x:c>
      <x:c r="AC189" s="161" t="str">
        <x:v>Pending</x:v>
      </x:c>
    </x:row>
    <x:row r="190" ht="34" customHeight="1">
      <x:c r="A190" s="33" t="str">
        <x:v>Draft</x:v>
      </x:c>
      <x:c r="B190" s="47" t="str">
        <x:v>ORFS90_F_SW_04_06</x:v>
      </x:c>
      <x:c r="C190" s="47" t="str">
        <x:v>FFX90 competitor matrix</x:v>
      </x:c>
      <x:c r="D190" s="47" t="str">
        <x:v>FFX90-06-04W</x:v>
      </x:c>
      <x:c r="E190" s="33" t="str">
        <x:v>ORFS</x:v>
      </x:c>
      <x:c r="F190" s="47" t="str">
        <x:v>SAE J1453 / ISO 8434-3</x:v>
      </x:c>
      <x:c r="G190" s="33" t="str">
        <x:v>Female</x:v>
      </x:c>
      <x:c r="H190" s="33" t="str">
        <x:v>Swivel</x:v>
      </x:c>
      <x:c r="I190" s="33" t="str">
        <x:v>90°</x:v>
      </x:c>
      <x:c r="J190" s="47" t="str">
        <x:v>O-ring face seal</x:v>
      </x:c>
      <x:c r="K190" s="47" t="str">
        <x:v>9/16-18 UNF</x:v>
      </x:c>
      <x:c r="L190" s="33" t="str">
        <x:v>-4</x:v>
      </x:c>
      <x:c r="M190" s="33" t="str">
        <x:v>-6</x:v>
      </x:c>
      <x:c r="N190" s="47" t="str"/>
      <x:c r="O190" s="33" t="str"/>
      <x:c r="P190" s="50" t="str"/>
      <x:c r="Q190" s="50" t="str"/>
      <x:c r="R190" s="50" t="str"/>
      <x:c r="S190" s="50" t="str"/>
      <x:c r="T190" s="50" t="str"/>
      <x:c r="U190" s="50" t="str"/>
      <x:c r="V190" s="50" t="str"/>
      <x:c r="W190" s="50" t="str"/>
      <x:c r="X190" s="47" t="str"/>
      <x:c r="Y190" s="47" t="str"/>
      <x:c r="Z190" s="47" t="str">
        <x:v>https://www.discounthydraulichose.com/v/vspfiles/downloadables/dhh-hose.pdf#page=22</x:v>
      </x:c>
      <x:c r="AA190" s="47" t="str">
        <x:v>Competitor public catalog matrix reference. Factory drawing, dimensions, material, coating, pressure and crimp compatibility must be verified.</x:v>
      </x:c>
      <x:c r="AB190" s="161" t="str">
        <x:v>Eligible</x:v>
      </x:c>
      <x:c r="AC190" s="161" t="str">
        <x:v>Pending</x:v>
      </x:c>
    </x:row>
    <x:row r="191" ht="34" customHeight="1">
      <x:c r="A191" s="33" t="str">
        <x:v>Draft</x:v>
      </x:c>
      <x:c r="B191" s="47" t="str">
        <x:v>ORFS90_F_SW_06_04</x:v>
      </x:c>
      <x:c r="C191" s="47" t="str">
        <x:v>FFX90 competitor matrix</x:v>
      </x:c>
      <x:c r="D191" s="47" t="str">
        <x:v>FFX90-04-06W</x:v>
      </x:c>
      <x:c r="E191" s="33" t="str">
        <x:v>ORFS</x:v>
      </x:c>
      <x:c r="F191" s="47" t="str">
        <x:v>SAE J1453 / ISO 8434-3</x:v>
      </x:c>
      <x:c r="G191" s="33" t="str">
        <x:v>Female</x:v>
      </x:c>
      <x:c r="H191" s="33" t="str">
        <x:v>Swivel</x:v>
      </x:c>
      <x:c r="I191" s="33" t="str">
        <x:v>90°</x:v>
      </x:c>
      <x:c r="J191" s="47" t="str">
        <x:v>O-ring face seal</x:v>
      </x:c>
      <x:c r="K191" s="47" t="str">
        <x:v>11/16-16 UN</x:v>
      </x:c>
      <x:c r="L191" s="33" t="str">
        <x:v>-6</x:v>
      </x:c>
      <x:c r="M191" s="33" t="str">
        <x:v>-4</x:v>
      </x:c>
      <x:c r="N191" s="47" t="str"/>
      <x:c r="O191" s="33" t="str"/>
      <x:c r="P191" s="50" t="str"/>
      <x:c r="Q191" s="50" t="str"/>
      <x:c r="R191" s="50" t="str"/>
      <x:c r="S191" s="50" t="str"/>
      <x:c r="T191" s="50" t="str"/>
      <x:c r="U191" s="50" t="str"/>
      <x:c r="V191" s="50" t="str"/>
      <x:c r="W191" s="50" t="str"/>
      <x:c r="X191" s="47" t="str"/>
      <x:c r="Y191" s="47" t="str"/>
      <x:c r="Z191" s="47" t="str">
        <x:v>https://www.discounthydraulichose.com/v/vspfiles/downloadables/dhh-hose.pdf#page=22</x:v>
      </x:c>
      <x:c r="AA191" s="47" t="str">
        <x:v>Competitor public catalog matrix reference. Factory drawing, dimensions, material, coating, pressure and crimp compatibility must be verified.</x:v>
      </x:c>
      <x:c r="AB191" s="161" t="str">
        <x:v>Eligible</x:v>
      </x:c>
      <x:c r="AC191" s="161" t="str">
        <x:v>Pending</x:v>
      </x:c>
    </x:row>
    <x:row r="192" ht="34" customHeight="1">
      <x:c r="A192" s="33" t="str">
        <x:v>Draft</x:v>
      </x:c>
      <x:c r="B192" s="47" t="str">
        <x:v>ORFS90_F_SW_06_06</x:v>
      </x:c>
      <x:c r="C192" s="47" t="str">
        <x:v>FFX90 competitor matrix</x:v>
      </x:c>
      <x:c r="D192" s="47" t="str">
        <x:v>FFX90-06-06W</x:v>
      </x:c>
      <x:c r="E192" s="33" t="str">
        <x:v>ORFS</x:v>
      </x:c>
      <x:c r="F192" s="47" t="str">
        <x:v>SAE J1453 / ISO 8434-3</x:v>
      </x:c>
      <x:c r="G192" s="33" t="str">
        <x:v>Female</x:v>
      </x:c>
      <x:c r="H192" s="33" t="str">
        <x:v>Swivel</x:v>
      </x:c>
      <x:c r="I192" s="33" t="str">
        <x:v>90°</x:v>
      </x:c>
      <x:c r="J192" s="47" t="str">
        <x:v>O-ring face seal</x:v>
      </x:c>
      <x:c r="K192" s="47" t="str">
        <x:v>11/16-16 UN</x:v>
      </x:c>
      <x:c r="L192" s="33" t="str">
        <x:v>-6</x:v>
      </x:c>
      <x:c r="M192" s="33" t="str">
        <x:v>-6</x:v>
      </x:c>
      <x:c r="N192" s="47" t="str"/>
      <x:c r="O192" s="33" t="str"/>
      <x:c r="P192" s="50" t="str"/>
      <x:c r="Q192" s="50" t="str"/>
      <x:c r="R192" s="50" t="str"/>
      <x:c r="S192" s="50" t="str"/>
      <x:c r="T192" s="50" t="str"/>
      <x:c r="U192" s="50" t="str"/>
      <x:c r="V192" s="50" t="str"/>
      <x:c r="W192" s="50" t="str"/>
      <x:c r="X192" s="47" t="str"/>
      <x:c r="Y192" s="47" t="str"/>
      <x:c r="Z192" s="47" t="str">
        <x:v>https://www.discounthydraulichose.com/v/vspfiles/downloadables/dhh-hose.pdf#page=22</x:v>
      </x:c>
      <x:c r="AA192" s="47" t="str">
        <x:v>Competitor public catalog matrix reference. Factory drawing, dimensions, material, coating, pressure and crimp compatibility must be verified.</x:v>
      </x:c>
      <x:c r="AB192" s="161" t="str">
        <x:v>Eligible</x:v>
      </x:c>
      <x:c r="AC192" s="161" t="str">
        <x:v>Pending</x:v>
      </x:c>
    </x:row>
    <x:row r="193" ht="34" customHeight="1">
      <x:c r="A193" s="33" t="str">
        <x:v>Draft</x:v>
      </x:c>
      <x:c r="B193" s="47" t="str">
        <x:v>ORFS90_F_SW_08_04</x:v>
      </x:c>
      <x:c r="C193" s="47" t="str">
        <x:v>FFX90 competitor matrix</x:v>
      </x:c>
      <x:c r="D193" s="47" t="str">
        <x:v>FFX90-04-08W</x:v>
      </x:c>
      <x:c r="E193" s="33" t="str">
        <x:v>ORFS</x:v>
      </x:c>
      <x:c r="F193" s="47" t="str">
        <x:v>SAE J1453 / ISO 8434-3</x:v>
      </x:c>
      <x:c r="G193" s="33" t="str">
        <x:v>Female</x:v>
      </x:c>
      <x:c r="H193" s="33" t="str">
        <x:v>Swivel</x:v>
      </x:c>
      <x:c r="I193" s="33" t="str">
        <x:v>90°</x:v>
      </x:c>
      <x:c r="J193" s="47" t="str">
        <x:v>O-ring face seal</x:v>
      </x:c>
      <x:c r="K193" s="47" t="str">
        <x:v>13/16-16 UN</x:v>
      </x:c>
      <x:c r="L193" s="33" t="str">
        <x:v>-8</x:v>
      </x:c>
      <x:c r="M193" s="33" t="str">
        <x:v>-4</x:v>
      </x:c>
      <x:c r="N193" s="47" t="str"/>
      <x:c r="O193" s="33" t="str"/>
      <x:c r="P193" s="50" t="str"/>
      <x:c r="Q193" s="50" t="str"/>
      <x:c r="R193" s="50" t="str"/>
      <x:c r="S193" s="50" t="str"/>
      <x:c r="T193" s="50" t="str"/>
      <x:c r="U193" s="50" t="str"/>
      <x:c r="V193" s="50" t="str"/>
      <x:c r="W193" s="50" t="str"/>
      <x:c r="X193" s="47" t="str"/>
      <x:c r="Y193" s="47" t="str"/>
      <x:c r="Z193" s="47" t="str">
        <x:v>https://www.discounthydraulichose.com/v/vspfiles/downloadables/dhh-hose.pdf#page=22</x:v>
      </x:c>
      <x:c r="AA193" s="47" t="str">
        <x:v>Competitor public catalog matrix reference. Factory drawing, dimensions, material, coating, pressure and crimp compatibility must be verified.</x:v>
      </x:c>
      <x:c r="AB193" s="161" t="str">
        <x:v>Eligible</x:v>
      </x:c>
      <x:c r="AC193" s="161" t="str">
        <x:v>Pending</x:v>
      </x:c>
    </x:row>
    <x:row r="194" ht="34" customHeight="1">
      <x:c r="A194" s="33" t="str">
        <x:v>Draft</x:v>
      </x:c>
      <x:c r="B194" s="47" t="str">
        <x:v>ORFS90_F_SW_08_06</x:v>
      </x:c>
      <x:c r="C194" s="47" t="str">
        <x:v>FFX90 competitor matrix</x:v>
      </x:c>
      <x:c r="D194" s="47" t="str">
        <x:v>FFX90-06-08W</x:v>
      </x:c>
      <x:c r="E194" s="33" t="str">
        <x:v>ORFS</x:v>
      </x:c>
      <x:c r="F194" s="47" t="str">
        <x:v>SAE J1453 / ISO 8434-3</x:v>
      </x:c>
      <x:c r="G194" s="33" t="str">
        <x:v>Female</x:v>
      </x:c>
      <x:c r="H194" s="33" t="str">
        <x:v>Swivel</x:v>
      </x:c>
      <x:c r="I194" s="33" t="str">
        <x:v>90°</x:v>
      </x:c>
      <x:c r="J194" s="47" t="str">
        <x:v>O-ring face seal</x:v>
      </x:c>
      <x:c r="K194" s="47" t="str">
        <x:v>13/16-16 UN</x:v>
      </x:c>
      <x:c r="L194" s="33" t="str">
        <x:v>-8</x:v>
      </x:c>
      <x:c r="M194" s="33" t="str">
        <x:v>-6</x:v>
      </x:c>
      <x:c r="N194" s="47" t="str"/>
      <x:c r="O194" s="33" t="str"/>
      <x:c r="P194" s="50" t="str"/>
      <x:c r="Q194" s="50" t="str"/>
      <x:c r="R194" s="50" t="str"/>
      <x:c r="S194" s="50" t="str"/>
      <x:c r="T194" s="50" t="str"/>
      <x:c r="U194" s="50" t="str"/>
      <x:c r="V194" s="50" t="str"/>
      <x:c r="W194" s="50" t="str"/>
      <x:c r="X194" s="47" t="str"/>
      <x:c r="Y194" s="47" t="str"/>
      <x:c r="Z194" s="47" t="str">
        <x:v>https://www.discounthydraulichose.com/v/vspfiles/downloadables/dhh-hose.pdf#page=22</x:v>
      </x:c>
      <x:c r="AA194" s="47" t="str">
        <x:v>Competitor public catalog matrix reference. Factory drawing, dimensions, material, coating, pressure and crimp compatibility must be verified.</x:v>
      </x:c>
      <x:c r="AB194" s="161" t="str">
        <x:v>Eligible</x:v>
      </x:c>
      <x:c r="AC194" s="161" t="str">
        <x:v>Pending</x:v>
      </x:c>
    </x:row>
    <x:row r="195" ht="34" customHeight="1">
      <x:c r="A195" s="33" t="str">
        <x:v>Draft</x:v>
      </x:c>
      <x:c r="B195" s="47" t="str">
        <x:v>ORFS90_F_SW_08_08</x:v>
      </x:c>
      <x:c r="C195" s="47" t="str">
        <x:v>FFX90 competitor matrix</x:v>
      </x:c>
      <x:c r="D195" s="47" t="str">
        <x:v>FFX90-08-08W</x:v>
      </x:c>
      <x:c r="E195" s="33" t="str">
        <x:v>ORFS</x:v>
      </x:c>
      <x:c r="F195" s="47" t="str">
        <x:v>SAE J1453 / ISO 8434-3</x:v>
      </x:c>
      <x:c r="G195" s="33" t="str">
        <x:v>Female</x:v>
      </x:c>
      <x:c r="H195" s="33" t="str">
        <x:v>Swivel</x:v>
      </x:c>
      <x:c r="I195" s="33" t="str">
        <x:v>90°</x:v>
      </x:c>
      <x:c r="J195" s="47" t="str">
        <x:v>O-ring face seal</x:v>
      </x:c>
      <x:c r="K195" s="47" t="str">
        <x:v>13/16-16 UN</x:v>
      </x:c>
      <x:c r="L195" s="33" t="str">
        <x:v>-8</x:v>
      </x:c>
      <x:c r="M195" s="33" t="str">
        <x:v>-8</x:v>
      </x:c>
      <x:c r="N195" s="47" t="str"/>
      <x:c r="O195" s="33" t="str"/>
      <x:c r="P195" s="50" t="str"/>
      <x:c r="Q195" s="50" t="str"/>
      <x:c r="R195" s="50" t="str"/>
      <x:c r="S195" s="50" t="str"/>
      <x:c r="T195" s="50" t="str"/>
      <x:c r="U195" s="50" t="str"/>
      <x:c r="V195" s="50" t="str"/>
      <x:c r="W195" s="50" t="str"/>
      <x:c r="X195" s="47" t="str"/>
      <x:c r="Y195" s="47" t="str"/>
      <x:c r="Z195" s="47" t="str">
        <x:v>https://www.discounthydraulichose.com/v/vspfiles/downloadables/dhh-hose.pdf#page=22</x:v>
      </x:c>
      <x:c r="AA195" s="47" t="str">
        <x:v>Competitor public catalog matrix reference. Factory drawing, dimensions, material, coating, pressure and crimp compatibility must be verified.</x:v>
      </x:c>
      <x:c r="AB195" s="161" t="str">
        <x:v>Eligible</x:v>
      </x:c>
      <x:c r="AC195" s="161" t="str">
        <x:v>Pending</x:v>
      </x:c>
    </x:row>
    <x:row r="196" ht="34" customHeight="1">
      <x:c r="A196" s="33" t="str">
        <x:v>Draft</x:v>
      </x:c>
      <x:c r="B196" s="47" t="str">
        <x:v>ORFS90_F_SW_08_10</x:v>
      </x:c>
      <x:c r="C196" s="47" t="str">
        <x:v>FFX90 competitor matrix</x:v>
      </x:c>
      <x:c r="D196" s="47" t="str">
        <x:v>FFX90-10-08W</x:v>
      </x:c>
      <x:c r="E196" s="33" t="str">
        <x:v>ORFS</x:v>
      </x:c>
      <x:c r="F196" s="47" t="str">
        <x:v>SAE J1453 / ISO 8434-3</x:v>
      </x:c>
      <x:c r="G196" s="33" t="str">
        <x:v>Female</x:v>
      </x:c>
      <x:c r="H196" s="33" t="str">
        <x:v>Swivel</x:v>
      </x:c>
      <x:c r="I196" s="33" t="str">
        <x:v>90°</x:v>
      </x:c>
      <x:c r="J196" s="47" t="str">
        <x:v>O-ring face seal</x:v>
      </x:c>
      <x:c r="K196" s="47" t="str">
        <x:v>13/16-16 UN</x:v>
      </x:c>
      <x:c r="L196" s="33" t="str">
        <x:v>-8</x:v>
      </x:c>
      <x:c r="M196" s="33" t="str">
        <x:v>-10</x:v>
      </x:c>
      <x:c r="N196" s="47" t="str"/>
      <x:c r="O196" s="33" t="str"/>
      <x:c r="P196" s="50" t="str"/>
      <x:c r="Q196" s="50" t="str"/>
      <x:c r="R196" s="50" t="str"/>
      <x:c r="S196" s="50" t="str"/>
      <x:c r="T196" s="50" t="str"/>
      <x:c r="U196" s="50" t="str"/>
      <x:c r="V196" s="50" t="str"/>
      <x:c r="W196" s="50" t="str"/>
      <x:c r="X196" s="47" t="str"/>
      <x:c r="Y196" s="47" t="str"/>
      <x:c r="Z196" s="47" t="str">
        <x:v>https://www.discounthydraulichose.com/v/vspfiles/downloadables/dhh-hose.pdf#page=22</x:v>
      </x:c>
      <x:c r="AA196" s="47" t="str">
        <x:v>Competitor public catalog matrix reference. Factory drawing, dimensions, material, coating, pressure and crimp compatibility must be verified.</x:v>
      </x:c>
      <x:c r="AB196" s="161" t="str">
        <x:v>Eligible</x:v>
      </x:c>
      <x:c r="AC196" s="161" t="str">
        <x:v>Pending</x:v>
      </x:c>
    </x:row>
    <x:row r="197" ht="34" customHeight="1">
      <x:c r="A197" s="33" t="str">
        <x:v>Draft</x:v>
      </x:c>
      <x:c r="B197" s="47" t="str">
        <x:v>ORFS90_F_SW_10_08</x:v>
      </x:c>
      <x:c r="C197" s="47" t="str">
        <x:v>FFX90 competitor matrix</x:v>
      </x:c>
      <x:c r="D197" s="47" t="str">
        <x:v>FFX90-08-10W</x:v>
      </x:c>
      <x:c r="E197" s="33" t="str">
        <x:v>ORFS</x:v>
      </x:c>
      <x:c r="F197" s="47" t="str">
        <x:v>SAE J1453 / ISO 8434-3</x:v>
      </x:c>
      <x:c r="G197" s="33" t="str">
        <x:v>Female</x:v>
      </x:c>
      <x:c r="H197" s="33" t="str">
        <x:v>Swivel</x:v>
      </x:c>
      <x:c r="I197" s="33" t="str">
        <x:v>90°</x:v>
      </x:c>
      <x:c r="J197" s="47" t="str">
        <x:v>O-ring face seal</x:v>
      </x:c>
      <x:c r="K197" s="47" t="str">
        <x:v>1-14 UN</x:v>
      </x:c>
      <x:c r="L197" s="33" t="str">
        <x:v>-10</x:v>
      </x:c>
      <x:c r="M197" s="33" t="str">
        <x:v>-8</x:v>
      </x:c>
      <x:c r="N197" s="47" t="str"/>
      <x:c r="O197" s="33" t="str"/>
      <x:c r="P197" s="50" t="str"/>
      <x:c r="Q197" s="50" t="str"/>
      <x:c r="R197" s="50" t="str"/>
      <x:c r="S197" s="50" t="str"/>
      <x:c r="T197" s="50" t="str"/>
      <x:c r="U197" s="50" t="str"/>
      <x:c r="V197" s="50" t="str"/>
      <x:c r="W197" s="50" t="str"/>
      <x:c r="X197" s="47" t="str"/>
      <x:c r="Y197" s="47" t="str"/>
      <x:c r="Z197" s="47" t="str">
        <x:v>https://www.discounthydraulichose.com/v/vspfiles/downloadables/dhh-hose.pdf#page=22</x:v>
      </x:c>
      <x:c r="AA197" s="47" t="str">
        <x:v>Competitor public catalog matrix reference. Factory drawing, dimensions, material, coating, pressure and crimp compatibility must be verified.</x:v>
      </x:c>
      <x:c r="AB197" s="161" t="str">
        <x:v>Eligible</x:v>
      </x:c>
      <x:c r="AC197" s="161" t="str">
        <x:v>Pending</x:v>
      </x:c>
    </x:row>
    <x:row r="198" ht="34" customHeight="1">
      <x:c r="A198" s="33" t="str">
        <x:v>Draft</x:v>
      </x:c>
      <x:c r="B198" s="47" t="str">
        <x:v>ORFS90_F_SW_10_10</x:v>
      </x:c>
      <x:c r="C198" s="47" t="str">
        <x:v>FFX90 competitor matrix</x:v>
      </x:c>
      <x:c r="D198" s="47" t="str">
        <x:v>FFX90-10-10W</x:v>
      </x:c>
      <x:c r="E198" s="33" t="str">
        <x:v>ORFS</x:v>
      </x:c>
      <x:c r="F198" s="47" t="str">
        <x:v>SAE J1453 / ISO 8434-3</x:v>
      </x:c>
      <x:c r="G198" s="33" t="str">
        <x:v>Female</x:v>
      </x:c>
      <x:c r="H198" s="33" t="str">
        <x:v>Swivel</x:v>
      </x:c>
      <x:c r="I198" s="33" t="str">
        <x:v>90°</x:v>
      </x:c>
      <x:c r="J198" s="47" t="str">
        <x:v>O-ring face seal</x:v>
      </x:c>
      <x:c r="K198" s="47" t="str">
        <x:v>1-14 UN</x:v>
      </x:c>
      <x:c r="L198" s="33" t="str">
        <x:v>-10</x:v>
      </x:c>
      <x:c r="M198" s="33" t="str">
        <x:v>-10</x:v>
      </x:c>
      <x:c r="N198" s="47" t="str"/>
      <x:c r="O198" s="33" t="str"/>
      <x:c r="P198" s="50" t="str"/>
      <x:c r="Q198" s="50" t="str"/>
      <x:c r="R198" s="50" t="str"/>
      <x:c r="S198" s="50" t="str"/>
      <x:c r="T198" s="50" t="str"/>
      <x:c r="U198" s="50" t="str"/>
      <x:c r="V198" s="50" t="str"/>
      <x:c r="W198" s="50" t="str"/>
      <x:c r="X198" s="47" t="str"/>
      <x:c r="Y198" s="47" t="str"/>
      <x:c r="Z198" s="47" t="str">
        <x:v>https://www.discounthydraulichose.com/v/vspfiles/downloadables/dhh-hose.pdf#page=22</x:v>
      </x:c>
      <x:c r="AA198" s="47" t="str">
        <x:v>Competitor public catalog matrix reference. Factory drawing, dimensions, material, coating, pressure and crimp compatibility must be verified.</x:v>
      </x:c>
      <x:c r="AB198" s="161" t="str">
        <x:v>Eligible</x:v>
      </x:c>
      <x:c r="AC198" s="161" t="str">
        <x:v>Pending</x:v>
      </x:c>
    </x:row>
    <x:row r="199" ht="34" customHeight="1">
      <x:c r="A199" s="33" t="str">
        <x:v>Draft</x:v>
      </x:c>
      <x:c r="B199" s="47" t="str">
        <x:v>ORFS90_F_SW_10_12</x:v>
      </x:c>
      <x:c r="C199" s="47" t="str">
        <x:v>FFX90 competitor matrix</x:v>
      </x:c>
      <x:c r="D199" s="47" t="str">
        <x:v>FFX90-12-10W</x:v>
      </x:c>
      <x:c r="E199" s="33" t="str">
        <x:v>ORFS</x:v>
      </x:c>
      <x:c r="F199" s="47" t="str">
        <x:v>SAE J1453 / ISO 8434-3</x:v>
      </x:c>
      <x:c r="G199" s="33" t="str">
        <x:v>Female</x:v>
      </x:c>
      <x:c r="H199" s="33" t="str">
        <x:v>Swivel</x:v>
      </x:c>
      <x:c r="I199" s="33" t="str">
        <x:v>90°</x:v>
      </x:c>
      <x:c r="J199" s="47" t="str">
        <x:v>O-ring face seal</x:v>
      </x:c>
      <x:c r="K199" s="47" t="str">
        <x:v>1-14 UN</x:v>
      </x:c>
      <x:c r="L199" s="33" t="str">
        <x:v>-10</x:v>
      </x:c>
      <x:c r="M199" s="33" t="str">
        <x:v>-12</x:v>
      </x:c>
      <x:c r="N199" s="47" t="str"/>
      <x:c r="O199" s="33" t="str"/>
      <x:c r="P199" s="50" t="str"/>
      <x:c r="Q199" s="50" t="str"/>
      <x:c r="R199" s="50" t="str"/>
      <x:c r="S199" s="50" t="str"/>
      <x:c r="T199" s="50" t="str"/>
      <x:c r="U199" s="50" t="str"/>
      <x:c r="V199" s="50" t="str"/>
      <x:c r="W199" s="50" t="str"/>
      <x:c r="X199" s="47" t="str"/>
      <x:c r="Y199" s="47" t="str"/>
      <x:c r="Z199" s="47" t="str">
        <x:v>https://www.discounthydraulichose.com/v/vspfiles/downloadables/dhh-hose.pdf#page=22</x:v>
      </x:c>
      <x:c r="AA199" s="47" t="str">
        <x:v>Competitor public catalog matrix reference. Factory drawing, dimensions, material, coating, pressure and crimp compatibility must be verified.</x:v>
      </x:c>
      <x:c r="AB199" s="161" t="str">
        <x:v>Eligible</x:v>
      </x:c>
      <x:c r="AC199" s="161" t="str">
        <x:v>Pending</x:v>
      </x:c>
    </x:row>
    <x:row r="200" ht="34" customHeight="1">
      <x:c r="A200" s="33" t="str">
        <x:v>Draft</x:v>
      </x:c>
      <x:c r="B200" s="47" t="str">
        <x:v>ORFS90_F_SW_12_08</x:v>
      </x:c>
      <x:c r="C200" s="47" t="str">
        <x:v>FFX90 competitor matrix</x:v>
      </x:c>
      <x:c r="D200" s="47" t="str">
        <x:v>FFX90-08-12W</x:v>
      </x:c>
      <x:c r="E200" s="33" t="str">
        <x:v>ORFS</x:v>
      </x:c>
      <x:c r="F200" s="47" t="str">
        <x:v>SAE J1453 / ISO 8434-3</x:v>
      </x:c>
      <x:c r="G200" s="33" t="str">
        <x:v>Female</x:v>
      </x:c>
      <x:c r="H200" s="33" t="str">
        <x:v>Swivel</x:v>
      </x:c>
      <x:c r="I200" s="33" t="str">
        <x:v>90°</x:v>
      </x:c>
      <x:c r="J200" s="47" t="str">
        <x:v>O-ring face seal</x:v>
      </x:c>
      <x:c r="K200" s="47" t="str">
        <x:v>1-3/16-12 UN</x:v>
      </x:c>
      <x:c r="L200" s="33" t="str">
        <x:v>-12</x:v>
      </x:c>
      <x:c r="M200" s="33" t="str">
        <x:v>-8</x:v>
      </x:c>
      <x:c r="N200" s="47" t="str"/>
      <x:c r="O200" s="33" t="str"/>
      <x:c r="P200" s="50" t="str"/>
      <x:c r="Q200" s="50" t="str"/>
      <x:c r="R200" s="50" t="str"/>
      <x:c r="S200" s="50" t="str"/>
      <x:c r="T200" s="50" t="str"/>
      <x:c r="U200" s="50" t="str"/>
      <x:c r="V200" s="50" t="str"/>
      <x:c r="W200" s="50" t="str"/>
      <x:c r="X200" s="47" t="str"/>
      <x:c r="Y200" s="47" t="str"/>
      <x:c r="Z200" s="47" t="str">
        <x:v>https://www.discounthydraulichose.com/v/vspfiles/downloadables/dhh-hose.pdf#page=22</x:v>
      </x:c>
      <x:c r="AA200" s="47" t="str">
        <x:v>Competitor public catalog matrix reference. Factory drawing, dimensions, material, coating, pressure and crimp compatibility must be verified.</x:v>
      </x:c>
      <x:c r="AB200" s="161" t="str">
        <x:v>Eligible</x:v>
      </x:c>
      <x:c r="AC200" s="161" t="str">
        <x:v>Pending</x:v>
      </x:c>
    </x:row>
    <x:row r="201" ht="34" customHeight="1">
      <x:c r="A201" s="33" t="str">
        <x:v>Draft</x:v>
      </x:c>
      <x:c r="B201" s="47" t="str">
        <x:v>ORFS90_F_SW_12_12</x:v>
      </x:c>
      <x:c r="C201" s="47" t="str">
        <x:v>FFX90 competitor matrix</x:v>
      </x:c>
      <x:c r="D201" s="47" t="str">
        <x:v>FFX90-12-12W</x:v>
      </x:c>
      <x:c r="E201" s="33" t="str">
        <x:v>ORFS</x:v>
      </x:c>
      <x:c r="F201" s="47" t="str">
        <x:v>SAE J1453 / ISO 8434-3</x:v>
      </x:c>
      <x:c r="G201" s="33" t="str">
        <x:v>Female</x:v>
      </x:c>
      <x:c r="H201" s="33" t="str">
        <x:v>Swivel</x:v>
      </x:c>
      <x:c r="I201" s="33" t="str">
        <x:v>90°</x:v>
      </x:c>
      <x:c r="J201" s="47" t="str">
        <x:v>O-ring face seal</x:v>
      </x:c>
      <x:c r="K201" s="47" t="str">
        <x:v>1-3/16-12 UN</x:v>
      </x:c>
      <x:c r="L201" s="33" t="str">
        <x:v>-12</x:v>
      </x:c>
      <x:c r="M201" s="33" t="str">
        <x:v>-12</x:v>
      </x:c>
      <x:c r="N201" s="47" t="str"/>
      <x:c r="O201" s="33" t="str"/>
      <x:c r="P201" s="50" t="str"/>
      <x:c r="Q201" s="50" t="str"/>
      <x:c r="R201" s="50" t="str"/>
      <x:c r="S201" s="50" t="str"/>
      <x:c r="T201" s="50" t="str"/>
      <x:c r="U201" s="50" t="str"/>
      <x:c r="V201" s="50" t="str"/>
      <x:c r="W201" s="50" t="str"/>
      <x:c r="X201" s="47" t="str"/>
      <x:c r="Y201" s="47" t="str"/>
      <x:c r="Z201" s="47" t="str">
        <x:v>https://www.discounthydraulichose.com/v/vspfiles/downloadables/dhh-hose.pdf#page=22</x:v>
      </x:c>
      <x:c r="AA201" s="47" t="str">
        <x:v>Competitor public catalog matrix reference. Factory drawing, dimensions, material, coating, pressure and crimp compatibility must be verified.</x:v>
      </x:c>
      <x:c r="AB201" s="161" t="str">
        <x:v>Eligible</x:v>
      </x:c>
      <x:c r="AC201" s="161" t="str">
        <x:v>Pending</x:v>
      </x:c>
    </x:row>
    <x:row r="202" ht="34" customHeight="1">
      <x:c r="A202" s="33" t="str">
        <x:v>Draft</x:v>
      </x:c>
      <x:c r="B202" s="47" t="str">
        <x:v>ORFS90_F_SW_16_12</x:v>
      </x:c>
      <x:c r="C202" s="47" t="str">
        <x:v>FFX90 competitor matrix</x:v>
      </x:c>
      <x:c r="D202" s="47" t="str">
        <x:v>FFX90-12-16W</x:v>
      </x:c>
      <x:c r="E202" s="33" t="str">
        <x:v>ORFS</x:v>
      </x:c>
      <x:c r="F202" s="47" t="str">
        <x:v>SAE J1453 / ISO 8434-3</x:v>
      </x:c>
      <x:c r="G202" s="33" t="str">
        <x:v>Female</x:v>
      </x:c>
      <x:c r="H202" s="33" t="str">
        <x:v>Swivel</x:v>
      </x:c>
      <x:c r="I202" s="33" t="str">
        <x:v>90°</x:v>
      </x:c>
      <x:c r="J202" s="47" t="str">
        <x:v>O-ring face seal</x:v>
      </x:c>
      <x:c r="K202" s="47" t="str">
        <x:v>1-7/16-12 UN</x:v>
      </x:c>
      <x:c r="L202" s="33" t="str">
        <x:v>-16</x:v>
      </x:c>
      <x:c r="M202" s="33" t="str">
        <x:v>-12</x:v>
      </x:c>
      <x:c r="N202" s="47" t="str"/>
      <x:c r="O202" s="33" t="str"/>
      <x:c r="P202" s="50" t="str"/>
      <x:c r="Q202" s="50" t="str"/>
      <x:c r="R202" s="50" t="str"/>
      <x:c r="S202" s="50" t="str"/>
      <x:c r="T202" s="50" t="str"/>
      <x:c r="U202" s="50" t="str"/>
      <x:c r="V202" s="50" t="str"/>
      <x:c r="W202" s="50" t="str"/>
      <x:c r="X202" s="47" t="str"/>
      <x:c r="Y202" s="47" t="str"/>
      <x:c r="Z202" s="47" t="str">
        <x:v>https://www.discounthydraulichose.com/v/vspfiles/downloadables/dhh-hose.pdf#page=22</x:v>
      </x:c>
      <x:c r="AA202" s="47" t="str">
        <x:v>Competitor public catalog matrix reference. Factory drawing, dimensions, material, coating, pressure and crimp compatibility must be verified.</x:v>
      </x:c>
      <x:c r="AB202" s="161" t="str">
        <x:v>Eligible</x:v>
      </x:c>
      <x:c r="AC202" s="161" t="str">
        <x:v>Pending</x:v>
      </x:c>
    </x:row>
    <x:row r="203" ht="34" customHeight="1">
      <x:c r="A203" s="33" t="str">
        <x:v>Draft</x:v>
      </x:c>
      <x:c r="B203" s="47" t="str">
        <x:v>ORFS90_F_SW_16_16</x:v>
      </x:c>
      <x:c r="C203" s="47" t="str">
        <x:v>FFX90 competitor matrix</x:v>
      </x:c>
      <x:c r="D203" s="47" t="str">
        <x:v>FFX90-16-16W</x:v>
      </x:c>
      <x:c r="E203" s="33" t="str">
        <x:v>ORFS</x:v>
      </x:c>
      <x:c r="F203" s="47" t="str">
        <x:v>SAE J1453 / ISO 8434-3</x:v>
      </x:c>
      <x:c r="G203" s="33" t="str">
        <x:v>Female</x:v>
      </x:c>
      <x:c r="H203" s="33" t="str">
        <x:v>Swivel</x:v>
      </x:c>
      <x:c r="I203" s="33" t="str">
        <x:v>90°</x:v>
      </x:c>
      <x:c r="J203" s="47" t="str">
        <x:v>O-ring face seal</x:v>
      </x:c>
      <x:c r="K203" s="47" t="str">
        <x:v>1-7/16-12 UN</x:v>
      </x:c>
      <x:c r="L203" s="33" t="str">
        <x:v>-16</x:v>
      </x:c>
      <x:c r="M203" s="33" t="str">
        <x:v>-16</x:v>
      </x:c>
      <x:c r="N203" s="47" t="str"/>
      <x:c r="O203" s="33" t="str"/>
      <x:c r="P203" s="50" t="str"/>
      <x:c r="Q203" s="50" t="str"/>
      <x:c r="R203" s="50" t="str"/>
      <x:c r="S203" s="50" t="str"/>
      <x:c r="T203" s="50" t="str"/>
      <x:c r="U203" s="50" t="str"/>
      <x:c r="V203" s="50" t="str"/>
      <x:c r="W203" s="50" t="str"/>
      <x:c r="X203" s="47" t="str"/>
      <x:c r="Y203" s="47" t="str"/>
      <x:c r="Z203" s="47" t="str">
        <x:v>https://www.discounthydraulichose.com/v/vspfiles/downloadables/dhh-hose.pdf#page=22</x:v>
      </x:c>
      <x:c r="AA203" s="47" t="str">
        <x:v>Competitor public catalog matrix reference. Factory drawing, dimensions, material, coating, pressure and crimp compatibility must be verified.</x:v>
      </x:c>
      <x:c r="AB203" s="161" t="str">
        <x:v>Eligible</x:v>
      </x:c>
      <x:c r="AC203" s="161" t="str">
        <x:v>Pending</x:v>
      </x:c>
    </x:row>
    <x:row r="204" ht="34" customHeight="1">
      <x:c r="A204" s="34" t="str">
        <x:v>Draft</x:v>
      </x:c>
      <x:c r="B204" s="48" t="str">
        <x:v>ORFS90_F_SW_20_16</x:v>
      </x:c>
      <x:c r="C204" s="48" t="str">
        <x:v>FFX90 competitor matrix</x:v>
      </x:c>
      <x:c r="D204" s="48" t="str">
        <x:v>FFX90-16-20W</x:v>
      </x:c>
      <x:c r="E204" s="34" t="str">
        <x:v>ORFS</x:v>
      </x:c>
      <x:c r="F204" s="48" t="str">
        <x:v>SAE J1453 / ISO 8434-3</x:v>
      </x:c>
      <x:c r="G204" s="34" t="str">
        <x:v>Female</x:v>
      </x:c>
      <x:c r="H204" s="34" t="str">
        <x:v>Swivel</x:v>
      </x:c>
      <x:c r="I204" s="34" t="str">
        <x:v>90°</x:v>
      </x:c>
      <x:c r="J204" s="48" t="str">
        <x:v>O-ring face seal</x:v>
      </x:c>
      <x:c r="K204" s="48" t="str">
        <x:v>1-11/16-12 UN</x:v>
      </x:c>
      <x:c r="L204" s="34" t="str">
        <x:v>-20</x:v>
      </x:c>
      <x:c r="M204" s="34" t="str">
        <x:v>-16</x:v>
      </x:c>
      <x:c r="N204" s="48" t="str"/>
      <x:c r="O204" s="34" t="str"/>
      <x:c r="P204" s="51" t="str"/>
      <x:c r="Q204" s="51" t="str"/>
      <x:c r="R204" s="51" t="str"/>
      <x:c r="S204" s="51" t="str"/>
      <x:c r="T204" s="51" t="str"/>
      <x:c r="U204" s="51" t="str"/>
      <x:c r="V204" s="51" t="str"/>
      <x:c r="W204" s="51" t="str"/>
      <x:c r="X204" s="48" t="str"/>
      <x:c r="Y204" s="48" t="str"/>
      <x:c r="Z204" s="48" t="str">
        <x:v>https://www.discounthydraulichose.com/v/vspfiles/downloadables/dhh-hose.pdf#page=22</x:v>
      </x:c>
      <x:c r="AA204" s="48" t="str">
        <x:v>Competitor public catalog matrix reference. Factory drawing, dimensions, material, coating, pressure and crimp compatibility must be verified.</x:v>
      </x:c>
      <x:c r="AB204" s="162" t="str">
        <x:v>Eligible</x:v>
      </x:c>
      <x:c r="AC204" s="162" t="str">
        <x:v>Pending</x:v>
      </x:c>
    </x:row>
  </x:sheetData>
  <x:mergeCells>
    <x:mergeCell ref="A1:AC1"/>
    <x:mergeCell ref="A2:AC2"/>
  </x:mergeCells>
  <x:conditionalFormatting sqref="A5:A204">
    <x:cfRule type="containsText" dxfId="4" priority="1" operator="containsText" text="Ready"/>
    <x:cfRule type="containsText" dxfId="5" priority="2" operator="containsText" text="Blocked"/>
    <x:cfRule type="containsText" dxfId="6" priority="3" operator="containsText" text="Draft"/>
  </x:conditionalFormatting>
  <x:conditionalFormatting sqref="B5:B204">
    <x:cfRule type="duplicateValues" dxfId="7" priority="4"/>
  </x:conditionalFormatting>
  <x:dataValidations count="11">
    <x:dataValidation type="list" sqref="A5:A204">
      <x:formula1>"Draft,Ready,Blocked"</x:formula1>
    </x:dataValidation>
    <x:dataValidation type="list" sqref="E5:E204">
      <x:formula1>"JIC 37°,NPT,NPTF,ORFS,BSPP,BSPT,Metric DIN,SAE Flange,Banjo,Japanese,Other"</x:formula1>
    </x:dataValidation>
    <x:dataValidation type="list" sqref="G5:G204">
      <x:formula1>"Male,Female,N/A"</x:formula1>
    </x:dataValidation>
    <x:dataValidation type="list" sqref="H5:H204">
      <x:formula1>"Fixed,Swivel,Live Swivel,N/A"</x:formula1>
    </x:dataValidation>
    <x:dataValidation type="list" sqref="I5:I204">
      <x:formula1>"0° Straight,45°,90°,Other"</x:formula1>
    </x:dataValidation>
    <x:dataValidation type="list" sqref="L5:L204">
      <x:formula1>"-2,-3,-4,-5,-6,-8,-10,-12,-14,-16,-20,-24,-32,-40,-48,-56,-64"</x:formula1>
    </x:dataValidation>
    <x:dataValidation type="list" sqref="M5:M204">
      <x:formula1>"-2,-3,-4,-5,-6,-8,-10,-12,-14,-16,-20,-24,-32,-40,-48,-56,-64"</x:formula1>
    </x:dataValidation>
    <x:dataValidation type="list" sqref="O5:O204">
      <x:formula1>"Zinc plating,Zinc Nickel,Trivalent Zinc,Stainless Steel,Brass,Uncoated,Other"</x:formula1>
    </x:dataValidation>
    <x:dataValidation type="list" sqref="A5:A5004">
      <x:formula1>"Draft,Published,Archived"</x:formula1>
    </x:dataValidation>
    <x:dataValidation type="list" sqref="AB5:AB5004">
      <x:formula1>"Eligible,Manual Quote Only,Blocked"</x:formula1>
    </x:dataValidation>
    <x:dataValidation type="list" sqref="AC5:AC5004">
      <x:formula1>"Complete,Inherited,Pending"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4247dee821342af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4" hidden="0" customWidth="1"/>
    <x:col min="3" max="3" width="18" hidden="0" customWidth="1"/>
    <x:col min="4" max="4" width="22" hidden="0" customWidth="1"/>
    <x:col min="5" max="5" width="16" hidden="0" customWidth="1"/>
    <x:col min="6" max="6" width="22" hidden="0" customWidth="1"/>
    <x:col min="7" max="7" width="18" hidden="0" customWidth="1"/>
    <x:col min="8" max="8" width="18" hidden="0" customWidth="1"/>
    <x:col min="9" max="9" width="24" hidden="0" customWidth="1"/>
    <x:col min="10" max="10" width="30" hidden="0" customWidth="1"/>
    <x:col min="11" max="11" width="19" hidden="0" customWidth="1"/>
    <x:col min="12" max="12" width="22" hidden="0" customWidth="1"/>
  </x:cols>
  <x:sheetData>
    <x:row r="1" ht="30" customHeight="1">
      <x:c r="A1" s="3" t="str">
        <x:v>Ferrules / 套筒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34" customHeight="1">
      <x:c r="A2" s="12" t="str">
        <x:v>填写说明: 一行代表一个套筒 SKU；按胶管系列、结构和 Dash 建立编码，精确压接关系由 04_兼容压接管理。红色表头为必填；待补技术资料不阻断询价资格。</x:v>
      </x:c>
      <x:c r="B2" s="13"/>
      <x:c r="C2" s="13"/>
      <x:c r="D2" s="13"/>
      <x:c r="E2" s="13"/>
      <x:c r="F2" s="13"/>
      <x:c r="G2" s="13"/>
      <x:c r="H2" s="13"/>
      <x:c r="I2" s="13"/>
      <x:c r="J2" s="14"/>
    </x:row>
    <x:row r="4" ht="48" customHeight="1">
      <x:c r="A4" s="20" t="str">
        <x:v>* Catalog Publication Status / 目录发布状态</x:v>
      </x:c>
      <x:c r="B4" s="20" t="str">
        <x:v>* Ferrule SKU / 套筒SKU</x:v>
      </x:c>
      <x:c r="C4" s="20" t="str">
        <x:v>* Ferrule Series / 套筒系列</x:v>
      </x:c>
      <x:c r="D4" s="20" t="str">
        <x:v>* Hose Construction / 胶管结构</x:v>
      </x:c>
      <x:c r="E4" s="20" t="str">
        <x:v>* Hose Tail Dash / 胶管Dash</x:v>
      </x:c>
      <x:c r="F4" s="20" t="str">
        <x:v>* Skive Requirement / 剥胶要求</x:v>
      </x:c>
      <x:c r="G4" s="20" t="str">
        <x:v>* Material / 材质</x:v>
      </x:c>
      <x:c r="H4" s="20" t="str">
        <x:v>* Coating / 表面处理</x:v>
      </x:c>
      <x:c r="I4" s="20" t="str">
        <x:v>* Source Document/Page / 来源</x:v>
      </x:c>
      <x:c r="J4" s="19" t="str">
        <x:v>Notes / 备注</x:v>
      </x:c>
      <x:c r="K4" s="154" t="str">
        <x:v>* RFQ Eligibility / 询价资格</x:v>
      </x:c>
      <x:c r="L4" s="154" t="str">
        <x:v>* Technical Data Status / 技术资料状态</x:v>
      </x:c>
    </x:row>
    <x:row r="5" ht="34" customHeight="1">
      <x:c r="A5" s="32" t="str">
        <x:v>Draft</x:v>
      </x:c>
      <x:c r="B5" s="46" t="str">
        <x:v>601R1_1WB_001</x:v>
      </x:c>
      <x:c r="C5" s="46" t="str">
        <x:v>601R1</x:v>
      </x:c>
      <x:c r="D5" s="46" t="str">
        <x:v>1-wire braid</x:v>
      </x:c>
      <x:c r="E5" s="32" t="str">
        <x:v>-3</x:v>
      </x:c>
      <x:c r="F5" s="32" t="str">
        <x:v>Other</x:v>
      </x:c>
      <x:c r="G5" s="46" t="str">
        <x:v>Carbon steel</x:v>
      </x:c>
      <x:c r="H5" s="32" t="str">
        <x:v>Zinc plating</x:v>
      </x:c>
      <x:c r="I5" s="46" t="str">
        <x:v>62d65f8412ff5.pdf p.16</x:v>
      </x:c>
      <x:c r="J5" s="46" t="str">
        <x:v>Provisional SKU. Skive requirement and verified crimp compatibility are required before production approval; dimensional and drawing data are not supplied.</x:v>
      </x:c>
      <x:c r="K5" s="161" t="str">
        <x:v>Eligible</x:v>
      </x:c>
      <x:c r="L5" s="161" t="str">
        <x:v>Pending</x:v>
      </x:c>
    </x:row>
    <x:row r="6" ht="34" customHeight="1">
      <x:c r="A6" s="33" t="str">
        <x:v>Draft</x:v>
      </x:c>
      <x:c r="B6" s="47" t="str">
        <x:v>601R1_1WB_002</x:v>
      </x:c>
      <x:c r="C6" s="47" t="str">
        <x:v>601R1</x:v>
      </x:c>
      <x:c r="D6" s="47" t="str">
        <x:v>1-wire braid</x:v>
      </x:c>
      <x:c r="E6" s="33" t="str">
        <x:v>-4</x:v>
      </x:c>
      <x:c r="F6" s="33" t="str">
        <x:v>Other</x:v>
      </x:c>
      <x:c r="G6" s="47" t="str">
        <x:v>Carbon steel</x:v>
      </x:c>
      <x:c r="H6" s="33" t="str">
        <x:v>Zinc plating</x:v>
      </x:c>
      <x:c r="I6" s="47" t="str">
        <x:v>62d65f8412ff5.pdf p.16</x:v>
      </x:c>
      <x:c r="J6" s="47" t="str">
        <x:v>Provisional SKU. Skive requirement and verified crimp compatibility are required before production approval; dimensional and drawing data are not supplied.</x:v>
      </x:c>
      <x:c r="K6" s="161" t="str">
        <x:v>Eligible</x:v>
      </x:c>
      <x:c r="L6" s="161" t="str">
        <x:v>Pending</x:v>
      </x:c>
    </x:row>
    <x:row r="7" ht="34" customHeight="1">
      <x:c r="A7" s="33" t="str">
        <x:v>Draft</x:v>
      </x:c>
      <x:c r="B7" s="47" t="str">
        <x:v>601R1_1WB_003</x:v>
      </x:c>
      <x:c r="C7" s="47" t="str">
        <x:v>601R1</x:v>
      </x:c>
      <x:c r="D7" s="47" t="str">
        <x:v>1-wire braid</x:v>
      </x:c>
      <x:c r="E7" s="33" t="str">
        <x:v>-5</x:v>
      </x:c>
      <x:c r="F7" s="33" t="str">
        <x:v>Other</x:v>
      </x:c>
      <x:c r="G7" s="47" t="str">
        <x:v>Carbon steel</x:v>
      </x:c>
      <x:c r="H7" s="33" t="str">
        <x:v>Zinc plating</x:v>
      </x:c>
      <x:c r="I7" s="47" t="str">
        <x:v>62d65f8412ff5.pdf p.16</x:v>
      </x:c>
      <x:c r="J7" s="47" t="str">
        <x:v>Provisional SKU. Skive requirement and verified crimp compatibility are required before production approval; dimensional and drawing data are not supplied.</x:v>
      </x:c>
      <x:c r="K7" s="161" t="str">
        <x:v>Eligible</x:v>
      </x:c>
      <x:c r="L7" s="161" t="str">
        <x:v>Pending</x:v>
      </x:c>
    </x:row>
    <x:row r="8" ht="34" customHeight="1">
      <x:c r="A8" s="33" t="str">
        <x:v>Draft</x:v>
      </x:c>
      <x:c r="B8" s="47" t="str">
        <x:v>601R1_1WB_004</x:v>
      </x:c>
      <x:c r="C8" s="47" t="str">
        <x:v>601R1</x:v>
      </x:c>
      <x:c r="D8" s="47" t="str">
        <x:v>1-wire braid</x:v>
      </x:c>
      <x:c r="E8" s="33" t="str">
        <x:v>-6</x:v>
      </x:c>
      <x:c r="F8" s="33" t="str">
        <x:v>Other</x:v>
      </x:c>
      <x:c r="G8" s="47" t="str">
        <x:v>Carbon steel</x:v>
      </x:c>
      <x:c r="H8" s="33" t="str">
        <x:v>Zinc plating</x:v>
      </x:c>
      <x:c r="I8" s="47" t="str">
        <x:v>62d65f8412ff5.pdf p.16</x:v>
      </x:c>
      <x:c r="J8" s="47" t="str">
        <x:v>Provisional SKU. Skive requirement and verified crimp compatibility are required before production approval; dimensional and drawing data are not supplied.</x:v>
      </x:c>
      <x:c r="K8" s="161" t="str">
        <x:v>Eligible</x:v>
      </x:c>
      <x:c r="L8" s="161" t="str">
        <x:v>Pending</x:v>
      </x:c>
    </x:row>
    <x:row r="9" ht="34" customHeight="1">
      <x:c r="A9" s="33" t="str">
        <x:v>Draft</x:v>
      </x:c>
      <x:c r="B9" s="47" t="str">
        <x:v>601R1_1WB_005</x:v>
      </x:c>
      <x:c r="C9" s="47" t="str">
        <x:v>601R1</x:v>
      </x:c>
      <x:c r="D9" s="47" t="str">
        <x:v>1-wire braid</x:v>
      </x:c>
      <x:c r="E9" s="33" t="str">
        <x:v>-8</x:v>
      </x:c>
      <x:c r="F9" s="33" t="str">
        <x:v>Other</x:v>
      </x:c>
      <x:c r="G9" s="47" t="str">
        <x:v>Carbon steel</x:v>
      </x:c>
      <x:c r="H9" s="33" t="str">
        <x:v>Zinc plating</x:v>
      </x:c>
      <x:c r="I9" s="47" t="str">
        <x:v>62d65f8412ff5.pdf p.16</x:v>
      </x:c>
      <x:c r="J9" s="47" t="str">
        <x:v>Provisional SKU. Skive requirement and verified crimp compatibility are required before production approval; dimensional and drawing data are not supplied.</x:v>
      </x:c>
      <x:c r="K9" s="161" t="str">
        <x:v>Eligible</x:v>
      </x:c>
      <x:c r="L9" s="161" t="str">
        <x:v>Pending</x:v>
      </x:c>
    </x:row>
    <x:row r="10" ht="34" customHeight="1">
      <x:c r="A10" s="33" t="str">
        <x:v>Draft</x:v>
      </x:c>
      <x:c r="B10" s="47" t="str">
        <x:v>601R1_1WB_006</x:v>
      </x:c>
      <x:c r="C10" s="47" t="str">
        <x:v>601R1</x:v>
      </x:c>
      <x:c r="D10" s="47" t="str">
        <x:v>1-wire braid</x:v>
      </x:c>
      <x:c r="E10" s="33" t="str">
        <x:v>-10</x:v>
      </x:c>
      <x:c r="F10" s="33" t="str">
        <x:v>Other</x:v>
      </x:c>
      <x:c r="G10" s="47" t="str">
        <x:v>Carbon steel</x:v>
      </x:c>
      <x:c r="H10" s="33" t="str">
        <x:v>Zinc plating</x:v>
      </x:c>
      <x:c r="I10" s="47" t="str">
        <x:v>62d65f8412ff5.pdf p.16</x:v>
      </x:c>
      <x:c r="J10" s="47" t="str">
        <x:v>Provisional SKU. Skive requirement and verified crimp compatibility are required before production approval; dimensional and drawing data are not supplied.</x:v>
      </x:c>
      <x:c r="K10" s="161" t="str">
        <x:v>Eligible</x:v>
      </x:c>
      <x:c r="L10" s="161" t="str">
        <x:v>Pending</x:v>
      </x:c>
    </x:row>
    <x:row r="11" ht="34" customHeight="1">
      <x:c r="A11" s="33" t="str">
        <x:v>Draft</x:v>
      </x:c>
      <x:c r="B11" s="47" t="str">
        <x:v>601R1_1WB_007</x:v>
      </x:c>
      <x:c r="C11" s="47" t="str">
        <x:v>601R1</x:v>
      </x:c>
      <x:c r="D11" s="47" t="str">
        <x:v>1-wire braid</x:v>
      </x:c>
      <x:c r="E11" s="33" t="str">
        <x:v>-12</x:v>
      </x:c>
      <x:c r="F11" s="33" t="str">
        <x:v>Other</x:v>
      </x:c>
      <x:c r="G11" s="47" t="str">
        <x:v>Carbon steel</x:v>
      </x:c>
      <x:c r="H11" s="33" t="str">
        <x:v>Zinc plating</x:v>
      </x:c>
      <x:c r="I11" s="47" t="str">
        <x:v>62d65f8412ff5.pdf p.16</x:v>
      </x:c>
      <x:c r="J11" s="47" t="str">
        <x:v>Provisional SKU. Skive requirement and verified crimp compatibility are required before production approval; dimensional and drawing data are not supplied.</x:v>
      </x:c>
      <x:c r="K11" s="161" t="str">
        <x:v>Eligible</x:v>
      </x:c>
      <x:c r="L11" s="161" t="str">
        <x:v>Pending</x:v>
      </x:c>
    </x:row>
    <x:row r="12" ht="34" customHeight="1">
      <x:c r="A12" s="33" t="str">
        <x:v>Draft</x:v>
      </x:c>
      <x:c r="B12" s="47" t="str">
        <x:v>601R1_1WB_008</x:v>
      </x:c>
      <x:c r="C12" s="47" t="str">
        <x:v>601R1</x:v>
      </x:c>
      <x:c r="D12" s="47" t="str">
        <x:v>1-wire braid</x:v>
      </x:c>
      <x:c r="E12" s="33" t="str">
        <x:v>-14</x:v>
      </x:c>
      <x:c r="F12" s="33" t="str">
        <x:v>Other</x:v>
      </x:c>
      <x:c r="G12" s="47" t="str">
        <x:v>Carbon steel</x:v>
      </x:c>
      <x:c r="H12" s="33" t="str">
        <x:v>Zinc plating</x:v>
      </x:c>
      <x:c r="I12" s="47" t="str">
        <x:v>62d65f8412ff5.pdf p.16</x:v>
      </x:c>
      <x:c r="J12" s="47" t="str">
        <x:v>Provisional SKU. Skive requirement and verified crimp compatibility are required before production approval; dimensional and drawing data are not supplied.</x:v>
      </x:c>
      <x:c r="K12" s="161" t="str">
        <x:v>Eligible</x:v>
      </x:c>
      <x:c r="L12" s="161" t="str">
        <x:v>Pending</x:v>
      </x:c>
    </x:row>
    <x:row r="13" ht="34" customHeight="1">
      <x:c r="A13" s="33" t="str">
        <x:v>Draft</x:v>
      </x:c>
      <x:c r="B13" s="47" t="str">
        <x:v>601R1_1WB_009</x:v>
      </x:c>
      <x:c r="C13" s="47" t="str">
        <x:v>601R1</x:v>
      </x:c>
      <x:c r="D13" s="47" t="str">
        <x:v>1-wire braid</x:v>
      </x:c>
      <x:c r="E13" s="33" t="str">
        <x:v>-16</x:v>
      </x:c>
      <x:c r="F13" s="33" t="str">
        <x:v>Other</x:v>
      </x:c>
      <x:c r="G13" s="47" t="str">
        <x:v>Carbon steel</x:v>
      </x:c>
      <x:c r="H13" s="33" t="str">
        <x:v>Zinc plating</x:v>
      </x:c>
      <x:c r="I13" s="47" t="str">
        <x:v>62d65f8412ff5.pdf p.16</x:v>
      </x:c>
      <x:c r="J13" s="47" t="str">
        <x:v>Provisional SKU. Skive requirement and verified crimp compatibility are required before production approval; dimensional and drawing data are not supplied.</x:v>
      </x:c>
      <x:c r="K13" s="161" t="str">
        <x:v>Eligible</x:v>
      </x:c>
      <x:c r="L13" s="161" t="str">
        <x:v>Pending</x:v>
      </x:c>
    </x:row>
    <x:row r="14" ht="34" customHeight="1">
      <x:c r="A14" s="33" t="str">
        <x:v>Draft</x:v>
      </x:c>
      <x:c r="B14" s="47" t="str">
        <x:v>601R1_1WB_010</x:v>
      </x:c>
      <x:c r="C14" s="47" t="str">
        <x:v>601R1</x:v>
      </x:c>
      <x:c r="D14" s="47" t="str">
        <x:v>1-wire braid</x:v>
      </x:c>
      <x:c r="E14" s="33" t="str">
        <x:v>-20</x:v>
      </x:c>
      <x:c r="F14" s="33" t="str">
        <x:v>Other</x:v>
      </x:c>
      <x:c r="G14" s="47" t="str">
        <x:v>Carbon steel</x:v>
      </x:c>
      <x:c r="H14" s="33" t="str">
        <x:v>Zinc plating</x:v>
      </x:c>
      <x:c r="I14" s="47" t="str">
        <x:v>62d65f8412ff5.pdf p.16</x:v>
      </x:c>
      <x:c r="J14" s="47" t="str">
        <x:v>Provisional SKU. Skive requirement and verified crimp compatibility are required before production approval; dimensional and drawing data are not supplied.</x:v>
      </x:c>
      <x:c r="K14" s="161" t="str">
        <x:v>Eligible</x:v>
      </x:c>
      <x:c r="L14" s="161" t="str">
        <x:v>Pending</x:v>
      </x:c>
    </x:row>
    <x:row r="15" ht="34" customHeight="1">
      <x:c r="A15" s="33" t="str">
        <x:v>Draft</x:v>
      </x:c>
      <x:c r="B15" s="47" t="str">
        <x:v>601R1_1WB_011</x:v>
      </x:c>
      <x:c r="C15" s="47" t="str">
        <x:v>601R1</x:v>
      </x:c>
      <x:c r="D15" s="47" t="str">
        <x:v>1-wire braid</x:v>
      </x:c>
      <x:c r="E15" s="33" t="str">
        <x:v>-24</x:v>
      </x:c>
      <x:c r="F15" s="33" t="str">
        <x:v>Other</x:v>
      </x:c>
      <x:c r="G15" s="47" t="str">
        <x:v>Carbon steel</x:v>
      </x:c>
      <x:c r="H15" s="33" t="str">
        <x:v>Zinc plating</x:v>
      </x:c>
      <x:c r="I15" s="47" t="str">
        <x:v>62d65f8412ff5.pdf p.16</x:v>
      </x:c>
      <x:c r="J15" s="47" t="str">
        <x:v>Provisional SKU. Skive requirement and verified crimp compatibility are required before production approval; dimensional and drawing data are not supplied.</x:v>
      </x:c>
      <x:c r="K15" s="161" t="str">
        <x:v>Eligible</x:v>
      </x:c>
      <x:c r="L15" s="161" t="str">
        <x:v>Pending</x:v>
      </x:c>
    </x:row>
    <x:row r="16" ht="34" customHeight="1">
      <x:c r="A16" s="33" t="str">
        <x:v>Draft</x:v>
      </x:c>
      <x:c r="B16" s="47" t="str">
        <x:v>601R1_1WB_012</x:v>
      </x:c>
      <x:c r="C16" s="47" t="str">
        <x:v>601R1</x:v>
      </x:c>
      <x:c r="D16" s="47" t="str">
        <x:v>1-wire braid</x:v>
      </x:c>
      <x:c r="E16" s="33" t="str">
        <x:v>-32</x:v>
      </x:c>
      <x:c r="F16" s="33" t="str">
        <x:v>Other</x:v>
      </x:c>
      <x:c r="G16" s="47" t="str">
        <x:v>Carbon steel</x:v>
      </x:c>
      <x:c r="H16" s="33" t="str">
        <x:v>Zinc plating</x:v>
      </x:c>
      <x:c r="I16" s="47" t="str">
        <x:v>62d65f8412ff5.pdf p.16</x:v>
      </x:c>
      <x:c r="J16" s="47" t="str">
        <x:v>Provisional SKU. Skive requirement and verified crimp compatibility are required before production approval; dimensional and drawing data are not supplied.</x:v>
      </x:c>
      <x:c r="K16" s="161" t="str">
        <x:v>Eligible</x:v>
      </x:c>
      <x:c r="L16" s="161" t="str">
        <x:v>Pending</x:v>
      </x:c>
    </x:row>
    <x:row r="17" ht="34" customHeight="1">
      <x:c r="A17" s="33" t="str">
        <x:v>Draft</x:v>
      </x:c>
      <x:c r="B17" s="47" t="str">
        <x:v>601R1_1WB_013</x:v>
      </x:c>
      <x:c r="C17" s="47" t="str">
        <x:v>601R1</x:v>
      </x:c>
      <x:c r="D17" s="47" t="str">
        <x:v>1-wire braid</x:v>
      </x:c>
      <x:c r="E17" s="33" t="str">
        <x:v>-40</x:v>
      </x:c>
      <x:c r="F17" s="33" t="str">
        <x:v>Other</x:v>
      </x:c>
      <x:c r="G17" s="47" t="str">
        <x:v>Carbon steel</x:v>
      </x:c>
      <x:c r="H17" s="33" t="str">
        <x:v>Zinc plating</x:v>
      </x:c>
      <x:c r="I17" s="47" t="str">
        <x:v>62d65f8412ff5.pdf p.16</x:v>
      </x:c>
      <x:c r="J17" s="47" t="str">
        <x:v>Provisional SKU. Skive requirement and verified crimp compatibility are required before production approval; dimensional and drawing data are not supplied.</x:v>
      </x:c>
      <x:c r="K17" s="161" t="str">
        <x:v>Eligible</x:v>
      </x:c>
      <x:c r="L17" s="161" t="str">
        <x:v>Pending</x:v>
      </x:c>
    </x:row>
    <x:row r="18" ht="34" customHeight="1">
      <x:c r="A18" s="33" t="str">
        <x:v>Draft</x:v>
      </x:c>
      <x:c r="B18" s="47" t="str">
        <x:v>601R1_1WB_014</x:v>
      </x:c>
      <x:c r="C18" s="47" t="str">
        <x:v>601R1</x:v>
      </x:c>
      <x:c r="D18" s="47" t="str">
        <x:v>1-wire braid</x:v>
      </x:c>
      <x:c r="E18" s="33" t="str">
        <x:v>-48</x:v>
      </x:c>
      <x:c r="F18" s="33" t="str">
        <x:v>Other</x:v>
      </x:c>
      <x:c r="G18" s="47" t="str">
        <x:v>Carbon steel</x:v>
      </x:c>
      <x:c r="H18" s="33" t="str">
        <x:v>Zinc plating</x:v>
      </x:c>
      <x:c r="I18" s="47" t="str">
        <x:v>62d65f8412ff5.pdf p.16</x:v>
      </x:c>
      <x:c r="J18" s="47" t="str">
        <x:v>Provisional SKU. Skive requirement and verified crimp compatibility are required before production approval; dimensional and drawing data are not supplied.</x:v>
      </x:c>
      <x:c r="K18" s="161" t="str">
        <x:v>Eligible</x:v>
      </x:c>
      <x:c r="L18" s="161" t="str">
        <x:v>Pending</x:v>
      </x:c>
    </x:row>
    <x:row r="19" ht="34" customHeight="1">
      <x:c r="A19" s="33" t="str">
        <x:v>Draft</x:v>
      </x:c>
      <x:c r="B19" s="47" t="str">
        <x:v>601R1_1WB_015</x:v>
      </x:c>
      <x:c r="C19" s="47" t="str">
        <x:v>601R1</x:v>
      </x:c>
      <x:c r="D19" s="47" t="str">
        <x:v>1-wire braid</x:v>
      </x:c>
      <x:c r="E19" s="33" t="str">
        <x:v>-56</x:v>
      </x:c>
      <x:c r="F19" s="33" t="str">
        <x:v>Other</x:v>
      </x:c>
      <x:c r="G19" s="47" t="str">
        <x:v>Carbon steel</x:v>
      </x:c>
      <x:c r="H19" s="33" t="str">
        <x:v>Zinc plating</x:v>
      </x:c>
      <x:c r="I19" s="47" t="str">
        <x:v>62d65f8412ff5.pdf p.16</x:v>
      </x:c>
      <x:c r="J19" s="47" t="str">
        <x:v>Provisional SKU. Skive requirement and verified crimp compatibility are required before production approval; dimensional and drawing data are not supplied.</x:v>
      </x:c>
      <x:c r="K19" s="161" t="str">
        <x:v>Eligible</x:v>
      </x:c>
      <x:c r="L19" s="161" t="str">
        <x:v>Pending</x:v>
      </x:c>
    </x:row>
    <x:row r="20" ht="34" customHeight="1">
      <x:c r="A20" s="33" t="str">
        <x:v>Draft</x:v>
      </x:c>
      <x:c r="B20" s="47" t="str">
        <x:v>601R1_1WB_016</x:v>
      </x:c>
      <x:c r="C20" s="47" t="str">
        <x:v>601R1</x:v>
      </x:c>
      <x:c r="D20" s="47" t="str">
        <x:v>1-wire braid</x:v>
      </x:c>
      <x:c r="E20" s="33" t="str">
        <x:v>-64</x:v>
      </x:c>
      <x:c r="F20" s="33" t="str">
        <x:v>Other</x:v>
      </x:c>
      <x:c r="G20" s="47" t="str">
        <x:v>Carbon steel</x:v>
      </x:c>
      <x:c r="H20" s="33" t="str">
        <x:v>Zinc plating</x:v>
      </x:c>
      <x:c r="I20" s="47" t="str">
        <x:v>62d65f8412ff5.pdf p.16</x:v>
      </x:c>
      <x:c r="J20" s="47" t="str">
        <x:v>Provisional SKU. Skive requirement and verified crimp compatibility are required before production approval; dimensional and drawing data are not supplied.</x:v>
      </x:c>
      <x:c r="K20" s="161" t="str">
        <x:v>Eligible</x:v>
      </x:c>
      <x:c r="L20" s="161" t="str">
        <x:v>Pending</x:v>
      </x:c>
    </x:row>
    <x:row r="21" ht="34" customHeight="1">
      <x:c r="A21" s="33" t="str">
        <x:v>Draft</x:v>
      </x:c>
      <x:c r="B21" s="47" t="str">
        <x:v>601R2_2WB_001</x:v>
      </x:c>
      <x:c r="C21" s="47" t="str">
        <x:v>601R2</x:v>
      </x:c>
      <x:c r="D21" s="47" t="str">
        <x:v>2-wire braid</x:v>
      </x:c>
      <x:c r="E21" s="33" t="str">
        <x:v>-3</x:v>
      </x:c>
      <x:c r="F21" s="33" t="str">
        <x:v>Other</x:v>
      </x:c>
      <x:c r="G21" s="47" t="str">
        <x:v>Carbon steel</x:v>
      </x:c>
      <x:c r="H21" s="33" t="str">
        <x:v>Zinc plating</x:v>
      </x:c>
      <x:c r="I21" s="47" t="str">
        <x:v>62d65f8412ff5.pdf p.17</x:v>
      </x:c>
      <x:c r="J21" s="47" t="str">
        <x:v>Provisional SKU. Skive requirement and verified crimp compatibility are required before production approval; dimensional and drawing data are not supplied.</x:v>
      </x:c>
      <x:c r="K21" s="161" t="str">
        <x:v>Eligible</x:v>
      </x:c>
      <x:c r="L21" s="161" t="str">
        <x:v>Pending</x:v>
      </x:c>
    </x:row>
    <x:row r="22" ht="34" customHeight="1">
      <x:c r="A22" s="33" t="str">
        <x:v>Draft</x:v>
      </x:c>
      <x:c r="B22" s="47" t="str">
        <x:v>601R2_2WB_002</x:v>
      </x:c>
      <x:c r="C22" s="47" t="str">
        <x:v>601R2</x:v>
      </x:c>
      <x:c r="D22" s="47" t="str">
        <x:v>2-wire braid</x:v>
      </x:c>
      <x:c r="E22" s="33" t="str">
        <x:v>-4</x:v>
      </x:c>
      <x:c r="F22" s="33" t="str">
        <x:v>Other</x:v>
      </x:c>
      <x:c r="G22" s="47" t="str">
        <x:v>Carbon steel</x:v>
      </x:c>
      <x:c r="H22" s="33" t="str">
        <x:v>Zinc plating</x:v>
      </x:c>
      <x:c r="I22" s="47" t="str">
        <x:v>62d65f8412ff5.pdf p.17</x:v>
      </x:c>
      <x:c r="J22" s="47" t="str">
        <x:v>Provisional SKU. Skive requirement and verified crimp compatibility are required before production approval; dimensional and drawing data are not supplied.</x:v>
      </x:c>
      <x:c r="K22" s="161" t="str">
        <x:v>Eligible</x:v>
      </x:c>
      <x:c r="L22" s="161" t="str">
        <x:v>Pending</x:v>
      </x:c>
    </x:row>
    <x:row r="23" ht="34" customHeight="1">
      <x:c r="A23" s="33" t="str">
        <x:v>Draft</x:v>
      </x:c>
      <x:c r="B23" s="47" t="str">
        <x:v>601R2_2WB_003</x:v>
      </x:c>
      <x:c r="C23" s="47" t="str">
        <x:v>601R2</x:v>
      </x:c>
      <x:c r="D23" s="47" t="str">
        <x:v>2-wire braid</x:v>
      </x:c>
      <x:c r="E23" s="33" t="str">
        <x:v>-5</x:v>
      </x:c>
      <x:c r="F23" s="33" t="str">
        <x:v>Other</x:v>
      </x:c>
      <x:c r="G23" s="47" t="str">
        <x:v>Carbon steel</x:v>
      </x:c>
      <x:c r="H23" s="33" t="str">
        <x:v>Zinc plating</x:v>
      </x:c>
      <x:c r="I23" s="47" t="str">
        <x:v>62d65f8412ff5.pdf p.17</x:v>
      </x:c>
      <x:c r="J23" s="47" t="str">
        <x:v>Provisional SKU. Skive requirement and verified crimp compatibility are required before production approval; dimensional and drawing data are not supplied.</x:v>
      </x:c>
      <x:c r="K23" s="161" t="str">
        <x:v>Eligible</x:v>
      </x:c>
      <x:c r="L23" s="161" t="str">
        <x:v>Pending</x:v>
      </x:c>
    </x:row>
    <x:row r="24" ht="34" customHeight="1">
      <x:c r="A24" s="33" t="str">
        <x:v>Draft</x:v>
      </x:c>
      <x:c r="B24" s="47" t="str">
        <x:v>601R2_2WB_004</x:v>
      </x:c>
      <x:c r="C24" s="47" t="str">
        <x:v>601R2</x:v>
      </x:c>
      <x:c r="D24" s="47" t="str">
        <x:v>2-wire braid</x:v>
      </x:c>
      <x:c r="E24" s="33" t="str">
        <x:v>-6</x:v>
      </x:c>
      <x:c r="F24" s="33" t="str">
        <x:v>Other</x:v>
      </x:c>
      <x:c r="G24" s="47" t="str">
        <x:v>Carbon steel</x:v>
      </x:c>
      <x:c r="H24" s="33" t="str">
        <x:v>Zinc plating</x:v>
      </x:c>
      <x:c r="I24" s="47" t="str">
        <x:v>62d65f8412ff5.pdf p.17</x:v>
      </x:c>
      <x:c r="J24" s="47" t="str">
        <x:v>Provisional SKU. Skive requirement and verified crimp compatibility are required before production approval; dimensional and drawing data are not supplied.</x:v>
      </x:c>
      <x:c r="K24" s="161" t="str">
        <x:v>Eligible</x:v>
      </x:c>
      <x:c r="L24" s="161" t="str">
        <x:v>Pending</x:v>
      </x:c>
    </x:row>
    <x:row r="25" ht="34" customHeight="1">
      <x:c r="A25" s="33" t="str">
        <x:v>Draft</x:v>
      </x:c>
      <x:c r="B25" s="47" t="str">
        <x:v>601R2_2WB_005</x:v>
      </x:c>
      <x:c r="C25" s="47" t="str">
        <x:v>601R2</x:v>
      </x:c>
      <x:c r="D25" s="47" t="str">
        <x:v>2-wire braid</x:v>
      </x:c>
      <x:c r="E25" s="33" t="str">
        <x:v>-8</x:v>
      </x:c>
      <x:c r="F25" s="33" t="str">
        <x:v>Other</x:v>
      </x:c>
      <x:c r="G25" s="47" t="str">
        <x:v>Carbon steel</x:v>
      </x:c>
      <x:c r="H25" s="33" t="str">
        <x:v>Zinc plating</x:v>
      </x:c>
      <x:c r="I25" s="47" t="str">
        <x:v>62d65f8412ff5.pdf p.17</x:v>
      </x:c>
      <x:c r="J25" s="47" t="str">
        <x:v>Provisional SKU. Skive requirement and verified crimp compatibility are required before production approval; dimensional and drawing data are not supplied.</x:v>
      </x:c>
      <x:c r="K25" s="161" t="str">
        <x:v>Eligible</x:v>
      </x:c>
      <x:c r="L25" s="161" t="str">
        <x:v>Pending</x:v>
      </x:c>
    </x:row>
    <x:row r="26" ht="34" customHeight="1">
      <x:c r="A26" s="33" t="str">
        <x:v>Draft</x:v>
      </x:c>
      <x:c r="B26" s="47" t="str">
        <x:v>601R2_2WB_006</x:v>
      </x:c>
      <x:c r="C26" s="47" t="str">
        <x:v>601R2</x:v>
      </x:c>
      <x:c r="D26" s="47" t="str">
        <x:v>2-wire braid</x:v>
      </x:c>
      <x:c r="E26" s="33" t="str">
        <x:v>-10</x:v>
      </x:c>
      <x:c r="F26" s="33" t="str">
        <x:v>Other</x:v>
      </x:c>
      <x:c r="G26" s="47" t="str">
        <x:v>Carbon steel</x:v>
      </x:c>
      <x:c r="H26" s="33" t="str">
        <x:v>Zinc plating</x:v>
      </x:c>
      <x:c r="I26" s="47" t="str">
        <x:v>62d65f8412ff5.pdf p.17</x:v>
      </x:c>
      <x:c r="J26" s="47" t="str">
        <x:v>Provisional SKU. Skive requirement and verified crimp compatibility are required before production approval; dimensional and drawing data are not supplied.</x:v>
      </x:c>
      <x:c r="K26" s="161" t="str">
        <x:v>Eligible</x:v>
      </x:c>
      <x:c r="L26" s="161" t="str">
        <x:v>Pending</x:v>
      </x:c>
    </x:row>
    <x:row r="27" ht="34" customHeight="1">
      <x:c r="A27" s="33" t="str">
        <x:v>Draft</x:v>
      </x:c>
      <x:c r="B27" s="47" t="str">
        <x:v>601R2_2WB_007</x:v>
      </x:c>
      <x:c r="C27" s="47" t="str">
        <x:v>601R2</x:v>
      </x:c>
      <x:c r="D27" s="47" t="str">
        <x:v>2-wire braid</x:v>
      </x:c>
      <x:c r="E27" s="33" t="str">
        <x:v>-12</x:v>
      </x:c>
      <x:c r="F27" s="33" t="str">
        <x:v>Other</x:v>
      </x:c>
      <x:c r="G27" s="47" t="str">
        <x:v>Carbon steel</x:v>
      </x:c>
      <x:c r="H27" s="33" t="str">
        <x:v>Zinc plating</x:v>
      </x:c>
      <x:c r="I27" s="47" t="str">
        <x:v>62d65f8412ff5.pdf p.17</x:v>
      </x:c>
      <x:c r="J27" s="47" t="str">
        <x:v>Provisional SKU. Skive requirement and verified crimp compatibility are required before production approval; dimensional and drawing data are not supplied.</x:v>
      </x:c>
      <x:c r="K27" s="161" t="str">
        <x:v>Eligible</x:v>
      </x:c>
      <x:c r="L27" s="161" t="str">
        <x:v>Pending</x:v>
      </x:c>
    </x:row>
    <x:row r="28" ht="34" customHeight="1">
      <x:c r="A28" s="33" t="str">
        <x:v>Draft</x:v>
      </x:c>
      <x:c r="B28" s="47" t="str">
        <x:v>601R2_2WB_008</x:v>
      </x:c>
      <x:c r="C28" s="47" t="str">
        <x:v>601R2</x:v>
      </x:c>
      <x:c r="D28" s="47" t="str">
        <x:v>2-wire braid</x:v>
      </x:c>
      <x:c r="E28" s="33" t="str">
        <x:v>-14</x:v>
      </x:c>
      <x:c r="F28" s="33" t="str">
        <x:v>Other</x:v>
      </x:c>
      <x:c r="G28" s="47" t="str">
        <x:v>Carbon steel</x:v>
      </x:c>
      <x:c r="H28" s="33" t="str">
        <x:v>Zinc plating</x:v>
      </x:c>
      <x:c r="I28" s="47" t="str">
        <x:v>62d65f8412ff5.pdf p.17</x:v>
      </x:c>
      <x:c r="J28" s="47" t="str">
        <x:v>Provisional SKU. Skive requirement and verified crimp compatibility are required before production approval; dimensional and drawing data are not supplied.</x:v>
      </x:c>
      <x:c r="K28" s="161" t="str">
        <x:v>Eligible</x:v>
      </x:c>
      <x:c r="L28" s="161" t="str">
        <x:v>Pending</x:v>
      </x:c>
    </x:row>
    <x:row r="29" ht="34" customHeight="1">
      <x:c r="A29" s="33" t="str">
        <x:v>Draft</x:v>
      </x:c>
      <x:c r="B29" s="47" t="str">
        <x:v>601R2_2WB_009</x:v>
      </x:c>
      <x:c r="C29" s="47" t="str">
        <x:v>601R2</x:v>
      </x:c>
      <x:c r="D29" s="47" t="str">
        <x:v>2-wire braid</x:v>
      </x:c>
      <x:c r="E29" s="33" t="str">
        <x:v>-16</x:v>
      </x:c>
      <x:c r="F29" s="33" t="str">
        <x:v>Other</x:v>
      </x:c>
      <x:c r="G29" s="47" t="str">
        <x:v>Carbon steel</x:v>
      </x:c>
      <x:c r="H29" s="33" t="str">
        <x:v>Zinc plating</x:v>
      </x:c>
      <x:c r="I29" s="47" t="str">
        <x:v>62d65f8412ff5.pdf p.17</x:v>
      </x:c>
      <x:c r="J29" s="47" t="str">
        <x:v>Provisional SKU. Skive requirement and verified crimp compatibility are required before production approval; dimensional and drawing data are not supplied.</x:v>
      </x:c>
      <x:c r="K29" s="161" t="str">
        <x:v>Eligible</x:v>
      </x:c>
      <x:c r="L29" s="161" t="str">
        <x:v>Pending</x:v>
      </x:c>
    </x:row>
    <x:row r="30" ht="34" customHeight="1">
      <x:c r="A30" s="33" t="str">
        <x:v>Draft</x:v>
      </x:c>
      <x:c r="B30" s="47" t="str">
        <x:v>601R2_2WB_010</x:v>
      </x:c>
      <x:c r="C30" s="47" t="str">
        <x:v>601R2</x:v>
      </x:c>
      <x:c r="D30" s="47" t="str">
        <x:v>2-wire braid</x:v>
      </x:c>
      <x:c r="E30" s="33" t="str">
        <x:v>-20</x:v>
      </x:c>
      <x:c r="F30" s="33" t="str">
        <x:v>Other</x:v>
      </x:c>
      <x:c r="G30" s="47" t="str">
        <x:v>Carbon steel</x:v>
      </x:c>
      <x:c r="H30" s="33" t="str">
        <x:v>Zinc plating</x:v>
      </x:c>
      <x:c r="I30" s="47" t="str">
        <x:v>62d65f8412ff5.pdf p.17</x:v>
      </x:c>
      <x:c r="J30" s="47" t="str">
        <x:v>Provisional SKU. Skive requirement and verified crimp compatibility are required before production approval; dimensional and drawing data are not supplied.</x:v>
      </x:c>
      <x:c r="K30" s="161" t="str">
        <x:v>Eligible</x:v>
      </x:c>
      <x:c r="L30" s="161" t="str">
        <x:v>Pending</x:v>
      </x:c>
    </x:row>
    <x:row r="31" ht="34" customHeight="1">
      <x:c r="A31" s="33" t="str">
        <x:v>Draft</x:v>
      </x:c>
      <x:c r="B31" s="47" t="str">
        <x:v>601R2_2WB_011</x:v>
      </x:c>
      <x:c r="C31" s="47" t="str">
        <x:v>601R2</x:v>
      </x:c>
      <x:c r="D31" s="47" t="str">
        <x:v>2-wire braid</x:v>
      </x:c>
      <x:c r="E31" s="33" t="str">
        <x:v>-24</x:v>
      </x:c>
      <x:c r="F31" s="33" t="str">
        <x:v>Other</x:v>
      </x:c>
      <x:c r="G31" s="47" t="str">
        <x:v>Carbon steel</x:v>
      </x:c>
      <x:c r="H31" s="33" t="str">
        <x:v>Zinc plating</x:v>
      </x:c>
      <x:c r="I31" s="47" t="str">
        <x:v>62d65f8412ff5.pdf p.17</x:v>
      </x:c>
      <x:c r="J31" s="47" t="str">
        <x:v>Provisional SKU. Skive requirement and verified crimp compatibility are required before production approval; dimensional and drawing data are not supplied.</x:v>
      </x:c>
      <x:c r="K31" s="161" t="str">
        <x:v>Eligible</x:v>
      </x:c>
      <x:c r="L31" s="161" t="str">
        <x:v>Pending</x:v>
      </x:c>
    </x:row>
    <x:row r="32" ht="34" customHeight="1">
      <x:c r="A32" s="33" t="str">
        <x:v>Draft</x:v>
      </x:c>
      <x:c r="B32" s="47" t="str">
        <x:v>601R2_2WB_012</x:v>
      </x:c>
      <x:c r="C32" s="47" t="str">
        <x:v>601R2</x:v>
      </x:c>
      <x:c r="D32" s="47" t="str">
        <x:v>2-wire braid</x:v>
      </x:c>
      <x:c r="E32" s="33" t="str">
        <x:v>-32</x:v>
      </x:c>
      <x:c r="F32" s="33" t="str">
        <x:v>Other</x:v>
      </x:c>
      <x:c r="G32" s="47" t="str">
        <x:v>Carbon steel</x:v>
      </x:c>
      <x:c r="H32" s="33" t="str">
        <x:v>Zinc plating</x:v>
      </x:c>
      <x:c r="I32" s="47" t="str">
        <x:v>62d65f8412ff5.pdf p.17</x:v>
      </x:c>
      <x:c r="J32" s="47" t="str">
        <x:v>Provisional SKU. Skive requirement and verified crimp compatibility are required before production approval; dimensional and drawing data are not supplied.</x:v>
      </x:c>
      <x:c r="K32" s="161" t="str">
        <x:v>Eligible</x:v>
      </x:c>
      <x:c r="L32" s="161" t="str">
        <x:v>Pending</x:v>
      </x:c>
    </x:row>
    <x:row r="33" ht="34" customHeight="1">
      <x:c r="A33" s="33" t="str">
        <x:v>Draft</x:v>
      </x:c>
      <x:c r="B33" s="47" t="str">
        <x:v>601R2_2WB_013</x:v>
      </x:c>
      <x:c r="C33" s="47" t="str">
        <x:v>601R2</x:v>
      </x:c>
      <x:c r="D33" s="47" t="str">
        <x:v>2-wire braid</x:v>
      </x:c>
      <x:c r="E33" s="33" t="str">
        <x:v>-40</x:v>
      </x:c>
      <x:c r="F33" s="33" t="str">
        <x:v>Other</x:v>
      </x:c>
      <x:c r="G33" s="47" t="str">
        <x:v>Carbon steel</x:v>
      </x:c>
      <x:c r="H33" s="33" t="str">
        <x:v>Zinc plating</x:v>
      </x:c>
      <x:c r="I33" s="47" t="str">
        <x:v>62d65f8412ff5.pdf p.17</x:v>
      </x:c>
      <x:c r="J33" s="47" t="str">
        <x:v>Provisional SKU. Skive requirement and verified crimp compatibility are required before production approval; dimensional and drawing data are not supplied.</x:v>
      </x:c>
      <x:c r="K33" s="161" t="str">
        <x:v>Eligible</x:v>
      </x:c>
      <x:c r="L33" s="161" t="str">
        <x:v>Pending</x:v>
      </x:c>
    </x:row>
    <x:row r="34" ht="34" customHeight="1">
      <x:c r="A34" s="33" t="str">
        <x:v>Draft</x:v>
      </x:c>
      <x:c r="B34" s="47" t="str">
        <x:v>601R2_2WB_014</x:v>
      </x:c>
      <x:c r="C34" s="47" t="str">
        <x:v>601R2</x:v>
      </x:c>
      <x:c r="D34" s="47" t="str">
        <x:v>2-wire braid</x:v>
      </x:c>
      <x:c r="E34" s="33" t="str">
        <x:v>-48</x:v>
      </x:c>
      <x:c r="F34" s="33" t="str">
        <x:v>Other</x:v>
      </x:c>
      <x:c r="G34" s="47" t="str">
        <x:v>Carbon steel</x:v>
      </x:c>
      <x:c r="H34" s="33" t="str">
        <x:v>Zinc plating</x:v>
      </x:c>
      <x:c r="I34" s="47" t="str">
        <x:v>62d65f8412ff5.pdf p.17</x:v>
      </x:c>
      <x:c r="J34" s="47" t="str">
        <x:v>Provisional SKU. Skive requirement and verified crimp compatibility are required before production approval; dimensional and drawing data are not supplied.</x:v>
      </x:c>
      <x:c r="K34" s="161" t="str">
        <x:v>Eligible</x:v>
      </x:c>
      <x:c r="L34" s="161" t="str">
        <x:v>Pending</x:v>
      </x:c>
    </x:row>
    <x:row r="35" ht="34" customHeight="1">
      <x:c r="A35" s="33" t="str">
        <x:v>Draft</x:v>
      </x:c>
      <x:c r="B35" s="47" t="str">
        <x:v>601R2_2WB_015</x:v>
      </x:c>
      <x:c r="C35" s="47" t="str">
        <x:v>601R2</x:v>
      </x:c>
      <x:c r="D35" s="47" t="str">
        <x:v>2-wire braid</x:v>
      </x:c>
      <x:c r="E35" s="33" t="str">
        <x:v>-56</x:v>
      </x:c>
      <x:c r="F35" s="33" t="str">
        <x:v>Other</x:v>
      </x:c>
      <x:c r="G35" s="47" t="str">
        <x:v>Carbon steel</x:v>
      </x:c>
      <x:c r="H35" s="33" t="str">
        <x:v>Zinc plating</x:v>
      </x:c>
      <x:c r="I35" s="47" t="str">
        <x:v>62d65f8412ff5.pdf p.17</x:v>
      </x:c>
      <x:c r="J35" s="47" t="str">
        <x:v>Provisional SKU. Skive requirement and verified crimp compatibility are required before production approval; dimensional and drawing data are not supplied.</x:v>
      </x:c>
      <x:c r="K35" s="161" t="str">
        <x:v>Eligible</x:v>
      </x:c>
      <x:c r="L35" s="161" t="str">
        <x:v>Pending</x:v>
      </x:c>
    </x:row>
    <x:row r="36" ht="34" customHeight="1">
      <x:c r="A36" s="33" t="str">
        <x:v>Draft</x:v>
      </x:c>
      <x:c r="B36" s="47" t="str">
        <x:v>601R2_2WB_016</x:v>
      </x:c>
      <x:c r="C36" s="47" t="str">
        <x:v>601R2</x:v>
      </x:c>
      <x:c r="D36" s="47" t="str">
        <x:v>2-wire braid</x:v>
      </x:c>
      <x:c r="E36" s="33" t="str">
        <x:v>-64</x:v>
      </x:c>
      <x:c r="F36" s="33" t="str">
        <x:v>Other</x:v>
      </x:c>
      <x:c r="G36" s="47" t="str">
        <x:v>Carbon steel</x:v>
      </x:c>
      <x:c r="H36" s="33" t="str">
        <x:v>Zinc plating</x:v>
      </x:c>
      <x:c r="I36" s="47" t="str">
        <x:v>62d65f8412ff5.pdf p.17</x:v>
      </x:c>
      <x:c r="J36" s="47" t="str">
        <x:v>Provisional SKU. Skive requirement and verified crimp compatibility are required before production approval; dimensional and drawing data are not supplied.</x:v>
      </x:c>
      <x:c r="K36" s="161" t="str">
        <x:v>Eligible</x:v>
      </x:c>
      <x:c r="L36" s="161" t="str">
        <x:v>Pending</x:v>
      </x:c>
    </x:row>
    <x:row r="37" ht="34" customHeight="1">
      <x:c r="A37" s="33" t="str">
        <x:v>Draft</x:v>
      </x:c>
      <x:c r="B37" s="47" t="str">
        <x:v>EN1SC_1WB_001</x:v>
      </x:c>
      <x:c r="C37" s="47" t="str">
        <x:v>EN1SC</x:v>
      </x:c>
      <x:c r="D37" s="47" t="str">
        <x:v>1-wire braid</x:v>
      </x:c>
      <x:c r="E37" s="33" t="str">
        <x:v>-4</x:v>
      </x:c>
      <x:c r="F37" s="33" t="str">
        <x:v>Other</x:v>
      </x:c>
      <x:c r="G37" s="47" t="str">
        <x:v>Carbon steel</x:v>
      </x:c>
      <x:c r="H37" s="33" t="str">
        <x:v>Zinc plating</x:v>
      </x:c>
      <x:c r="I37" s="47" t="str">
        <x:v>62d65f8412ff5.pdf p.15</x:v>
      </x:c>
      <x:c r="J37" s="47" t="str">
        <x:v>Provisional SKU. Skive requirement and verified crimp compatibility are required before production approval; dimensional and drawing data are not supplied.</x:v>
      </x:c>
      <x:c r="K37" s="161" t="str">
        <x:v>Eligible</x:v>
      </x:c>
      <x:c r="L37" s="161" t="str">
        <x:v>Pending</x:v>
      </x:c>
    </x:row>
    <x:row r="38" ht="34" customHeight="1">
      <x:c r="A38" s="33" t="str">
        <x:v>Draft</x:v>
      </x:c>
      <x:c r="B38" s="47" t="str">
        <x:v>EN1SC_1WB_002</x:v>
      </x:c>
      <x:c r="C38" s="47" t="str">
        <x:v>EN1SC</x:v>
      </x:c>
      <x:c r="D38" s="47" t="str">
        <x:v>1-wire braid</x:v>
      </x:c>
      <x:c r="E38" s="33" t="str">
        <x:v>-5</x:v>
      </x:c>
      <x:c r="F38" s="33" t="str">
        <x:v>Other</x:v>
      </x:c>
      <x:c r="G38" s="47" t="str">
        <x:v>Carbon steel</x:v>
      </x:c>
      <x:c r="H38" s="33" t="str">
        <x:v>Zinc plating</x:v>
      </x:c>
      <x:c r="I38" s="47" t="str">
        <x:v>62d65f8412ff5.pdf p.15</x:v>
      </x:c>
      <x:c r="J38" s="47" t="str">
        <x:v>Provisional SKU. Skive requirement and verified crimp compatibility are required before production approval; dimensional and drawing data are not supplied.</x:v>
      </x:c>
      <x:c r="K38" s="161" t="str">
        <x:v>Eligible</x:v>
      </x:c>
      <x:c r="L38" s="161" t="str">
        <x:v>Pending</x:v>
      </x:c>
    </x:row>
    <x:row r="39" ht="34" customHeight="1">
      <x:c r="A39" s="33" t="str">
        <x:v>Draft</x:v>
      </x:c>
      <x:c r="B39" s="47" t="str">
        <x:v>EN1SC_1WB_003</x:v>
      </x:c>
      <x:c r="C39" s="47" t="str">
        <x:v>EN1SC</x:v>
      </x:c>
      <x:c r="D39" s="47" t="str">
        <x:v>1-wire braid</x:v>
      </x:c>
      <x:c r="E39" s="33" t="str">
        <x:v>-6</x:v>
      </x:c>
      <x:c r="F39" s="33" t="str">
        <x:v>Other</x:v>
      </x:c>
      <x:c r="G39" s="47" t="str">
        <x:v>Carbon steel</x:v>
      </x:c>
      <x:c r="H39" s="33" t="str">
        <x:v>Zinc plating</x:v>
      </x:c>
      <x:c r="I39" s="47" t="str">
        <x:v>62d65f8412ff5.pdf p.15</x:v>
      </x:c>
      <x:c r="J39" s="47" t="str">
        <x:v>Provisional SKU. Skive requirement and verified crimp compatibility are required before production approval; dimensional and drawing data are not supplied.</x:v>
      </x:c>
      <x:c r="K39" s="161" t="str">
        <x:v>Eligible</x:v>
      </x:c>
      <x:c r="L39" s="161" t="str">
        <x:v>Pending</x:v>
      </x:c>
    </x:row>
    <x:row r="40" ht="34" customHeight="1">
      <x:c r="A40" s="33" t="str">
        <x:v>Draft</x:v>
      </x:c>
      <x:c r="B40" s="47" t="str">
        <x:v>EN1SC_1WB_004</x:v>
      </x:c>
      <x:c r="C40" s="47" t="str">
        <x:v>EN1SC</x:v>
      </x:c>
      <x:c r="D40" s="47" t="str">
        <x:v>1-wire braid</x:v>
      </x:c>
      <x:c r="E40" s="33" t="str">
        <x:v>-8</x:v>
      </x:c>
      <x:c r="F40" s="33" t="str">
        <x:v>Other</x:v>
      </x:c>
      <x:c r="G40" s="47" t="str">
        <x:v>Carbon steel</x:v>
      </x:c>
      <x:c r="H40" s="33" t="str">
        <x:v>Zinc plating</x:v>
      </x:c>
      <x:c r="I40" s="47" t="str">
        <x:v>62d65f8412ff5.pdf p.15</x:v>
      </x:c>
      <x:c r="J40" s="47" t="str">
        <x:v>Provisional SKU. Skive requirement and verified crimp compatibility are required before production approval; dimensional and drawing data are not supplied.</x:v>
      </x:c>
      <x:c r="K40" s="161" t="str">
        <x:v>Eligible</x:v>
      </x:c>
      <x:c r="L40" s="161" t="str">
        <x:v>Pending</x:v>
      </x:c>
    </x:row>
    <x:row r="41" ht="34" customHeight="1">
      <x:c r="A41" s="33" t="str">
        <x:v>Draft</x:v>
      </x:c>
      <x:c r="B41" s="47" t="str">
        <x:v>EN1SC_1WB_005</x:v>
      </x:c>
      <x:c r="C41" s="47" t="str">
        <x:v>EN1SC</x:v>
      </x:c>
      <x:c r="D41" s="47" t="str">
        <x:v>1-wire braid</x:v>
      </x:c>
      <x:c r="E41" s="33" t="str">
        <x:v>-10</x:v>
      </x:c>
      <x:c r="F41" s="33" t="str">
        <x:v>Other</x:v>
      </x:c>
      <x:c r="G41" s="47" t="str">
        <x:v>Carbon steel</x:v>
      </x:c>
      <x:c r="H41" s="33" t="str">
        <x:v>Zinc plating</x:v>
      </x:c>
      <x:c r="I41" s="47" t="str">
        <x:v>62d65f8412ff5.pdf p.15</x:v>
      </x:c>
      <x:c r="J41" s="47" t="str">
        <x:v>Provisional SKU. Skive requirement and verified crimp compatibility are required before production approval; dimensional and drawing data are not supplied.</x:v>
      </x:c>
      <x:c r="K41" s="161" t="str">
        <x:v>Eligible</x:v>
      </x:c>
      <x:c r="L41" s="161" t="str">
        <x:v>Pending</x:v>
      </x:c>
    </x:row>
    <x:row r="42" ht="34" customHeight="1">
      <x:c r="A42" s="33" t="str">
        <x:v>Draft</x:v>
      </x:c>
      <x:c r="B42" s="47" t="str">
        <x:v>EN1SC_1WB_006</x:v>
      </x:c>
      <x:c r="C42" s="47" t="str">
        <x:v>EN1SC</x:v>
      </x:c>
      <x:c r="D42" s="47" t="str">
        <x:v>1-wire braid</x:v>
      </x:c>
      <x:c r="E42" s="33" t="str">
        <x:v>-12</x:v>
      </x:c>
      <x:c r="F42" s="33" t="str">
        <x:v>Other</x:v>
      </x:c>
      <x:c r="G42" s="47" t="str">
        <x:v>Carbon steel</x:v>
      </x:c>
      <x:c r="H42" s="33" t="str">
        <x:v>Zinc plating</x:v>
      </x:c>
      <x:c r="I42" s="47" t="str">
        <x:v>62d65f8412ff5.pdf p.15</x:v>
      </x:c>
      <x:c r="J42" s="47" t="str">
        <x:v>Provisional SKU. Skive requirement and verified crimp compatibility are required before production approval; dimensional and drawing data are not supplied.</x:v>
      </x:c>
      <x:c r="K42" s="161" t="str">
        <x:v>Eligible</x:v>
      </x:c>
      <x:c r="L42" s="161" t="str">
        <x:v>Pending</x:v>
      </x:c>
    </x:row>
    <x:row r="43" ht="34" customHeight="1">
      <x:c r="A43" s="33" t="str">
        <x:v>Draft</x:v>
      </x:c>
      <x:c r="B43" s="47" t="str">
        <x:v>EN1SC_1WB_007</x:v>
      </x:c>
      <x:c r="C43" s="47" t="str">
        <x:v>EN1SC</x:v>
      </x:c>
      <x:c r="D43" s="47" t="str">
        <x:v>1-wire braid</x:v>
      </x:c>
      <x:c r="E43" s="33" t="str">
        <x:v>-16</x:v>
      </x:c>
      <x:c r="F43" s="33" t="str">
        <x:v>Other</x:v>
      </x:c>
      <x:c r="G43" s="47" t="str">
        <x:v>Carbon steel</x:v>
      </x:c>
      <x:c r="H43" s="33" t="str">
        <x:v>Zinc plating</x:v>
      </x:c>
      <x:c r="I43" s="47" t="str">
        <x:v>62d65f8412ff5.pdf p.15</x:v>
      </x:c>
      <x:c r="J43" s="47" t="str">
        <x:v>Provisional SKU. Skive requirement and verified crimp compatibility are required before production approval; dimensional and drawing data are not supplied.</x:v>
      </x:c>
      <x:c r="K43" s="161" t="str">
        <x:v>Eligible</x:v>
      </x:c>
      <x:c r="L43" s="161" t="str">
        <x:v>Pending</x:v>
      </x:c>
    </x:row>
    <x:row r="44" ht="34" customHeight="1">
      <x:c r="A44" s="33" t="str">
        <x:v>Draft</x:v>
      </x:c>
      <x:c r="B44" s="47" t="str">
        <x:v>EN2SC_2WB_001</x:v>
      </x:c>
      <x:c r="C44" s="47" t="str">
        <x:v>EN2SC</x:v>
      </x:c>
      <x:c r="D44" s="47" t="str">
        <x:v>2-wire braid</x:v>
      </x:c>
      <x:c r="E44" s="33" t="str">
        <x:v>-4</x:v>
      </x:c>
      <x:c r="F44" s="33" t="str">
        <x:v>Other</x:v>
      </x:c>
      <x:c r="G44" s="47" t="str">
        <x:v>Carbon steel</x:v>
      </x:c>
      <x:c r="H44" s="33" t="str">
        <x:v>Zinc plating</x:v>
      </x:c>
      <x:c r="I44" s="47" t="str">
        <x:v>62d65f8412ff5.pdf p.16</x:v>
      </x:c>
      <x:c r="J44" s="47" t="str">
        <x:v>Provisional SKU. Skive requirement and verified crimp compatibility are required before production approval; dimensional and drawing data are not supplied.</x:v>
      </x:c>
      <x:c r="K44" s="161" t="str">
        <x:v>Eligible</x:v>
      </x:c>
      <x:c r="L44" s="161" t="str">
        <x:v>Pending</x:v>
      </x:c>
    </x:row>
    <x:row r="45" ht="34" customHeight="1">
      <x:c r="A45" s="33" t="str">
        <x:v>Draft</x:v>
      </x:c>
      <x:c r="B45" s="47" t="str">
        <x:v>EN2SC_2WB_002</x:v>
      </x:c>
      <x:c r="C45" s="47" t="str">
        <x:v>EN2SC</x:v>
      </x:c>
      <x:c r="D45" s="47" t="str">
        <x:v>2-wire braid</x:v>
      </x:c>
      <x:c r="E45" s="33" t="str">
        <x:v>-5</x:v>
      </x:c>
      <x:c r="F45" s="33" t="str">
        <x:v>Other</x:v>
      </x:c>
      <x:c r="G45" s="47" t="str">
        <x:v>Carbon steel</x:v>
      </x:c>
      <x:c r="H45" s="33" t="str">
        <x:v>Zinc plating</x:v>
      </x:c>
      <x:c r="I45" s="47" t="str">
        <x:v>62d65f8412ff5.pdf p.16</x:v>
      </x:c>
      <x:c r="J45" s="47" t="str">
        <x:v>Provisional SKU. Skive requirement and verified crimp compatibility are required before production approval; dimensional and drawing data are not supplied.</x:v>
      </x:c>
      <x:c r="K45" s="161" t="str">
        <x:v>Eligible</x:v>
      </x:c>
      <x:c r="L45" s="161" t="str">
        <x:v>Pending</x:v>
      </x:c>
    </x:row>
    <x:row r="46" ht="34" customHeight="1">
      <x:c r="A46" s="33" t="str">
        <x:v>Draft</x:v>
      </x:c>
      <x:c r="B46" s="47" t="str">
        <x:v>EN2SC_2WB_003</x:v>
      </x:c>
      <x:c r="C46" s="47" t="str">
        <x:v>EN2SC</x:v>
      </x:c>
      <x:c r="D46" s="47" t="str">
        <x:v>2-wire braid</x:v>
      </x:c>
      <x:c r="E46" s="33" t="str">
        <x:v>-6</x:v>
      </x:c>
      <x:c r="F46" s="33" t="str">
        <x:v>Other</x:v>
      </x:c>
      <x:c r="G46" s="47" t="str">
        <x:v>Carbon steel</x:v>
      </x:c>
      <x:c r="H46" s="33" t="str">
        <x:v>Zinc plating</x:v>
      </x:c>
      <x:c r="I46" s="47" t="str">
        <x:v>62d65f8412ff5.pdf p.16</x:v>
      </x:c>
      <x:c r="J46" s="47" t="str">
        <x:v>Provisional SKU. Skive requirement and verified crimp compatibility are required before production approval; dimensional and drawing data are not supplied.</x:v>
      </x:c>
      <x:c r="K46" s="161" t="str">
        <x:v>Eligible</x:v>
      </x:c>
      <x:c r="L46" s="161" t="str">
        <x:v>Pending</x:v>
      </x:c>
    </x:row>
    <x:row r="47" ht="34" customHeight="1">
      <x:c r="A47" s="33" t="str">
        <x:v>Draft</x:v>
      </x:c>
      <x:c r="B47" s="47" t="str">
        <x:v>EN2SC_2WB_004</x:v>
      </x:c>
      <x:c r="C47" s="47" t="str">
        <x:v>EN2SC</x:v>
      </x:c>
      <x:c r="D47" s="47" t="str">
        <x:v>2-wire braid</x:v>
      </x:c>
      <x:c r="E47" s="33" t="str">
        <x:v>-8</x:v>
      </x:c>
      <x:c r="F47" s="33" t="str">
        <x:v>Other</x:v>
      </x:c>
      <x:c r="G47" s="47" t="str">
        <x:v>Carbon steel</x:v>
      </x:c>
      <x:c r="H47" s="33" t="str">
        <x:v>Zinc plating</x:v>
      </x:c>
      <x:c r="I47" s="47" t="str">
        <x:v>62d65f8412ff5.pdf p.16</x:v>
      </x:c>
      <x:c r="J47" s="47" t="str">
        <x:v>Provisional SKU. Skive requirement and verified crimp compatibility are required before production approval; dimensional and drawing data are not supplied.</x:v>
      </x:c>
      <x:c r="K47" s="161" t="str">
        <x:v>Eligible</x:v>
      </x:c>
      <x:c r="L47" s="161" t="str">
        <x:v>Pending</x:v>
      </x:c>
    </x:row>
    <x:row r="48" ht="34" customHeight="1">
      <x:c r="A48" s="33" t="str">
        <x:v>Draft</x:v>
      </x:c>
      <x:c r="B48" s="47" t="str">
        <x:v>EN2SC_2WB_005</x:v>
      </x:c>
      <x:c r="C48" s="47" t="str">
        <x:v>EN2SC</x:v>
      </x:c>
      <x:c r="D48" s="47" t="str">
        <x:v>2-wire braid</x:v>
      </x:c>
      <x:c r="E48" s="33" t="str">
        <x:v>-10</x:v>
      </x:c>
      <x:c r="F48" s="33" t="str">
        <x:v>Other</x:v>
      </x:c>
      <x:c r="G48" s="47" t="str">
        <x:v>Carbon steel</x:v>
      </x:c>
      <x:c r="H48" s="33" t="str">
        <x:v>Zinc plating</x:v>
      </x:c>
      <x:c r="I48" s="47" t="str">
        <x:v>62d65f8412ff5.pdf p.16</x:v>
      </x:c>
      <x:c r="J48" s="47" t="str">
        <x:v>Provisional SKU. Skive requirement and verified crimp compatibility are required before production approval; dimensional and drawing data are not supplied.</x:v>
      </x:c>
      <x:c r="K48" s="161" t="str">
        <x:v>Eligible</x:v>
      </x:c>
      <x:c r="L48" s="161" t="str">
        <x:v>Pending</x:v>
      </x:c>
    </x:row>
    <x:row r="49" ht="34" customHeight="1">
      <x:c r="A49" s="33" t="str">
        <x:v>Draft</x:v>
      </x:c>
      <x:c r="B49" s="47" t="str">
        <x:v>EN2SC_2WB_006</x:v>
      </x:c>
      <x:c r="C49" s="47" t="str">
        <x:v>EN2SC</x:v>
      </x:c>
      <x:c r="D49" s="47" t="str">
        <x:v>2-wire braid</x:v>
      </x:c>
      <x:c r="E49" s="33" t="str">
        <x:v>-12</x:v>
      </x:c>
      <x:c r="F49" s="33" t="str">
        <x:v>Other</x:v>
      </x:c>
      <x:c r="G49" s="47" t="str">
        <x:v>Carbon steel</x:v>
      </x:c>
      <x:c r="H49" s="33" t="str">
        <x:v>Zinc plating</x:v>
      </x:c>
      <x:c r="I49" s="47" t="str">
        <x:v>62d65f8412ff5.pdf p.16</x:v>
      </x:c>
      <x:c r="J49" s="47" t="str">
        <x:v>Provisional SKU. Skive requirement and verified crimp compatibility are required before production approval; dimensional and drawing data are not supplied.</x:v>
      </x:c>
      <x:c r="K49" s="161" t="str">
        <x:v>Eligible</x:v>
      </x:c>
      <x:c r="L49" s="161" t="str">
        <x:v>Pending</x:v>
      </x:c>
    </x:row>
    <x:row r="50" ht="34" customHeight="1">
      <x:c r="A50" s="33" t="str">
        <x:v>Draft</x:v>
      </x:c>
      <x:c r="B50" s="47" t="str">
        <x:v>EN2SC_2WB_007</x:v>
      </x:c>
      <x:c r="C50" s="47" t="str">
        <x:v>EN2SC</x:v>
      </x:c>
      <x:c r="D50" s="47" t="str">
        <x:v>2-wire braid</x:v>
      </x:c>
      <x:c r="E50" s="33" t="str">
        <x:v>-16</x:v>
      </x:c>
      <x:c r="F50" s="33" t="str">
        <x:v>Other</x:v>
      </x:c>
      <x:c r="G50" s="47" t="str">
        <x:v>Carbon steel</x:v>
      </x:c>
      <x:c r="H50" s="33" t="str">
        <x:v>Zinc plating</x:v>
      </x:c>
      <x:c r="I50" s="47" t="str">
        <x:v>62d65f8412ff5.pdf p.16</x:v>
      </x:c>
      <x:c r="J50" s="47" t="str">
        <x:v>Provisional SKU. Skive requirement and verified crimp compatibility are required before production approval; dimensional and drawing data are not supplied.</x:v>
      </x:c>
      <x:c r="K50" s="161" t="str">
        <x:v>Eligible</x:v>
      </x:c>
      <x:c r="L50" s="161" t="str">
        <x:v>Pending</x:v>
      </x:c>
    </x:row>
    <x:row r="51" ht="34" customHeight="1">
      <x:c r="A51" s="33" t="str">
        <x:v>Draft</x:v>
      </x:c>
      <x:c r="B51" s="47" t="str">
        <x:v>EN4SP_4SP_001</x:v>
      </x:c>
      <x:c r="C51" s="47" t="str">
        <x:v>EN4SP</x:v>
      </x:c>
      <x:c r="D51" s="47" t="str">
        <x:v>4-wire spiral 4SP</x:v>
      </x:c>
      <x:c r="E51" s="33" t="str">
        <x:v>-4</x:v>
      </x:c>
      <x:c r="F51" s="33" t="str">
        <x:v>Other</x:v>
      </x:c>
      <x:c r="G51" s="47" t="str">
        <x:v>Carbon steel</x:v>
      </x:c>
      <x:c r="H51" s="33" t="str">
        <x:v>Zinc plating</x:v>
      </x:c>
      <x:c r="I51" s="47" t="str">
        <x:v>62d65f8412ff5.pdf p.9</x:v>
      </x:c>
      <x:c r="J51" s="47" t="str">
        <x:v>Provisional SKU. Skive requirement and verified crimp compatibility are required before production approval; dimensional and drawing data are not supplied.</x:v>
      </x:c>
      <x:c r="K51" s="161" t="str">
        <x:v>Eligible</x:v>
      </x:c>
      <x:c r="L51" s="161" t="str">
        <x:v>Pending</x:v>
      </x:c>
    </x:row>
    <x:row r="52" ht="34" customHeight="1">
      <x:c r="A52" s="33" t="str">
        <x:v>Draft</x:v>
      </x:c>
      <x:c r="B52" s="47" t="str">
        <x:v>EN4SP_4SP_002</x:v>
      </x:c>
      <x:c r="C52" s="47" t="str">
        <x:v>EN4SP</x:v>
      </x:c>
      <x:c r="D52" s="47" t="str">
        <x:v>4-wire spiral 4SP</x:v>
      </x:c>
      <x:c r="E52" s="33" t="str">
        <x:v>-6</x:v>
      </x:c>
      <x:c r="F52" s="33" t="str">
        <x:v>Other</x:v>
      </x:c>
      <x:c r="G52" s="47" t="str">
        <x:v>Carbon steel</x:v>
      </x:c>
      <x:c r="H52" s="33" t="str">
        <x:v>Zinc plating</x:v>
      </x:c>
      <x:c r="I52" s="47" t="str">
        <x:v>62d65f8412ff5.pdf p.9</x:v>
      </x:c>
      <x:c r="J52" s="47" t="str">
        <x:v>Provisional SKU. Skive requirement and verified crimp compatibility are required before production approval; dimensional and drawing data are not supplied.</x:v>
      </x:c>
      <x:c r="K52" s="161" t="str">
        <x:v>Eligible</x:v>
      </x:c>
      <x:c r="L52" s="161" t="str">
        <x:v>Pending</x:v>
      </x:c>
    </x:row>
    <x:row r="53" ht="34" customHeight="1">
      <x:c r="A53" s="33" t="str">
        <x:v>Draft</x:v>
      </x:c>
      <x:c r="B53" s="47" t="str">
        <x:v>EN4SP_4SP_003</x:v>
      </x:c>
      <x:c r="C53" s="47" t="str">
        <x:v>EN4SP</x:v>
      </x:c>
      <x:c r="D53" s="47" t="str">
        <x:v>4-wire spiral 4SP</x:v>
      </x:c>
      <x:c r="E53" s="33" t="str">
        <x:v>-8</x:v>
      </x:c>
      <x:c r="F53" s="33" t="str">
        <x:v>Other</x:v>
      </x:c>
      <x:c r="G53" s="47" t="str">
        <x:v>Carbon steel</x:v>
      </x:c>
      <x:c r="H53" s="33" t="str">
        <x:v>Zinc plating</x:v>
      </x:c>
      <x:c r="I53" s="47" t="str">
        <x:v>62d65f8412ff5.pdf p.9</x:v>
      </x:c>
      <x:c r="J53" s="47" t="str">
        <x:v>Provisional SKU. Skive requirement and verified crimp compatibility are required before production approval; dimensional and drawing data are not supplied.</x:v>
      </x:c>
      <x:c r="K53" s="161" t="str">
        <x:v>Eligible</x:v>
      </x:c>
      <x:c r="L53" s="161" t="str">
        <x:v>Pending</x:v>
      </x:c>
    </x:row>
    <x:row r="54" ht="34" customHeight="1">
      <x:c r="A54" s="33" t="str">
        <x:v>Draft</x:v>
      </x:c>
      <x:c r="B54" s="47" t="str">
        <x:v>EN4SP_4SP_004</x:v>
      </x:c>
      <x:c r="C54" s="47" t="str">
        <x:v>EN4SP</x:v>
      </x:c>
      <x:c r="D54" s="47" t="str">
        <x:v>4-wire spiral 4SP</x:v>
      </x:c>
      <x:c r="E54" s="33" t="str">
        <x:v>-10</x:v>
      </x:c>
      <x:c r="F54" s="33" t="str">
        <x:v>Other</x:v>
      </x:c>
      <x:c r="G54" s="47" t="str">
        <x:v>Carbon steel</x:v>
      </x:c>
      <x:c r="H54" s="33" t="str">
        <x:v>Zinc plating</x:v>
      </x:c>
      <x:c r="I54" s="47" t="str">
        <x:v>62d65f8412ff5.pdf p.9</x:v>
      </x:c>
      <x:c r="J54" s="47" t="str">
        <x:v>Provisional SKU. Skive requirement and verified crimp compatibility are required before production approval; dimensional and drawing data are not supplied.</x:v>
      </x:c>
      <x:c r="K54" s="161" t="str">
        <x:v>Eligible</x:v>
      </x:c>
      <x:c r="L54" s="161" t="str">
        <x:v>Pending</x:v>
      </x:c>
    </x:row>
    <x:row r="55" ht="34" customHeight="1">
      <x:c r="A55" s="33" t="str">
        <x:v>Draft</x:v>
      </x:c>
      <x:c r="B55" s="47" t="str">
        <x:v>EN4SP_4SP_005</x:v>
      </x:c>
      <x:c r="C55" s="47" t="str">
        <x:v>EN4SP</x:v>
      </x:c>
      <x:c r="D55" s="47" t="str">
        <x:v>4-wire spiral 4SP</x:v>
      </x:c>
      <x:c r="E55" s="33" t="str">
        <x:v>-12</x:v>
      </x:c>
      <x:c r="F55" s="33" t="str">
        <x:v>Other</x:v>
      </x:c>
      <x:c r="G55" s="47" t="str">
        <x:v>Carbon steel</x:v>
      </x:c>
      <x:c r="H55" s="33" t="str">
        <x:v>Zinc plating</x:v>
      </x:c>
      <x:c r="I55" s="47" t="str">
        <x:v>62d65f8412ff5.pdf p.9</x:v>
      </x:c>
      <x:c r="J55" s="47" t="str">
        <x:v>Provisional SKU. Skive requirement and verified crimp compatibility are required before production approval; dimensional and drawing data are not supplied.</x:v>
      </x:c>
      <x:c r="K55" s="161" t="str">
        <x:v>Eligible</x:v>
      </x:c>
      <x:c r="L55" s="161" t="str">
        <x:v>Pending</x:v>
      </x:c>
    </x:row>
    <x:row r="56" ht="34" customHeight="1">
      <x:c r="A56" s="33" t="str">
        <x:v>Draft</x:v>
      </x:c>
      <x:c r="B56" s="47" t="str">
        <x:v>EN4SP_4SP_006</x:v>
      </x:c>
      <x:c r="C56" s="47" t="str">
        <x:v>EN4SP</x:v>
      </x:c>
      <x:c r="D56" s="47" t="str">
        <x:v>4-wire spiral 4SP</x:v>
      </x:c>
      <x:c r="E56" s="33" t="str">
        <x:v>-16</x:v>
      </x:c>
      <x:c r="F56" s="33" t="str">
        <x:v>Other</x:v>
      </x:c>
      <x:c r="G56" s="47" t="str">
        <x:v>Carbon steel</x:v>
      </x:c>
      <x:c r="H56" s="33" t="str">
        <x:v>Zinc plating</x:v>
      </x:c>
      <x:c r="I56" s="47" t="str">
        <x:v>62d65f8412ff5.pdf p.9</x:v>
      </x:c>
      <x:c r="J56" s="47" t="str">
        <x:v>Provisional SKU. Skive requirement and verified crimp compatibility are required before production approval; dimensional and drawing data are not supplied.</x:v>
      </x:c>
      <x:c r="K56" s="161" t="str">
        <x:v>Eligible</x:v>
      </x:c>
      <x:c r="L56" s="161" t="str">
        <x:v>Pending</x:v>
      </x:c>
    </x:row>
    <x:row r="57" ht="34" customHeight="1">
      <x:c r="A57" s="33" t="str">
        <x:v>Draft</x:v>
      </x:c>
      <x:c r="B57" s="47" t="str">
        <x:v>EN4SP_4SP_007</x:v>
      </x:c>
      <x:c r="C57" s="47" t="str">
        <x:v>EN4SP</x:v>
      </x:c>
      <x:c r="D57" s="47" t="str">
        <x:v>4-wire spiral 4SP</x:v>
      </x:c>
      <x:c r="E57" s="33" t="str">
        <x:v>-20</x:v>
      </x:c>
      <x:c r="F57" s="33" t="str">
        <x:v>Other</x:v>
      </x:c>
      <x:c r="G57" s="47" t="str">
        <x:v>Carbon steel</x:v>
      </x:c>
      <x:c r="H57" s="33" t="str">
        <x:v>Zinc plating</x:v>
      </x:c>
      <x:c r="I57" s="47" t="str">
        <x:v>62d65f8412ff5.pdf p.9</x:v>
      </x:c>
      <x:c r="J57" s="47" t="str">
        <x:v>Provisional SKU. Skive requirement and verified crimp compatibility are required before production approval; dimensional and drawing data are not supplied.</x:v>
      </x:c>
      <x:c r="K57" s="161" t="str">
        <x:v>Eligible</x:v>
      </x:c>
      <x:c r="L57" s="161" t="str">
        <x:v>Pending</x:v>
      </x:c>
    </x:row>
    <x:row r="58" ht="34" customHeight="1">
      <x:c r="A58" s="33" t="str">
        <x:v>Draft</x:v>
      </x:c>
      <x:c r="B58" s="47" t="str">
        <x:v>EN4SP_4SP_008</x:v>
      </x:c>
      <x:c r="C58" s="47" t="str">
        <x:v>EN4SP</x:v>
      </x:c>
      <x:c r="D58" s="47" t="str">
        <x:v>4-wire spiral 4SP</x:v>
      </x:c>
      <x:c r="E58" s="33" t="str">
        <x:v>-24</x:v>
      </x:c>
      <x:c r="F58" s="33" t="str">
        <x:v>Other</x:v>
      </x:c>
      <x:c r="G58" s="47" t="str">
        <x:v>Carbon steel</x:v>
      </x:c>
      <x:c r="H58" s="33" t="str">
        <x:v>Zinc plating</x:v>
      </x:c>
      <x:c r="I58" s="47" t="str">
        <x:v>62d65f8412ff5.pdf p.9</x:v>
      </x:c>
      <x:c r="J58" s="47" t="str">
        <x:v>Provisional SKU. Skive requirement and verified crimp compatibility are required before production approval; dimensional and drawing data are not supplied.</x:v>
      </x:c>
      <x:c r="K58" s="161" t="str">
        <x:v>Eligible</x:v>
      </x:c>
      <x:c r="L58" s="161" t="str">
        <x:v>Pending</x:v>
      </x:c>
    </x:row>
    <x:row r="59" ht="34" customHeight="1">
      <x:c r="A59" s="33" t="str">
        <x:v>Draft</x:v>
      </x:c>
      <x:c r="B59" s="47" t="str">
        <x:v>EN4SP_4SP_009</x:v>
      </x:c>
      <x:c r="C59" s="47" t="str">
        <x:v>EN4SP</x:v>
      </x:c>
      <x:c r="D59" s="47" t="str">
        <x:v>4-wire spiral 4SP</x:v>
      </x:c>
      <x:c r="E59" s="33" t="str">
        <x:v>-32</x:v>
      </x:c>
      <x:c r="F59" s="33" t="str">
        <x:v>Other</x:v>
      </x:c>
      <x:c r="G59" s="47" t="str">
        <x:v>Carbon steel</x:v>
      </x:c>
      <x:c r="H59" s="33" t="str">
        <x:v>Zinc plating</x:v>
      </x:c>
      <x:c r="I59" s="47" t="str">
        <x:v>62d65f8412ff5.pdf p.9</x:v>
      </x:c>
      <x:c r="J59" s="47" t="str">
        <x:v>Provisional SKU. Skive requirement and verified crimp compatibility are required before production approval; dimensional and drawing data are not supplied.</x:v>
      </x:c>
      <x:c r="K59" s="161" t="str">
        <x:v>Eligible</x:v>
      </x:c>
      <x:c r="L59" s="161" t="str">
        <x:v>Pending</x:v>
      </x:c>
    </x:row>
    <x:row r="60" ht="34" customHeight="1">
      <x:c r="A60" s="33" t="str">
        <x:v>Draft</x:v>
      </x:c>
      <x:c r="B60" s="47" t="str">
        <x:v>EN4SH_4SH_001</x:v>
      </x:c>
      <x:c r="C60" s="47" t="str">
        <x:v>EN4SH</x:v>
      </x:c>
      <x:c r="D60" s="47" t="str">
        <x:v>4-wire spiral 4SH</x:v>
      </x:c>
      <x:c r="E60" s="33" t="str">
        <x:v>-10</x:v>
      </x:c>
      <x:c r="F60" s="33" t="str">
        <x:v>Other</x:v>
      </x:c>
      <x:c r="G60" s="47" t="str">
        <x:v>Carbon steel</x:v>
      </x:c>
      <x:c r="H60" s="33" t="str">
        <x:v>Zinc plating</x:v>
      </x:c>
      <x:c r="I60" s="47" t="str">
        <x:v>62d65f8412ff5.pdf p.9</x:v>
      </x:c>
      <x:c r="J60" s="47" t="str">
        <x:v>Provisional SKU. Skive requirement and verified crimp compatibility are required before production approval; dimensional and drawing data are not supplied.</x:v>
      </x:c>
      <x:c r="K60" s="161" t="str">
        <x:v>Eligible</x:v>
      </x:c>
      <x:c r="L60" s="161" t="str">
        <x:v>Pending</x:v>
      </x:c>
    </x:row>
    <x:row r="61" ht="34" customHeight="1">
      <x:c r="A61" s="33" t="str">
        <x:v>Draft</x:v>
      </x:c>
      <x:c r="B61" s="47" t="str">
        <x:v>EN4SH_4SH_002</x:v>
      </x:c>
      <x:c r="C61" s="47" t="str">
        <x:v>EN4SH</x:v>
      </x:c>
      <x:c r="D61" s="47" t="str">
        <x:v>4-wire spiral 4SH</x:v>
      </x:c>
      <x:c r="E61" s="33" t="str">
        <x:v>-12</x:v>
      </x:c>
      <x:c r="F61" s="33" t="str">
        <x:v>Other</x:v>
      </x:c>
      <x:c r="G61" s="47" t="str">
        <x:v>Carbon steel</x:v>
      </x:c>
      <x:c r="H61" s="33" t="str">
        <x:v>Zinc plating</x:v>
      </x:c>
      <x:c r="I61" s="47" t="str">
        <x:v>62d65f8412ff5.pdf p.9</x:v>
      </x:c>
      <x:c r="J61" s="47" t="str">
        <x:v>Provisional SKU. Skive requirement and verified crimp compatibility are required before production approval; dimensional and drawing data are not supplied.</x:v>
      </x:c>
      <x:c r="K61" s="161" t="str">
        <x:v>Eligible</x:v>
      </x:c>
      <x:c r="L61" s="161" t="str">
        <x:v>Pending</x:v>
      </x:c>
    </x:row>
    <x:row r="62" ht="34" customHeight="1">
      <x:c r="A62" s="33" t="str">
        <x:v>Draft</x:v>
      </x:c>
      <x:c r="B62" s="47" t="str">
        <x:v>EN4SH_4SH_003</x:v>
      </x:c>
      <x:c r="C62" s="47" t="str">
        <x:v>EN4SH</x:v>
      </x:c>
      <x:c r="D62" s="47" t="str">
        <x:v>4-wire spiral 4SH</x:v>
      </x:c>
      <x:c r="E62" s="33" t="str">
        <x:v>-16</x:v>
      </x:c>
      <x:c r="F62" s="33" t="str">
        <x:v>Other</x:v>
      </x:c>
      <x:c r="G62" s="47" t="str">
        <x:v>Carbon steel</x:v>
      </x:c>
      <x:c r="H62" s="33" t="str">
        <x:v>Zinc plating</x:v>
      </x:c>
      <x:c r="I62" s="47" t="str">
        <x:v>62d65f8412ff5.pdf p.9</x:v>
      </x:c>
      <x:c r="J62" s="47" t="str">
        <x:v>Provisional SKU. Skive requirement and verified crimp compatibility are required before production approval; dimensional and drawing data are not supplied.</x:v>
      </x:c>
      <x:c r="K62" s="161" t="str">
        <x:v>Eligible</x:v>
      </x:c>
      <x:c r="L62" s="161" t="str">
        <x:v>Pending</x:v>
      </x:c>
    </x:row>
    <x:row r="63" ht="34" customHeight="1">
      <x:c r="A63" s="33" t="str">
        <x:v>Draft</x:v>
      </x:c>
      <x:c r="B63" s="47" t="str">
        <x:v>EN4SH_4SH_004</x:v>
      </x:c>
      <x:c r="C63" s="47" t="str">
        <x:v>EN4SH</x:v>
      </x:c>
      <x:c r="D63" s="47" t="str">
        <x:v>4-wire spiral 4SH</x:v>
      </x:c>
      <x:c r="E63" s="33" t="str">
        <x:v>-20</x:v>
      </x:c>
      <x:c r="F63" s="33" t="str">
        <x:v>Other</x:v>
      </x:c>
      <x:c r="G63" s="47" t="str">
        <x:v>Carbon steel</x:v>
      </x:c>
      <x:c r="H63" s="33" t="str">
        <x:v>Zinc plating</x:v>
      </x:c>
      <x:c r="I63" s="47" t="str">
        <x:v>62d65f8412ff5.pdf p.9</x:v>
      </x:c>
      <x:c r="J63" s="47" t="str">
        <x:v>Provisional SKU. Skive requirement and verified crimp compatibility are required before production approval; dimensional and drawing data are not supplied.</x:v>
      </x:c>
      <x:c r="K63" s="161" t="str">
        <x:v>Eligible</x:v>
      </x:c>
      <x:c r="L63" s="161" t="str">
        <x:v>Pending</x:v>
      </x:c>
    </x:row>
    <x:row r="64" ht="34" customHeight="1">
      <x:c r="A64" s="33" t="str">
        <x:v>Draft</x:v>
      </x:c>
      <x:c r="B64" s="47" t="str">
        <x:v>EN4SH_4SH_005</x:v>
      </x:c>
      <x:c r="C64" s="47" t="str">
        <x:v>EN4SH</x:v>
      </x:c>
      <x:c r="D64" s="47" t="str">
        <x:v>4-wire spiral 4SH</x:v>
      </x:c>
      <x:c r="E64" s="33" t="str">
        <x:v>-24</x:v>
      </x:c>
      <x:c r="F64" s="33" t="str">
        <x:v>Other</x:v>
      </x:c>
      <x:c r="G64" s="47" t="str">
        <x:v>Carbon steel</x:v>
      </x:c>
      <x:c r="H64" s="33" t="str">
        <x:v>Zinc plating</x:v>
      </x:c>
      <x:c r="I64" s="47" t="str">
        <x:v>62d65f8412ff5.pdf p.9</x:v>
      </x:c>
      <x:c r="J64" s="47" t="str">
        <x:v>Provisional SKU. Skive requirement and verified crimp compatibility are required before production approval; dimensional and drawing data are not supplied.</x:v>
      </x:c>
      <x:c r="K64" s="161" t="str">
        <x:v>Eligible</x:v>
      </x:c>
      <x:c r="L64" s="161" t="str">
        <x:v>Pending</x:v>
      </x:c>
    </x:row>
    <x:row r="65" ht="34" customHeight="1">
      <x:c r="A65" s="34" t="str">
        <x:v>Draft</x:v>
      </x:c>
      <x:c r="B65" s="48" t="str">
        <x:v>EN4SH_4SH_006</x:v>
      </x:c>
      <x:c r="C65" s="48" t="str">
        <x:v>EN4SH</x:v>
      </x:c>
      <x:c r="D65" s="48" t="str">
        <x:v>4-wire spiral 4SH</x:v>
      </x:c>
      <x:c r="E65" s="34" t="str">
        <x:v>-32</x:v>
      </x:c>
      <x:c r="F65" s="34" t="str">
        <x:v>Other</x:v>
      </x:c>
      <x:c r="G65" s="48" t="str">
        <x:v>Carbon steel</x:v>
      </x:c>
      <x:c r="H65" s="34" t="str">
        <x:v>Zinc plating</x:v>
      </x:c>
      <x:c r="I65" s="48" t="str">
        <x:v>62d65f8412ff5.pdf p.9</x:v>
      </x:c>
      <x:c r="J65" s="48" t="str">
        <x:v>Provisional SKU. Skive requirement and verified crimp compatibility are required before production approval; dimensional and drawing data are not supplied.</x:v>
      </x:c>
      <x:c r="K65" s="162" t="str">
        <x:v>Eligible</x:v>
      </x:c>
      <x:c r="L65" s="162" t="str">
        <x:v>Pending</x:v>
      </x:c>
    </x:row>
  </x:sheetData>
  <x:mergeCells>
    <x:mergeCell ref="A1:L1"/>
    <x:mergeCell ref="A2:L2"/>
  </x:mergeCells>
  <x:conditionalFormatting sqref="A5:A65">
    <x:cfRule type="containsText" dxfId="8" priority="1" operator="containsText" text="Ready"/>
    <x:cfRule type="containsText" dxfId="9" priority="2" operator="containsText" text="Blocked"/>
    <x:cfRule type="containsText" dxfId="10" priority="3" operator="containsText" text="Draft"/>
  </x:conditionalFormatting>
  <x:conditionalFormatting sqref="B5:B65">
    <x:cfRule type="duplicateValues" dxfId="11" priority="4"/>
  </x:conditionalFormatting>
  <x:dataValidations count="7">
    <x:dataValidation type="list" sqref="A5:A65">
      <x:formula1>"Draft,Ready,Blocked"</x:formula1>
    </x:dataValidation>
    <x:dataValidation type="list" sqref="E5:E65">
      <x:formula1>"-2,-3,-4,-5,-6,-8,-10,-12,-14,-16,-20,-24,-32,-40,-48,-56,-64"</x:formula1>
    </x:dataValidation>
    <x:dataValidation type="list" sqref="F5:F65">
      <x:formula1>"No Skive,External Skive,Internal + External Skive,Other"</x:formula1>
    </x:dataValidation>
    <x:dataValidation type="list" sqref="H5:H65">
      <x:formula1>"Zinc plating,Zinc Nickel,Trivalent Zinc,Stainless Steel,Brass,Uncoated,Other"</x:formula1>
    </x:dataValidation>
    <x:dataValidation type="list" sqref="A5:A5004">
      <x:formula1>"Draft,Published,Archived"</x:formula1>
    </x:dataValidation>
    <x:dataValidation type="list" sqref="K5:K5004">
      <x:formula1>"Eligible,Manual Quote Only,Blocked"</x:formula1>
    </x:dataValidation>
    <x:dataValidation type="list" sqref="L5:L5004">
      <x:formula1>"Complete,Inherited,Pending"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d714e74ea1948d4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22" hidden="0" customWidth="1"/>
    <x:col min="4" max="4" width="26" hidden="0" customWidth="1"/>
    <x:col min="5" max="5" width="24" hidden="0" customWidth="1"/>
    <x:col min="6" max="6" width="20" hidden="0" customWidth="1"/>
    <x:col min="7" max="7" width="22" hidden="0" customWidth="1"/>
    <x:col min="8" max="8" width="22" hidden="0" customWidth="1"/>
    <x:col min="9" max="9" width="22" hidden="0" customWidth="1"/>
    <x:col min="10" max="10" width="20" hidden="0" customWidth="1"/>
    <x:col min="11" max="11" width="18" hidden="0" customWidth="1"/>
    <x:col min="12" max="12" width="24" hidden="0" customWidth="1"/>
    <x:col min="13" max="13" width="22" hidden="0" customWidth="1"/>
    <x:col min="14" max="14" width="28" hidden="0" customWidth="1"/>
    <x:col min="15" max="15" width="22" hidden="0" customWidth="1"/>
    <x:col min="16" max="16" width="20" hidden="0" customWidth="1"/>
    <x:col min="17" max="17" width="20" hidden="0" customWidth="1"/>
    <x:col min="18" max="18" width="24" hidden="0" customWidth="1"/>
    <x:col min="19" max="19" width="22" hidden="0" customWidth="1"/>
    <x:col min="20" max="20" width="22" hidden="0" customWidth="1"/>
    <x:col min="21" max="21" width="28" hidden="0" customWidth="1"/>
    <x:col min="22" max="22" width="24" hidden="0" customWidth="1"/>
    <x:col min="23" max="23" width="28" hidden="0" customWidth="1"/>
    <x:col min="24" max="24" width="26" hidden="0" customWidth="1"/>
    <x:col min="25" max="25" width="24" hidden="0" customWidth="1"/>
    <x:col min="26" max="26" width="34" hidden="0" customWidth="1"/>
    <x:col min="27" max="27" width="30" hidden="0" customWidth="1"/>
    <x:col min="28" max="28" width="22" hidden="0" customWidth="1"/>
  </x:cols>
  <x:sheetData>
    <x:row r="1" ht="30" customHeight="1">
      <x:c r="A1" s="3" t="str">
        <x:v>Compatibility and Crimp Data / 兼容与压接参数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</x:row>
    <x:row r="2" ht="34" customHeight="1">
      <x:c r="A2" s="12" t="str">
        <x:v>填写说明: 一行代表一个胶管 SKU + 接头 SKU + 套筒 SKU 的候选组合。RFQ Eligibility 仅控制能否进入询价配置器；Qualification Status 独立记录生产验证，不再由公式互相锁定。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  <x:c r="O2" s="13"/>
      <x:c r="P2" s="13"/>
      <x:c r="Q2" s="13"/>
      <x:c r="R2" s="13"/>
      <x:c r="S2" s="13"/>
      <x:c r="T2" s="13"/>
      <x:c r="U2" s="13"/>
      <x:c r="V2" s="13"/>
      <x:c r="W2" s="13"/>
      <x:c r="X2" s="13"/>
      <x:c r="Y2" s="13"/>
      <x:c r="Z2" s="13"/>
      <x:c r="AA2" s="14"/>
    </x:row>
    <x:row r="4" ht="48" customHeight="1">
      <x:c r="A4" s="20" t="str">
        <x:v>* Catalog Publication Status / 目录发布状态</x:v>
      </x:c>
      <x:c r="B4" s="20" t="str">
        <x:v>* Compatibility ID / 兼容编号</x:v>
      </x:c>
      <x:c r="C4" s="20" t="str">
        <x:v>* Hose SKU / 胶管SKU</x:v>
      </x:c>
      <x:c r="D4" s="20" t="str">
        <x:v>* Hose End SKU / 接头SKU</x:v>
      </x:c>
      <x:c r="E4" s="20" t="str">
        <x:v>* Ferrule SKU / 套筒SKU</x:v>
      </x:c>
      <x:c r="F4" s="19" t="str">
        <x:v>Assembly Method / 装配方法</x:v>
      </x:c>
      <x:c r="G4" s="19" t="str">
        <x:v>Skive Requirement / 剥胶要求</x:v>
      </x:c>
      <x:c r="H4" s="19" t="str">
        <x:v>Outer Skive Length mm / 外剥长度</x:v>
      </x:c>
      <x:c r="I4" s="19" t="str">
        <x:v>Inner Skive Length mm / 内剥长度</x:v>
      </x:c>
      <x:c r="J4" s="19" t="str">
        <x:v>Insertion Depth mm / 插入深度</x:v>
      </x:c>
      <x:c r="K4" s="19" t="str">
        <x:v>Crimp Program / 程序编号</x:v>
      </x:c>
      <x:c r="L4" s="19" t="str">
        <x:v>Final Crimp Diameter mm / 最终压径</x:v>
      </x:c>
      <x:c r="M4" s="19" t="str">
        <x:v>Crimp Tolerance ±mm / 压径公差</x:v>
      </x:c>
      <x:c r="N4" s="19" t="str">
        <x:v>Measurement Location / 测量位置</x:v>
      </x:c>
      <x:c r="O4" s="19" t="str">
        <x:v>Assembly Working bar / 总成工作压力</x:v>
      </x:c>
      <x:c r="P4" s="19" t="str">
        <x:v>Proof Pressure bar / 耐压压力</x:v>
      </x:c>
      <x:c r="Q4" s="19" t="str">
        <x:v>Proof Hold Seconds / 保压秒数</x:v>
      </x:c>
      <x:c r="R4" s="19" t="str">
        <x:v>Type Qualification ID / 型式验证编号</x:v>
      </x:c>
      <x:c r="S4" s="154" t="str">
        <x:v>* Qualification Status / 验证状态</x:v>
      </x:c>
      <x:c r="T4" s="154" t="str">
        <x:v>* RFQ Eligibility / 询价资格</x:v>
      </x:c>
      <x:c r="U4" s="19" t="str">
        <x:v>Reference System / 参考系统</x:v>
      </x:c>
      <x:c r="V4" s="19" t="str">
        <x:v>Reference Hose Code / 参考胶管型号</x:v>
      </x:c>
      <x:c r="W4" s="19" t="str">
        <x:v>Reference Assembly Method / 参考装配方法</x:v>
      </x:c>
      <x:c r="X4" s="19" t="str">
        <x:v>Reference Crimp Diameter mm / 参考压径</x:v>
      </x:c>
      <x:c r="Y4" s="19" t="str">
        <x:v>Reference Tolerance ±mm / 参考公差</x:v>
      </x:c>
      <x:c r="Z4" s="19" t="str">
        <x:v>Reference Source / 参考来源</x:v>
      </x:c>
      <x:c r="AA4" s="19" t="str">
        <x:v>Notes / 备注</x:v>
      </x:c>
      <x:c r="AB4" s="154" t="str">
        <x:v>* Technical Data Status / 技术资料状态</x:v>
      </x:c>
    </x:row>
    <x:row r="5" ht="42" customHeight="1">
      <x:c r="A5" s="32" t="str">
        <x:v>Draft</x:v>
      </x:c>
      <x:c r="B5" s="46" t="str">
        <x:v>COMP_0001</x:v>
      </x:c>
      <x:c r="C5" s="46" t="str">
        <x:v>601R1_002</x:v>
      </x:c>
      <x:c r="D5" s="46" t="str">
        <x:v>BSPP_F_SW_04_04</x:v>
      </x:c>
      <x:c r="E5" s="46" t="str">
        <x:v>601R1_1WB_002</x:v>
      </x:c>
      <x:c r="F5" s="46" t="str"/>
      <x:c r="G5" s="32" t="str"/>
      <x:c r="H5" s="49" t="str"/>
      <x:c r="I5" s="49" t="str"/>
      <x:c r="J5" s="49" t="str"/>
      <x:c r="K5" s="46" t="str"/>
      <x:c r="L5" s="49" t="str"/>
      <x:c r="M5" s="49" t="str"/>
      <x:c r="N5" s="46" t="str"/>
      <x:c r="O5" s="49" t="str"/>
      <x:c r="P5" s="63" t="str">
        <x:f>IF(O5="","",O5*2)</x:f>
      </x:c>
      <x:c r="Q5" s="49" t="str"/>
      <x:c r="R5" s="46" t="str"/>
      <x:c r="S5" s="32" t="str">
        <x:v>Not Tested</x:v>
      </x:c>
      <x:c r="T5" s="63" t="str">
        <x:v>Eligible</x:v>
      </x:c>
      <x:c r="U5" s="46" t="str">
        <x:v>DHH W Series Bite-To-The-Wire</x:v>
      </x:c>
      <x:c r="V5" s="46" t="str">
        <x:v>R1-04</x:v>
      </x:c>
      <x:c r="W5" s="46" t="str">
        <x:v>Crimp full shell</x:v>
      </x:c>
      <x:c r="X5" s="49" t="n">
        <x:v>16.65</x:v>
      </x:c>
      <x:c r="Y5" s="49" t="n">
        <x:v>0.13</x:v>
      </x:c>
      <x:c r="Z5" s="46" t="str">
        <x:v>https://www.discounthydraulichose.com/v/vspfiles/downloadables/crimp.pdf (catalog p.99)</x:v>
      </x:c>
      <x:c r="AA5" s="46" t="str">
        <x:v>Published reference data; applicability is limited to the listed reference system and hose code.</x:v>
      </x:c>
      <x:c r="AB5" s="161" t="str">
        <x:v>Pending</x:v>
      </x:c>
    </x:row>
    <x:row r="6" ht="42" customHeight="1">
      <x:c r="A6" s="33" t="str">
        <x:v>Draft</x:v>
      </x:c>
      <x:c r="B6" s="47" t="str">
        <x:v>COMP_0002</x:v>
      </x:c>
      <x:c r="C6" s="47" t="str">
        <x:v>601R1_002</x:v>
      </x:c>
      <x:c r="D6" s="47" t="str">
        <x:v>BSPP_F_SW_06_04</x:v>
      </x:c>
      <x:c r="E6" s="47" t="str">
        <x:v>601R1_1WB_002</x:v>
      </x:c>
      <x:c r="F6" s="47" t="str"/>
      <x:c r="G6" s="33" t="str"/>
      <x:c r="H6" s="50" t="str"/>
      <x:c r="I6" s="50" t="str"/>
      <x:c r="J6" s="50" t="str"/>
      <x:c r="K6" s="47" t="str"/>
      <x:c r="L6" s="50" t="str"/>
      <x:c r="M6" s="50" t="str"/>
      <x:c r="N6" s="47" t="str"/>
      <x:c r="O6" s="50" t="str"/>
      <x:c r="P6" s="64" t="str">
        <x:f>IF(O6="","",O6*2)</x:f>
      </x:c>
      <x:c r="Q6" s="50" t="str"/>
      <x:c r="R6" s="47" t="str"/>
      <x:c r="S6" s="33" t="str">
        <x:v>Not Tested</x:v>
      </x:c>
      <x:c r="T6" s="64" t="str">
        <x:v>Eligible</x:v>
      </x:c>
      <x:c r="U6" s="47" t="str">
        <x:v>DHH W Series Bite-To-The-Wire</x:v>
      </x:c>
      <x:c r="V6" s="47" t="str">
        <x:v>R1-04</x:v>
      </x:c>
      <x:c r="W6" s="47" t="str">
        <x:v>Crimp full shell</x:v>
      </x:c>
      <x:c r="X6" s="50" t="n">
        <x:v>16.65</x:v>
      </x:c>
      <x:c r="Y6" s="50" t="n">
        <x:v>0.13</x:v>
      </x:c>
      <x:c r="Z6" s="47" t="str">
        <x:v>https://www.discounthydraulichose.com/v/vspfiles/downloadables/crimp.pdf (catalog p.99)</x:v>
      </x:c>
      <x:c r="AA6" s="47" t="str">
        <x:v>Published reference data; applicability is limited to the listed reference system and hose code.</x:v>
      </x:c>
      <x:c r="AB6" s="161" t="str">
        <x:v>Pending</x:v>
      </x:c>
    </x:row>
    <x:row r="7" ht="42" customHeight="1">
      <x:c r="A7" s="33" t="str">
        <x:v>Draft</x:v>
      </x:c>
      <x:c r="B7" s="47" t="str">
        <x:v>COMP_0003</x:v>
      </x:c>
      <x:c r="C7" s="47" t="str">
        <x:v>601R1_002</x:v>
      </x:c>
      <x:c r="D7" s="47" t="str">
        <x:v>BSPP_M_FX_04_04</x:v>
      </x:c>
      <x:c r="E7" s="47" t="str">
        <x:v>601R1_1WB_002</x:v>
      </x:c>
      <x:c r="F7" s="47" t="str"/>
      <x:c r="G7" s="33" t="str"/>
      <x:c r="H7" s="50" t="str"/>
      <x:c r="I7" s="50" t="str"/>
      <x:c r="J7" s="50" t="str"/>
      <x:c r="K7" s="47" t="str"/>
      <x:c r="L7" s="50" t="str"/>
      <x:c r="M7" s="50" t="str"/>
      <x:c r="N7" s="47" t="str"/>
      <x:c r="O7" s="50" t="str"/>
      <x:c r="P7" s="64" t="str">
        <x:f>IF(O7="","",O7*2)</x:f>
      </x:c>
      <x:c r="Q7" s="50" t="str"/>
      <x:c r="R7" s="47" t="str"/>
      <x:c r="S7" s="33" t="str">
        <x:v>Not Tested</x:v>
      </x:c>
      <x:c r="T7" s="64" t="str">
        <x:v>Eligible</x:v>
      </x:c>
      <x:c r="U7" s="47" t="str">
        <x:v>DHH W Series Bite-To-The-Wire</x:v>
      </x:c>
      <x:c r="V7" s="47" t="str">
        <x:v>R1-04</x:v>
      </x:c>
      <x:c r="W7" s="47" t="str">
        <x:v>Crimp full shell</x:v>
      </x:c>
      <x:c r="X7" s="50" t="n">
        <x:v>16.65</x:v>
      </x:c>
      <x:c r="Y7" s="50" t="n">
        <x:v>0.13</x:v>
      </x:c>
      <x:c r="Z7" s="47" t="str">
        <x:v>https://www.discounthydraulichose.com/v/vspfiles/downloadables/crimp.pdf (catalog p.99)</x:v>
      </x:c>
      <x:c r="AA7" s="47" t="str">
        <x:v>Published reference data; applicability is limited to the listed reference system and hose code.</x:v>
      </x:c>
      <x:c r="AB7" s="161" t="str">
        <x:v>Pending</x:v>
      </x:c>
    </x:row>
    <x:row r="8" ht="42" customHeight="1">
      <x:c r="A8" s="33" t="str">
        <x:v>Draft</x:v>
      </x:c>
      <x:c r="B8" s="47" t="str">
        <x:v>COMP_0004</x:v>
      </x:c>
      <x:c r="C8" s="47" t="str">
        <x:v>601R1_002</x:v>
      </x:c>
      <x:c r="D8" s="47" t="str">
        <x:v>BSPP_M_FX_06_04</x:v>
      </x:c>
      <x:c r="E8" s="47" t="str">
        <x:v>601R1_1WB_002</x:v>
      </x:c>
      <x:c r="F8" s="47" t="str"/>
      <x:c r="G8" s="33" t="str"/>
      <x:c r="H8" s="50" t="str"/>
      <x:c r="I8" s="50" t="str"/>
      <x:c r="J8" s="50" t="str"/>
      <x:c r="K8" s="47" t="str"/>
      <x:c r="L8" s="50" t="str"/>
      <x:c r="M8" s="50" t="str"/>
      <x:c r="N8" s="47" t="str"/>
      <x:c r="O8" s="50" t="str"/>
      <x:c r="P8" s="64" t="str">
        <x:f>IF(O8="","",O8*2)</x:f>
      </x:c>
      <x:c r="Q8" s="50" t="str"/>
      <x:c r="R8" s="47" t="str"/>
      <x:c r="S8" s="33" t="str">
        <x:v>Not Tested</x:v>
      </x:c>
      <x:c r="T8" s="64" t="str">
        <x:v>Eligible</x:v>
      </x:c>
      <x:c r="U8" s="47" t="str">
        <x:v>DHH W Series Bite-To-The-Wire</x:v>
      </x:c>
      <x:c r="V8" s="47" t="str">
        <x:v>R1-04</x:v>
      </x:c>
      <x:c r="W8" s="47" t="str">
        <x:v>Crimp full shell</x:v>
      </x:c>
      <x:c r="X8" s="50" t="n">
        <x:v>16.65</x:v>
      </x:c>
      <x:c r="Y8" s="50" t="n">
        <x:v>0.13</x:v>
      </x:c>
      <x:c r="Z8" s="47" t="str">
        <x:v>https://www.discounthydraulichose.com/v/vspfiles/downloadables/crimp.pdf (catalog p.99)</x:v>
      </x:c>
      <x:c r="AA8" s="47" t="str">
        <x:v>Published reference data; applicability is limited to the listed reference system and hose code.</x:v>
      </x:c>
      <x:c r="AB8" s="161" t="str">
        <x:v>Pending</x:v>
      </x:c>
    </x:row>
    <x:row r="9" ht="42" customHeight="1">
      <x:c r="A9" s="33" t="str">
        <x:v>Draft</x:v>
      </x:c>
      <x:c r="B9" s="47" t="str">
        <x:v>COMP_0005</x:v>
      </x:c>
      <x:c r="C9" s="47" t="str">
        <x:v>601R1_002</x:v>
      </x:c>
      <x:c r="D9" s="47" t="str">
        <x:v>BSPP45_F_SW_04_04</x:v>
      </x:c>
      <x:c r="E9" s="47" t="str">
        <x:v>601R1_1WB_002</x:v>
      </x:c>
      <x:c r="F9" s="47" t="str"/>
      <x:c r="G9" s="33" t="str"/>
      <x:c r="H9" s="50" t="str"/>
      <x:c r="I9" s="50" t="str"/>
      <x:c r="J9" s="50" t="str"/>
      <x:c r="K9" s="47" t="str"/>
      <x:c r="L9" s="50" t="str"/>
      <x:c r="M9" s="50" t="str"/>
      <x:c r="N9" s="47" t="str"/>
      <x:c r="O9" s="50" t="str"/>
      <x:c r="P9" s="64" t="str">
        <x:f>IF(O9="","",O9*2)</x:f>
      </x:c>
      <x:c r="Q9" s="50" t="str"/>
      <x:c r="R9" s="47" t="str"/>
      <x:c r="S9" s="33" t="str">
        <x:v>Not Tested</x:v>
      </x:c>
      <x:c r="T9" s="64" t="str">
        <x:v>Eligible</x:v>
      </x:c>
      <x:c r="U9" s="47" t="str">
        <x:v>DHH W Series Bite-To-The-Wire</x:v>
      </x:c>
      <x:c r="V9" s="47" t="str">
        <x:v>R1-04</x:v>
      </x:c>
      <x:c r="W9" s="47" t="str">
        <x:v>Crimp full shell</x:v>
      </x:c>
      <x:c r="X9" s="50" t="n">
        <x:v>16.65</x:v>
      </x:c>
      <x:c r="Y9" s="50" t="n">
        <x:v>0.13</x:v>
      </x:c>
      <x:c r="Z9" s="47" t="str">
        <x:v>https://www.discounthydraulichose.com/v/vspfiles/downloadables/crimp.pdf (catalog p.99)</x:v>
      </x:c>
      <x:c r="AA9" s="47" t="str">
        <x:v>Published reference data; applicability is limited to the listed reference system and hose code.</x:v>
      </x:c>
      <x:c r="AB9" s="161" t="str">
        <x:v>Pending</x:v>
      </x:c>
    </x:row>
    <x:row r="10" ht="42" customHeight="1">
      <x:c r="A10" s="33" t="str">
        <x:v>Draft</x:v>
      </x:c>
      <x:c r="B10" s="47" t="str">
        <x:v>COMP_0006</x:v>
      </x:c>
      <x:c r="C10" s="47" t="str">
        <x:v>601R1_002</x:v>
      </x:c>
      <x:c r="D10" s="47" t="str">
        <x:v>BSPP90_F_SW_04_04</x:v>
      </x:c>
      <x:c r="E10" s="47" t="str">
        <x:v>601R1_1WB_002</x:v>
      </x:c>
      <x:c r="F10" s="47" t="str"/>
      <x:c r="G10" s="33" t="str"/>
      <x:c r="H10" s="50" t="str"/>
      <x:c r="I10" s="50" t="str"/>
      <x:c r="J10" s="50" t="str"/>
      <x:c r="K10" s="47" t="str"/>
      <x:c r="L10" s="50" t="str"/>
      <x:c r="M10" s="50" t="str"/>
      <x:c r="N10" s="47" t="str"/>
      <x:c r="O10" s="50" t="str"/>
      <x:c r="P10" s="64" t="str">
        <x:f>IF(O10="","",O10*2)</x:f>
      </x:c>
      <x:c r="Q10" s="50" t="str"/>
      <x:c r="R10" s="47" t="str"/>
      <x:c r="S10" s="33" t="str">
        <x:v>Not Tested</x:v>
      </x:c>
      <x:c r="T10" s="64" t="str">
        <x:v>Eligible</x:v>
      </x:c>
      <x:c r="U10" s="47" t="str">
        <x:v>DHH W Series Bite-To-The-Wire</x:v>
      </x:c>
      <x:c r="V10" s="47" t="str">
        <x:v>R1-04</x:v>
      </x:c>
      <x:c r="W10" s="47" t="str">
        <x:v>Crimp full shell</x:v>
      </x:c>
      <x:c r="X10" s="50" t="n">
        <x:v>16.65</x:v>
      </x:c>
      <x:c r="Y10" s="50" t="n">
        <x:v>0.13</x:v>
      </x:c>
      <x:c r="Z10" s="47" t="str">
        <x:v>https://www.discounthydraulichose.com/v/vspfiles/downloadables/crimp.pdf (catalog p.99)</x:v>
      </x:c>
      <x:c r="AA10" s="47" t="str">
        <x:v>Published reference data; applicability is limited to the listed reference system and hose code.</x:v>
      </x:c>
      <x:c r="AB10" s="161" t="str">
        <x:v>Pending</x:v>
      </x:c>
    </x:row>
    <x:row r="11" ht="42" customHeight="1">
      <x:c r="A11" s="33" t="str">
        <x:v>Draft</x:v>
      </x:c>
      <x:c r="B11" s="47" t="str">
        <x:v>COMP_0007</x:v>
      </x:c>
      <x:c r="C11" s="47" t="str">
        <x:v>601R1_002</x:v>
      </x:c>
      <x:c r="D11" s="47" t="str">
        <x:v>BSPP90_F_SW_06_04</x:v>
      </x:c>
      <x:c r="E11" s="47" t="str">
        <x:v>601R1_1WB_002</x:v>
      </x:c>
      <x:c r="F11" s="47" t="str"/>
      <x:c r="G11" s="33" t="str"/>
      <x:c r="H11" s="50" t="str"/>
      <x:c r="I11" s="50" t="str"/>
      <x:c r="J11" s="50" t="str"/>
      <x:c r="K11" s="47" t="str"/>
      <x:c r="L11" s="50" t="str"/>
      <x:c r="M11" s="50" t="str"/>
      <x:c r="N11" s="47" t="str"/>
      <x:c r="O11" s="50" t="str"/>
      <x:c r="P11" s="64" t="str">
        <x:f>IF(O11="","",O11*2)</x:f>
      </x:c>
      <x:c r="Q11" s="50" t="str"/>
      <x:c r="R11" s="47" t="str"/>
      <x:c r="S11" s="33" t="str">
        <x:v>Not Tested</x:v>
      </x:c>
      <x:c r="T11" s="64" t="str">
        <x:v>Eligible</x:v>
      </x:c>
      <x:c r="U11" s="47" t="str">
        <x:v>DHH W Series Bite-To-The-Wire</x:v>
      </x:c>
      <x:c r="V11" s="47" t="str">
        <x:v>R1-04</x:v>
      </x:c>
      <x:c r="W11" s="47" t="str">
        <x:v>Crimp full shell</x:v>
      </x:c>
      <x:c r="X11" s="50" t="n">
        <x:v>16.65</x:v>
      </x:c>
      <x:c r="Y11" s="50" t="n">
        <x:v>0.13</x:v>
      </x:c>
      <x:c r="Z11" s="47" t="str">
        <x:v>https://www.discounthydraulichose.com/v/vspfiles/downloadables/crimp.pdf (catalog p.99)</x:v>
      </x:c>
      <x:c r="AA11" s="47" t="str">
        <x:v>Published reference data; applicability is limited to the listed reference system and hose code.</x:v>
      </x:c>
      <x:c r="AB11" s="161" t="str">
        <x:v>Pending</x:v>
      </x:c>
    </x:row>
    <x:row r="12" ht="42" customHeight="1">
      <x:c r="A12" s="33" t="str">
        <x:v>Draft</x:v>
      </x:c>
      <x:c r="B12" s="47" t="str">
        <x:v>COMP_0008</x:v>
      </x:c>
      <x:c r="C12" s="47" t="str">
        <x:v>601R1_002</x:v>
      </x:c>
      <x:c r="D12" s="47" t="str">
        <x:v>BSPT_M_FX_02_04</x:v>
      </x:c>
      <x:c r="E12" s="47" t="str">
        <x:v>601R1_1WB_002</x:v>
      </x:c>
      <x:c r="F12" s="47" t="str"/>
      <x:c r="G12" s="33" t="str"/>
      <x:c r="H12" s="50" t="str"/>
      <x:c r="I12" s="50" t="str"/>
      <x:c r="J12" s="50" t="str"/>
      <x:c r="K12" s="47" t="str"/>
      <x:c r="L12" s="50" t="str"/>
      <x:c r="M12" s="50" t="str"/>
      <x:c r="N12" s="47" t="str"/>
      <x:c r="O12" s="50" t="str"/>
      <x:c r="P12" s="64" t="str">
        <x:f>IF(O12="","",O12*2)</x:f>
      </x:c>
      <x:c r="Q12" s="50" t="str"/>
      <x:c r="R12" s="47" t="str"/>
      <x:c r="S12" s="33" t="str">
        <x:v>Not Tested</x:v>
      </x:c>
      <x:c r="T12" s="64" t="str">
        <x:v>Eligible</x:v>
      </x:c>
      <x:c r="U12" s="47" t="str">
        <x:v>DHH W Series Bite-To-The-Wire</x:v>
      </x:c>
      <x:c r="V12" s="47" t="str">
        <x:v>R1-04</x:v>
      </x:c>
      <x:c r="W12" s="47" t="str">
        <x:v>Crimp full shell</x:v>
      </x:c>
      <x:c r="X12" s="50" t="n">
        <x:v>16.65</x:v>
      </x:c>
      <x:c r="Y12" s="50" t="n">
        <x:v>0.13</x:v>
      </x:c>
      <x:c r="Z12" s="47" t="str">
        <x:v>https://www.discounthydraulichose.com/v/vspfiles/downloadables/crimp.pdf (catalog p.99)</x:v>
      </x:c>
      <x:c r="AA12" s="47" t="str">
        <x:v>Published reference data; applicability is limited to the listed reference system and hose code.</x:v>
      </x:c>
      <x:c r="AB12" s="161" t="str">
        <x:v>Pending</x:v>
      </x:c>
    </x:row>
    <x:row r="13" ht="42" customHeight="1">
      <x:c r="A13" s="33" t="str">
        <x:v>Draft</x:v>
      </x:c>
      <x:c r="B13" s="47" t="str">
        <x:v>COMP_0009</x:v>
      </x:c>
      <x:c r="C13" s="47" t="str">
        <x:v>601R1_002</x:v>
      </x:c>
      <x:c r="D13" s="47" t="str">
        <x:v>BSPT_M_FX_04_04</x:v>
      </x:c>
      <x:c r="E13" s="47" t="str">
        <x:v>601R1_1WB_002</x:v>
      </x:c>
      <x:c r="F13" s="47" t="str"/>
      <x:c r="G13" s="33" t="str"/>
      <x:c r="H13" s="50" t="str"/>
      <x:c r="I13" s="50" t="str"/>
      <x:c r="J13" s="50" t="str"/>
      <x:c r="K13" s="47" t="str"/>
      <x:c r="L13" s="50" t="str"/>
      <x:c r="M13" s="50" t="str"/>
      <x:c r="N13" s="47" t="str"/>
      <x:c r="O13" s="50" t="str"/>
      <x:c r="P13" s="64" t="str">
        <x:f>IF(O13="","",O13*2)</x:f>
      </x:c>
      <x:c r="Q13" s="50" t="str"/>
      <x:c r="R13" s="47" t="str"/>
      <x:c r="S13" s="33" t="str">
        <x:v>Not Tested</x:v>
      </x:c>
      <x:c r="T13" s="64" t="str">
        <x:v>Eligible</x:v>
      </x:c>
      <x:c r="U13" s="47" t="str">
        <x:v>DHH W Series Bite-To-The-Wire</x:v>
      </x:c>
      <x:c r="V13" s="47" t="str">
        <x:v>R1-04</x:v>
      </x:c>
      <x:c r="W13" s="47" t="str">
        <x:v>Crimp full shell</x:v>
      </x:c>
      <x:c r="X13" s="50" t="n">
        <x:v>16.65</x:v>
      </x:c>
      <x:c r="Y13" s="50" t="n">
        <x:v>0.13</x:v>
      </x:c>
      <x:c r="Z13" s="47" t="str">
        <x:v>https://www.discounthydraulichose.com/v/vspfiles/downloadables/crimp.pdf (catalog p.99)</x:v>
      </x:c>
      <x:c r="AA13" s="47" t="str">
        <x:v>Published reference data; applicability is limited to the listed reference system and hose code.</x:v>
      </x:c>
      <x:c r="AB13" s="161" t="str">
        <x:v>Pending</x:v>
      </x:c>
    </x:row>
    <x:row r="14" ht="42" customHeight="1">
      <x:c r="A14" s="33" t="str">
        <x:v>Draft</x:v>
      </x:c>
      <x:c r="B14" s="47" t="str">
        <x:v>COMP_0010</x:v>
      </x:c>
      <x:c r="C14" s="47" t="str">
        <x:v>601R1_002</x:v>
      </x:c>
      <x:c r="D14" s="47" t="str">
        <x:v>BSPT_M_FX_06_04</x:v>
      </x:c>
      <x:c r="E14" s="47" t="str">
        <x:v>601R1_1WB_002</x:v>
      </x:c>
      <x:c r="F14" s="47" t="str"/>
      <x:c r="G14" s="33" t="str"/>
      <x:c r="H14" s="50" t="str"/>
      <x:c r="I14" s="50" t="str"/>
      <x:c r="J14" s="50" t="str"/>
      <x:c r="K14" s="47" t="str"/>
      <x:c r="L14" s="50" t="str"/>
      <x:c r="M14" s="50" t="str"/>
      <x:c r="N14" s="47" t="str"/>
      <x:c r="O14" s="50" t="str"/>
      <x:c r="P14" s="64" t="str">
        <x:f>IF(O14="","",O14*2)</x:f>
      </x:c>
      <x:c r="Q14" s="50" t="str"/>
      <x:c r="R14" s="47" t="str"/>
      <x:c r="S14" s="33" t="str">
        <x:v>Not Tested</x:v>
      </x:c>
      <x:c r="T14" s="64" t="str">
        <x:v>Eligible</x:v>
      </x:c>
      <x:c r="U14" s="47" t="str">
        <x:v>DHH W Series Bite-To-The-Wire</x:v>
      </x:c>
      <x:c r="V14" s="47" t="str">
        <x:v>R1-04</x:v>
      </x:c>
      <x:c r="W14" s="47" t="str">
        <x:v>Crimp full shell</x:v>
      </x:c>
      <x:c r="X14" s="50" t="n">
        <x:v>16.65</x:v>
      </x:c>
      <x:c r="Y14" s="50" t="n">
        <x:v>0.13</x:v>
      </x:c>
      <x:c r="Z14" s="47" t="str">
        <x:v>https://www.discounthydraulichose.com/v/vspfiles/downloadables/crimp.pdf (catalog p.99)</x:v>
      </x:c>
      <x:c r="AA14" s="47" t="str">
        <x:v>Published reference data; applicability is limited to the listed reference system and hose code.</x:v>
      </x:c>
      <x:c r="AB14" s="161" t="str">
        <x:v>Pending</x:v>
      </x:c>
    </x:row>
    <x:row r="15" ht="42" customHeight="1">
      <x:c r="A15" s="33" t="str">
        <x:v>Draft</x:v>
      </x:c>
      <x:c r="B15" s="47" t="str">
        <x:v>COMP_0011</x:v>
      </x:c>
      <x:c r="C15" s="47" t="str">
        <x:v>601R1_002</x:v>
      </x:c>
      <x:c r="D15" s="47" t="str">
        <x:v>JIC_F_SW_04_04</x:v>
      </x:c>
      <x:c r="E15" s="47" t="str">
        <x:v>601R1_1WB_002</x:v>
      </x:c>
      <x:c r="F15" s="47" t="str"/>
      <x:c r="G15" s="33" t="str"/>
      <x:c r="H15" s="50" t="str"/>
      <x:c r="I15" s="50" t="str"/>
      <x:c r="J15" s="50" t="str"/>
      <x:c r="K15" s="47" t="str"/>
      <x:c r="L15" s="50" t="str"/>
      <x:c r="M15" s="50" t="str"/>
      <x:c r="N15" s="47" t="str"/>
      <x:c r="O15" s="50" t="str"/>
      <x:c r="P15" s="64" t="str">
        <x:f>IF(O15="","",O15*2)</x:f>
      </x:c>
      <x:c r="Q15" s="50" t="str"/>
      <x:c r="R15" s="47" t="str"/>
      <x:c r="S15" s="33" t="str">
        <x:v>Not Tested</x:v>
      </x:c>
      <x:c r="T15" s="64" t="str">
        <x:v>Eligible</x:v>
      </x:c>
      <x:c r="U15" s="47" t="str">
        <x:v>DHH W Series Bite-To-The-Wire</x:v>
      </x:c>
      <x:c r="V15" s="47" t="str">
        <x:v>R1-04</x:v>
      </x:c>
      <x:c r="W15" s="47" t="str">
        <x:v>Crimp full shell</x:v>
      </x:c>
      <x:c r="X15" s="50" t="n">
        <x:v>16.65</x:v>
      </x:c>
      <x:c r="Y15" s="50" t="n">
        <x:v>0.13</x:v>
      </x:c>
      <x:c r="Z15" s="47" t="str">
        <x:v>https://www.discounthydraulichose.com/v/vspfiles/downloadables/crimp.pdf (catalog p.99)</x:v>
      </x:c>
      <x:c r="AA15" s="47" t="str">
        <x:v>Published reference data; applicability is limited to the listed reference system and hose code.</x:v>
      </x:c>
      <x:c r="AB15" s="161" t="str">
        <x:v>Pending</x:v>
      </x:c>
    </x:row>
    <x:row r="16" ht="42" customHeight="1">
      <x:c r="A16" s="33" t="str">
        <x:v>Draft</x:v>
      </x:c>
      <x:c r="B16" s="47" t="str">
        <x:v>COMP_0012</x:v>
      </x:c>
      <x:c r="C16" s="47" t="str">
        <x:v>601R1_002</x:v>
      </x:c>
      <x:c r="D16" s="47" t="str">
        <x:v>JIC_F_SW_05_04</x:v>
      </x:c>
      <x:c r="E16" s="47" t="str">
        <x:v>601R1_1WB_002</x:v>
      </x:c>
      <x:c r="F16" s="47" t="str"/>
      <x:c r="G16" s="33" t="str"/>
      <x:c r="H16" s="50" t="str"/>
      <x:c r="I16" s="50" t="str"/>
      <x:c r="J16" s="50" t="str"/>
      <x:c r="K16" s="47" t="str"/>
      <x:c r="L16" s="50" t="str"/>
      <x:c r="M16" s="50" t="str"/>
      <x:c r="N16" s="47" t="str"/>
      <x:c r="O16" s="50" t="str"/>
      <x:c r="P16" s="64" t="str">
        <x:f>IF(O16="","",O16*2)</x:f>
      </x:c>
      <x:c r="Q16" s="50" t="str"/>
      <x:c r="R16" s="47" t="str"/>
      <x:c r="S16" s="33" t="str">
        <x:v>Not Tested</x:v>
      </x:c>
      <x:c r="T16" s="64" t="str">
        <x:v>Eligible</x:v>
      </x:c>
      <x:c r="U16" s="47" t="str">
        <x:v>DHH W Series Bite-To-The-Wire</x:v>
      </x:c>
      <x:c r="V16" s="47" t="str">
        <x:v>R1-04</x:v>
      </x:c>
      <x:c r="W16" s="47" t="str">
        <x:v>Crimp full shell</x:v>
      </x:c>
      <x:c r="X16" s="50" t="n">
        <x:v>16.65</x:v>
      </x:c>
      <x:c r="Y16" s="50" t="n">
        <x:v>0.13</x:v>
      </x:c>
      <x:c r="Z16" s="47" t="str">
        <x:v>https://www.discounthydraulichose.com/v/vspfiles/downloadables/crimp.pdf (catalog p.99)</x:v>
      </x:c>
      <x:c r="AA16" s="47" t="str">
        <x:v>Published reference data; applicability is limited to the listed reference system and hose code.</x:v>
      </x:c>
      <x:c r="AB16" s="161" t="str">
        <x:v>Pending</x:v>
      </x:c>
    </x:row>
    <x:row r="17" ht="42" customHeight="1">
      <x:c r="A17" s="33" t="str">
        <x:v>Draft</x:v>
      </x:c>
      <x:c r="B17" s="47" t="str">
        <x:v>COMP_0013</x:v>
      </x:c>
      <x:c r="C17" s="47" t="str">
        <x:v>601R1_002</x:v>
      </x:c>
      <x:c r="D17" s="47" t="str">
        <x:v>JIC_F_SW_06_04</x:v>
      </x:c>
      <x:c r="E17" s="47" t="str">
        <x:v>601R1_1WB_002</x:v>
      </x:c>
      <x:c r="F17" s="47" t="str"/>
      <x:c r="G17" s="33" t="str"/>
      <x:c r="H17" s="50" t="str"/>
      <x:c r="I17" s="50" t="str"/>
      <x:c r="J17" s="50" t="str"/>
      <x:c r="K17" s="47" t="str"/>
      <x:c r="L17" s="50" t="str"/>
      <x:c r="M17" s="50" t="str"/>
      <x:c r="N17" s="47" t="str"/>
      <x:c r="O17" s="50" t="str"/>
      <x:c r="P17" s="64" t="str">
        <x:f>IF(O17="","",O17*2)</x:f>
      </x:c>
      <x:c r="Q17" s="50" t="str"/>
      <x:c r="R17" s="47" t="str"/>
      <x:c r="S17" s="33" t="str">
        <x:v>Not Tested</x:v>
      </x:c>
      <x:c r="T17" s="64" t="str">
        <x:v>Eligible</x:v>
      </x:c>
      <x:c r="U17" s="47" t="str">
        <x:v>DHH W Series Bite-To-The-Wire</x:v>
      </x:c>
      <x:c r="V17" s="47" t="str">
        <x:v>R1-04</x:v>
      </x:c>
      <x:c r="W17" s="47" t="str">
        <x:v>Crimp full shell</x:v>
      </x:c>
      <x:c r="X17" s="50" t="n">
        <x:v>16.65</x:v>
      </x:c>
      <x:c r="Y17" s="50" t="n">
        <x:v>0.13</x:v>
      </x:c>
      <x:c r="Z17" s="47" t="str">
        <x:v>https://www.discounthydraulichose.com/v/vspfiles/downloadables/crimp.pdf (catalog p.99)</x:v>
      </x:c>
      <x:c r="AA17" s="47" t="str">
        <x:v>Published reference data; applicability is limited to the listed reference system and hose code.</x:v>
      </x:c>
      <x:c r="AB17" s="161" t="str">
        <x:v>Pending</x:v>
      </x:c>
    </x:row>
    <x:row r="18" ht="42" customHeight="1">
      <x:c r="A18" s="33" t="str">
        <x:v>Draft</x:v>
      </x:c>
      <x:c r="B18" s="47" t="str">
        <x:v>COMP_0014</x:v>
      </x:c>
      <x:c r="C18" s="47" t="str">
        <x:v>601R1_002</x:v>
      </x:c>
      <x:c r="D18" s="47" t="str">
        <x:v>JIC_M_FX_04_04</x:v>
      </x:c>
      <x:c r="E18" s="47" t="str">
        <x:v>601R1_1WB_002</x:v>
      </x:c>
      <x:c r="F18" s="47" t="str"/>
      <x:c r="G18" s="33" t="str"/>
      <x:c r="H18" s="50" t="str"/>
      <x:c r="I18" s="50" t="str"/>
      <x:c r="J18" s="50" t="str"/>
      <x:c r="K18" s="47" t="str"/>
      <x:c r="L18" s="50" t="str"/>
      <x:c r="M18" s="50" t="str"/>
      <x:c r="N18" s="47" t="str"/>
      <x:c r="O18" s="50" t="str"/>
      <x:c r="P18" s="64" t="str">
        <x:f>IF(O18="","",O18*2)</x:f>
      </x:c>
      <x:c r="Q18" s="50" t="str"/>
      <x:c r="R18" s="47" t="str"/>
      <x:c r="S18" s="33" t="str">
        <x:v>Not Tested</x:v>
      </x:c>
      <x:c r="T18" s="64" t="str">
        <x:v>Eligible</x:v>
      </x:c>
      <x:c r="U18" s="47" t="str">
        <x:v>DHH W Series Bite-To-The-Wire</x:v>
      </x:c>
      <x:c r="V18" s="47" t="str">
        <x:v>R1-04</x:v>
      </x:c>
      <x:c r="W18" s="47" t="str">
        <x:v>Crimp full shell</x:v>
      </x:c>
      <x:c r="X18" s="50" t="n">
        <x:v>16.65</x:v>
      </x:c>
      <x:c r="Y18" s="50" t="n">
        <x:v>0.13</x:v>
      </x:c>
      <x:c r="Z18" s="47" t="str">
        <x:v>https://www.discounthydraulichose.com/v/vspfiles/downloadables/crimp.pdf (catalog p.99)</x:v>
      </x:c>
      <x:c r="AA18" s="47" t="str">
        <x:v>Published reference data; applicability is limited to the listed reference system and hose code.</x:v>
      </x:c>
      <x:c r="AB18" s="161" t="str">
        <x:v>Pending</x:v>
      </x:c>
    </x:row>
    <x:row r="19" ht="42" customHeight="1">
      <x:c r="A19" s="33" t="str">
        <x:v>Draft</x:v>
      </x:c>
      <x:c r="B19" s="47" t="str">
        <x:v>COMP_0015</x:v>
      </x:c>
      <x:c r="C19" s="47" t="str">
        <x:v>601R1_002</x:v>
      </x:c>
      <x:c r="D19" s="47" t="str">
        <x:v>JIC_M_FX_05_04</x:v>
      </x:c>
      <x:c r="E19" s="47" t="str">
        <x:v>601R1_1WB_002</x:v>
      </x:c>
      <x:c r="F19" s="47" t="str"/>
      <x:c r="G19" s="33" t="str"/>
      <x:c r="H19" s="50" t="str"/>
      <x:c r="I19" s="50" t="str"/>
      <x:c r="J19" s="50" t="str"/>
      <x:c r="K19" s="47" t="str"/>
      <x:c r="L19" s="50" t="str"/>
      <x:c r="M19" s="50" t="str"/>
      <x:c r="N19" s="47" t="str"/>
      <x:c r="O19" s="50" t="str"/>
      <x:c r="P19" s="64" t="str">
        <x:f>IF(O19="","",O19*2)</x:f>
      </x:c>
      <x:c r="Q19" s="50" t="str"/>
      <x:c r="R19" s="47" t="str"/>
      <x:c r="S19" s="33" t="str">
        <x:v>Not Tested</x:v>
      </x:c>
      <x:c r="T19" s="64" t="str">
        <x:v>Eligible</x:v>
      </x:c>
      <x:c r="U19" s="47" t="str">
        <x:v>DHH W Series Bite-To-The-Wire</x:v>
      </x:c>
      <x:c r="V19" s="47" t="str">
        <x:v>R1-04</x:v>
      </x:c>
      <x:c r="W19" s="47" t="str">
        <x:v>Crimp full shell</x:v>
      </x:c>
      <x:c r="X19" s="50" t="n">
        <x:v>16.65</x:v>
      </x:c>
      <x:c r="Y19" s="50" t="n">
        <x:v>0.13</x:v>
      </x:c>
      <x:c r="Z19" s="47" t="str">
        <x:v>https://www.discounthydraulichose.com/v/vspfiles/downloadables/crimp.pdf (catalog p.99)</x:v>
      </x:c>
      <x:c r="AA19" s="47" t="str">
        <x:v>Published reference data; applicability is limited to the listed reference system and hose code.</x:v>
      </x:c>
      <x:c r="AB19" s="161" t="str">
        <x:v>Pending</x:v>
      </x:c>
    </x:row>
    <x:row r="20" ht="42" customHeight="1">
      <x:c r="A20" s="33" t="str">
        <x:v>Draft</x:v>
      </x:c>
      <x:c r="B20" s="47" t="str">
        <x:v>COMP_0016</x:v>
      </x:c>
      <x:c r="C20" s="47" t="str">
        <x:v>601R1_002</x:v>
      </x:c>
      <x:c r="D20" s="47" t="str">
        <x:v>JIC_M_FX_06_04</x:v>
      </x:c>
      <x:c r="E20" s="47" t="str">
        <x:v>601R1_1WB_002</x:v>
      </x:c>
      <x:c r="F20" s="47" t="str"/>
      <x:c r="G20" s="33" t="str"/>
      <x:c r="H20" s="50" t="str"/>
      <x:c r="I20" s="50" t="str"/>
      <x:c r="J20" s="50" t="str"/>
      <x:c r="K20" s="47" t="str"/>
      <x:c r="L20" s="50" t="str"/>
      <x:c r="M20" s="50" t="str"/>
      <x:c r="N20" s="47" t="str"/>
      <x:c r="O20" s="50" t="str"/>
      <x:c r="P20" s="64" t="str">
        <x:f>IF(O20="","",O20*2)</x:f>
      </x:c>
      <x:c r="Q20" s="50" t="str"/>
      <x:c r="R20" s="47" t="str"/>
      <x:c r="S20" s="33" t="str">
        <x:v>Not Tested</x:v>
      </x:c>
      <x:c r="T20" s="64" t="str">
        <x:v>Eligible</x:v>
      </x:c>
      <x:c r="U20" s="47" t="str">
        <x:v>DHH W Series Bite-To-The-Wire</x:v>
      </x:c>
      <x:c r="V20" s="47" t="str">
        <x:v>R1-04</x:v>
      </x:c>
      <x:c r="W20" s="47" t="str">
        <x:v>Crimp full shell</x:v>
      </x:c>
      <x:c r="X20" s="50" t="n">
        <x:v>16.65</x:v>
      </x:c>
      <x:c r="Y20" s="50" t="n">
        <x:v>0.13</x:v>
      </x:c>
      <x:c r="Z20" s="47" t="str">
        <x:v>https://www.discounthydraulichose.com/v/vspfiles/downloadables/crimp.pdf (catalog p.99)</x:v>
      </x:c>
      <x:c r="AA20" s="47" t="str">
        <x:v>Published reference data; applicability is limited to the listed reference system and hose code.</x:v>
      </x:c>
      <x:c r="AB20" s="161" t="str">
        <x:v>Pending</x:v>
      </x:c>
    </x:row>
    <x:row r="21" ht="42" customHeight="1">
      <x:c r="A21" s="33" t="str">
        <x:v>Draft</x:v>
      </x:c>
      <x:c r="B21" s="47" t="str">
        <x:v>COMP_0017</x:v>
      </x:c>
      <x:c r="C21" s="47" t="str">
        <x:v>601R1_002</x:v>
      </x:c>
      <x:c r="D21" s="47" t="str">
        <x:v>JIC45_F_SW_04_04</x:v>
      </x:c>
      <x:c r="E21" s="47" t="str">
        <x:v>601R1_1WB_002</x:v>
      </x:c>
      <x:c r="F21" s="47" t="str"/>
      <x:c r="G21" s="33" t="str"/>
      <x:c r="H21" s="50" t="str"/>
      <x:c r="I21" s="50" t="str"/>
      <x:c r="J21" s="50" t="str"/>
      <x:c r="K21" s="47" t="str"/>
      <x:c r="L21" s="50" t="str"/>
      <x:c r="M21" s="50" t="str"/>
      <x:c r="N21" s="47" t="str"/>
      <x:c r="O21" s="50" t="str"/>
      <x:c r="P21" s="64" t="str">
        <x:f>IF(O21="","",O21*2)</x:f>
      </x:c>
      <x:c r="Q21" s="50" t="str"/>
      <x:c r="R21" s="47" t="str"/>
      <x:c r="S21" s="33" t="str">
        <x:v>Not Tested</x:v>
      </x:c>
      <x:c r="T21" s="64" t="str">
        <x:v>Eligible</x:v>
      </x:c>
      <x:c r="U21" s="47" t="str">
        <x:v>DHH W Series Bite-To-The-Wire</x:v>
      </x:c>
      <x:c r="V21" s="47" t="str">
        <x:v>R1-04</x:v>
      </x:c>
      <x:c r="W21" s="47" t="str">
        <x:v>Crimp full shell</x:v>
      </x:c>
      <x:c r="X21" s="50" t="n">
        <x:v>16.65</x:v>
      </x:c>
      <x:c r="Y21" s="50" t="n">
        <x:v>0.13</x:v>
      </x:c>
      <x:c r="Z21" s="47" t="str">
        <x:v>https://www.discounthydraulichose.com/v/vspfiles/downloadables/crimp.pdf (catalog p.99)</x:v>
      </x:c>
      <x:c r="AA21" s="47" t="str">
        <x:v>Published reference data; applicability is limited to the listed reference system and hose code.</x:v>
      </x:c>
      <x:c r="AB21" s="161" t="str">
        <x:v>Pending</x:v>
      </x:c>
    </x:row>
    <x:row r="22" ht="42" customHeight="1">
      <x:c r="A22" s="33" t="str">
        <x:v>Draft</x:v>
      </x:c>
      <x:c r="B22" s="47" t="str">
        <x:v>COMP_0018</x:v>
      </x:c>
      <x:c r="C22" s="47" t="str">
        <x:v>601R1_002</x:v>
      </x:c>
      <x:c r="D22" s="47" t="str">
        <x:v>JIC45_F_SW_06_04</x:v>
      </x:c>
      <x:c r="E22" s="47" t="str">
        <x:v>601R1_1WB_002</x:v>
      </x:c>
      <x:c r="F22" s="47" t="str"/>
      <x:c r="G22" s="33" t="str"/>
      <x:c r="H22" s="50" t="str"/>
      <x:c r="I22" s="50" t="str"/>
      <x:c r="J22" s="50" t="str"/>
      <x:c r="K22" s="47" t="str"/>
      <x:c r="L22" s="50" t="str"/>
      <x:c r="M22" s="50" t="str"/>
      <x:c r="N22" s="47" t="str"/>
      <x:c r="O22" s="50" t="str"/>
      <x:c r="P22" s="64" t="str">
        <x:f>IF(O22="","",O22*2)</x:f>
      </x:c>
      <x:c r="Q22" s="50" t="str"/>
      <x:c r="R22" s="47" t="str"/>
      <x:c r="S22" s="33" t="str">
        <x:v>Not Tested</x:v>
      </x:c>
      <x:c r="T22" s="64" t="str">
        <x:v>Eligible</x:v>
      </x:c>
      <x:c r="U22" s="47" t="str">
        <x:v>DHH W Series Bite-To-The-Wire</x:v>
      </x:c>
      <x:c r="V22" s="47" t="str">
        <x:v>R1-04</x:v>
      </x:c>
      <x:c r="W22" s="47" t="str">
        <x:v>Crimp full shell</x:v>
      </x:c>
      <x:c r="X22" s="50" t="n">
        <x:v>16.65</x:v>
      </x:c>
      <x:c r="Y22" s="50" t="n">
        <x:v>0.13</x:v>
      </x:c>
      <x:c r="Z22" s="47" t="str">
        <x:v>https://www.discounthydraulichose.com/v/vspfiles/downloadables/crimp.pdf (catalog p.99)</x:v>
      </x:c>
      <x:c r="AA22" s="47" t="str">
        <x:v>Published reference data; applicability is limited to the listed reference system and hose code.</x:v>
      </x:c>
      <x:c r="AB22" s="161" t="str">
        <x:v>Pending</x:v>
      </x:c>
    </x:row>
    <x:row r="23" ht="42" customHeight="1">
      <x:c r="A23" s="33" t="str">
        <x:v>Draft</x:v>
      </x:c>
      <x:c r="B23" s="47" t="str">
        <x:v>COMP_0019</x:v>
      </x:c>
      <x:c r="C23" s="47" t="str">
        <x:v>601R1_002</x:v>
      </x:c>
      <x:c r="D23" s="47" t="str">
        <x:v>JIC90_F_SW_04_04</x:v>
      </x:c>
      <x:c r="E23" s="47" t="str">
        <x:v>601R1_1WB_002</x:v>
      </x:c>
      <x:c r="F23" s="47" t="str"/>
      <x:c r="G23" s="33" t="str"/>
      <x:c r="H23" s="50" t="str"/>
      <x:c r="I23" s="50" t="str"/>
      <x:c r="J23" s="50" t="str"/>
      <x:c r="K23" s="47" t="str"/>
      <x:c r="L23" s="50" t="str"/>
      <x:c r="M23" s="50" t="str"/>
      <x:c r="N23" s="47" t="str"/>
      <x:c r="O23" s="50" t="str"/>
      <x:c r="P23" s="64" t="str">
        <x:f>IF(O23="","",O23*2)</x:f>
      </x:c>
      <x:c r="Q23" s="50" t="str"/>
      <x:c r="R23" s="47" t="str"/>
      <x:c r="S23" s="33" t="str">
        <x:v>Not Tested</x:v>
      </x:c>
      <x:c r="T23" s="64" t="str">
        <x:v>Eligible</x:v>
      </x:c>
      <x:c r="U23" s="47" t="str">
        <x:v>DHH W Series Bite-To-The-Wire</x:v>
      </x:c>
      <x:c r="V23" s="47" t="str">
        <x:v>R1-04</x:v>
      </x:c>
      <x:c r="W23" s="47" t="str">
        <x:v>Crimp full shell</x:v>
      </x:c>
      <x:c r="X23" s="50" t="n">
        <x:v>16.65</x:v>
      </x:c>
      <x:c r="Y23" s="50" t="n">
        <x:v>0.13</x:v>
      </x:c>
      <x:c r="Z23" s="47" t="str">
        <x:v>https://www.discounthydraulichose.com/v/vspfiles/downloadables/crimp.pdf (catalog p.99)</x:v>
      </x:c>
      <x:c r="AA23" s="47" t="str">
        <x:v>Published reference data; applicability is limited to the listed reference system and hose code.</x:v>
      </x:c>
      <x:c r="AB23" s="161" t="str">
        <x:v>Pending</x:v>
      </x:c>
    </x:row>
    <x:row r="24" ht="42" customHeight="1">
      <x:c r="A24" s="33" t="str">
        <x:v>Draft</x:v>
      </x:c>
      <x:c r="B24" s="47" t="str">
        <x:v>COMP_0020</x:v>
      </x:c>
      <x:c r="C24" s="47" t="str">
        <x:v>601R1_002</x:v>
      </x:c>
      <x:c r="D24" s="47" t="str">
        <x:v>JIC90_F_SW_05_04</x:v>
      </x:c>
      <x:c r="E24" s="47" t="str">
        <x:v>601R1_1WB_002</x:v>
      </x:c>
      <x:c r="F24" s="47" t="str"/>
      <x:c r="G24" s="33" t="str"/>
      <x:c r="H24" s="50" t="str"/>
      <x:c r="I24" s="50" t="str"/>
      <x:c r="J24" s="50" t="str"/>
      <x:c r="K24" s="47" t="str"/>
      <x:c r="L24" s="50" t="str"/>
      <x:c r="M24" s="50" t="str"/>
      <x:c r="N24" s="47" t="str"/>
      <x:c r="O24" s="50" t="str"/>
      <x:c r="P24" s="64" t="str">
        <x:f>IF(O24="","",O24*2)</x:f>
      </x:c>
      <x:c r="Q24" s="50" t="str"/>
      <x:c r="R24" s="47" t="str"/>
      <x:c r="S24" s="33" t="str">
        <x:v>Not Tested</x:v>
      </x:c>
      <x:c r="T24" s="64" t="str">
        <x:v>Eligible</x:v>
      </x:c>
      <x:c r="U24" s="47" t="str">
        <x:v>DHH W Series Bite-To-The-Wire</x:v>
      </x:c>
      <x:c r="V24" s="47" t="str">
        <x:v>R1-04</x:v>
      </x:c>
      <x:c r="W24" s="47" t="str">
        <x:v>Crimp full shell</x:v>
      </x:c>
      <x:c r="X24" s="50" t="n">
        <x:v>16.65</x:v>
      </x:c>
      <x:c r="Y24" s="50" t="n">
        <x:v>0.13</x:v>
      </x:c>
      <x:c r="Z24" s="47" t="str">
        <x:v>https://www.discounthydraulichose.com/v/vspfiles/downloadables/crimp.pdf (catalog p.99)</x:v>
      </x:c>
      <x:c r="AA24" s="47" t="str">
        <x:v>Published reference data; applicability is limited to the listed reference system and hose code.</x:v>
      </x:c>
      <x:c r="AB24" s="161" t="str">
        <x:v>Pending</x:v>
      </x:c>
    </x:row>
    <x:row r="25" ht="42" customHeight="1">
      <x:c r="A25" s="33" t="str">
        <x:v>Draft</x:v>
      </x:c>
      <x:c r="B25" s="47" t="str">
        <x:v>COMP_0021</x:v>
      </x:c>
      <x:c r="C25" s="47" t="str">
        <x:v>601R1_002</x:v>
      </x:c>
      <x:c r="D25" s="47" t="str">
        <x:v>JIC90_F_SW_06_04</x:v>
      </x:c>
      <x:c r="E25" s="47" t="str">
        <x:v>601R1_1WB_002</x:v>
      </x:c>
      <x:c r="F25" s="47" t="str"/>
      <x:c r="G25" s="33" t="str"/>
      <x:c r="H25" s="50" t="str"/>
      <x:c r="I25" s="50" t="str"/>
      <x:c r="J25" s="50" t="str"/>
      <x:c r="K25" s="47" t="str"/>
      <x:c r="L25" s="50" t="str"/>
      <x:c r="M25" s="50" t="str"/>
      <x:c r="N25" s="47" t="str"/>
      <x:c r="O25" s="50" t="str"/>
      <x:c r="P25" s="64" t="str">
        <x:f>IF(O25="","",O25*2)</x:f>
      </x:c>
      <x:c r="Q25" s="50" t="str"/>
      <x:c r="R25" s="47" t="str"/>
      <x:c r="S25" s="33" t="str">
        <x:v>Not Tested</x:v>
      </x:c>
      <x:c r="T25" s="64" t="str">
        <x:v>Eligible</x:v>
      </x:c>
      <x:c r="U25" s="47" t="str">
        <x:v>DHH W Series Bite-To-The-Wire</x:v>
      </x:c>
      <x:c r="V25" s="47" t="str">
        <x:v>R1-04</x:v>
      </x:c>
      <x:c r="W25" s="47" t="str">
        <x:v>Crimp full shell</x:v>
      </x:c>
      <x:c r="X25" s="50" t="n">
        <x:v>16.65</x:v>
      </x:c>
      <x:c r="Y25" s="50" t="n">
        <x:v>0.13</x:v>
      </x:c>
      <x:c r="Z25" s="47" t="str">
        <x:v>https://www.discounthydraulichose.com/v/vspfiles/downloadables/crimp.pdf (catalog p.99)</x:v>
      </x:c>
      <x:c r="AA25" s="47" t="str">
        <x:v>Published reference data; applicability is limited to the listed reference system and hose code.</x:v>
      </x:c>
      <x:c r="AB25" s="161" t="str">
        <x:v>Pending</x:v>
      </x:c>
    </x:row>
    <x:row r="26" ht="42" customHeight="1">
      <x:c r="A26" s="33" t="str">
        <x:v>Draft</x:v>
      </x:c>
      <x:c r="B26" s="47" t="str">
        <x:v>COMP_0022</x:v>
      </x:c>
      <x:c r="C26" s="47" t="str">
        <x:v>601R1_002</x:v>
      </x:c>
      <x:c r="D26" s="47" t="str">
        <x:v>NPT_F_FX_02_04</x:v>
      </x:c>
      <x:c r="E26" s="47" t="str">
        <x:v>601R1_1WB_002</x:v>
      </x:c>
      <x:c r="F26" s="47" t="str"/>
      <x:c r="G26" s="33" t="str"/>
      <x:c r="H26" s="50" t="str"/>
      <x:c r="I26" s="50" t="str"/>
      <x:c r="J26" s="50" t="str"/>
      <x:c r="K26" s="47" t="str"/>
      <x:c r="L26" s="50" t="str"/>
      <x:c r="M26" s="50" t="str"/>
      <x:c r="N26" s="47" t="str"/>
      <x:c r="O26" s="50" t="str"/>
      <x:c r="P26" s="64" t="str">
        <x:f>IF(O26="","",O26*2)</x:f>
      </x:c>
      <x:c r="Q26" s="50" t="str"/>
      <x:c r="R26" s="47" t="str"/>
      <x:c r="S26" s="33" t="str">
        <x:v>Not Tested</x:v>
      </x:c>
      <x:c r="T26" s="64" t="str">
        <x:v>Eligible</x:v>
      </x:c>
      <x:c r="U26" s="47" t="str">
        <x:v>DHH W Series Bite-To-The-Wire</x:v>
      </x:c>
      <x:c r="V26" s="47" t="str">
        <x:v>R1-04</x:v>
      </x:c>
      <x:c r="W26" s="47" t="str">
        <x:v>Crimp full shell</x:v>
      </x:c>
      <x:c r="X26" s="50" t="n">
        <x:v>16.65</x:v>
      </x:c>
      <x:c r="Y26" s="50" t="n">
        <x:v>0.13</x:v>
      </x:c>
      <x:c r="Z26" s="47" t="str">
        <x:v>https://www.discounthydraulichose.com/v/vspfiles/downloadables/crimp.pdf (catalog p.99)</x:v>
      </x:c>
      <x:c r="AA26" s="47" t="str">
        <x:v>Published reference data; applicability is limited to the listed reference system and hose code.</x:v>
      </x:c>
      <x:c r="AB26" s="161" t="str">
        <x:v>Pending</x:v>
      </x:c>
    </x:row>
    <x:row r="27" ht="42" customHeight="1">
      <x:c r="A27" s="33" t="str">
        <x:v>Draft</x:v>
      </x:c>
      <x:c r="B27" s="47" t="str">
        <x:v>COMP_0023</x:v>
      </x:c>
      <x:c r="C27" s="47" t="str">
        <x:v>601R1_002</x:v>
      </x:c>
      <x:c r="D27" s="47" t="str">
        <x:v>NPT_F_FX_04_04</x:v>
      </x:c>
      <x:c r="E27" s="47" t="str">
        <x:v>601R1_1WB_002</x:v>
      </x:c>
      <x:c r="F27" s="47" t="str"/>
      <x:c r="G27" s="33" t="str"/>
      <x:c r="H27" s="50" t="str"/>
      <x:c r="I27" s="50" t="str"/>
      <x:c r="J27" s="50" t="str"/>
      <x:c r="K27" s="47" t="str"/>
      <x:c r="L27" s="50" t="str"/>
      <x:c r="M27" s="50" t="str"/>
      <x:c r="N27" s="47" t="str"/>
      <x:c r="O27" s="50" t="str"/>
      <x:c r="P27" s="64" t="str">
        <x:f>IF(O27="","",O27*2)</x:f>
      </x:c>
      <x:c r="Q27" s="50" t="str"/>
      <x:c r="R27" s="47" t="str"/>
      <x:c r="S27" s="33" t="str">
        <x:v>Not Tested</x:v>
      </x:c>
      <x:c r="T27" s="64" t="str">
        <x:v>Eligible</x:v>
      </x:c>
      <x:c r="U27" s="47" t="str">
        <x:v>DHH W Series Bite-To-The-Wire</x:v>
      </x:c>
      <x:c r="V27" s="47" t="str">
        <x:v>R1-04</x:v>
      </x:c>
      <x:c r="W27" s="47" t="str">
        <x:v>Crimp full shell</x:v>
      </x:c>
      <x:c r="X27" s="50" t="n">
        <x:v>16.65</x:v>
      </x:c>
      <x:c r="Y27" s="50" t="n">
        <x:v>0.13</x:v>
      </x:c>
      <x:c r="Z27" s="47" t="str">
        <x:v>https://www.discounthydraulichose.com/v/vspfiles/downloadables/crimp.pdf (catalog p.99)</x:v>
      </x:c>
      <x:c r="AA27" s="47" t="str">
        <x:v>Published reference data; applicability is limited to the listed reference system and hose code.</x:v>
      </x:c>
      <x:c r="AB27" s="161" t="str">
        <x:v>Pending</x:v>
      </x:c>
    </x:row>
    <x:row r="28" ht="42" customHeight="1">
      <x:c r="A28" s="33" t="str">
        <x:v>Draft</x:v>
      </x:c>
      <x:c r="B28" s="47" t="str">
        <x:v>COMP_0024</x:v>
      </x:c>
      <x:c r="C28" s="47" t="str">
        <x:v>601R1_002</x:v>
      </x:c>
      <x:c r="D28" s="47" t="str">
        <x:v>NPT_F_FX_06_04</x:v>
      </x:c>
      <x:c r="E28" s="47" t="str">
        <x:v>601R1_1WB_002</x:v>
      </x:c>
      <x:c r="F28" s="47" t="str"/>
      <x:c r="G28" s="33" t="str"/>
      <x:c r="H28" s="50" t="str"/>
      <x:c r="I28" s="50" t="str"/>
      <x:c r="J28" s="50" t="str"/>
      <x:c r="K28" s="47" t="str"/>
      <x:c r="L28" s="50" t="str"/>
      <x:c r="M28" s="50" t="str"/>
      <x:c r="N28" s="47" t="str"/>
      <x:c r="O28" s="50" t="str"/>
      <x:c r="P28" s="64" t="str">
        <x:f>IF(O28="","",O28*2)</x:f>
      </x:c>
      <x:c r="Q28" s="50" t="str"/>
      <x:c r="R28" s="47" t="str"/>
      <x:c r="S28" s="33" t="str">
        <x:v>Not Tested</x:v>
      </x:c>
      <x:c r="T28" s="64" t="str">
        <x:v>Eligible</x:v>
      </x:c>
      <x:c r="U28" s="47" t="str">
        <x:v>DHH W Series Bite-To-The-Wire</x:v>
      </x:c>
      <x:c r="V28" s="47" t="str">
        <x:v>R1-04</x:v>
      </x:c>
      <x:c r="W28" s="47" t="str">
        <x:v>Crimp full shell</x:v>
      </x:c>
      <x:c r="X28" s="50" t="n">
        <x:v>16.65</x:v>
      </x:c>
      <x:c r="Y28" s="50" t="n">
        <x:v>0.13</x:v>
      </x:c>
      <x:c r="Z28" s="47" t="str">
        <x:v>https://www.discounthydraulichose.com/v/vspfiles/downloadables/crimp.pdf (catalog p.99)</x:v>
      </x:c>
      <x:c r="AA28" s="47" t="str">
        <x:v>Published reference data; applicability is limited to the listed reference system and hose code.</x:v>
      </x:c>
      <x:c r="AB28" s="161" t="str">
        <x:v>Pending</x:v>
      </x:c>
    </x:row>
    <x:row r="29" ht="42" customHeight="1">
      <x:c r="A29" s="33" t="str">
        <x:v>Draft</x:v>
      </x:c>
      <x:c r="B29" s="47" t="str">
        <x:v>COMP_0025</x:v>
      </x:c>
      <x:c r="C29" s="47" t="str">
        <x:v>601R1_002</x:v>
      </x:c>
      <x:c r="D29" s="47" t="str">
        <x:v>NPT_M_FX_02_04</x:v>
      </x:c>
      <x:c r="E29" s="47" t="str">
        <x:v>601R1_1WB_002</x:v>
      </x:c>
      <x:c r="F29" s="47" t="str"/>
      <x:c r="G29" s="33" t="str"/>
      <x:c r="H29" s="50" t="str"/>
      <x:c r="I29" s="50" t="str"/>
      <x:c r="J29" s="50" t="str"/>
      <x:c r="K29" s="47" t="str"/>
      <x:c r="L29" s="50" t="str"/>
      <x:c r="M29" s="50" t="str"/>
      <x:c r="N29" s="47" t="str"/>
      <x:c r="O29" s="50" t="str"/>
      <x:c r="P29" s="64" t="str">
        <x:f>IF(O29="","",O29*2)</x:f>
      </x:c>
      <x:c r="Q29" s="50" t="str"/>
      <x:c r="R29" s="47" t="str"/>
      <x:c r="S29" s="33" t="str">
        <x:v>Not Tested</x:v>
      </x:c>
      <x:c r="T29" s="64" t="str">
        <x:v>Eligible</x:v>
      </x:c>
      <x:c r="U29" s="47" t="str">
        <x:v>DHH W Series Bite-To-The-Wire</x:v>
      </x:c>
      <x:c r="V29" s="47" t="str">
        <x:v>R1-04</x:v>
      </x:c>
      <x:c r="W29" s="47" t="str">
        <x:v>Crimp full shell</x:v>
      </x:c>
      <x:c r="X29" s="50" t="n">
        <x:v>16.65</x:v>
      </x:c>
      <x:c r="Y29" s="50" t="n">
        <x:v>0.13</x:v>
      </x:c>
      <x:c r="Z29" s="47" t="str">
        <x:v>https://www.discounthydraulichose.com/v/vspfiles/downloadables/crimp.pdf (catalog p.99)</x:v>
      </x:c>
      <x:c r="AA29" s="47" t="str">
        <x:v>Published reference data; applicability is limited to the listed reference system and hose code.</x:v>
      </x:c>
      <x:c r="AB29" s="161" t="str">
        <x:v>Pending</x:v>
      </x:c>
    </x:row>
    <x:row r="30" ht="42" customHeight="1">
      <x:c r="A30" s="33" t="str">
        <x:v>Draft</x:v>
      </x:c>
      <x:c r="B30" s="47" t="str">
        <x:v>COMP_0026</x:v>
      </x:c>
      <x:c r="C30" s="47" t="str">
        <x:v>601R1_002</x:v>
      </x:c>
      <x:c r="D30" s="47" t="str">
        <x:v>NPT_M_FX_04_04</x:v>
      </x:c>
      <x:c r="E30" s="47" t="str">
        <x:v>601R1_1WB_002</x:v>
      </x:c>
      <x:c r="F30" s="47" t="str"/>
      <x:c r="G30" s="33" t="str"/>
      <x:c r="H30" s="50" t="str"/>
      <x:c r="I30" s="50" t="str"/>
      <x:c r="J30" s="50" t="str"/>
      <x:c r="K30" s="47" t="str"/>
      <x:c r="L30" s="50" t="str"/>
      <x:c r="M30" s="50" t="str"/>
      <x:c r="N30" s="47" t="str"/>
      <x:c r="O30" s="50" t="str"/>
      <x:c r="P30" s="64" t="str">
        <x:f>IF(O30="","",O30*2)</x:f>
      </x:c>
      <x:c r="Q30" s="50" t="str"/>
      <x:c r="R30" s="47" t="str"/>
      <x:c r="S30" s="33" t="str">
        <x:v>Not Tested</x:v>
      </x:c>
      <x:c r="T30" s="64" t="str">
        <x:v>Eligible</x:v>
      </x:c>
      <x:c r="U30" s="47" t="str">
        <x:v>DHH W Series Bite-To-The-Wire</x:v>
      </x:c>
      <x:c r="V30" s="47" t="str">
        <x:v>R1-04</x:v>
      </x:c>
      <x:c r="W30" s="47" t="str">
        <x:v>Crimp full shell</x:v>
      </x:c>
      <x:c r="X30" s="50" t="n">
        <x:v>16.65</x:v>
      </x:c>
      <x:c r="Y30" s="50" t="n">
        <x:v>0.13</x:v>
      </x:c>
      <x:c r="Z30" s="47" t="str">
        <x:v>https://www.discounthydraulichose.com/v/vspfiles/downloadables/crimp.pdf (catalog p.99)</x:v>
      </x:c>
      <x:c r="AA30" s="47" t="str">
        <x:v>Published reference data; applicability is limited to the listed reference system and hose code.</x:v>
      </x:c>
      <x:c r="AB30" s="161" t="str">
        <x:v>Pending</x:v>
      </x:c>
    </x:row>
    <x:row r="31" ht="42" customHeight="1">
      <x:c r="A31" s="33" t="str">
        <x:v>Draft</x:v>
      </x:c>
      <x:c r="B31" s="47" t="str">
        <x:v>COMP_0027</x:v>
      </x:c>
      <x:c r="C31" s="47" t="str">
        <x:v>601R1_002</x:v>
      </x:c>
      <x:c r="D31" s="47" t="str">
        <x:v>NPT_M_FX_06_04</x:v>
      </x:c>
      <x:c r="E31" s="47" t="str">
        <x:v>601R1_1WB_002</x:v>
      </x:c>
      <x:c r="F31" s="47" t="str"/>
      <x:c r="G31" s="33" t="str"/>
      <x:c r="H31" s="50" t="str"/>
      <x:c r="I31" s="50" t="str"/>
      <x:c r="J31" s="50" t="str"/>
      <x:c r="K31" s="47" t="str"/>
      <x:c r="L31" s="50" t="str"/>
      <x:c r="M31" s="50" t="str"/>
      <x:c r="N31" s="47" t="str"/>
      <x:c r="O31" s="50" t="str"/>
      <x:c r="P31" s="64" t="str">
        <x:f>IF(O31="","",O31*2)</x:f>
      </x:c>
      <x:c r="Q31" s="50" t="str"/>
      <x:c r="R31" s="47" t="str"/>
      <x:c r="S31" s="33" t="str">
        <x:v>Not Tested</x:v>
      </x:c>
      <x:c r="T31" s="64" t="str">
        <x:v>Eligible</x:v>
      </x:c>
      <x:c r="U31" s="47" t="str">
        <x:v>DHH W Series Bite-To-The-Wire</x:v>
      </x:c>
      <x:c r="V31" s="47" t="str">
        <x:v>R1-04</x:v>
      </x:c>
      <x:c r="W31" s="47" t="str">
        <x:v>Crimp full shell</x:v>
      </x:c>
      <x:c r="X31" s="50" t="n">
        <x:v>16.65</x:v>
      </x:c>
      <x:c r="Y31" s="50" t="n">
        <x:v>0.13</x:v>
      </x:c>
      <x:c r="Z31" s="47" t="str">
        <x:v>https://www.discounthydraulichose.com/v/vspfiles/downloadables/crimp.pdf (catalog p.99)</x:v>
      </x:c>
      <x:c r="AA31" s="47" t="str">
        <x:v>Published reference data; applicability is limited to the listed reference system and hose code.</x:v>
      </x:c>
      <x:c r="AB31" s="161" t="str">
        <x:v>Pending</x:v>
      </x:c>
    </x:row>
    <x:row r="32" ht="42" customHeight="1">
      <x:c r="A32" s="33" t="str">
        <x:v>Draft</x:v>
      </x:c>
      <x:c r="B32" s="47" t="str">
        <x:v>COMP_0028</x:v>
      </x:c>
      <x:c r="C32" s="47" t="str">
        <x:v>601R1_002</x:v>
      </x:c>
      <x:c r="D32" s="47" t="str">
        <x:v>NPT_M_FX_08_04</x:v>
      </x:c>
      <x:c r="E32" s="47" t="str">
        <x:v>601R1_1WB_002</x:v>
      </x:c>
      <x:c r="F32" s="47" t="str"/>
      <x:c r="G32" s="33" t="str"/>
      <x:c r="H32" s="50" t="str"/>
      <x:c r="I32" s="50" t="str"/>
      <x:c r="J32" s="50" t="str"/>
      <x:c r="K32" s="47" t="str"/>
      <x:c r="L32" s="50" t="str"/>
      <x:c r="M32" s="50" t="str"/>
      <x:c r="N32" s="47" t="str"/>
      <x:c r="O32" s="50" t="str"/>
      <x:c r="P32" s="64" t="str">
        <x:f>IF(O32="","",O32*2)</x:f>
      </x:c>
      <x:c r="Q32" s="50" t="str"/>
      <x:c r="R32" s="47" t="str"/>
      <x:c r="S32" s="33" t="str">
        <x:v>Not Tested</x:v>
      </x:c>
      <x:c r="T32" s="64" t="str">
        <x:v>Eligible</x:v>
      </x:c>
      <x:c r="U32" s="47" t="str">
        <x:v>DHH W Series Bite-To-The-Wire</x:v>
      </x:c>
      <x:c r="V32" s="47" t="str">
        <x:v>R1-04</x:v>
      </x:c>
      <x:c r="W32" s="47" t="str">
        <x:v>Crimp full shell</x:v>
      </x:c>
      <x:c r="X32" s="50" t="n">
        <x:v>16.65</x:v>
      </x:c>
      <x:c r="Y32" s="50" t="n">
        <x:v>0.13</x:v>
      </x:c>
      <x:c r="Z32" s="47" t="str">
        <x:v>https://www.discounthydraulichose.com/v/vspfiles/downloadables/crimp.pdf (catalog p.99)</x:v>
      </x:c>
      <x:c r="AA32" s="47" t="str">
        <x:v>Published reference data; applicability is limited to the listed reference system and hose code.</x:v>
      </x:c>
      <x:c r="AB32" s="161" t="str">
        <x:v>Pending</x:v>
      </x:c>
    </x:row>
    <x:row r="33" ht="42" customHeight="1">
      <x:c r="A33" s="33" t="str">
        <x:v>Draft</x:v>
      </x:c>
      <x:c r="B33" s="47" t="str">
        <x:v>COMP_0029</x:v>
      </x:c>
      <x:c r="C33" s="47" t="str">
        <x:v>601R1_002</x:v>
      </x:c>
      <x:c r="D33" s="47" t="str">
        <x:v>NPT90_M_SW_04_04</x:v>
      </x:c>
      <x:c r="E33" s="47" t="str">
        <x:v>601R1_1WB_002</x:v>
      </x:c>
      <x:c r="F33" s="47" t="str"/>
      <x:c r="G33" s="33" t="str"/>
      <x:c r="H33" s="50" t="str"/>
      <x:c r="I33" s="50" t="str"/>
      <x:c r="J33" s="50" t="str"/>
      <x:c r="K33" s="47" t="str"/>
      <x:c r="L33" s="50" t="str"/>
      <x:c r="M33" s="50" t="str"/>
      <x:c r="N33" s="47" t="str"/>
      <x:c r="O33" s="50" t="str"/>
      <x:c r="P33" s="64" t="str">
        <x:f>IF(O33="","",O33*2)</x:f>
      </x:c>
      <x:c r="Q33" s="50" t="str"/>
      <x:c r="R33" s="47" t="str"/>
      <x:c r="S33" s="33" t="str">
        <x:v>Not Tested</x:v>
      </x:c>
      <x:c r="T33" s="64" t="str">
        <x:v>Eligible</x:v>
      </x:c>
      <x:c r="U33" s="47" t="str">
        <x:v>DHH W Series Bite-To-The-Wire</x:v>
      </x:c>
      <x:c r="V33" s="47" t="str">
        <x:v>R1-04</x:v>
      </x:c>
      <x:c r="W33" s="47" t="str">
        <x:v>Crimp full shell</x:v>
      </x:c>
      <x:c r="X33" s="50" t="n">
        <x:v>16.65</x:v>
      </x:c>
      <x:c r="Y33" s="50" t="n">
        <x:v>0.13</x:v>
      </x:c>
      <x:c r="Z33" s="47" t="str">
        <x:v>https://www.discounthydraulichose.com/v/vspfiles/downloadables/crimp.pdf (catalog p.99)</x:v>
      </x:c>
      <x:c r="AA33" s="47" t="str">
        <x:v>Published reference data; applicability is limited to the listed reference system and hose code.</x:v>
      </x:c>
      <x:c r="AB33" s="161" t="str">
        <x:v>Pending</x:v>
      </x:c>
    </x:row>
    <x:row r="34" ht="42" customHeight="1">
      <x:c r="A34" s="33" t="str">
        <x:v>Draft</x:v>
      </x:c>
      <x:c r="B34" s="47" t="str">
        <x:v>COMP_0030</x:v>
      </x:c>
      <x:c r="C34" s="47" t="str">
        <x:v>601R1_002</x:v>
      </x:c>
      <x:c r="D34" s="47" t="str">
        <x:v>ORFS_F_SW_04_04</x:v>
      </x:c>
      <x:c r="E34" s="47" t="str">
        <x:v>601R1_1WB_002</x:v>
      </x:c>
      <x:c r="F34" s="47" t="str"/>
      <x:c r="G34" s="33" t="str"/>
      <x:c r="H34" s="50" t="str"/>
      <x:c r="I34" s="50" t="str"/>
      <x:c r="J34" s="50" t="str"/>
      <x:c r="K34" s="47" t="str"/>
      <x:c r="L34" s="50" t="str"/>
      <x:c r="M34" s="50" t="str"/>
      <x:c r="N34" s="47" t="str"/>
      <x:c r="O34" s="50" t="str"/>
      <x:c r="P34" s="64" t="str">
        <x:f>IF(O34="","",O34*2)</x:f>
      </x:c>
      <x:c r="Q34" s="50" t="str"/>
      <x:c r="R34" s="47" t="str"/>
      <x:c r="S34" s="33" t="str">
        <x:v>Not Tested</x:v>
      </x:c>
      <x:c r="T34" s="64" t="str">
        <x:v>Eligible</x:v>
      </x:c>
      <x:c r="U34" s="47" t="str">
        <x:v>DHH W Series Bite-To-The-Wire</x:v>
      </x:c>
      <x:c r="V34" s="47" t="str">
        <x:v>R1-04</x:v>
      </x:c>
      <x:c r="W34" s="47" t="str">
        <x:v>Crimp full shell</x:v>
      </x:c>
      <x:c r="X34" s="50" t="n">
        <x:v>16.65</x:v>
      </x:c>
      <x:c r="Y34" s="50" t="n">
        <x:v>0.13</x:v>
      </x:c>
      <x:c r="Z34" s="47" t="str">
        <x:v>https://www.discounthydraulichose.com/v/vspfiles/downloadables/crimp.pdf (catalog p.99)</x:v>
      </x:c>
      <x:c r="AA34" s="47" t="str">
        <x:v>Published reference data; applicability is limited to the listed reference system and hose code.</x:v>
      </x:c>
      <x:c r="AB34" s="161" t="str">
        <x:v>Pending</x:v>
      </x:c>
    </x:row>
    <x:row r="35" ht="42" customHeight="1">
      <x:c r="A35" s="33" t="str">
        <x:v>Draft</x:v>
      </x:c>
      <x:c r="B35" s="47" t="str">
        <x:v>COMP_0031</x:v>
      </x:c>
      <x:c r="C35" s="47" t="str">
        <x:v>601R1_002</x:v>
      </x:c>
      <x:c r="D35" s="47" t="str">
        <x:v>ORFS_F_SW_06_04</x:v>
      </x:c>
      <x:c r="E35" s="47" t="str">
        <x:v>601R1_1WB_002</x:v>
      </x:c>
      <x:c r="F35" s="47" t="str"/>
      <x:c r="G35" s="33" t="str"/>
      <x:c r="H35" s="50" t="str"/>
      <x:c r="I35" s="50" t="str"/>
      <x:c r="J35" s="50" t="str"/>
      <x:c r="K35" s="47" t="str"/>
      <x:c r="L35" s="50" t="str"/>
      <x:c r="M35" s="50" t="str"/>
      <x:c r="N35" s="47" t="str"/>
      <x:c r="O35" s="50" t="str"/>
      <x:c r="P35" s="64" t="str">
        <x:f>IF(O35="","",O35*2)</x:f>
      </x:c>
      <x:c r="Q35" s="50" t="str"/>
      <x:c r="R35" s="47" t="str"/>
      <x:c r="S35" s="33" t="str">
        <x:v>Not Tested</x:v>
      </x:c>
      <x:c r="T35" s="64" t="str">
        <x:v>Eligible</x:v>
      </x:c>
      <x:c r="U35" s="47" t="str">
        <x:v>DHH W Series Bite-To-The-Wire</x:v>
      </x:c>
      <x:c r="V35" s="47" t="str">
        <x:v>R1-04</x:v>
      </x:c>
      <x:c r="W35" s="47" t="str">
        <x:v>Crimp full shell</x:v>
      </x:c>
      <x:c r="X35" s="50" t="n">
        <x:v>16.65</x:v>
      </x:c>
      <x:c r="Y35" s="50" t="n">
        <x:v>0.13</x:v>
      </x:c>
      <x:c r="Z35" s="47" t="str">
        <x:v>https://www.discounthydraulichose.com/v/vspfiles/downloadables/crimp.pdf (catalog p.99)</x:v>
      </x:c>
      <x:c r="AA35" s="47" t="str">
        <x:v>Published reference data; applicability is limited to the listed reference system and hose code.</x:v>
      </x:c>
      <x:c r="AB35" s="161" t="str">
        <x:v>Pending</x:v>
      </x:c>
    </x:row>
    <x:row r="36" ht="42" customHeight="1">
      <x:c r="A36" s="33" t="str">
        <x:v>Draft</x:v>
      </x:c>
      <x:c r="B36" s="47" t="str">
        <x:v>COMP_0032</x:v>
      </x:c>
      <x:c r="C36" s="47" t="str">
        <x:v>601R1_002</x:v>
      </x:c>
      <x:c r="D36" s="47" t="str">
        <x:v>ORFS_F_SW_08_04</x:v>
      </x:c>
      <x:c r="E36" s="47" t="str">
        <x:v>601R1_1WB_002</x:v>
      </x:c>
      <x:c r="F36" s="47" t="str"/>
      <x:c r="G36" s="33" t="str"/>
      <x:c r="H36" s="50" t="str"/>
      <x:c r="I36" s="50" t="str"/>
      <x:c r="J36" s="50" t="str"/>
      <x:c r="K36" s="47" t="str"/>
      <x:c r="L36" s="50" t="str"/>
      <x:c r="M36" s="50" t="str"/>
      <x:c r="N36" s="47" t="str"/>
      <x:c r="O36" s="50" t="str"/>
      <x:c r="P36" s="64" t="str">
        <x:f>IF(O36="","",O36*2)</x:f>
      </x:c>
      <x:c r="Q36" s="50" t="str"/>
      <x:c r="R36" s="47" t="str"/>
      <x:c r="S36" s="33" t="str">
        <x:v>Not Tested</x:v>
      </x:c>
      <x:c r="T36" s="64" t="str">
        <x:v>Eligible</x:v>
      </x:c>
      <x:c r="U36" s="47" t="str">
        <x:v>DHH W Series Bite-To-The-Wire</x:v>
      </x:c>
      <x:c r="V36" s="47" t="str">
        <x:v>R1-04</x:v>
      </x:c>
      <x:c r="W36" s="47" t="str">
        <x:v>Crimp full shell</x:v>
      </x:c>
      <x:c r="X36" s="50" t="n">
        <x:v>16.65</x:v>
      </x:c>
      <x:c r="Y36" s="50" t="n">
        <x:v>0.13</x:v>
      </x:c>
      <x:c r="Z36" s="47" t="str">
        <x:v>https://www.discounthydraulichose.com/v/vspfiles/downloadables/crimp.pdf (catalog p.99)</x:v>
      </x:c>
      <x:c r="AA36" s="47" t="str">
        <x:v>Published reference data; applicability is limited to the listed reference system and hose code.</x:v>
      </x:c>
      <x:c r="AB36" s="161" t="str">
        <x:v>Pending</x:v>
      </x:c>
    </x:row>
    <x:row r="37" ht="42" customHeight="1">
      <x:c r="A37" s="33" t="str">
        <x:v>Draft</x:v>
      </x:c>
      <x:c r="B37" s="47" t="str">
        <x:v>COMP_0033</x:v>
      </x:c>
      <x:c r="C37" s="47" t="str">
        <x:v>601R1_002</x:v>
      </x:c>
      <x:c r="D37" s="47" t="str">
        <x:v>ORFS_M_FX_04_04</x:v>
      </x:c>
      <x:c r="E37" s="47" t="str">
        <x:v>601R1_1WB_002</x:v>
      </x:c>
      <x:c r="F37" s="47" t="str"/>
      <x:c r="G37" s="33" t="str"/>
      <x:c r="H37" s="50" t="str"/>
      <x:c r="I37" s="50" t="str"/>
      <x:c r="J37" s="50" t="str"/>
      <x:c r="K37" s="47" t="str"/>
      <x:c r="L37" s="50" t="str"/>
      <x:c r="M37" s="50" t="str"/>
      <x:c r="N37" s="47" t="str"/>
      <x:c r="O37" s="50" t="str"/>
      <x:c r="P37" s="64" t="str">
        <x:f>IF(O37="","",O37*2)</x:f>
      </x:c>
      <x:c r="Q37" s="50" t="str"/>
      <x:c r="R37" s="47" t="str"/>
      <x:c r="S37" s="33" t="str">
        <x:v>Not Tested</x:v>
      </x:c>
      <x:c r="T37" s="64" t="str">
        <x:v>Eligible</x:v>
      </x:c>
      <x:c r="U37" s="47" t="str">
        <x:v>DHH W Series Bite-To-The-Wire</x:v>
      </x:c>
      <x:c r="V37" s="47" t="str">
        <x:v>R1-04</x:v>
      </x:c>
      <x:c r="W37" s="47" t="str">
        <x:v>Crimp full shell</x:v>
      </x:c>
      <x:c r="X37" s="50" t="n">
        <x:v>16.65</x:v>
      </x:c>
      <x:c r="Y37" s="50" t="n">
        <x:v>0.13</x:v>
      </x:c>
      <x:c r="Z37" s="47" t="str">
        <x:v>https://www.discounthydraulichose.com/v/vspfiles/downloadables/crimp.pdf (catalog p.99)</x:v>
      </x:c>
      <x:c r="AA37" s="47" t="str">
        <x:v>Published reference data; applicability is limited to the listed reference system and hose code.</x:v>
      </x:c>
      <x:c r="AB37" s="161" t="str">
        <x:v>Pending</x:v>
      </x:c>
    </x:row>
    <x:row r="38" ht="42" customHeight="1">
      <x:c r="A38" s="33" t="str">
        <x:v>Draft</x:v>
      </x:c>
      <x:c r="B38" s="47" t="str">
        <x:v>COMP_0034</x:v>
      </x:c>
      <x:c r="C38" s="47" t="str">
        <x:v>601R1_002</x:v>
      </x:c>
      <x:c r="D38" s="47" t="str">
        <x:v>ORFS_M_FX_06_04</x:v>
      </x:c>
      <x:c r="E38" s="47" t="str">
        <x:v>601R1_1WB_002</x:v>
      </x:c>
      <x:c r="F38" s="47" t="str"/>
      <x:c r="G38" s="33" t="str"/>
      <x:c r="H38" s="50" t="str"/>
      <x:c r="I38" s="50" t="str"/>
      <x:c r="J38" s="50" t="str"/>
      <x:c r="K38" s="47" t="str"/>
      <x:c r="L38" s="50" t="str"/>
      <x:c r="M38" s="50" t="str"/>
      <x:c r="N38" s="47" t="str"/>
      <x:c r="O38" s="50" t="str"/>
      <x:c r="P38" s="64" t="str">
        <x:f>IF(O38="","",O38*2)</x:f>
      </x:c>
      <x:c r="Q38" s="50" t="str"/>
      <x:c r="R38" s="47" t="str"/>
      <x:c r="S38" s="33" t="str">
        <x:v>Not Tested</x:v>
      </x:c>
      <x:c r="T38" s="64" t="str">
        <x:v>Eligible</x:v>
      </x:c>
      <x:c r="U38" s="47" t="str">
        <x:v>DHH W Series Bite-To-The-Wire</x:v>
      </x:c>
      <x:c r="V38" s="47" t="str">
        <x:v>R1-04</x:v>
      </x:c>
      <x:c r="W38" s="47" t="str">
        <x:v>Crimp full shell</x:v>
      </x:c>
      <x:c r="X38" s="50" t="n">
        <x:v>16.65</x:v>
      </x:c>
      <x:c r="Y38" s="50" t="n">
        <x:v>0.13</x:v>
      </x:c>
      <x:c r="Z38" s="47" t="str">
        <x:v>https://www.discounthydraulichose.com/v/vspfiles/downloadables/crimp.pdf (catalog p.99)</x:v>
      </x:c>
      <x:c r="AA38" s="47" t="str">
        <x:v>Published reference data; applicability is limited to the listed reference system and hose code.</x:v>
      </x:c>
      <x:c r="AB38" s="161" t="str">
        <x:v>Pending</x:v>
      </x:c>
    </x:row>
    <x:row r="39" ht="42" customHeight="1">
      <x:c r="A39" s="33" t="str">
        <x:v>Draft</x:v>
      </x:c>
      <x:c r="B39" s="47" t="str">
        <x:v>COMP_0035</x:v>
      </x:c>
      <x:c r="C39" s="47" t="str">
        <x:v>601R1_002</x:v>
      </x:c>
      <x:c r="D39" s="47" t="str">
        <x:v>ORFS45_F_SW_04_04</x:v>
      </x:c>
      <x:c r="E39" s="47" t="str">
        <x:v>601R1_1WB_002</x:v>
      </x:c>
      <x:c r="F39" s="47" t="str"/>
      <x:c r="G39" s="33" t="str"/>
      <x:c r="H39" s="50" t="str"/>
      <x:c r="I39" s="50" t="str"/>
      <x:c r="J39" s="50" t="str"/>
      <x:c r="K39" s="47" t="str"/>
      <x:c r="L39" s="50" t="str"/>
      <x:c r="M39" s="50" t="str"/>
      <x:c r="N39" s="47" t="str"/>
      <x:c r="O39" s="50" t="str"/>
      <x:c r="P39" s="64" t="str">
        <x:f>IF(O39="","",O39*2)</x:f>
      </x:c>
      <x:c r="Q39" s="50" t="str"/>
      <x:c r="R39" s="47" t="str"/>
      <x:c r="S39" s="33" t="str">
        <x:v>Not Tested</x:v>
      </x:c>
      <x:c r="T39" s="64" t="str">
        <x:v>Eligible</x:v>
      </x:c>
      <x:c r="U39" s="47" t="str">
        <x:v>DHH W Series Bite-To-The-Wire</x:v>
      </x:c>
      <x:c r="V39" s="47" t="str">
        <x:v>R1-04</x:v>
      </x:c>
      <x:c r="W39" s="47" t="str">
        <x:v>Crimp full shell</x:v>
      </x:c>
      <x:c r="X39" s="50" t="n">
        <x:v>16.65</x:v>
      </x:c>
      <x:c r="Y39" s="50" t="n">
        <x:v>0.13</x:v>
      </x:c>
      <x:c r="Z39" s="47" t="str">
        <x:v>https://www.discounthydraulichose.com/v/vspfiles/downloadables/crimp.pdf (catalog p.99)</x:v>
      </x:c>
      <x:c r="AA39" s="47" t="str">
        <x:v>Published reference data; applicability is limited to the listed reference system and hose code.</x:v>
      </x:c>
      <x:c r="AB39" s="161" t="str">
        <x:v>Pending</x:v>
      </x:c>
    </x:row>
    <x:row r="40" ht="42" customHeight="1">
      <x:c r="A40" s="33" t="str">
        <x:v>Draft</x:v>
      </x:c>
      <x:c r="B40" s="47" t="str">
        <x:v>COMP_0036</x:v>
      </x:c>
      <x:c r="C40" s="47" t="str">
        <x:v>601R1_002</x:v>
      </x:c>
      <x:c r="D40" s="47" t="str">
        <x:v>ORFS45_F_SW_06_04</x:v>
      </x:c>
      <x:c r="E40" s="47" t="str">
        <x:v>601R1_1WB_002</x:v>
      </x:c>
      <x:c r="F40" s="47" t="str"/>
      <x:c r="G40" s="33" t="str"/>
      <x:c r="H40" s="50" t="str"/>
      <x:c r="I40" s="50" t="str"/>
      <x:c r="J40" s="50" t="str"/>
      <x:c r="K40" s="47" t="str"/>
      <x:c r="L40" s="50" t="str"/>
      <x:c r="M40" s="50" t="str"/>
      <x:c r="N40" s="47" t="str"/>
      <x:c r="O40" s="50" t="str"/>
      <x:c r="P40" s="64" t="str">
        <x:f>IF(O40="","",O40*2)</x:f>
      </x:c>
      <x:c r="Q40" s="50" t="str"/>
      <x:c r="R40" s="47" t="str"/>
      <x:c r="S40" s="33" t="str">
        <x:v>Not Tested</x:v>
      </x:c>
      <x:c r="T40" s="64" t="str">
        <x:v>Eligible</x:v>
      </x:c>
      <x:c r="U40" s="47" t="str">
        <x:v>DHH W Series Bite-To-The-Wire</x:v>
      </x:c>
      <x:c r="V40" s="47" t="str">
        <x:v>R1-04</x:v>
      </x:c>
      <x:c r="W40" s="47" t="str">
        <x:v>Crimp full shell</x:v>
      </x:c>
      <x:c r="X40" s="50" t="n">
        <x:v>16.65</x:v>
      </x:c>
      <x:c r="Y40" s="50" t="n">
        <x:v>0.13</x:v>
      </x:c>
      <x:c r="Z40" s="47" t="str">
        <x:v>https://www.discounthydraulichose.com/v/vspfiles/downloadables/crimp.pdf (catalog p.99)</x:v>
      </x:c>
      <x:c r="AA40" s="47" t="str">
        <x:v>Published reference data; applicability is limited to the listed reference system and hose code.</x:v>
      </x:c>
      <x:c r="AB40" s="161" t="str">
        <x:v>Pending</x:v>
      </x:c>
    </x:row>
    <x:row r="41" ht="42" customHeight="1">
      <x:c r="A41" s="33" t="str">
        <x:v>Draft</x:v>
      </x:c>
      <x:c r="B41" s="47" t="str">
        <x:v>COMP_0037</x:v>
      </x:c>
      <x:c r="C41" s="47" t="str">
        <x:v>601R1_002</x:v>
      </x:c>
      <x:c r="D41" s="47" t="str">
        <x:v>ORFS90_F_SW_04_04</x:v>
      </x:c>
      <x:c r="E41" s="47" t="str">
        <x:v>601R1_1WB_002</x:v>
      </x:c>
      <x:c r="F41" s="47" t="str"/>
      <x:c r="G41" s="33" t="str"/>
      <x:c r="H41" s="50" t="str"/>
      <x:c r="I41" s="50" t="str"/>
      <x:c r="J41" s="50" t="str"/>
      <x:c r="K41" s="47" t="str"/>
      <x:c r="L41" s="50" t="str"/>
      <x:c r="M41" s="50" t="str"/>
      <x:c r="N41" s="47" t="str"/>
      <x:c r="O41" s="50" t="str"/>
      <x:c r="P41" s="64" t="str">
        <x:f>IF(O41="","",O41*2)</x:f>
      </x:c>
      <x:c r="Q41" s="50" t="str"/>
      <x:c r="R41" s="47" t="str"/>
      <x:c r="S41" s="33" t="str">
        <x:v>Not Tested</x:v>
      </x:c>
      <x:c r="T41" s="64" t="str">
        <x:v>Eligible</x:v>
      </x:c>
      <x:c r="U41" s="47" t="str">
        <x:v>DHH W Series Bite-To-The-Wire</x:v>
      </x:c>
      <x:c r="V41" s="47" t="str">
        <x:v>R1-04</x:v>
      </x:c>
      <x:c r="W41" s="47" t="str">
        <x:v>Crimp full shell</x:v>
      </x:c>
      <x:c r="X41" s="50" t="n">
        <x:v>16.65</x:v>
      </x:c>
      <x:c r="Y41" s="50" t="n">
        <x:v>0.13</x:v>
      </x:c>
      <x:c r="Z41" s="47" t="str">
        <x:v>https://www.discounthydraulichose.com/v/vspfiles/downloadables/crimp.pdf (catalog p.99)</x:v>
      </x:c>
      <x:c r="AA41" s="47" t="str">
        <x:v>Published reference data; applicability is limited to the listed reference system and hose code.</x:v>
      </x:c>
      <x:c r="AB41" s="161" t="str">
        <x:v>Pending</x:v>
      </x:c>
    </x:row>
    <x:row r="42" ht="42" customHeight="1">
      <x:c r="A42" s="33" t="str">
        <x:v>Draft</x:v>
      </x:c>
      <x:c r="B42" s="47" t="str">
        <x:v>COMP_0038</x:v>
      </x:c>
      <x:c r="C42" s="47" t="str">
        <x:v>601R1_002</x:v>
      </x:c>
      <x:c r="D42" s="47" t="str">
        <x:v>ORFS90_F_SW_06_04</x:v>
      </x:c>
      <x:c r="E42" s="47" t="str">
        <x:v>601R1_1WB_002</x:v>
      </x:c>
      <x:c r="F42" s="47" t="str"/>
      <x:c r="G42" s="33" t="str"/>
      <x:c r="H42" s="50" t="str"/>
      <x:c r="I42" s="50" t="str"/>
      <x:c r="J42" s="50" t="str"/>
      <x:c r="K42" s="47" t="str"/>
      <x:c r="L42" s="50" t="str"/>
      <x:c r="M42" s="50" t="str"/>
      <x:c r="N42" s="47" t="str"/>
      <x:c r="O42" s="50" t="str"/>
      <x:c r="P42" s="64" t="str">
        <x:f>IF(O42="","",O42*2)</x:f>
      </x:c>
      <x:c r="Q42" s="50" t="str"/>
      <x:c r="R42" s="47" t="str"/>
      <x:c r="S42" s="33" t="str">
        <x:v>Not Tested</x:v>
      </x:c>
      <x:c r="T42" s="64" t="str">
        <x:v>Eligible</x:v>
      </x:c>
      <x:c r="U42" s="47" t="str">
        <x:v>DHH W Series Bite-To-The-Wire</x:v>
      </x:c>
      <x:c r="V42" s="47" t="str">
        <x:v>R1-04</x:v>
      </x:c>
      <x:c r="W42" s="47" t="str">
        <x:v>Crimp full shell</x:v>
      </x:c>
      <x:c r="X42" s="50" t="n">
        <x:v>16.65</x:v>
      </x:c>
      <x:c r="Y42" s="50" t="n">
        <x:v>0.13</x:v>
      </x:c>
      <x:c r="Z42" s="47" t="str">
        <x:v>https://www.discounthydraulichose.com/v/vspfiles/downloadables/crimp.pdf (catalog p.99)</x:v>
      </x:c>
      <x:c r="AA42" s="47" t="str">
        <x:v>Published reference data; applicability is limited to the listed reference system and hose code.</x:v>
      </x:c>
      <x:c r="AB42" s="161" t="str">
        <x:v>Pending</x:v>
      </x:c>
    </x:row>
    <x:row r="43" ht="42" customHeight="1">
      <x:c r="A43" s="33" t="str">
        <x:v>Draft</x:v>
      </x:c>
      <x:c r="B43" s="47" t="str">
        <x:v>COMP_0039</x:v>
      </x:c>
      <x:c r="C43" s="47" t="str">
        <x:v>601R1_002</x:v>
      </x:c>
      <x:c r="D43" s="47" t="str">
        <x:v>ORFS90_F_SW_08_04</x:v>
      </x:c>
      <x:c r="E43" s="47" t="str">
        <x:v>601R1_1WB_002</x:v>
      </x:c>
      <x:c r="F43" s="47" t="str"/>
      <x:c r="G43" s="33" t="str"/>
      <x:c r="H43" s="50" t="str"/>
      <x:c r="I43" s="50" t="str"/>
      <x:c r="J43" s="50" t="str"/>
      <x:c r="K43" s="47" t="str"/>
      <x:c r="L43" s="50" t="str"/>
      <x:c r="M43" s="50" t="str"/>
      <x:c r="N43" s="47" t="str"/>
      <x:c r="O43" s="50" t="str"/>
      <x:c r="P43" s="64" t="str">
        <x:f>IF(O43="","",O43*2)</x:f>
      </x:c>
      <x:c r="Q43" s="50" t="str"/>
      <x:c r="R43" s="47" t="str"/>
      <x:c r="S43" s="33" t="str">
        <x:v>Not Tested</x:v>
      </x:c>
      <x:c r="T43" s="64" t="str">
        <x:v>Eligible</x:v>
      </x:c>
      <x:c r="U43" s="47" t="str">
        <x:v>DHH W Series Bite-To-The-Wire</x:v>
      </x:c>
      <x:c r="V43" s="47" t="str">
        <x:v>R1-04</x:v>
      </x:c>
      <x:c r="W43" s="47" t="str">
        <x:v>Crimp full shell</x:v>
      </x:c>
      <x:c r="X43" s="50" t="n">
        <x:v>16.65</x:v>
      </x:c>
      <x:c r="Y43" s="50" t="n">
        <x:v>0.13</x:v>
      </x:c>
      <x:c r="Z43" s="47" t="str">
        <x:v>https://www.discounthydraulichose.com/v/vspfiles/downloadables/crimp.pdf (catalog p.99)</x:v>
      </x:c>
      <x:c r="AA43" s="47" t="str">
        <x:v>Published reference data; applicability is limited to the listed reference system and hose code.</x:v>
      </x:c>
      <x:c r="AB43" s="161" t="str">
        <x:v>Pending</x:v>
      </x:c>
    </x:row>
    <x:row r="44" ht="42" customHeight="1">
      <x:c r="A44" s="33" t="str">
        <x:v>Draft</x:v>
      </x:c>
      <x:c r="B44" s="47" t="str">
        <x:v>COMP_0040</x:v>
      </x:c>
      <x:c r="C44" s="47" t="str">
        <x:v>601R1_004</x:v>
      </x:c>
      <x:c r="D44" s="47" t="str">
        <x:v>BSPP_F_SW_06_06</x:v>
      </x:c>
      <x:c r="E44" s="47" t="str">
        <x:v>601R1_1WB_004</x:v>
      </x:c>
      <x:c r="F44" s="47" t="str"/>
      <x:c r="G44" s="33" t="str"/>
      <x:c r="H44" s="50" t="str"/>
      <x:c r="I44" s="50" t="str"/>
      <x:c r="J44" s="50" t="str"/>
      <x:c r="K44" s="47" t="str"/>
      <x:c r="L44" s="50" t="str"/>
      <x:c r="M44" s="50" t="str"/>
      <x:c r="N44" s="47" t="str"/>
      <x:c r="O44" s="50" t="str"/>
      <x:c r="P44" s="64" t="str">
        <x:f>IF(O44="","",O44*2)</x:f>
      </x:c>
      <x:c r="Q44" s="50" t="str"/>
      <x:c r="R44" s="47" t="str"/>
      <x:c r="S44" s="33" t="str">
        <x:v>Not Tested</x:v>
      </x:c>
      <x:c r="T44" s="64" t="str">
        <x:v>Eligible</x:v>
      </x:c>
      <x:c r="U44" s="47" t="str">
        <x:v>DHH W Series Bite-To-The-Wire</x:v>
      </x:c>
      <x:c r="V44" s="47" t="str">
        <x:v>R1-06</x:v>
      </x:c>
      <x:c r="W44" s="47" t="str">
        <x:v>Crimp full shell</x:v>
      </x:c>
      <x:c r="X44" s="50" t="n">
        <x:v>20.05</x:v>
      </x:c>
      <x:c r="Y44" s="50" t="n">
        <x:v>0.13</x:v>
      </x:c>
      <x:c r="Z44" s="47" t="str">
        <x:v>https://www.discounthydraulichose.com/v/vspfiles/downloadables/crimp.pdf (catalog p.99)</x:v>
      </x:c>
      <x:c r="AA44" s="47" t="str">
        <x:v>Published reference data; applicability is limited to the listed reference system and hose code.</x:v>
      </x:c>
      <x:c r="AB44" s="161" t="str">
        <x:v>Pending</x:v>
      </x:c>
    </x:row>
    <x:row r="45" ht="42" customHeight="1">
      <x:c r="A45" s="33" t="str">
        <x:v>Draft</x:v>
      </x:c>
      <x:c r="B45" s="47" t="str">
        <x:v>COMP_0041</x:v>
      </x:c>
      <x:c r="C45" s="47" t="str">
        <x:v>601R1_004</x:v>
      </x:c>
      <x:c r="D45" s="47" t="str">
        <x:v>BSPP_F_SW_08_06</x:v>
      </x:c>
      <x:c r="E45" s="47" t="str">
        <x:v>601R1_1WB_004</x:v>
      </x:c>
      <x:c r="F45" s="47" t="str"/>
      <x:c r="G45" s="33" t="str"/>
      <x:c r="H45" s="50" t="str"/>
      <x:c r="I45" s="50" t="str"/>
      <x:c r="J45" s="50" t="str"/>
      <x:c r="K45" s="47" t="str"/>
      <x:c r="L45" s="50" t="str"/>
      <x:c r="M45" s="50" t="str"/>
      <x:c r="N45" s="47" t="str"/>
      <x:c r="O45" s="50" t="str"/>
      <x:c r="P45" s="64" t="str">
        <x:f>IF(O45="","",O45*2)</x:f>
      </x:c>
      <x:c r="Q45" s="50" t="str"/>
      <x:c r="R45" s="47" t="str"/>
      <x:c r="S45" s="33" t="str">
        <x:v>Not Tested</x:v>
      </x:c>
      <x:c r="T45" s="64" t="str">
        <x:v>Eligible</x:v>
      </x:c>
      <x:c r="U45" s="47" t="str">
        <x:v>DHH W Series Bite-To-The-Wire</x:v>
      </x:c>
      <x:c r="V45" s="47" t="str">
        <x:v>R1-06</x:v>
      </x:c>
      <x:c r="W45" s="47" t="str">
        <x:v>Crimp full shell</x:v>
      </x:c>
      <x:c r="X45" s="50" t="n">
        <x:v>20.05</x:v>
      </x:c>
      <x:c r="Y45" s="50" t="n">
        <x:v>0.13</x:v>
      </x:c>
      <x:c r="Z45" s="47" t="str">
        <x:v>https://www.discounthydraulichose.com/v/vspfiles/downloadables/crimp.pdf (catalog p.99)</x:v>
      </x:c>
      <x:c r="AA45" s="47" t="str">
        <x:v>Published reference data; applicability is limited to the listed reference system and hose code.</x:v>
      </x:c>
      <x:c r="AB45" s="161" t="str">
        <x:v>Pending</x:v>
      </x:c>
    </x:row>
    <x:row r="46" ht="42" customHeight="1">
      <x:c r="A46" s="33" t="str">
        <x:v>Draft</x:v>
      </x:c>
      <x:c r="B46" s="47" t="str">
        <x:v>COMP_0042</x:v>
      </x:c>
      <x:c r="C46" s="47" t="str">
        <x:v>601R1_004</x:v>
      </x:c>
      <x:c r="D46" s="47" t="str">
        <x:v>BSPP_M_FX_06_06</x:v>
      </x:c>
      <x:c r="E46" s="47" t="str">
        <x:v>601R1_1WB_004</x:v>
      </x:c>
      <x:c r="F46" s="47" t="str"/>
      <x:c r="G46" s="33" t="str"/>
      <x:c r="H46" s="50" t="str"/>
      <x:c r="I46" s="50" t="str"/>
      <x:c r="J46" s="50" t="str"/>
      <x:c r="K46" s="47" t="str"/>
      <x:c r="L46" s="50" t="str"/>
      <x:c r="M46" s="50" t="str"/>
      <x:c r="N46" s="47" t="str"/>
      <x:c r="O46" s="50" t="str"/>
      <x:c r="P46" s="64" t="str">
        <x:f>IF(O46="","",O46*2)</x:f>
      </x:c>
      <x:c r="Q46" s="50" t="str"/>
      <x:c r="R46" s="47" t="str"/>
      <x:c r="S46" s="33" t="str">
        <x:v>Not Tested</x:v>
      </x:c>
      <x:c r="T46" s="64" t="str">
        <x:v>Eligible</x:v>
      </x:c>
      <x:c r="U46" s="47" t="str">
        <x:v>DHH W Series Bite-To-The-Wire</x:v>
      </x:c>
      <x:c r="V46" s="47" t="str">
        <x:v>R1-06</x:v>
      </x:c>
      <x:c r="W46" s="47" t="str">
        <x:v>Crimp full shell</x:v>
      </x:c>
      <x:c r="X46" s="50" t="n">
        <x:v>20.05</x:v>
      </x:c>
      <x:c r="Y46" s="50" t="n">
        <x:v>0.13</x:v>
      </x:c>
      <x:c r="Z46" s="47" t="str">
        <x:v>https://www.discounthydraulichose.com/v/vspfiles/downloadables/crimp.pdf (catalog p.99)</x:v>
      </x:c>
      <x:c r="AA46" s="47" t="str">
        <x:v>Published reference data; applicability is limited to the listed reference system and hose code.</x:v>
      </x:c>
      <x:c r="AB46" s="161" t="str">
        <x:v>Pending</x:v>
      </x:c>
    </x:row>
    <x:row r="47" ht="42" customHeight="1">
      <x:c r="A47" s="33" t="str">
        <x:v>Draft</x:v>
      </x:c>
      <x:c r="B47" s="47" t="str">
        <x:v>COMP_0043</x:v>
      </x:c>
      <x:c r="C47" s="47" t="str">
        <x:v>601R1_004</x:v>
      </x:c>
      <x:c r="D47" s="47" t="str">
        <x:v>BSPP_M_FX_08_06</x:v>
      </x:c>
      <x:c r="E47" s="47" t="str">
        <x:v>601R1_1WB_004</x:v>
      </x:c>
      <x:c r="F47" s="47" t="str"/>
      <x:c r="G47" s="33" t="str"/>
      <x:c r="H47" s="50" t="str"/>
      <x:c r="I47" s="50" t="str"/>
      <x:c r="J47" s="50" t="str"/>
      <x:c r="K47" s="47" t="str"/>
      <x:c r="L47" s="50" t="str"/>
      <x:c r="M47" s="50" t="str"/>
      <x:c r="N47" s="47" t="str"/>
      <x:c r="O47" s="50" t="str"/>
      <x:c r="P47" s="64" t="str">
        <x:f>IF(O47="","",O47*2)</x:f>
      </x:c>
      <x:c r="Q47" s="50" t="str"/>
      <x:c r="R47" s="47" t="str"/>
      <x:c r="S47" s="33" t="str">
        <x:v>Not Tested</x:v>
      </x:c>
      <x:c r="T47" s="64" t="str">
        <x:v>Eligible</x:v>
      </x:c>
      <x:c r="U47" s="47" t="str">
        <x:v>DHH W Series Bite-To-The-Wire</x:v>
      </x:c>
      <x:c r="V47" s="47" t="str">
        <x:v>R1-06</x:v>
      </x:c>
      <x:c r="W47" s="47" t="str">
        <x:v>Crimp full shell</x:v>
      </x:c>
      <x:c r="X47" s="50" t="n">
        <x:v>20.05</x:v>
      </x:c>
      <x:c r="Y47" s="50" t="n">
        <x:v>0.13</x:v>
      </x:c>
      <x:c r="Z47" s="47" t="str">
        <x:v>https://www.discounthydraulichose.com/v/vspfiles/downloadables/crimp.pdf (catalog p.99)</x:v>
      </x:c>
      <x:c r="AA47" s="47" t="str">
        <x:v>Published reference data; applicability is limited to the listed reference system and hose code.</x:v>
      </x:c>
      <x:c r="AB47" s="161" t="str">
        <x:v>Pending</x:v>
      </x:c>
    </x:row>
    <x:row r="48" ht="42" customHeight="1">
      <x:c r="A48" s="33" t="str">
        <x:v>Draft</x:v>
      </x:c>
      <x:c r="B48" s="47" t="str">
        <x:v>COMP_0044</x:v>
      </x:c>
      <x:c r="C48" s="47" t="str">
        <x:v>601R1_004</x:v>
      </x:c>
      <x:c r="D48" s="47" t="str">
        <x:v>BSPP45_F_SW_06_06</x:v>
      </x:c>
      <x:c r="E48" s="47" t="str">
        <x:v>601R1_1WB_004</x:v>
      </x:c>
      <x:c r="F48" s="47" t="str"/>
      <x:c r="G48" s="33" t="str"/>
      <x:c r="H48" s="50" t="str"/>
      <x:c r="I48" s="50" t="str"/>
      <x:c r="J48" s="50" t="str"/>
      <x:c r="K48" s="47" t="str"/>
      <x:c r="L48" s="50" t="str"/>
      <x:c r="M48" s="50" t="str"/>
      <x:c r="N48" s="47" t="str"/>
      <x:c r="O48" s="50" t="str"/>
      <x:c r="P48" s="64" t="str">
        <x:f>IF(O48="","",O48*2)</x:f>
      </x:c>
      <x:c r="Q48" s="50" t="str"/>
      <x:c r="R48" s="47" t="str"/>
      <x:c r="S48" s="33" t="str">
        <x:v>Not Tested</x:v>
      </x:c>
      <x:c r="T48" s="64" t="str">
        <x:v>Eligible</x:v>
      </x:c>
      <x:c r="U48" s="47" t="str">
        <x:v>DHH W Series Bite-To-The-Wire</x:v>
      </x:c>
      <x:c r="V48" s="47" t="str">
        <x:v>R1-06</x:v>
      </x:c>
      <x:c r="W48" s="47" t="str">
        <x:v>Crimp full shell</x:v>
      </x:c>
      <x:c r="X48" s="50" t="n">
        <x:v>20.05</x:v>
      </x:c>
      <x:c r="Y48" s="50" t="n">
        <x:v>0.13</x:v>
      </x:c>
      <x:c r="Z48" s="47" t="str">
        <x:v>https://www.discounthydraulichose.com/v/vspfiles/downloadables/crimp.pdf (catalog p.99)</x:v>
      </x:c>
      <x:c r="AA48" s="47" t="str">
        <x:v>Published reference data; applicability is limited to the listed reference system and hose code.</x:v>
      </x:c>
      <x:c r="AB48" s="161" t="str">
        <x:v>Pending</x:v>
      </x:c>
    </x:row>
    <x:row r="49" ht="42" customHeight="1">
      <x:c r="A49" s="33" t="str">
        <x:v>Draft</x:v>
      </x:c>
      <x:c r="B49" s="47" t="str">
        <x:v>COMP_0045</x:v>
      </x:c>
      <x:c r="C49" s="47" t="str">
        <x:v>601R1_004</x:v>
      </x:c>
      <x:c r="D49" s="47" t="str">
        <x:v>BSPP90_F_SW_06_06</x:v>
      </x:c>
      <x:c r="E49" s="47" t="str">
        <x:v>601R1_1WB_004</x:v>
      </x:c>
      <x:c r="F49" s="47" t="str"/>
      <x:c r="G49" s="33" t="str"/>
      <x:c r="H49" s="50" t="str"/>
      <x:c r="I49" s="50" t="str"/>
      <x:c r="J49" s="50" t="str"/>
      <x:c r="K49" s="47" t="str"/>
      <x:c r="L49" s="50" t="str"/>
      <x:c r="M49" s="50" t="str"/>
      <x:c r="N49" s="47" t="str"/>
      <x:c r="O49" s="50" t="str"/>
      <x:c r="P49" s="64" t="str">
        <x:f>IF(O49="","",O49*2)</x:f>
      </x:c>
      <x:c r="Q49" s="50" t="str"/>
      <x:c r="R49" s="47" t="str"/>
      <x:c r="S49" s="33" t="str">
        <x:v>Not Tested</x:v>
      </x:c>
      <x:c r="T49" s="64" t="str">
        <x:v>Eligible</x:v>
      </x:c>
      <x:c r="U49" s="47" t="str">
        <x:v>DHH W Series Bite-To-The-Wire</x:v>
      </x:c>
      <x:c r="V49" s="47" t="str">
        <x:v>R1-06</x:v>
      </x:c>
      <x:c r="W49" s="47" t="str">
        <x:v>Crimp full shell</x:v>
      </x:c>
      <x:c r="X49" s="50" t="n">
        <x:v>20.05</x:v>
      </x:c>
      <x:c r="Y49" s="50" t="n">
        <x:v>0.13</x:v>
      </x:c>
      <x:c r="Z49" s="47" t="str">
        <x:v>https://www.discounthydraulichose.com/v/vspfiles/downloadables/crimp.pdf (catalog p.99)</x:v>
      </x:c>
      <x:c r="AA49" s="47" t="str">
        <x:v>Published reference data; applicability is limited to the listed reference system and hose code.</x:v>
      </x:c>
      <x:c r="AB49" s="161" t="str">
        <x:v>Pending</x:v>
      </x:c>
    </x:row>
    <x:row r="50" ht="42" customHeight="1">
      <x:c r="A50" s="33" t="str">
        <x:v>Draft</x:v>
      </x:c>
      <x:c r="B50" s="47" t="str">
        <x:v>COMP_0046</x:v>
      </x:c>
      <x:c r="C50" s="47" t="str">
        <x:v>601R1_004</x:v>
      </x:c>
      <x:c r="D50" s="47" t="str">
        <x:v>BSPP90_F_SW_08_06</x:v>
      </x:c>
      <x:c r="E50" s="47" t="str">
        <x:v>601R1_1WB_004</x:v>
      </x:c>
      <x:c r="F50" s="47" t="str"/>
      <x:c r="G50" s="33" t="str"/>
      <x:c r="H50" s="50" t="str"/>
      <x:c r="I50" s="50" t="str"/>
      <x:c r="J50" s="50" t="str"/>
      <x:c r="K50" s="47" t="str"/>
      <x:c r="L50" s="50" t="str"/>
      <x:c r="M50" s="50" t="str"/>
      <x:c r="N50" s="47" t="str"/>
      <x:c r="O50" s="50" t="str"/>
      <x:c r="P50" s="64" t="str">
        <x:f>IF(O50="","",O50*2)</x:f>
      </x:c>
      <x:c r="Q50" s="50" t="str"/>
      <x:c r="R50" s="47" t="str"/>
      <x:c r="S50" s="33" t="str">
        <x:v>Not Tested</x:v>
      </x:c>
      <x:c r="T50" s="64" t="str">
        <x:v>Eligible</x:v>
      </x:c>
      <x:c r="U50" s="47" t="str">
        <x:v>DHH W Series Bite-To-The-Wire</x:v>
      </x:c>
      <x:c r="V50" s="47" t="str">
        <x:v>R1-06</x:v>
      </x:c>
      <x:c r="W50" s="47" t="str">
        <x:v>Crimp full shell</x:v>
      </x:c>
      <x:c r="X50" s="50" t="n">
        <x:v>20.05</x:v>
      </x:c>
      <x:c r="Y50" s="50" t="n">
        <x:v>0.13</x:v>
      </x:c>
      <x:c r="Z50" s="47" t="str">
        <x:v>https://www.discounthydraulichose.com/v/vspfiles/downloadables/crimp.pdf (catalog p.99)</x:v>
      </x:c>
      <x:c r="AA50" s="47" t="str">
        <x:v>Published reference data; applicability is limited to the listed reference system and hose code.</x:v>
      </x:c>
      <x:c r="AB50" s="161" t="str">
        <x:v>Pending</x:v>
      </x:c>
    </x:row>
    <x:row r="51" ht="42" customHeight="1">
      <x:c r="A51" s="33" t="str">
        <x:v>Draft</x:v>
      </x:c>
      <x:c r="B51" s="47" t="str">
        <x:v>COMP_0047</x:v>
      </x:c>
      <x:c r="C51" s="47" t="str">
        <x:v>601R1_004</x:v>
      </x:c>
      <x:c r="D51" s="47" t="str">
        <x:v>BSPT_M_FX_06_06</x:v>
      </x:c>
      <x:c r="E51" s="47" t="str">
        <x:v>601R1_1WB_004</x:v>
      </x:c>
      <x:c r="F51" s="47" t="str"/>
      <x:c r="G51" s="33" t="str"/>
      <x:c r="H51" s="50" t="str"/>
      <x:c r="I51" s="50" t="str"/>
      <x:c r="J51" s="50" t="str"/>
      <x:c r="K51" s="47" t="str"/>
      <x:c r="L51" s="50" t="str"/>
      <x:c r="M51" s="50" t="str"/>
      <x:c r="N51" s="47" t="str"/>
      <x:c r="O51" s="50" t="str"/>
      <x:c r="P51" s="64" t="str">
        <x:f>IF(O51="","",O51*2)</x:f>
      </x:c>
      <x:c r="Q51" s="50" t="str"/>
      <x:c r="R51" s="47" t="str"/>
      <x:c r="S51" s="33" t="str">
        <x:v>Not Tested</x:v>
      </x:c>
      <x:c r="T51" s="64" t="str">
        <x:v>Eligible</x:v>
      </x:c>
      <x:c r="U51" s="47" t="str">
        <x:v>DHH W Series Bite-To-The-Wire</x:v>
      </x:c>
      <x:c r="V51" s="47" t="str">
        <x:v>R1-06</x:v>
      </x:c>
      <x:c r="W51" s="47" t="str">
        <x:v>Crimp full shell</x:v>
      </x:c>
      <x:c r="X51" s="50" t="n">
        <x:v>20.05</x:v>
      </x:c>
      <x:c r="Y51" s="50" t="n">
        <x:v>0.13</x:v>
      </x:c>
      <x:c r="Z51" s="47" t="str">
        <x:v>https://www.discounthydraulichose.com/v/vspfiles/downloadables/crimp.pdf (catalog p.99)</x:v>
      </x:c>
      <x:c r="AA51" s="47" t="str">
        <x:v>Published reference data; applicability is limited to the listed reference system and hose code.</x:v>
      </x:c>
      <x:c r="AB51" s="161" t="str">
        <x:v>Pending</x:v>
      </x:c>
    </x:row>
    <x:row r="52" ht="42" customHeight="1">
      <x:c r="A52" s="33" t="str">
        <x:v>Draft</x:v>
      </x:c>
      <x:c r="B52" s="47" t="str">
        <x:v>COMP_0048</x:v>
      </x:c>
      <x:c r="C52" s="47" t="str">
        <x:v>601R1_004</x:v>
      </x:c>
      <x:c r="D52" s="47" t="str">
        <x:v>BSPT_M_FX_08_06</x:v>
      </x:c>
      <x:c r="E52" s="47" t="str">
        <x:v>601R1_1WB_004</x:v>
      </x:c>
      <x:c r="F52" s="47" t="str"/>
      <x:c r="G52" s="33" t="str"/>
      <x:c r="H52" s="50" t="str"/>
      <x:c r="I52" s="50" t="str"/>
      <x:c r="J52" s="50" t="str"/>
      <x:c r="K52" s="47" t="str"/>
      <x:c r="L52" s="50" t="str"/>
      <x:c r="M52" s="50" t="str"/>
      <x:c r="N52" s="47" t="str"/>
      <x:c r="O52" s="50" t="str"/>
      <x:c r="P52" s="64" t="str">
        <x:f>IF(O52="","",O52*2)</x:f>
      </x:c>
      <x:c r="Q52" s="50" t="str"/>
      <x:c r="R52" s="47" t="str"/>
      <x:c r="S52" s="33" t="str">
        <x:v>Not Tested</x:v>
      </x:c>
      <x:c r="T52" s="64" t="str">
        <x:v>Eligible</x:v>
      </x:c>
      <x:c r="U52" s="47" t="str">
        <x:v>DHH W Series Bite-To-The-Wire</x:v>
      </x:c>
      <x:c r="V52" s="47" t="str">
        <x:v>R1-06</x:v>
      </x:c>
      <x:c r="W52" s="47" t="str">
        <x:v>Crimp full shell</x:v>
      </x:c>
      <x:c r="X52" s="50" t="n">
        <x:v>20.05</x:v>
      </x:c>
      <x:c r="Y52" s="50" t="n">
        <x:v>0.13</x:v>
      </x:c>
      <x:c r="Z52" s="47" t="str">
        <x:v>https://www.discounthydraulichose.com/v/vspfiles/downloadables/crimp.pdf (catalog p.99)</x:v>
      </x:c>
      <x:c r="AA52" s="47" t="str">
        <x:v>Published reference data; applicability is limited to the listed reference system and hose code.</x:v>
      </x:c>
      <x:c r="AB52" s="161" t="str">
        <x:v>Pending</x:v>
      </x:c>
    </x:row>
    <x:row r="53" ht="42" customHeight="1">
      <x:c r="A53" s="33" t="str">
        <x:v>Draft</x:v>
      </x:c>
      <x:c r="B53" s="47" t="str">
        <x:v>COMP_0049</x:v>
      </x:c>
      <x:c r="C53" s="47" t="str">
        <x:v>601R1_004</x:v>
      </x:c>
      <x:c r="D53" s="47" t="str">
        <x:v>JIC_F_SW_04_06</x:v>
      </x:c>
      <x:c r="E53" s="47" t="str">
        <x:v>601R1_1WB_004</x:v>
      </x:c>
      <x:c r="F53" s="47" t="str"/>
      <x:c r="G53" s="33" t="str"/>
      <x:c r="H53" s="50" t="str"/>
      <x:c r="I53" s="50" t="str"/>
      <x:c r="J53" s="50" t="str"/>
      <x:c r="K53" s="47" t="str"/>
      <x:c r="L53" s="50" t="str"/>
      <x:c r="M53" s="50" t="str"/>
      <x:c r="N53" s="47" t="str"/>
      <x:c r="O53" s="50" t="str"/>
      <x:c r="P53" s="64" t="str">
        <x:f>IF(O53="","",O53*2)</x:f>
      </x:c>
      <x:c r="Q53" s="50" t="str"/>
      <x:c r="R53" s="47" t="str"/>
      <x:c r="S53" s="33" t="str">
        <x:v>Not Tested</x:v>
      </x:c>
      <x:c r="T53" s="64" t="str">
        <x:v>Eligible</x:v>
      </x:c>
      <x:c r="U53" s="47" t="str">
        <x:v>DHH W Series Bite-To-The-Wire</x:v>
      </x:c>
      <x:c r="V53" s="47" t="str">
        <x:v>R1-06</x:v>
      </x:c>
      <x:c r="W53" s="47" t="str">
        <x:v>Crimp full shell</x:v>
      </x:c>
      <x:c r="X53" s="50" t="n">
        <x:v>20.05</x:v>
      </x:c>
      <x:c r="Y53" s="50" t="n">
        <x:v>0.13</x:v>
      </x:c>
      <x:c r="Z53" s="47" t="str">
        <x:v>https://www.discounthydraulichose.com/v/vspfiles/downloadables/crimp.pdf (catalog p.99)</x:v>
      </x:c>
      <x:c r="AA53" s="47" t="str">
        <x:v>Published reference data; applicability is limited to the listed reference system and hose code.</x:v>
      </x:c>
      <x:c r="AB53" s="161" t="str">
        <x:v>Pending</x:v>
      </x:c>
    </x:row>
    <x:row r="54" ht="42" customHeight="1">
      <x:c r="A54" s="33" t="str">
        <x:v>Draft</x:v>
      </x:c>
      <x:c r="B54" s="47" t="str">
        <x:v>COMP_0050</x:v>
      </x:c>
      <x:c r="C54" s="47" t="str">
        <x:v>601R1_004</x:v>
      </x:c>
      <x:c r="D54" s="47" t="str">
        <x:v>JIC_F_SW_05_06</x:v>
      </x:c>
      <x:c r="E54" s="47" t="str">
        <x:v>601R1_1WB_004</x:v>
      </x:c>
      <x:c r="F54" s="47" t="str"/>
      <x:c r="G54" s="33" t="str"/>
      <x:c r="H54" s="50" t="str"/>
      <x:c r="I54" s="50" t="str"/>
      <x:c r="J54" s="50" t="str"/>
      <x:c r="K54" s="47" t="str"/>
      <x:c r="L54" s="50" t="str"/>
      <x:c r="M54" s="50" t="str"/>
      <x:c r="N54" s="47" t="str"/>
      <x:c r="O54" s="50" t="str"/>
      <x:c r="P54" s="64" t="str">
        <x:f>IF(O54="","",O54*2)</x:f>
      </x:c>
      <x:c r="Q54" s="50" t="str"/>
      <x:c r="R54" s="47" t="str"/>
      <x:c r="S54" s="33" t="str">
        <x:v>Not Tested</x:v>
      </x:c>
      <x:c r="T54" s="64" t="str">
        <x:v>Eligible</x:v>
      </x:c>
      <x:c r="U54" s="47" t="str">
        <x:v>DHH W Series Bite-To-The-Wire</x:v>
      </x:c>
      <x:c r="V54" s="47" t="str">
        <x:v>R1-06</x:v>
      </x:c>
      <x:c r="W54" s="47" t="str">
        <x:v>Crimp full shell</x:v>
      </x:c>
      <x:c r="X54" s="50" t="n">
        <x:v>20.05</x:v>
      </x:c>
      <x:c r="Y54" s="50" t="n">
        <x:v>0.13</x:v>
      </x:c>
      <x:c r="Z54" s="47" t="str">
        <x:v>https://www.discounthydraulichose.com/v/vspfiles/downloadables/crimp.pdf (catalog p.99)</x:v>
      </x:c>
      <x:c r="AA54" s="47" t="str">
        <x:v>Published reference data; applicability is limited to the listed reference system and hose code.</x:v>
      </x:c>
      <x:c r="AB54" s="161" t="str">
        <x:v>Pending</x:v>
      </x:c>
    </x:row>
    <x:row r="55" ht="42" customHeight="1">
      <x:c r="A55" s="33" t="str">
        <x:v>Draft</x:v>
      </x:c>
      <x:c r="B55" s="47" t="str">
        <x:v>COMP_0051</x:v>
      </x:c>
      <x:c r="C55" s="47" t="str">
        <x:v>601R1_004</x:v>
      </x:c>
      <x:c r="D55" s="47" t="str">
        <x:v>JIC_F_SW_06_06</x:v>
      </x:c>
      <x:c r="E55" s="47" t="str">
        <x:v>601R1_1WB_004</x:v>
      </x:c>
      <x:c r="F55" s="47" t="str"/>
      <x:c r="G55" s="33" t="str"/>
      <x:c r="H55" s="50" t="str"/>
      <x:c r="I55" s="50" t="str"/>
      <x:c r="J55" s="50" t="str"/>
      <x:c r="K55" s="47" t="str"/>
      <x:c r="L55" s="50" t="str"/>
      <x:c r="M55" s="50" t="str"/>
      <x:c r="N55" s="47" t="str"/>
      <x:c r="O55" s="50" t="str"/>
      <x:c r="P55" s="64" t="str">
        <x:f>IF(O55="","",O55*2)</x:f>
      </x:c>
      <x:c r="Q55" s="50" t="str"/>
      <x:c r="R55" s="47" t="str"/>
      <x:c r="S55" s="33" t="str">
        <x:v>Not Tested</x:v>
      </x:c>
      <x:c r="T55" s="64" t="str">
        <x:v>Eligible</x:v>
      </x:c>
      <x:c r="U55" s="47" t="str">
        <x:v>DHH W Series Bite-To-The-Wire</x:v>
      </x:c>
      <x:c r="V55" s="47" t="str">
        <x:v>R1-06</x:v>
      </x:c>
      <x:c r="W55" s="47" t="str">
        <x:v>Crimp full shell</x:v>
      </x:c>
      <x:c r="X55" s="50" t="n">
        <x:v>20.05</x:v>
      </x:c>
      <x:c r="Y55" s="50" t="n">
        <x:v>0.13</x:v>
      </x:c>
      <x:c r="Z55" s="47" t="str">
        <x:v>https://www.discounthydraulichose.com/v/vspfiles/downloadables/crimp.pdf (catalog p.99)</x:v>
      </x:c>
      <x:c r="AA55" s="47" t="str">
        <x:v>Published reference data; applicability is limited to the listed reference system and hose code.</x:v>
      </x:c>
      <x:c r="AB55" s="161" t="str">
        <x:v>Pending</x:v>
      </x:c>
    </x:row>
    <x:row r="56" ht="42" customHeight="1">
      <x:c r="A56" s="33" t="str">
        <x:v>Draft</x:v>
      </x:c>
      <x:c r="B56" s="47" t="str">
        <x:v>COMP_0052</x:v>
      </x:c>
      <x:c r="C56" s="47" t="str">
        <x:v>601R1_004</x:v>
      </x:c>
      <x:c r="D56" s="47" t="str">
        <x:v>JIC_F_SW_08_06</x:v>
      </x:c>
      <x:c r="E56" s="47" t="str">
        <x:v>601R1_1WB_004</x:v>
      </x:c>
      <x:c r="F56" s="47" t="str"/>
      <x:c r="G56" s="33" t="str"/>
      <x:c r="H56" s="50" t="str"/>
      <x:c r="I56" s="50" t="str"/>
      <x:c r="J56" s="50" t="str"/>
      <x:c r="K56" s="47" t="str"/>
      <x:c r="L56" s="50" t="str"/>
      <x:c r="M56" s="50" t="str"/>
      <x:c r="N56" s="47" t="str"/>
      <x:c r="O56" s="50" t="str"/>
      <x:c r="P56" s="64" t="str">
        <x:f>IF(O56="","",O56*2)</x:f>
      </x:c>
      <x:c r="Q56" s="50" t="str"/>
      <x:c r="R56" s="47" t="str"/>
      <x:c r="S56" s="33" t="str">
        <x:v>Not Tested</x:v>
      </x:c>
      <x:c r="T56" s="64" t="str">
        <x:v>Eligible</x:v>
      </x:c>
      <x:c r="U56" s="47" t="str">
        <x:v>DHH W Series Bite-To-The-Wire</x:v>
      </x:c>
      <x:c r="V56" s="47" t="str">
        <x:v>R1-06</x:v>
      </x:c>
      <x:c r="W56" s="47" t="str">
        <x:v>Crimp full shell</x:v>
      </x:c>
      <x:c r="X56" s="50" t="n">
        <x:v>20.05</x:v>
      </x:c>
      <x:c r="Y56" s="50" t="n">
        <x:v>0.13</x:v>
      </x:c>
      <x:c r="Z56" s="47" t="str">
        <x:v>https://www.discounthydraulichose.com/v/vspfiles/downloadables/crimp.pdf (catalog p.99)</x:v>
      </x:c>
      <x:c r="AA56" s="47" t="str">
        <x:v>Published reference data; applicability is limited to the listed reference system and hose code.</x:v>
      </x:c>
      <x:c r="AB56" s="161" t="str">
        <x:v>Pending</x:v>
      </x:c>
    </x:row>
    <x:row r="57" ht="42" customHeight="1">
      <x:c r="A57" s="33" t="str">
        <x:v>Draft</x:v>
      </x:c>
      <x:c r="B57" s="47" t="str">
        <x:v>COMP_0053</x:v>
      </x:c>
      <x:c r="C57" s="47" t="str">
        <x:v>601R1_004</x:v>
      </x:c>
      <x:c r="D57" s="47" t="str">
        <x:v>JIC_F_SW_10_06</x:v>
      </x:c>
      <x:c r="E57" s="47" t="str">
        <x:v>601R1_1WB_004</x:v>
      </x:c>
      <x:c r="F57" s="47" t="str"/>
      <x:c r="G57" s="33" t="str"/>
      <x:c r="H57" s="50" t="str"/>
      <x:c r="I57" s="50" t="str"/>
      <x:c r="J57" s="50" t="str"/>
      <x:c r="K57" s="47" t="str"/>
      <x:c r="L57" s="50" t="str"/>
      <x:c r="M57" s="50" t="str"/>
      <x:c r="N57" s="47" t="str"/>
      <x:c r="O57" s="50" t="str"/>
      <x:c r="P57" s="64" t="str">
        <x:f>IF(O57="","",O57*2)</x:f>
      </x:c>
      <x:c r="Q57" s="50" t="str"/>
      <x:c r="R57" s="47" t="str"/>
      <x:c r="S57" s="33" t="str">
        <x:v>Not Tested</x:v>
      </x:c>
      <x:c r="T57" s="64" t="str">
        <x:v>Eligible</x:v>
      </x:c>
      <x:c r="U57" s="47" t="str">
        <x:v>DHH W Series Bite-To-The-Wire</x:v>
      </x:c>
      <x:c r="V57" s="47" t="str">
        <x:v>R1-06</x:v>
      </x:c>
      <x:c r="W57" s="47" t="str">
        <x:v>Crimp full shell</x:v>
      </x:c>
      <x:c r="X57" s="50" t="n">
        <x:v>20.05</x:v>
      </x:c>
      <x:c r="Y57" s="50" t="n">
        <x:v>0.13</x:v>
      </x:c>
      <x:c r="Z57" s="47" t="str">
        <x:v>https://www.discounthydraulichose.com/v/vspfiles/downloadables/crimp.pdf (catalog p.99)</x:v>
      </x:c>
      <x:c r="AA57" s="47" t="str">
        <x:v>Published reference data; applicability is limited to the listed reference system and hose code.</x:v>
      </x:c>
      <x:c r="AB57" s="161" t="str">
        <x:v>Pending</x:v>
      </x:c>
    </x:row>
    <x:row r="58" ht="42" customHeight="1">
      <x:c r="A58" s="33" t="str">
        <x:v>Draft</x:v>
      </x:c>
      <x:c r="B58" s="47" t="str">
        <x:v>COMP_0054</x:v>
      </x:c>
      <x:c r="C58" s="47" t="str">
        <x:v>601R1_004</x:v>
      </x:c>
      <x:c r="D58" s="47" t="str">
        <x:v>JIC_M_FX_05_06</x:v>
      </x:c>
      <x:c r="E58" s="47" t="str">
        <x:v>601R1_1WB_004</x:v>
      </x:c>
      <x:c r="F58" s="47" t="str"/>
      <x:c r="G58" s="33" t="str"/>
      <x:c r="H58" s="50" t="str"/>
      <x:c r="I58" s="50" t="str"/>
      <x:c r="J58" s="50" t="str"/>
      <x:c r="K58" s="47" t="str"/>
      <x:c r="L58" s="50" t="str"/>
      <x:c r="M58" s="50" t="str"/>
      <x:c r="N58" s="47" t="str"/>
      <x:c r="O58" s="50" t="str"/>
      <x:c r="P58" s="64" t="str">
        <x:f>IF(O58="","",O58*2)</x:f>
      </x:c>
      <x:c r="Q58" s="50" t="str"/>
      <x:c r="R58" s="47" t="str"/>
      <x:c r="S58" s="33" t="str">
        <x:v>Not Tested</x:v>
      </x:c>
      <x:c r="T58" s="64" t="str">
        <x:v>Eligible</x:v>
      </x:c>
      <x:c r="U58" s="47" t="str">
        <x:v>DHH W Series Bite-To-The-Wire</x:v>
      </x:c>
      <x:c r="V58" s="47" t="str">
        <x:v>R1-06</x:v>
      </x:c>
      <x:c r="W58" s="47" t="str">
        <x:v>Crimp full shell</x:v>
      </x:c>
      <x:c r="X58" s="50" t="n">
        <x:v>20.05</x:v>
      </x:c>
      <x:c r="Y58" s="50" t="n">
        <x:v>0.13</x:v>
      </x:c>
      <x:c r="Z58" s="47" t="str">
        <x:v>https://www.discounthydraulichose.com/v/vspfiles/downloadables/crimp.pdf (catalog p.99)</x:v>
      </x:c>
      <x:c r="AA58" s="47" t="str">
        <x:v>Published reference data; applicability is limited to the listed reference system and hose code.</x:v>
      </x:c>
      <x:c r="AB58" s="161" t="str">
        <x:v>Pending</x:v>
      </x:c>
    </x:row>
    <x:row r="59" ht="42" customHeight="1">
      <x:c r="A59" s="33" t="str">
        <x:v>Draft</x:v>
      </x:c>
      <x:c r="B59" s="47" t="str">
        <x:v>COMP_0055</x:v>
      </x:c>
      <x:c r="C59" s="47" t="str">
        <x:v>601R1_004</x:v>
      </x:c>
      <x:c r="D59" s="47" t="str">
        <x:v>JIC_M_FX_06_06</x:v>
      </x:c>
      <x:c r="E59" s="47" t="str">
        <x:v>601R1_1WB_004</x:v>
      </x:c>
      <x:c r="F59" s="47" t="str"/>
      <x:c r="G59" s="33" t="str"/>
      <x:c r="H59" s="50" t="str"/>
      <x:c r="I59" s="50" t="str"/>
      <x:c r="J59" s="50" t="str"/>
      <x:c r="K59" s="47" t="str"/>
      <x:c r="L59" s="50" t="str"/>
      <x:c r="M59" s="50" t="str"/>
      <x:c r="N59" s="47" t="str"/>
      <x:c r="O59" s="50" t="str"/>
      <x:c r="P59" s="64" t="str">
        <x:f>IF(O59="","",O59*2)</x:f>
      </x:c>
      <x:c r="Q59" s="50" t="str"/>
      <x:c r="R59" s="47" t="str"/>
      <x:c r="S59" s="33" t="str">
        <x:v>Not Tested</x:v>
      </x:c>
      <x:c r="T59" s="64" t="str">
        <x:v>Eligible</x:v>
      </x:c>
      <x:c r="U59" s="47" t="str">
        <x:v>DHH W Series Bite-To-The-Wire</x:v>
      </x:c>
      <x:c r="V59" s="47" t="str">
        <x:v>R1-06</x:v>
      </x:c>
      <x:c r="W59" s="47" t="str">
        <x:v>Crimp full shell</x:v>
      </x:c>
      <x:c r="X59" s="50" t="n">
        <x:v>20.05</x:v>
      </x:c>
      <x:c r="Y59" s="50" t="n">
        <x:v>0.13</x:v>
      </x:c>
      <x:c r="Z59" s="47" t="str">
        <x:v>https://www.discounthydraulichose.com/v/vspfiles/downloadables/crimp.pdf (catalog p.99)</x:v>
      </x:c>
      <x:c r="AA59" s="47" t="str">
        <x:v>Published reference data; applicability is limited to the listed reference system and hose code.</x:v>
      </x:c>
      <x:c r="AB59" s="161" t="str">
        <x:v>Pending</x:v>
      </x:c>
    </x:row>
    <x:row r="60" ht="42" customHeight="1">
      <x:c r="A60" s="33" t="str">
        <x:v>Draft</x:v>
      </x:c>
      <x:c r="B60" s="47" t="str">
        <x:v>COMP_0056</x:v>
      </x:c>
      <x:c r="C60" s="47" t="str">
        <x:v>601R1_004</x:v>
      </x:c>
      <x:c r="D60" s="47" t="str">
        <x:v>JIC_M_FX_08_06</x:v>
      </x:c>
      <x:c r="E60" s="47" t="str">
        <x:v>601R1_1WB_004</x:v>
      </x:c>
      <x:c r="F60" s="47" t="str"/>
      <x:c r="G60" s="33" t="str"/>
      <x:c r="H60" s="50" t="str"/>
      <x:c r="I60" s="50" t="str"/>
      <x:c r="J60" s="50" t="str"/>
      <x:c r="K60" s="47" t="str"/>
      <x:c r="L60" s="50" t="str"/>
      <x:c r="M60" s="50" t="str"/>
      <x:c r="N60" s="47" t="str"/>
      <x:c r="O60" s="50" t="str"/>
      <x:c r="P60" s="64" t="str">
        <x:f>IF(O60="","",O60*2)</x:f>
      </x:c>
      <x:c r="Q60" s="50" t="str"/>
      <x:c r="R60" s="47" t="str"/>
      <x:c r="S60" s="33" t="str">
        <x:v>Not Tested</x:v>
      </x:c>
      <x:c r="T60" s="64" t="str">
        <x:v>Eligible</x:v>
      </x:c>
      <x:c r="U60" s="47" t="str">
        <x:v>DHH W Series Bite-To-The-Wire</x:v>
      </x:c>
      <x:c r="V60" s="47" t="str">
        <x:v>R1-06</x:v>
      </x:c>
      <x:c r="W60" s="47" t="str">
        <x:v>Crimp full shell</x:v>
      </x:c>
      <x:c r="X60" s="50" t="n">
        <x:v>20.05</x:v>
      </x:c>
      <x:c r="Y60" s="50" t="n">
        <x:v>0.13</x:v>
      </x:c>
      <x:c r="Z60" s="47" t="str">
        <x:v>https://www.discounthydraulichose.com/v/vspfiles/downloadables/crimp.pdf (catalog p.99)</x:v>
      </x:c>
      <x:c r="AA60" s="47" t="str">
        <x:v>Published reference data; applicability is limited to the listed reference system and hose code.</x:v>
      </x:c>
      <x:c r="AB60" s="161" t="str">
        <x:v>Pending</x:v>
      </x:c>
    </x:row>
    <x:row r="61" ht="42" customHeight="1">
      <x:c r="A61" s="33" t="str">
        <x:v>Draft</x:v>
      </x:c>
      <x:c r="B61" s="47" t="str">
        <x:v>COMP_0057</x:v>
      </x:c>
      <x:c r="C61" s="47" t="str">
        <x:v>601R1_004</x:v>
      </x:c>
      <x:c r="D61" s="47" t="str">
        <x:v>JIC_M_FX_10_06</x:v>
      </x:c>
      <x:c r="E61" s="47" t="str">
        <x:v>601R1_1WB_004</x:v>
      </x:c>
      <x:c r="F61" s="47" t="str"/>
      <x:c r="G61" s="33" t="str"/>
      <x:c r="H61" s="50" t="str"/>
      <x:c r="I61" s="50" t="str"/>
      <x:c r="J61" s="50" t="str"/>
      <x:c r="K61" s="47" t="str"/>
      <x:c r="L61" s="50" t="str"/>
      <x:c r="M61" s="50" t="str"/>
      <x:c r="N61" s="47" t="str"/>
      <x:c r="O61" s="50" t="str"/>
      <x:c r="P61" s="64" t="str">
        <x:f>IF(O61="","",O61*2)</x:f>
      </x:c>
      <x:c r="Q61" s="50" t="str"/>
      <x:c r="R61" s="47" t="str"/>
      <x:c r="S61" s="33" t="str">
        <x:v>Not Tested</x:v>
      </x:c>
      <x:c r="T61" s="64" t="str">
        <x:v>Eligible</x:v>
      </x:c>
      <x:c r="U61" s="47" t="str">
        <x:v>DHH W Series Bite-To-The-Wire</x:v>
      </x:c>
      <x:c r="V61" s="47" t="str">
        <x:v>R1-06</x:v>
      </x:c>
      <x:c r="W61" s="47" t="str">
        <x:v>Crimp full shell</x:v>
      </x:c>
      <x:c r="X61" s="50" t="n">
        <x:v>20.05</x:v>
      </x:c>
      <x:c r="Y61" s="50" t="n">
        <x:v>0.13</x:v>
      </x:c>
      <x:c r="Z61" s="47" t="str">
        <x:v>https://www.discounthydraulichose.com/v/vspfiles/downloadables/crimp.pdf (catalog p.99)</x:v>
      </x:c>
      <x:c r="AA61" s="47" t="str">
        <x:v>Published reference data; applicability is limited to the listed reference system and hose code.</x:v>
      </x:c>
      <x:c r="AB61" s="161" t="str">
        <x:v>Pending</x:v>
      </x:c>
    </x:row>
    <x:row r="62" ht="42" customHeight="1">
      <x:c r="A62" s="33" t="str">
        <x:v>Draft</x:v>
      </x:c>
      <x:c r="B62" s="47" t="str">
        <x:v>COMP_0058</x:v>
      </x:c>
      <x:c r="C62" s="47" t="str">
        <x:v>601R1_004</x:v>
      </x:c>
      <x:c r="D62" s="47" t="str">
        <x:v>JIC45_F_SW_06_06</x:v>
      </x:c>
      <x:c r="E62" s="47" t="str">
        <x:v>601R1_1WB_004</x:v>
      </x:c>
      <x:c r="F62" s="47" t="str"/>
      <x:c r="G62" s="33" t="str"/>
      <x:c r="H62" s="50" t="str"/>
      <x:c r="I62" s="50" t="str"/>
      <x:c r="J62" s="50" t="str"/>
      <x:c r="K62" s="47" t="str"/>
      <x:c r="L62" s="50" t="str"/>
      <x:c r="M62" s="50" t="str"/>
      <x:c r="N62" s="47" t="str"/>
      <x:c r="O62" s="50" t="str"/>
      <x:c r="P62" s="64" t="str">
        <x:f>IF(O62="","",O62*2)</x:f>
      </x:c>
      <x:c r="Q62" s="50" t="str"/>
      <x:c r="R62" s="47" t="str"/>
      <x:c r="S62" s="33" t="str">
        <x:v>Not Tested</x:v>
      </x:c>
      <x:c r="T62" s="64" t="str">
        <x:v>Eligible</x:v>
      </x:c>
      <x:c r="U62" s="47" t="str">
        <x:v>DHH W Series Bite-To-The-Wire</x:v>
      </x:c>
      <x:c r="V62" s="47" t="str">
        <x:v>R1-06</x:v>
      </x:c>
      <x:c r="W62" s="47" t="str">
        <x:v>Crimp full shell</x:v>
      </x:c>
      <x:c r="X62" s="50" t="n">
        <x:v>20.05</x:v>
      </x:c>
      <x:c r="Y62" s="50" t="n">
        <x:v>0.13</x:v>
      </x:c>
      <x:c r="Z62" s="47" t="str">
        <x:v>https://www.discounthydraulichose.com/v/vspfiles/downloadables/crimp.pdf (catalog p.99)</x:v>
      </x:c>
      <x:c r="AA62" s="47" t="str">
        <x:v>Published reference data; applicability is limited to the listed reference system and hose code.</x:v>
      </x:c>
      <x:c r="AB62" s="161" t="str">
        <x:v>Pending</x:v>
      </x:c>
    </x:row>
    <x:row r="63" ht="42" customHeight="1">
      <x:c r="A63" s="33" t="str">
        <x:v>Draft</x:v>
      </x:c>
      <x:c r="B63" s="47" t="str">
        <x:v>COMP_0059</x:v>
      </x:c>
      <x:c r="C63" s="47" t="str">
        <x:v>601R1_004</x:v>
      </x:c>
      <x:c r="D63" s="47" t="str">
        <x:v>JIC45_F_SW_08_06</x:v>
      </x:c>
      <x:c r="E63" s="47" t="str">
        <x:v>601R1_1WB_004</x:v>
      </x:c>
      <x:c r="F63" s="47" t="str"/>
      <x:c r="G63" s="33" t="str"/>
      <x:c r="H63" s="50" t="str"/>
      <x:c r="I63" s="50" t="str"/>
      <x:c r="J63" s="50" t="str"/>
      <x:c r="K63" s="47" t="str"/>
      <x:c r="L63" s="50" t="str"/>
      <x:c r="M63" s="50" t="str"/>
      <x:c r="N63" s="47" t="str"/>
      <x:c r="O63" s="50" t="str"/>
      <x:c r="P63" s="64" t="str">
        <x:f>IF(O63="","",O63*2)</x:f>
      </x:c>
      <x:c r="Q63" s="50" t="str"/>
      <x:c r="R63" s="47" t="str"/>
      <x:c r="S63" s="33" t="str">
        <x:v>Not Tested</x:v>
      </x:c>
      <x:c r="T63" s="64" t="str">
        <x:v>Eligible</x:v>
      </x:c>
      <x:c r="U63" s="47" t="str">
        <x:v>DHH W Series Bite-To-The-Wire</x:v>
      </x:c>
      <x:c r="V63" s="47" t="str">
        <x:v>R1-06</x:v>
      </x:c>
      <x:c r="W63" s="47" t="str">
        <x:v>Crimp full shell</x:v>
      </x:c>
      <x:c r="X63" s="50" t="n">
        <x:v>20.05</x:v>
      </x:c>
      <x:c r="Y63" s="50" t="n">
        <x:v>0.13</x:v>
      </x:c>
      <x:c r="Z63" s="47" t="str">
        <x:v>https://www.discounthydraulichose.com/v/vspfiles/downloadables/crimp.pdf (catalog p.99)</x:v>
      </x:c>
      <x:c r="AA63" s="47" t="str">
        <x:v>Published reference data; applicability is limited to the listed reference system and hose code.</x:v>
      </x:c>
      <x:c r="AB63" s="161" t="str">
        <x:v>Pending</x:v>
      </x:c>
    </x:row>
    <x:row r="64" ht="42" customHeight="1">
      <x:c r="A64" s="33" t="str">
        <x:v>Draft</x:v>
      </x:c>
      <x:c r="B64" s="47" t="str">
        <x:v>COMP_0060</x:v>
      </x:c>
      <x:c r="C64" s="47" t="str">
        <x:v>601R1_004</x:v>
      </x:c>
      <x:c r="D64" s="47" t="str">
        <x:v>JIC90_F_SW_04_06</x:v>
      </x:c>
      <x:c r="E64" s="47" t="str">
        <x:v>601R1_1WB_004</x:v>
      </x:c>
      <x:c r="F64" s="47" t="str"/>
      <x:c r="G64" s="33" t="str"/>
      <x:c r="H64" s="50" t="str"/>
      <x:c r="I64" s="50" t="str"/>
      <x:c r="J64" s="50" t="str"/>
      <x:c r="K64" s="47" t="str"/>
      <x:c r="L64" s="50" t="str"/>
      <x:c r="M64" s="50" t="str"/>
      <x:c r="N64" s="47" t="str"/>
      <x:c r="O64" s="50" t="str"/>
      <x:c r="P64" s="64" t="str">
        <x:f>IF(O64="","",O64*2)</x:f>
      </x:c>
      <x:c r="Q64" s="50" t="str"/>
      <x:c r="R64" s="47" t="str"/>
      <x:c r="S64" s="33" t="str">
        <x:v>Not Tested</x:v>
      </x:c>
      <x:c r="T64" s="64" t="str">
        <x:v>Eligible</x:v>
      </x:c>
      <x:c r="U64" s="47" t="str">
        <x:v>DHH W Series Bite-To-The-Wire</x:v>
      </x:c>
      <x:c r="V64" s="47" t="str">
        <x:v>R1-06</x:v>
      </x:c>
      <x:c r="W64" s="47" t="str">
        <x:v>Crimp full shell</x:v>
      </x:c>
      <x:c r="X64" s="50" t="n">
        <x:v>20.05</x:v>
      </x:c>
      <x:c r="Y64" s="50" t="n">
        <x:v>0.13</x:v>
      </x:c>
      <x:c r="Z64" s="47" t="str">
        <x:v>https://www.discounthydraulichose.com/v/vspfiles/downloadables/crimp.pdf (catalog p.99)</x:v>
      </x:c>
      <x:c r="AA64" s="47" t="str">
        <x:v>Published reference data; applicability is limited to the listed reference system and hose code.</x:v>
      </x:c>
      <x:c r="AB64" s="161" t="str">
        <x:v>Pending</x:v>
      </x:c>
    </x:row>
    <x:row r="65" ht="42" customHeight="1">
      <x:c r="A65" s="33" t="str">
        <x:v>Draft</x:v>
      </x:c>
      <x:c r="B65" s="47" t="str">
        <x:v>COMP_0061</x:v>
      </x:c>
      <x:c r="C65" s="47" t="str">
        <x:v>601R1_004</x:v>
      </x:c>
      <x:c r="D65" s="47" t="str">
        <x:v>JIC90_F_SW_06_06</x:v>
      </x:c>
      <x:c r="E65" s="47" t="str">
        <x:v>601R1_1WB_004</x:v>
      </x:c>
      <x:c r="F65" s="47" t="str"/>
      <x:c r="G65" s="33" t="str"/>
      <x:c r="H65" s="50" t="str"/>
      <x:c r="I65" s="50" t="str"/>
      <x:c r="J65" s="50" t="str"/>
      <x:c r="K65" s="47" t="str"/>
      <x:c r="L65" s="50" t="str"/>
      <x:c r="M65" s="50" t="str"/>
      <x:c r="N65" s="47" t="str"/>
      <x:c r="O65" s="50" t="str"/>
      <x:c r="P65" s="64" t="str">
        <x:f>IF(O65="","",O65*2)</x:f>
      </x:c>
      <x:c r="Q65" s="50" t="str"/>
      <x:c r="R65" s="47" t="str"/>
      <x:c r="S65" s="33" t="str">
        <x:v>Not Tested</x:v>
      </x:c>
      <x:c r="T65" s="64" t="str">
        <x:v>Eligible</x:v>
      </x:c>
      <x:c r="U65" s="47" t="str">
        <x:v>DHH W Series Bite-To-The-Wire</x:v>
      </x:c>
      <x:c r="V65" s="47" t="str">
        <x:v>R1-06</x:v>
      </x:c>
      <x:c r="W65" s="47" t="str">
        <x:v>Crimp full shell</x:v>
      </x:c>
      <x:c r="X65" s="50" t="n">
        <x:v>20.05</x:v>
      </x:c>
      <x:c r="Y65" s="50" t="n">
        <x:v>0.13</x:v>
      </x:c>
      <x:c r="Z65" s="47" t="str">
        <x:v>https://www.discounthydraulichose.com/v/vspfiles/downloadables/crimp.pdf (catalog p.99)</x:v>
      </x:c>
      <x:c r="AA65" s="47" t="str">
        <x:v>Published reference data; applicability is limited to the listed reference system and hose code.</x:v>
      </x:c>
      <x:c r="AB65" s="161" t="str">
        <x:v>Pending</x:v>
      </x:c>
    </x:row>
    <x:row r="66" ht="42" customHeight="1">
      <x:c r="A66" s="33" t="str">
        <x:v>Draft</x:v>
      </x:c>
      <x:c r="B66" s="47" t="str">
        <x:v>COMP_0062</x:v>
      </x:c>
      <x:c r="C66" s="47" t="str">
        <x:v>601R1_004</x:v>
      </x:c>
      <x:c r="D66" s="47" t="str">
        <x:v>JIC90_F_SW_08_06</x:v>
      </x:c>
      <x:c r="E66" s="47" t="str">
        <x:v>601R1_1WB_004</x:v>
      </x:c>
      <x:c r="F66" s="47" t="str"/>
      <x:c r="G66" s="33" t="str"/>
      <x:c r="H66" s="50" t="str"/>
      <x:c r="I66" s="50" t="str"/>
      <x:c r="J66" s="50" t="str"/>
      <x:c r="K66" s="47" t="str"/>
      <x:c r="L66" s="50" t="str"/>
      <x:c r="M66" s="50" t="str"/>
      <x:c r="N66" s="47" t="str"/>
      <x:c r="O66" s="50" t="str"/>
      <x:c r="P66" s="64" t="str">
        <x:f>IF(O66="","",O66*2)</x:f>
      </x:c>
      <x:c r="Q66" s="50" t="str"/>
      <x:c r="R66" s="47" t="str"/>
      <x:c r="S66" s="33" t="str">
        <x:v>Not Tested</x:v>
      </x:c>
      <x:c r="T66" s="64" t="str">
        <x:v>Eligible</x:v>
      </x:c>
      <x:c r="U66" s="47" t="str">
        <x:v>DHH W Series Bite-To-The-Wire</x:v>
      </x:c>
      <x:c r="V66" s="47" t="str">
        <x:v>R1-06</x:v>
      </x:c>
      <x:c r="W66" s="47" t="str">
        <x:v>Crimp full shell</x:v>
      </x:c>
      <x:c r="X66" s="50" t="n">
        <x:v>20.05</x:v>
      </x:c>
      <x:c r="Y66" s="50" t="n">
        <x:v>0.13</x:v>
      </x:c>
      <x:c r="Z66" s="47" t="str">
        <x:v>https://www.discounthydraulichose.com/v/vspfiles/downloadables/crimp.pdf (catalog p.99)</x:v>
      </x:c>
      <x:c r="AA66" s="47" t="str">
        <x:v>Published reference data; applicability is limited to the listed reference system and hose code.</x:v>
      </x:c>
      <x:c r="AB66" s="161" t="str">
        <x:v>Pending</x:v>
      </x:c>
    </x:row>
    <x:row r="67" ht="42" customHeight="1">
      <x:c r="A67" s="33" t="str">
        <x:v>Draft</x:v>
      </x:c>
      <x:c r="B67" s="47" t="str">
        <x:v>COMP_0063</x:v>
      </x:c>
      <x:c r="C67" s="47" t="str">
        <x:v>601R1_004</x:v>
      </x:c>
      <x:c r="D67" s="47" t="str">
        <x:v>NPT_F_FX_04_06</x:v>
      </x:c>
      <x:c r="E67" s="47" t="str">
        <x:v>601R1_1WB_004</x:v>
      </x:c>
      <x:c r="F67" s="47" t="str"/>
      <x:c r="G67" s="33" t="str"/>
      <x:c r="H67" s="50" t="str"/>
      <x:c r="I67" s="50" t="str"/>
      <x:c r="J67" s="50" t="str"/>
      <x:c r="K67" s="47" t="str"/>
      <x:c r="L67" s="50" t="str"/>
      <x:c r="M67" s="50" t="str"/>
      <x:c r="N67" s="47" t="str"/>
      <x:c r="O67" s="50" t="str"/>
      <x:c r="P67" s="64" t="str">
        <x:f>IF(O67="","",O67*2)</x:f>
      </x:c>
      <x:c r="Q67" s="50" t="str"/>
      <x:c r="R67" s="47" t="str"/>
      <x:c r="S67" s="33" t="str">
        <x:v>Not Tested</x:v>
      </x:c>
      <x:c r="T67" s="64" t="str">
        <x:v>Eligible</x:v>
      </x:c>
      <x:c r="U67" s="47" t="str">
        <x:v>DHH W Series Bite-To-The-Wire</x:v>
      </x:c>
      <x:c r="V67" s="47" t="str">
        <x:v>R1-06</x:v>
      </x:c>
      <x:c r="W67" s="47" t="str">
        <x:v>Crimp full shell</x:v>
      </x:c>
      <x:c r="X67" s="50" t="n">
        <x:v>20.05</x:v>
      </x:c>
      <x:c r="Y67" s="50" t="n">
        <x:v>0.13</x:v>
      </x:c>
      <x:c r="Z67" s="47" t="str">
        <x:v>https://www.discounthydraulichose.com/v/vspfiles/downloadables/crimp.pdf (catalog p.99)</x:v>
      </x:c>
      <x:c r="AA67" s="47" t="str">
        <x:v>Published reference data; applicability is limited to the listed reference system and hose code.</x:v>
      </x:c>
      <x:c r="AB67" s="161" t="str">
        <x:v>Pending</x:v>
      </x:c>
    </x:row>
    <x:row r="68" ht="42" customHeight="1">
      <x:c r="A68" s="33" t="str">
        <x:v>Draft</x:v>
      </x:c>
      <x:c r="B68" s="47" t="str">
        <x:v>COMP_0064</x:v>
      </x:c>
      <x:c r="C68" s="47" t="str">
        <x:v>601R1_004</x:v>
      </x:c>
      <x:c r="D68" s="47" t="str">
        <x:v>NPT_F_FX_06_06</x:v>
      </x:c>
      <x:c r="E68" s="47" t="str">
        <x:v>601R1_1WB_004</x:v>
      </x:c>
      <x:c r="F68" s="47" t="str"/>
      <x:c r="G68" s="33" t="str"/>
      <x:c r="H68" s="50" t="str"/>
      <x:c r="I68" s="50" t="str"/>
      <x:c r="J68" s="50" t="str"/>
      <x:c r="K68" s="47" t="str"/>
      <x:c r="L68" s="50" t="str"/>
      <x:c r="M68" s="50" t="str"/>
      <x:c r="N68" s="47" t="str"/>
      <x:c r="O68" s="50" t="str"/>
      <x:c r="P68" s="64" t="str">
        <x:f>IF(O68="","",O68*2)</x:f>
      </x:c>
      <x:c r="Q68" s="50" t="str"/>
      <x:c r="R68" s="47" t="str"/>
      <x:c r="S68" s="33" t="str">
        <x:v>Not Tested</x:v>
      </x:c>
      <x:c r="T68" s="64" t="str">
        <x:v>Eligible</x:v>
      </x:c>
      <x:c r="U68" s="47" t="str">
        <x:v>DHH W Series Bite-To-The-Wire</x:v>
      </x:c>
      <x:c r="V68" s="47" t="str">
        <x:v>R1-06</x:v>
      </x:c>
      <x:c r="W68" s="47" t="str">
        <x:v>Crimp full shell</x:v>
      </x:c>
      <x:c r="X68" s="50" t="n">
        <x:v>20.05</x:v>
      </x:c>
      <x:c r="Y68" s="50" t="n">
        <x:v>0.13</x:v>
      </x:c>
      <x:c r="Z68" s="47" t="str">
        <x:v>https://www.discounthydraulichose.com/v/vspfiles/downloadables/crimp.pdf (catalog p.99)</x:v>
      </x:c>
      <x:c r="AA68" s="47" t="str">
        <x:v>Published reference data; applicability is limited to the listed reference system and hose code.</x:v>
      </x:c>
      <x:c r="AB68" s="161" t="str">
        <x:v>Pending</x:v>
      </x:c>
    </x:row>
    <x:row r="69" ht="42" customHeight="1">
      <x:c r="A69" s="33" t="str">
        <x:v>Draft</x:v>
      </x:c>
      <x:c r="B69" s="47" t="str">
        <x:v>COMP_0065</x:v>
      </x:c>
      <x:c r="C69" s="47" t="str">
        <x:v>601R1_004</x:v>
      </x:c>
      <x:c r="D69" s="47" t="str">
        <x:v>NPT_F_FX_08_06</x:v>
      </x:c>
      <x:c r="E69" s="47" t="str">
        <x:v>601R1_1WB_004</x:v>
      </x:c>
      <x:c r="F69" s="47" t="str"/>
      <x:c r="G69" s="33" t="str"/>
      <x:c r="H69" s="50" t="str"/>
      <x:c r="I69" s="50" t="str"/>
      <x:c r="J69" s="50" t="str"/>
      <x:c r="K69" s="47" t="str"/>
      <x:c r="L69" s="50" t="str"/>
      <x:c r="M69" s="50" t="str"/>
      <x:c r="N69" s="47" t="str"/>
      <x:c r="O69" s="50" t="str"/>
      <x:c r="P69" s="64" t="str">
        <x:f>IF(O69="","",O69*2)</x:f>
      </x:c>
      <x:c r="Q69" s="50" t="str"/>
      <x:c r="R69" s="47" t="str"/>
      <x:c r="S69" s="33" t="str">
        <x:v>Not Tested</x:v>
      </x:c>
      <x:c r="T69" s="64" t="str">
        <x:v>Eligible</x:v>
      </x:c>
      <x:c r="U69" s="47" t="str">
        <x:v>DHH W Series Bite-To-The-Wire</x:v>
      </x:c>
      <x:c r="V69" s="47" t="str">
        <x:v>R1-06</x:v>
      </x:c>
      <x:c r="W69" s="47" t="str">
        <x:v>Crimp full shell</x:v>
      </x:c>
      <x:c r="X69" s="50" t="n">
        <x:v>20.05</x:v>
      </x:c>
      <x:c r="Y69" s="50" t="n">
        <x:v>0.13</x:v>
      </x:c>
      <x:c r="Z69" s="47" t="str">
        <x:v>https://www.discounthydraulichose.com/v/vspfiles/downloadables/crimp.pdf (catalog p.99)</x:v>
      </x:c>
      <x:c r="AA69" s="47" t="str">
        <x:v>Published reference data; applicability is limited to the listed reference system and hose code.</x:v>
      </x:c>
      <x:c r="AB69" s="161" t="str">
        <x:v>Pending</x:v>
      </x:c>
    </x:row>
    <x:row r="70" ht="42" customHeight="1">
      <x:c r="A70" s="33" t="str">
        <x:v>Draft</x:v>
      </x:c>
      <x:c r="B70" s="47" t="str">
        <x:v>COMP_0066</x:v>
      </x:c>
      <x:c r="C70" s="47" t="str">
        <x:v>601R1_004</x:v>
      </x:c>
      <x:c r="D70" s="47" t="str">
        <x:v>NPT_M_FX_04_06</x:v>
      </x:c>
      <x:c r="E70" s="47" t="str">
        <x:v>601R1_1WB_004</x:v>
      </x:c>
      <x:c r="F70" s="47" t="str"/>
      <x:c r="G70" s="33" t="str"/>
      <x:c r="H70" s="50" t="str"/>
      <x:c r="I70" s="50" t="str"/>
      <x:c r="J70" s="50" t="str"/>
      <x:c r="K70" s="47" t="str"/>
      <x:c r="L70" s="50" t="str"/>
      <x:c r="M70" s="50" t="str"/>
      <x:c r="N70" s="47" t="str"/>
      <x:c r="O70" s="50" t="str"/>
      <x:c r="P70" s="64" t="str">
        <x:f>IF(O70="","",O70*2)</x:f>
      </x:c>
      <x:c r="Q70" s="50" t="str"/>
      <x:c r="R70" s="47" t="str"/>
      <x:c r="S70" s="33" t="str">
        <x:v>Not Tested</x:v>
      </x:c>
      <x:c r="T70" s="64" t="str">
        <x:v>Eligible</x:v>
      </x:c>
      <x:c r="U70" s="47" t="str">
        <x:v>DHH W Series Bite-To-The-Wire</x:v>
      </x:c>
      <x:c r="V70" s="47" t="str">
        <x:v>R1-06</x:v>
      </x:c>
      <x:c r="W70" s="47" t="str">
        <x:v>Crimp full shell</x:v>
      </x:c>
      <x:c r="X70" s="50" t="n">
        <x:v>20.05</x:v>
      </x:c>
      <x:c r="Y70" s="50" t="n">
        <x:v>0.13</x:v>
      </x:c>
      <x:c r="Z70" s="47" t="str">
        <x:v>https://www.discounthydraulichose.com/v/vspfiles/downloadables/crimp.pdf (catalog p.99)</x:v>
      </x:c>
      <x:c r="AA70" s="47" t="str">
        <x:v>Published reference data; applicability is limited to the listed reference system and hose code.</x:v>
      </x:c>
      <x:c r="AB70" s="161" t="str">
        <x:v>Pending</x:v>
      </x:c>
    </x:row>
    <x:row r="71" ht="42" customHeight="1">
      <x:c r="A71" s="33" t="str">
        <x:v>Draft</x:v>
      </x:c>
      <x:c r="B71" s="47" t="str">
        <x:v>COMP_0067</x:v>
      </x:c>
      <x:c r="C71" s="47" t="str">
        <x:v>601R1_004</x:v>
      </x:c>
      <x:c r="D71" s="47" t="str">
        <x:v>NPT_M_FX_06_06</x:v>
      </x:c>
      <x:c r="E71" s="47" t="str">
        <x:v>601R1_1WB_004</x:v>
      </x:c>
      <x:c r="F71" s="47" t="str"/>
      <x:c r="G71" s="33" t="str"/>
      <x:c r="H71" s="50" t="str"/>
      <x:c r="I71" s="50" t="str"/>
      <x:c r="J71" s="50" t="str"/>
      <x:c r="K71" s="47" t="str"/>
      <x:c r="L71" s="50" t="str"/>
      <x:c r="M71" s="50" t="str"/>
      <x:c r="N71" s="47" t="str"/>
      <x:c r="O71" s="50" t="str"/>
      <x:c r="P71" s="64" t="str">
        <x:f>IF(O71="","",O71*2)</x:f>
      </x:c>
      <x:c r="Q71" s="50" t="str"/>
      <x:c r="R71" s="47" t="str"/>
      <x:c r="S71" s="33" t="str">
        <x:v>Not Tested</x:v>
      </x:c>
      <x:c r="T71" s="64" t="str">
        <x:v>Eligible</x:v>
      </x:c>
      <x:c r="U71" s="47" t="str">
        <x:v>DHH W Series Bite-To-The-Wire</x:v>
      </x:c>
      <x:c r="V71" s="47" t="str">
        <x:v>R1-06</x:v>
      </x:c>
      <x:c r="W71" s="47" t="str">
        <x:v>Crimp full shell</x:v>
      </x:c>
      <x:c r="X71" s="50" t="n">
        <x:v>20.05</x:v>
      </x:c>
      <x:c r="Y71" s="50" t="n">
        <x:v>0.13</x:v>
      </x:c>
      <x:c r="Z71" s="47" t="str">
        <x:v>https://www.discounthydraulichose.com/v/vspfiles/downloadables/crimp.pdf (catalog p.99)</x:v>
      </x:c>
      <x:c r="AA71" s="47" t="str">
        <x:v>Published reference data; applicability is limited to the listed reference system and hose code.</x:v>
      </x:c>
      <x:c r="AB71" s="161" t="str">
        <x:v>Pending</x:v>
      </x:c>
    </x:row>
    <x:row r="72" ht="42" customHeight="1">
      <x:c r="A72" s="33" t="str">
        <x:v>Draft</x:v>
      </x:c>
      <x:c r="B72" s="47" t="str">
        <x:v>COMP_0068</x:v>
      </x:c>
      <x:c r="C72" s="47" t="str">
        <x:v>601R1_004</x:v>
      </x:c>
      <x:c r="D72" s="47" t="str">
        <x:v>NPT_M_FX_08_06</x:v>
      </x:c>
      <x:c r="E72" s="47" t="str">
        <x:v>601R1_1WB_004</x:v>
      </x:c>
      <x:c r="F72" s="47" t="str"/>
      <x:c r="G72" s="33" t="str"/>
      <x:c r="H72" s="50" t="str"/>
      <x:c r="I72" s="50" t="str"/>
      <x:c r="J72" s="50" t="str"/>
      <x:c r="K72" s="47" t="str"/>
      <x:c r="L72" s="50" t="str"/>
      <x:c r="M72" s="50" t="str"/>
      <x:c r="N72" s="47" t="str"/>
      <x:c r="O72" s="50" t="str"/>
      <x:c r="P72" s="64" t="str">
        <x:f>IF(O72="","",O72*2)</x:f>
      </x:c>
      <x:c r="Q72" s="50" t="str"/>
      <x:c r="R72" s="47" t="str"/>
      <x:c r="S72" s="33" t="str">
        <x:v>Not Tested</x:v>
      </x:c>
      <x:c r="T72" s="64" t="str">
        <x:v>Eligible</x:v>
      </x:c>
      <x:c r="U72" s="47" t="str">
        <x:v>DHH W Series Bite-To-The-Wire</x:v>
      </x:c>
      <x:c r="V72" s="47" t="str">
        <x:v>R1-06</x:v>
      </x:c>
      <x:c r="W72" s="47" t="str">
        <x:v>Crimp full shell</x:v>
      </x:c>
      <x:c r="X72" s="50" t="n">
        <x:v>20.05</x:v>
      </x:c>
      <x:c r="Y72" s="50" t="n">
        <x:v>0.13</x:v>
      </x:c>
      <x:c r="Z72" s="47" t="str">
        <x:v>https://www.discounthydraulichose.com/v/vspfiles/downloadables/crimp.pdf (catalog p.99)</x:v>
      </x:c>
      <x:c r="AA72" s="47" t="str">
        <x:v>Published reference data; applicability is limited to the listed reference system and hose code.</x:v>
      </x:c>
      <x:c r="AB72" s="161" t="str">
        <x:v>Pending</x:v>
      </x:c>
    </x:row>
    <x:row r="73" ht="42" customHeight="1">
      <x:c r="A73" s="33" t="str">
        <x:v>Draft</x:v>
      </x:c>
      <x:c r="B73" s="47" t="str">
        <x:v>COMP_0069</x:v>
      </x:c>
      <x:c r="C73" s="47" t="str">
        <x:v>601R1_004</x:v>
      </x:c>
      <x:c r="D73" s="47" t="str">
        <x:v>NPT90_M_SW_06_06</x:v>
      </x:c>
      <x:c r="E73" s="47" t="str">
        <x:v>601R1_1WB_004</x:v>
      </x:c>
      <x:c r="F73" s="47" t="str"/>
      <x:c r="G73" s="33" t="str"/>
      <x:c r="H73" s="50" t="str"/>
      <x:c r="I73" s="50" t="str"/>
      <x:c r="J73" s="50" t="str"/>
      <x:c r="K73" s="47" t="str"/>
      <x:c r="L73" s="50" t="str"/>
      <x:c r="M73" s="50" t="str"/>
      <x:c r="N73" s="47" t="str"/>
      <x:c r="O73" s="50" t="str"/>
      <x:c r="P73" s="64" t="str">
        <x:f>IF(O73="","",O73*2)</x:f>
      </x:c>
      <x:c r="Q73" s="50" t="str"/>
      <x:c r="R73" s="47" t="str"/>
      <x:c r="S73" s="33" t="str">
        <x:v>Not Tested</x:v>
      </x:c>
      <x:c r="T73" s="64" t="str">
        <x:v>Eligible</x:v>
      </x:c>
      <x:c r="U73" s="47" t="str">
        <x:v>DHH W Series Bite-To-The-Wire</x:v>
      </x:c>
      <x:c r="V73" s="47" t="str">
        <x:v>R1-06</x:v>
      </x:c>
      <x:c r="W73" s="47" t="str">
        <x:v>Crimp full shell</x:v>
      </x:c>
      <x:c r="X73" s="50" t="n">
        <x:v>20.05</x:v>
      </x:c>
      <x:c r="Y73" s="50" t="n">
        <x:v>0.13</x:v>
      </x:c>
      <x:c r="Z73" s="47" t="str">
        <x:v>https://www.discounthydraulichose.com/v/vspfiles/downloadables/crimp.pdf (catalog p.99)</x:v>
      </x:c>
      <x:c r="AA73" s="47" t="str">
        <x:v>Published reference data; applicability is limited to the listed reference system and hose code.</x:v>
      </x:c>
      <x:c r="AB73" s="161" t="str">
        <x:v>Pending</x:v>
      </x:c>
    </x:row>
    <x:row r="74" ht="42" customHeight="1">
      <x:c r="A74" s="33" t="str">
        <x:v>Draft</x:v>
      </x:c>
      <x:c r="B74" s="47" t="str">
        <x:v>COMP_0070</x:v>
      </x:c>
      <x:c r="C74" s="47" t="str">
        <x:v>601R1_004</x:v>
      </x:c>
      <x:c r="D74" s="47" t="str">
        <x:v>NPT90_M_SW_08_06</x:v>
      </x:c>
      <x:c r="E74" s="47" t="str">
        <x:v>601R1_1WB_004</x:v>
      </x:c>
      <x:c r="F74" s="47" t="str"/>
      <x:c r="G74" s="33" t="str"/>
      <x:c r="H74" s="50" t="str"/>
      <x:c r="I74" s="50" t="str"/>
      <x:c r="J74" s="50" t="str"/>
      <x:c r="K74" s="47" t="str"/>
      <x:c r="L74" s="50" t="str"/>
      <x:c r="M74" s="50" t="str"/>
      <x:c r="N74" s="47" t="str"/>
      <x:c r="O74" s="50" t="str"/>
      <x:c r="P74" s="64" t="str">
        <x:f>IF(O74="","",O74*2)</x:f>
      </x:c>
      <x:c r="Q74" s="50" t="str"/>
      <x:c r="R74" s="47" t="str"/>
      <x:c r="S74" s="33" t="str">
        <x:v>Not Tested</x:v>
      </x:c>
      <x:c r="T74" s="64" t="str">
        <x:v>Eligible</x:v>
      </x:c>
      <x:c r="U74" s="47" t="str">
        <x:v>DHH W Series Bite-To-The-Wire</x:v>
      </x:c>
      <x:c r="V74" s="47" t="str">
        <x:v>R1-06</x:v>
      </x:c>
      <x:c r="W74" s="47" t="str">
        <x:v>Crimp full shell</x:v>
      </x:c>
      <x:c r="X74" s="50" t="n">
        <x:v>20.05</x:v>
      </x:c>
      <x:c r="Y74" s="50" t="n">
        <x:v>0.13</x:v>
      </x:c>
      <x:c r="Z74" s="47" t="str">
        <x:v>https://www.discounthydraulichose.com/v/vspfiles/downloadables/crimp.pdf (catalog p.99)</x:v>
      </x:c>
      <x:c r="AA74" s="47" t="str">
        <x:v>Published reference data; applicability is limited to the listed reference system and hose code.</x:v>
      </x:c>
      <x:c r="AB74" s="161" t="str">
        <x:v>Pending</x:v>
      </x:c>
    </x:row>
    <x:row r="75" ht="42" customHeight="1">
      <x:c r="A75" s="33" t="str">
        <x:v>Draft</x:v>
      </x:c>
      <x:c r="B75" s="47" t="str">
        <x:v>COMP_0071</x:v>
      </x:c>
      <x:c r="C75" s="47" t="str">
        <x:v>601R1_004</x:v>
      </x:c>
      <x:c r="D75" s="47" t="str">
        <x:v>ORFS_F_SW_06_06</x:v>
      </x:c>
      <x:c r="E75" s="47" t="str">
        <x:v>601R1_1WB_004</x:v>
      </x:c>
      <x:c r="F75" s="47" t="str"/>
      <x:c r="G75" s="33" t="str"/>
      <x:c r="H75" s="50" t="str"/>
      <x:c r="I75" s="50" t="str"/>
      <x:c r="J75" s="50" t="str"/>
      <x:c r="K75" s="47" t="str"/>
      <x:c r="L75" s="50" t="str"/>
      <x:c r="M75" s="50" t="str"/>
      <x:c r="N75" s="47" t="str"/>
      <x:c r="O75" s="50" t="str"/>
      <x:c r="P75" s="64" t="str">
        <x:f>IF(O75="","",O75*2)</x:f>
      </x:c>
      <x:c r="Q75" s="50" t="str"/>
      <x:c r="R75" s="47" t="str"/>
      <x:c r="S75" s="33" t="str">
        <x:v>Not Tested</x:v>
      </x:c>
      <x:c r="T75" s="64" t="str">
        <x:v>Eligible</x:v>
      </x:c>
      <x:c r="U75" s="47" t="str">
        <x:v>DHH W Series Bite-To-The-Wire</x:v>
      </x:c>
      <x:c r="V75" s="47" t="str">
        <x:v>R1-06</x:v>
      </x:c>
      <x:c r="W75" s="47" t="str">
        <x:v>Crimp full shell</x:v>
      </x:c>
      <x:c r="X75" s="50" t="n">
        <x:v>20.05</x:v>
      </x:c>
      <x:c r="Y75" s="50" t="n">
        <x:v>0.13</x:v>
      </x:c>
      <x:c r="Z75" s="47" t="str">
        <x:v>https://www.discounthydraulichose.com/v/vspfiles/downloadables/crimp.pdf (catalog p.99)</x:v>
      </x:c>
      <x:c r="AA75" s="47" t="str">
        <x:v>Published reference data; applicability is limited to the listed reference system and hose code.</x:v>
      </x:c>
      <x:c r="AB75" s="161" t="str">
        <x:v>Pending</x:v>
      </x:c>
    </x:row>
    <x:row r="76" ht="42" customHeight="1">
      <x:c r="A76" s="33" t="str">
        <x:v>Draft</x:v>
      </x:c>
      <x:c r="B76" s="47" t="str">
        <x:v>COMP_0072</x:v>
      </x:c>
      <x:c r="C76" s="47" t="str">
        <x:v>601R1_004</x:v>
      </x:c>
      <x:c r="D76" s="47" t="str">
        <x:v>ORFS_F_SW_08_06</x:v>
      </x:c>
      <x:c r="E76" s="47" t="str">
        <x:v>601R1_1WB_004</x:v>
      </x:c>
      <x:c r="F76" s="47" t="str"/>
      <x:c r="G76" s="33" t="str"/>
      <x:c r="H76" s="50" t="str"/>
      <x:c r="I76" s="50" t="str"/>
      <x:c r="J76" s="50" t="str"/>
      <x:c r="K76" s="47" t="str"/>
      <x:c r="L76" s="50" t="str"/>
      <x:c r="M76" s="50" t="str"/>
      <x:c r="N76" s="47" t="str"/>
      <x:c r="O76" s="50" t="str"/>
      <x:c r="P76" s="64" t="str">
        <x:f>IF(O76="","",O76*2)</x:f>
      </x:c>
      <x:c r="Q76" s="50" t="str"/>
      <x:c r="R76" s="47" t="str"/>
      <x:c r="S76" s="33" t="str">
        <x:v>Not Tested</x:v>
      </x:c>
      <x:c r="T76" s="64" t="str">
        <x:v>Eligible</x:v>
      </x:c>
      <x:c r="U76" s="47" t="str">
        <x:v>DHH W Series Bite-To-The-Wire</x:v>
      </x:c>
      <x:c r="V76" s="47" t="str">
        <x:v>R1-06</x:v>
      </x:c>
      <x:c r="W76" s="47" t="str">
        <x:v>Crimp full shell</x:v>
      </x:c>
      <x:c r="X76" s="50" t="n">
        <x:v>20.05</x:v>
      </x:c>
      <x:c r="Y76" s="50" t="n">
        <x:v>0.13</x:v>
      </x:c>
      <x:c r="Z76" s="47" t="str">
        <x:v>https://www.discounthydraulichose.com/v/vspfiles/downloadables/crimp.pdf (catalog p.99)</x:v>
      </x:c>
      <x:c r="AA76" s="47" t="str">
        <x:v>Published reference data; applicability is limited to the listed reference system and hose code.</x:v>
      </x:c>
      <x:c r="AB76" s="161" t="str">
        <x:v>Pending</x:v>
      </x:c>
    </x:row>
    <x:row r="77" ht="42" customHeight="1">
      <x:c r="A77" s="33" t="str">
        <x:v>Draft</x:v>
      </x:c>
      <x:c r="B77" s="47" t="str">
        <x:v>COMP_0073</x:v>
      </x:c>
      <x:c r="C77" s="47" t="str">
        <x:v>601R1_004</x:v>
      </x:c>
      <x:c r="D77" s="47" t="str">
        <x:v>ORFS_M_FX_06_06</x:v>
      </x:c>
      <x:c r="E77" s="47" t="str">
        <x:v>601R1_1WB_004</x:v>
      </x:c>
      <x:c r="F77" s="47" t="str"/>
      <x:c r="G77" s="33" t="str"/>
      <x:c r="H77" s="50" t="str"/>
      <x:c r="I77" s="50" t="str"/>
      <x:c r="J77" s="50" t="str"/>
      <x:c r="K77" s="47" t="str"/>
      <x:c r="L77" s="50" t="str"/>
      <x:c r="M77" s="50" t="str"/>
      <x:c r="N77" s="47" t="str"/>
      <x:c r="O77" s="50" t="str"/>
      <x:c r="P77" s="64" t="str">
        <x:f>IF(O77="","",O77*2)</x:f>
      </x:c>
      <x:c r="Q77" s="50" t="str"/>
      <x:c r="R77" s="47" t="str"/>
      <x:c r="S77" s="33" t="str">
        <x:v>Not Tested</x:v>
      </x:c>
      <x:c r="T77" s="64" t="str">
        <x:v>Eligible</x:v>
      </x:c>
      <x:c r="U77" s="47" t="str">
        <x:v>DHH W Series Bite-To-The-Wire</x:v>
      </x:c>
      <x:c r="V77" s="47" t="str">
        <x:v>R1-06</x:v>
      </x:c>
      <x:c r="W77" s="47" t="str">
        <x:v>Crimp full shell</x:v>
      </x:c>
      <x:c r="X77" s="50" t="n">
        <x:v>20.05</x:v>
      </x:c>
      <x:c r="Y77" s="50" t="n">
        <x:v>0.13</x:v>
      </x:c>
      <x:c r="Z77" s="47" t="str">
        <x:v>https://www.discounthydraulichose.com/v/vspfiles/downloadables/crimp.pdf (catalog p.99)</x:v>
      </x:c>
      <x:c r="AA77" s="47" t="str">
        <x:v>Published reference data; applicability is limited to the listed reference system and hose code.</x:v>
      </x:c>
      <x:c r="AB77" s="161" t="str">
        <x:v>Pending</x:v>
      </x:c>
    </x:row>
    <x:row r="78" ht="42" customHeight="1">
      <x:c r="A78" s="33" t="str">
        <x:v>Draft</x:v>
      </x:c>
      <x:c r="B78" s="47" t="str">
        <x:v>COMP_0074</x:v>
      </x:c>
      <x:c r="C78" s="47" t="str">
        <x:v>601R1_004</x:v>
      </x:c>
      <x:c r="D78" s="47" t="str">
        <x:v>ORFS_M_FX_08_06</x:v>
      </x:c>
      <x:c r="E78" s="47" t="str">
        <x:v>601R1_1WB_004</x:v>
      </x:c>
      <x:c r="F78" s="47" t="str"/>
      <x:c r="G78" s="33" t="str"/>
      <x:c r="H78" s="50" t="str"/>
      <x:c r="I78" s="50" t="str"/>
      <x:c r="J78" s="50" t="str"/>
      <x:c r="K78" s="47" t="str"/>
      <x:c r="L78" s="50" t="str"/>
      <x:c r="M78" s="50" t="str"/>
      <x:c r="N78" s="47" t="str"/>
      <x:c r="O78" s="50" t="str"/>
      <x:c r="P78" s="64" t="str">
        <x:f>IF(O78="","",O78*2)</x:f>
      </x:c>
      <x:c r="Q78" s="50" t="str"/>
      <x:c r="R78" s="47" t="str"/>
      <x:c r="S78" s="33" t="str">
        <x:v>Not Tested</x:v>
      </x:c>
      <x:c r="T78" s="64" t="str">
        <x:v>Eligible</x:v>
      </x:c>
      <x:c r="U78" s="47" t="str">
        <x:v>DHH W Series Bite-To-The-Wire</x:v>
      </x:c>
      <x:c r="V78" s="47" t="str">
        <x:v>R1-06</x:v>
      </x:c>
      <x:c r="W78" s="47" t="str">
        <x:v>Crimp full shell</x:v>
      </x:c>
      <x:c r="X78" s="50" t="n">
        <x:v>20.05</x:v>
      </x:c>
      <x:c r="Y78" s="50" t="n">
        <x:v>0.13</x:v>
      </x:c>
      <x:c r="Z78" s="47" t="str">
        <x:v>https://www.discounthydraulichose.com/v/vspfiles/downloadables/crimp.pdf (catalog p.99)</x:v>
      </x:c>
      <x:c r="AA78" s="47" t="str">
        <x:v>Published reference data; applicability is limited to the listed reference system and hose code.</x:v>
      </x:c>
      <x:c r="AB78" s="161" t="str">
        <x:v>Pending</x:v>
      </x:c>
    </x:row>
    <x:row r="79" ht="42" customHeight="1">
      <x:c r="A79" s="33" t="str">
        <x:v>Draft</x:v>
      </x:c>
      <x:c r="B79" s="47" t="str">
        <x:v>COMP_0075</x:v>
      </x:c>
      <x:c r="C79" s="47" t="str">
        <x:v>601R1_004</x:v>
      </x:c>
      <x:c r="D79" s="47" t="str">
        <x:v>ORFS45_F_SW_06_06</x:v>
      </x:c>
      <x:c r="E79" s="47" t="str">
        <x:v>601R1_1WB_004</x:v>
      </x:c>
      <x:c r="F79" s="47" t="str"/>
      <x:c r="G79" s="33" t="str"/>
      <x:c r="H79" s="50" t="str"/>
      <x:c r="I79" s="50" t="str"/>
      <x:c r="J79" s="50" t="str"/>
      <x:c r="K79" s="47" t="str"/>
      <x:c r="L79" s="50" t="str"/>
      <x:c r="M79" s="50" t="str"/>
      <x:c r="N79" s="47" t="str"/>
      <x:c r="O79" s="50" t="str"/>
      <x:c r="P79" s="64" t="str">
        <x:f>IF(O79="","",O79*2)</x:f>
      </x:c>
      <x:c r="Q79" s="50" t="str"/>
      <x:c r="R79" s="47" t="str"/>
      <x:c r="S79" s="33" t="str">
        <x:v>Not Tested</x:v>
      </x:c>
      <x:c r="T79" s="64" t="str">
        <x:v>Eligible</x:v>
      </x:c>
      <x:c r="U79" s="47" t="str">
        <x:v>DHH W Series Bite-To-The-Wire</x:v>
      </x:c>
      <x:c r="V79" s="47" t="str">
        <x:v>R1-06</x:v>
      </x:c>
      <x:c r="W79" s="47" t="str">
        <x:v>Crimp full shell</x:v>
      </x:c>
      <x:c r="X79" s="50" t="n">
        <x:v>20.05</x:v>
      </x:c>
      <x:c r="Y79" s="50" t="n">
        <x:v>0.13</x:v>
      </x:c>
      <x:c r="Z79" s="47" t="str">
        <x:v>https://www.discounthydraulichose.com/v/vspfiles/downloadables/crimp.pdf (catalog p.99)</x:v>
      </x:c>
      <x:c r="AA79" s="47" t="str">
        <x:v>Published reference data; applicability is limited to the listed reference system and hose code.</x:v>
      </x:c>
      <x:c r="AB79" s="161" t="str">
        <x:v>Pending</x:v>
      </x:c>
    </x:row>
    <x:row r="80" ht="42" customHeight="1">
      <x:c r="A80" s="33" t="str">
        <x:v>Draft</x:v>
      </x:c>
      <x:c r="B80" s="47" t="str">
        <x:v>COMP_0076</x:v>
      </x:c>
      <x:c r="C80" s="47" t="str">
        <x:v>601R1_004</x:v>
      </x:c>
      <x:c r="D80" s="47" t="str">
        <x:v>ORFS45_F_SW_08_06</x:v>
      </x:c>
      <x:c r="E80" s="47" t="str">
        <x:v>601R1_1WB_004</x:v>
      </x:c>
      <x:c r="F80" s="47" t="str"/>
      <x:c r="G80" s="33" t="str"/>
      <x:c r="H80" s="50" t="str"/>
      <x:c r="I80" s="50" t="str"/>
      <x:c r="J80" s="50" t="str"/>
      <x:c r="K80" s="47" t="str"/>
      <x:c r="L80" s="50" t="str"/>
      <x:c r="M80" s="50" t="str"/>
      <x:c r="N80" s="47" t="str"/>
      <x:c r="O80" s="50" t="str"/>
      <x:c r="P80" s="64" t="str">
        <x:f>IF(O80="","",O80*2)</x:f>
      </x:c>
      <x:c r="Q80" s="50" t="str"/>
      <x:c r="R80" s="47" t="str"/>
      <x:c r="S80" s="33" t="str">
        <x:v>Not Tested</x:v>
      </x:c>
      <x:c r="T80" s="64" t="str">
        <x:v>Eligible</x:v>
      </x:c>
      <x:c r="U80" s="47" t="str">
        <x:v>DHH W Series Bite-To-The-Wire</x:v>
      </x:c>
      <x:c r="V80" s="47" t="str">
        <x:v>R1-06</x:v>
      </x:c>
      <x:c r="W80" s="47" t="str">
        <x:v>Crimp full shell</x:v>
      </x:c>
      <x:c r="X80" s="50" t="n">
        <x:v>20.05</x:v>
      </x:c>
      <x:c r="Y80" s="50" t="n">
        <x:v>0.13</x:v>
      </x:c>
      <x:c r="Z80" s="47" t="str">
        <x:v>https://www.discounthydraulichose.com/v/vspfiles/downloadables/crimp.pdf (catalog p.99)</x:v>
      </x:c>
      <x:c r="AA80" s="47" t="str">
        <x:v>Published reference data; applicability is limited to the listed reference system and hose code.</x:v>
      </x:c>
      <x:c r="AB80" s="161" t="str">
        <x:v>Pending</x:v>
      </x:c>
    </x:row>
    <x:row r="81" ht="42" customHeight="1">
      <x:c r="A81" s="33" t="str">
        <x:v>Draft</x:v>
      </x:c>
      <x:c r="B81" s="47" t="str">
        <x:v>COMP_0077</x:v>
      </x:c>
      <x:c r="C81" s="47" t="str">
        <x:v>601R1_004</x:v>
      </x:c>
      <x:c r="D81" s="47" t="str">
        <x:v>ORFS90_F_SW_04_06</x:v>
      </x:c>
      <x:c r="E81" s="47" t="str">
        <x:v>601R1_1WB_004</x:v>
      </x:c>
      <x:c r="F81" s="47" t="str"/>
      <x:c r="G81" s="33" t="str"/>
      <x:c r="H81" s="50" t="str"/>
      <x:c r="I81" s="50" t="str"/>
      <x:c r="J81" s="50" t="str"/>
      <x:c r="K81" s="47" t="str"/>
      <x:c r="L81" s="50" t="str"/>
      <x:c r="M81" s="50" t="str"/>
      <x:c r="N81" s="47" t="str"/>
      <x:c r="O81" s="50" t="str"/>
      <x:c r="P81" s="64" t="str">
        <x:f>IF(O81="","",O81*2)</x:f>
      </x:c>
      <x:c r="Q81" s="50" t="str"/>
      <x:c r="R81" s="47" t="str"/>
      <x:c r="S81" s="33" t="str">
        <x:v>Not Tested</x:v>
      </x:c>
      <x:c r="T81" s="64" t="str">
        <x:v>Eligible</x:v>
      </x:c>
      <x:c r="U81" s="47" t="str">
        <x:v>DHH W Series Bite-To-The-Wire</x:v>
      </x:c>
      <x:c r="V81" s="47" t="str">
        <x:v>R1-06</x:v>
      </x:c>
      <x:c r="W81" s="47" t="str">
        <x:v>Crimp full shell</x:v>
      </x:c>
      <x:c r="X81" s="50" t="n">
        <x:v>20.05</x:v>
      </x:c>
      <x:c r="Y81" s="50" t="n">
        <x:v>0.13</x:v>
      </x:c>
      <x:c r="Z81" s="47" t="str">
        <x:v>https://www.discounthydraulichose.com/v/vspfiles/downloadables/crimp.pdf (catalog p.99)</x:v>
      </x:c>
      <x:c r="AA81" s="47" t="str">
        <x:v>Published reference data; applicability is limited to the listed reference system and hose code.</x:v>
      </x:c>
      <x:c r="AB81" s="161" t="str">
        <x:v>Pending</x:v>
      </x:c>
    </x:row>
    <x:row r="82" ht="42" customHeight="1">
      <x:c r="A82" s="33" t="str">
        <x:v>Draft</x:v>
      </x:c>
      <x:c r="B82" s="47" t="str">
        <x:v>COMP_0078</x:v>
      </x:c>
      <x:c r="C82" s="47" t="str">
        <x:v>601R1_004</x:v>
      </x:c>
      <x:c r="D82" s="47" t="str">
        <x:v>ORFS90_F_SW_06_06</x:v>
      </x:c>
      <x:c r="E82" s="47" t="str">
        <x:v>601R1_1WB_004</x:v>
      </x:c>
      <x:c r="F82" s="47" t="str"/>
      <x:c r="G82" s="33" t="str"/>
      <x:c r="H82" s="50" t="str"/>
      <x:c r="I82" s="50" t="str"/>
      <x:c r="J82" s="50" t="str"/>
      <x:c r="K82" s="47" t="str"/>
      <x:c r="L82" s="50" t="str"/>
      <x:c r="M82" s="50" t="str"/>
      <x:c r="N82" s="47" t="str"/>
      <x:c r="O82" s="50" t="str"/>
      <x:c r="P82" s="64" t="str">
        <x:f>IF(O82="","",O82*2)</x:f>
      </x:c>
      <x:c r="Q82" s="50" t="str"/>
      <x:c r="R82" s="47" t="str"/>
      <x:c r="S82" s="33" t="str">
        <x:v>Not Tested</x:v>
      </x:c>
      <x:c r="T82" s="64" t="str">
        <x:v>Eligible</x:v>
      </x:c>
      <x:c r="U82" s="47" t="str">
        <x:v>DHH W Series Bite-To-The-Wire</x:v>
      </x:c>
      <x:c r="V82" s="47" t="str">
        <x:v>R1-06</x:v>
      </x:c>
      <x:c r="W82" s="47" t="str">
        <x:v>Crimp full shell</x:v>
      </x:c>
      <x:c r="X82" s="50" t="n">
        <x:v>20.05</x:v>
      </x:c>
      <x:c r="Y82" s="50" t="n">
        <x:v>0.13</x:v>
      </x:c>
      <x:c r="Z82" s="47" t="str">
        <x:v>https://www.discounthydraulichose.com/v/vspfiles/downloadables/crimp.pdf (catalog p.99)</x:v>
      </x:c>
      <x:c r="AA82" s="47" t="str">
        <x:v>Published reference data; applicability is limited to the listed reference system and hose code.</x:v>
      </x:c>
      <x:c r="AB82" s="161" t="str">
        <x:v>Pending</x:v>
      </x:c>
    </x:row>
    <x:row r="83" ht="42" customHeight="1">
      <x:c r="A83" s="33" t="str">
        <x:v>Draft</x:v>
      </x:c>
      <x:c r="B83" s="47" t="str">
        <x:v>COMP_0079</x:v>
      </x:c>
      <x:c r="C83" s="47" t="str">
        <x:v>601R1_004</x:v>
      </x:c>
      <x:c r="D83" s="47" t="str">
        <x:v>ORFS90_F_SW_08_06</x:v>
      </x:c>
      <x:c r="E83" s="47" t="str">
        <x:v>601R1_1WB_004</x:v>
      </x:c>
      <x:c r="F83" s="47" t="str"/>
      <x:c r="G83" s="33" t="str"/>
      <x:c r="H83" s="50" t="str"/>
      <x:c r="I83" s="50" t="str"/>
      <x:c r="J83" s="50" t="str"/>
      <x:c r="K83" s="47" t="str"/>
      <x:c r="L83" s="50" t="str"/>
      <x:c r="M83" s="50" t="str"/>
      <x:c r="N83" s="47" t="str"/>
      <x:c r="O83" s="50" t="str"/>
      <x:c r="P83" s="64" t="str">
        <x:f>IF(O83="","",O83*2)</x:f>
      </x:c>
      <x:c r="Q83" s="50" t="str"/>
      <x:c r="R83" s="47" t="str"/>
      <x:c r="S83" s="33" t="str">
        <x:v>Not Tested</x:v>
      </x:c>
      <x:c r="T83" s="64" t="str">
        <x:v>Eligible</x:v>
      </x:c>
      <x:c r="U83" s="47" t="str">
        <x:v>DHH W Series Bite-To-The-Wire</x:v>
      </x:c>
      <x:c r="V83" s="47" t="str">
        <x:v>R1-06</x:v>
      </x:c>
      <x:c r="W83" s="47" t="str">
        <x:v>Crimp full shell</x:v>
      </x:c>
      <x:c r="X83" s="50" t="n">
        <x:v>20.05</x:v>
      </x:c>
      <x:c r="Y83" s="50" t="n">
        <x:v>0.13</x:v>
      </x:c>
      <x:c r="Z83" s="47" t="str">
        <x:v>https://www.discounthydraulichose.com/v/vspfiles/downloadables/crimp.pdf (catalog p.99)</x:v>
      </x:c>
      <x:c r="AA83" s="47" t="str">
        <x:v>Published reference data; applicability is limited to the listed reference system and hose code.</x:v>
      </x:c>
      <x:c r="AB83" s="161" t="str">
        <x:v>Pending</x:v>
      </x:c>
    </x:row>
    <x:row r="84" ht="42" customHeight="1">
      <x:c r="A84" s="33" t="str">
        <x:v>Draft</x:v>
      </x:c>
      <x:c r="B84" s="47" t="str">
        <x:v>COMP_0080</x:v>
      </x:c>
      <x:c r="C84" s="47" t="str">
        <x:v>601R1_005</x:v>
      </x:c>
      <x:c r="D84" s="47" t="str">
        <x:v>BSPP_F_SW_08_08</x:v>
      </x:c>
      <x:c r="E84" s="47" t="str">
        <x:v>601R1_1WB_005</x:v>
      </x:c>
      <x:c r="F84" s="47" t="str"/>
      <x:c r="G84" s="33" t="str"/>
      <x:c r="H84" s="50" t="str"/>
      <x:c r="I84" s="50" t="str"/>
      <x:c r="J84" s="50" t="str"/>
      <x:c r="K84" s="47" t="str"/>
      <x:c r="L84" s="50" t="str"/>
      <x:c r="M84" s="50" t="str"/>
      <x:c r="N84" s="47" t="str"/>
      <x:c r="O84" s="50" t="str"/>
      <x:c r="P84" s="64" t="str">
        <x:f>IF(O84="","",O84*2)</x:f>
      </x:c>
      <x:c r="Q84" s="50" t="str"/>
      <x:c r="R84" s="47" t="str"/>
      <x:c r="S84" s="33" t="str">
        <x:v>Not Tested</x:v>
      </x:c>
      <x:c r="T84" s="64" t="str">
        <x:v>Eligible</x:v>
      </x:c>
      <x:c r="U84" s="47" t="str">
        <x:v>DHH W Series Bite-To-The-Wire</x:v>
      </x:c>
      <x:c r="V84" s="47" t="str">
        <x:v>R1-08</x:v>
      </x:c>
      <x:c r="W84" s="47" t="str">
        <x:v>Crimp full shell</x:v>
      </x:c>
      <x:c r="X84" s="50" t="n">
        <x:v>23.36</x:v>
      </x:c>
      <x:c r="Y84" s="50" t="n">
        <x:v>0.13</x:v>
      </x:c>
      <x:c r="Z84" s="47" t="str">
        <x:v>https://www.discounthydraulichose.com/v/vspfiles/downloadables/crimp.pdf (catalog p.99)</x:v>
      </x:c>
      <x:c r="AA84" s="47" t="str">
        <x:v>Published reference data; applicability is limited to the listed reference system and hose code.</x:v>
      </x:c>
      <x:c r="AB84" s="161" t="str">
        <x:v>Pending</x:v>
      </x:c>
    </x:row>
    <x:row r="85" ht="42" customHeight="1">
      <x:c r="A85" s="33" t="str">
        <x:v>Draft</x:v>
      </x:c>
      <x:c r="B85" s="47" t="str">
        <x:v>COMP_0081</x:v>
      </x:c>
      <x:c r="C85" s="47" t="str">
        <x:v>601R1_005</x:v>
      </x:c>
      <x:c r="D85" s="47" t="str">
        <x:v>BSPP_F_SW_10_08</x:v>
      </x:c>
      <x:c r="E85" s="47" t="str">
        <x:v>601R1_1WB_005</x:v>
      </x:c>
      <x:c r="F85" s="47" t="str"/>
      <x:c r="G85" s="33" t="str"/>
      <x:c r="H85" s="50" t="str"/>
      <x:c r="I85" s="50" t="str"/>
      <x:c r="J85" s="50" t="str"/>
      <x:c r="K85" s="47" t="str"/>
      <x:c r="L85" s="50" t="str"/>
      <x:c r="M85" s="50" t="str"/>
      <x:c r="N85" s="47" t="str"/>
      <x:c r="O85" s="50" t="str"/>
      <x:c r="P85" s="64" t="str">
        <x:f>IF(O85="","",O85*2)</x:f>
      </x:c>
      <x:c r="Q85" s="50" t="str"/>
      <x:c r="R85" s="47" t="str"/>
      <x:c r="S85" s="33" t="str">
        <x:v>Not Tested</x:v>
      </x:c>
      <x:c r="T85" s="64" t="str">
        <x:v>Eligible</x:v>
      </x:c>
      <x:c r="U85" s="47" t="str">
        <x:v>DHH W Series Bite-To-The-Wire</x:v>
      </x:c>
      <x:c r="V85" s="47" t="str">
        <x:v>R1-08</x:v>
      </x:c>
      <x:c r="W85" s="47" t="str">
        <x:v>Crimp full shell</x:v>
      </x:c>
      <x:c r="X85" s="50" t="n">
        <x:v>23.36</x:v>
      </x:c>
      <x:c r="Y85" s="50" t="n">
        <x:v>0.13</x:v>
      </x:c>
      <x:c r="Z85" s="47" t="str">
        <x:v>https://www.discounthydraulichose.com/v/vspfiles/downloadables/crimp.pdf (catalog p.99)</x:v>
      </x:c>
      <x:c r="AA85" s="47" t="str">
        <x:v>Published reference data; applicability is limited to the listed reference system and hose code.</x:v>
      </x:c>
      <x:c r="AB85" s="161" t="str">
        <x:v>Pending</x:v>
      </x:c>
    </x:row>
    <x:row r="86" ht="42" customHeight="1">
      <x:c r="A86" s="33" t="str">
        <x:v>Draft</x:v>
      </x:c>
      <x:c r="B86" s="47" t="str">
        <x:v>COMP_0082</x:v>
      </x:c>
      <x:c r="C86" s="47" t="str">
        <x:v>601R1_005</x:v>
      </x:c>
      <x:c r="D86" s="47" t="str">
        <x:v>BSPP_M_FX_08_08</x:v>
      </x:c>
      <x:c r="E86" s="47" t="str">
        <x:v>601R1_1WB_005</x:v>
      </x:c>
      <x:c r="F86" s="47" t="str"/>
      <x:c r="G86" s="33" t="str"/>
      <x:c r="H86" s="50" t="str"/>
      <x:c r="I86" s="50" t="str"/>
      <x:c r="J86" s="50" t="str"/>
      <x:c r="K86" s="47" t="str"/>
      <x:c r="L86" s="50" t="str"/>
      <x:c r="M86" s="50" t="str"/>
      <x:c r="N86" s="47" t="str"/>
      <x:c r="O86" s="50" t="str"/>
      <x:c r="P86" s="64" t="str">
        <x:f>IF(O86="","",O86*2)</x:f>
      </x:c>
      <x:c r="Q86" s="50" t="str"/>
      <x:c r="R86" s="47" t="str"/>
      <x:c r="S86" s="33" t="str">
        <x:v>Not Tested</x:v>
      </x:c>
      <x:c r="T86" s="64" t="str">
        <x:v>Eligible</x:v>
      </x:c>
      <x:c r="U86" s="47" t="str">
        <x:v>DHH W Series Bite-To-The-Wire</x:v>
      </x:c>
      <x:c r="V86" s="47" t="str">
        <x:v>R1-08</x:v>
      </x:c>
      <x:c r="W86" s="47" t="str">
        <x:v>Crimp full shell</x:v>
      </x:c>
      <x:c r="X86" s="50" t="n">
        <x:v>23.36</x:v>
      </x:c>
      <x:c r="Y86" s="50" t="n">
        <x:v>0.13</x:v>
      </x:c>
      <x:c r="Z86" s="47" t="str">
        <x:v>https://www.discounthydraulichose.com/v/vspfiles/downloadables/crimp.pdf (catalog p.99)</x:v>
      </x:c>
      <x:c r="AA86" s="47" t="str">
        <x:v>Published reference data; applicability is limited to the listed reference system and hose code.</x:v>
      </x:c>
      <x:c r="AB86" s="161" t="str">
        <x:v>Pending</x:v>
      </x:c>
    </x:row>
    <x:row r="87" ht="42" customHeight="1">
      <x:c r="A87" s="33" t="str">
        <x:v>Draft</x:v>
      </x:c>
      <x:c r="B87" s="47" t="str">
        <x:v>COMP_0083</x:v>
      </x:c>
      <x:c r="C87" s="47" t="str">
        <x:v>601R1_005</x:v>
      </x:c>
      <x:c r="D87" s="47" t="str">
        <x:v>BSPP_M_FX_10_08</x:v>
      </x:c>
      <x:c r="E87" s="47" t="str">
        <x:v>601R1_1WB_005</x:v>
      </x:c>
      <x:c r="F87" s="47" t="str"/>
      <x:c r="G87" s="33" t="str"/>
      <x:c r="H87" s="50" t="str"/>
      <x:c r="I87" s="50" t="str"/>
      <x:c r="J87" s="50" t="str"/>
      <x:c r="K87" s="47" t="str"/>
      <x:c r="L87" s="50" t="str"/>
      <x:c r="M87" s="50" t="str"/>
      <x:c r="N87" s="47" t="str"/>
      <x:c r="O87" s="50" t="str"/>
      <x:c r="P87" s="64" t="str">
        <x:f>IF(O87="","",O87*2)</x:f>
      </x:c>
      <x:c r="Q87" s="50" t="str"/>
      <x:c r="R87" s="47" t="str"/>
      <x:c r="S87" s="33" t="str">
        <x:v>Not Tested</x:v>
      </x:c>
      <x:c r="T87" s="64" t="str">
        <x:v>Eligible</x:v>
      </x:c>
      <x:c r="U87" s="47" t="str">
        <x:v>DHH W Series Bite-To-The-Wire</x:v>
      </x:c>
      <x:c r="V87" s="47" t="str">
        <x:v>R1-08</x:v>
      </x:c>
      <x:c r="W87" s="47" t="str">
        <x:v>Crimp full shell</x:v>
      </x:c>
      <x:c r="X87" s="50" t="n">
        <x:v>23.36</x:v>
      </x:c>
      <x:c r="Y87" s="50" t="n">
        <x:v>0.13</x:v>
      </x:c>
      <x:c r="Z87" s="47" t="str">
        <x:v>https://www.discounthydraulichose.com/v/vspfiles/downloadables/crimp.pdf (catalog p.99)</x:v>
      </x:c>
      <x:c r="AA87" s="47" t="str">
        <x:v>Published reference data; applicability is limited to the listed reference system and hose code.</x:v>
      </x:c>
      <x:c r="AB87" s="161" t="str">
        <x:v>Pending</x:v>
      </x:c>
    </x:row>
    <x:row r="88" ht="42" customHeight="1">
      <x:c r="A88" s="33" t="str">
        <x:v>Draft</x:v>
      </x:c>
      <x:c r="B88" s="47" t="str">
        <x:v>COMP_0084</x:v>
      </x:c>
      <x:c r="C88" s="47" t="str">
        <x:v>601R1_005</x:v>
      </x:c>
      <x:c r="D88" s="47" t="str">
        <x:v>BSPP45_F_SW_08_08</x:v>
      </x:c>
      <x:c r="E88" s="47" t="str">
        <x:v>601R1_1WB_005</x:v>
      </x:c>
      <x:c r="F88" s="47" t="str"/>
      <x:c r="G88" s="33" t="str"/>
      <x:c r="H88" s="50" t="str"/>
      <x:c r="I88" s="50" t="str"/>
      <x:c r="J88" s="50" t="str"/>
      <x:c r="K88" s="47" t="str"/>
      <x:c r="L88" s="50" t="str"/>
      <x:c r="M88" s="50" t="str"/>
      <x:c r="N88" s="47" t="str"/>
      <x:c r="O88" s="50" t="str"/>
      <x:c r="P88" s="64" t="str">
        <x:f>IF(O88="","",O88*2)</x:f>
      </x:c>
      <x:c r="Q88" s="50" t="str"/>
      <x:c r="R88" s="47" t="str"/>
      <x:c r="S88" s="33" t="str">
        <x:v>Not Tested</x:v>
      </x:c>
      <x:c r="T88" s="64" t="str">
        <x:v>Eligible</x:v>
      </x:c>
      <x:c r="U88" s="47" t="str">
        <x:v>DHH W Series Bite-To-The-Wire</x:v>
      </x:c>
      <x:c r="V88" s="47" t="str">
        <x:v>R1-08</x:v>
      </x:c>
      <x:c r="W88" s="47" t="str">
        <x:v>Crimp full shell</x:v>
      </x:c>
      <x:c r="X88" s="50" t="n">
        <x:v>23.36</x:v>
      </x:c>
      <x:c r="Y88" s="50" t="n">
        <x:v>0.13</x:v>
      </x:c>
      <x:c r="Z88" s="47" t="str">
        <x:v>https://www.discounthydraulichose.com/v/vspfiles/downloadables/crimp.pdf (catalog p.99)</x:v>
      </x:c>
      <x:c r="AA88" s="47" t="str">
        <x:v>Published reference data; applicability is limited to the listed reference system and hose code.</x:v>
      </x:c>
      <x:c r="AB88" s="161" t="str">
        <x:v>Pending</x:v>
      </x:c>
    </x:row>
    <x:row r="89" ht="42" customHeight="1">
      <x:c r="A89" s="33" t="str">
        <x:v>Draft</x:v>
      </x:c>
      <x:c r="B89" s="47" t="str">
        <x:v>COMP_0085</x:v>
      </x:c>
      <x:c r="C89" s="47" t="str">
        <x:v>601R1_005</x:v>
      </x:c>
      <x:c r="D89" s="47" t="str">
        <x:v>BSPP90_F_SW_08_08</x:v>
      </x:c>
      <x:c r="E89" s="47" t="str">
        <x:v>601R1_1WB_005</x:v>
      </x:c>
      <x:c r="F89" s="47" t="str"/>
      <x:c r="G89" s="33" t="str"/>
      <x:c r="H89" s="50" t="str"/>
      <x:c r="I89" s="50" t="str"/>
      <x:c r="J89" s="50" t="str"/>
      <x:c r="K89" s="47" t="str"/>
      <x:c r="L89" s="50" t="str"/>
      <x:c r="M89" s="50" t="str"/>
      <x:c r="N89" s="47" t="str"/>
      <x:c r="O89" s="50" t="str"/>
      <x:c r="P89" s="64" t="str">
        <x:f>IF(O89="","",O89*2)</x:f>
      </x:c>
      <x:c r="Q89" s="50" t="str"/>
      <x:c r="R89" s="47" t="str"/>
      <x:c r="S89" s="33" t="str">
        <x:v>Not Tested</x:v>
      </x:c>
      <x:c r="T89" s="64" t="str">
        <x:v>Eligible</x:v>
      </x:c>
      <x:c r="U89" s="47" t="str">
        <x:v>DHH W Series Bite-To-The-Wire</x:v>
      </x:c>
      <x:c r="V89" s="47" t="str">
        <x:v>R1-08</x:v>
      </x:c>
      <x:c r="W89" s="47" t="str">
        <x:v>Crimp full shell</x:v>
      </x:c>
      <x:c r="X89" s="50" t="n">
        <x:v>23.36</x:v>
      </x:c>
      <x:c r="Y89" s="50" t="n">
        <x:v>0.13</x:v>
      </x:c>
      <x:c r="Z89" s="47" t="str">
        <x:v>https://www.discounthydraulichose.com/v/vspfiles/downloadables/crimp.pdf (catalog p.99)</x:v>
      </x:c>
      <x:c r="AA89" s="47" t="str">
        <x:v>Published reference data; applicability is limited to the listed reference system and hose code.</x:v>
      </x:c>
      <x:c r="AB89" s="161" t="str">
        <x:v>Pending</x:v>
      </x:c>
    </x:row>
    <x:row r="90" ht="42" customHeight="1">
      <x:c r="A90" s="33" t="str">
        <x:v>Draft</x:v>
      </x:c>
      <x:c r="B90" s="47" t="str">
        <x:v>COMP_0086</x:v>
      </x:c>
      <x:c r="C90" s="47" t="str">
        <x:v>601R1_005</x:v>
      </x:c>
      <x:c r="D90" s="47" t="str">
        <x:v>BSPT_M_FX_06_08</x:v>
      </x:c>
      <x:c r="E90" s="47" t="str">
        <x:v>601R1_1WB_005</x:v>
      </x:c>
      <x:c r="F90" s="47" t="str"/>
      <x:c r="G90" s="33" t="str"/>
      <x:c r="H90" s="50" t="str"/>
      <x:c r="I90" s="50" t="str"/>
      <x:c r="J90" s="50" t="str"/>
      <x:c r="K90" s="47" t="str"/>
      <x:c r="L90" s="50" t="str"/>
      <x:c r="M90" s="50" t="str"/>
      <x:c r="N90" s="47" t="str"/>
      <x:c r="O90" s="50" t="str"/>
      <x:c r="P90" s="64" t="str">
        <x:f>IF(O90="","",O90*2)</x:f>
      </x:c>
      <x:c r="Q90" s="50" t="str"/>
      <x:c r="R90" s="47" t="str"/>
      <x:c r="S90" s="33" t="str">
        <x:v>Not Tested</x:v>
      </x:c>
      <x:c r="T90" s="64" t="str">
        <x:v>Eligible</x:v>
      </x:c>
      <x:c r="U90" s="47" t="str">
        <x:v>DHH W Series Bite-To-The-Wire</x:v>
      </x:c>
      <x:c r="V90" s="47" t="str">
        <x:v>R1-08</x:v>
      </x:c>
      <x:c r="W90" s="47" t="str">
        <x:v>Crimp full shell</x:v>
      </x:c>
      <x:c r="X90" s="50" t="n">
        <x:v>23.36</x:v>
      </x:c>
      <x:c r="Y90" s="50" t="n">
        <x:v>0.13</x:v>
      </x:c>
      <x:c r="Z90" s="47" t="str">
        <x:v>https://www.discounthydraulichose.com/v/vspfiles/downloadables/crimp.pdf (catalog p.99)</x:v>
      </x:c>
      <x:c r="AA90" s="47" t="str">
        <x:v>Published reference data; applicability is limited to the listed reference system and hose code.</x:v>
      </x:c>
      <x:c r="AB90" s="161" t="str">
        <x:v>Pending</x:v>
      </x:c>
    </x:row>
    <x:row r="91" ht="42" customHeight="1">
      <x:c r="A91" s="33" t="str">
        <x:v>Draft</x:v>
      </x:c>
      <x:c r="B91" s="47" t="str">
        <x:v>COMP_0087</x:v>
      </x:c>
      <x:c r="C91" s="47" t="str">
        <x:v>601R1_005</x:v>
      </x:c>
      <x:c r="D91" s="47" t="str">
        <x:v>BSPT_M_FX_08_08</x:v>
      </x:c>
      <x:c r="E91" s="47" t="str">
        <x:v>601R1_1WB_005</x:v>
      </x:c>
      <x:c r="F91" s="47" t="str"/>
      <x:c r="G91" s="33" t="str"/>
      <x:c r="H91" s="50" t="str"/>
      <x:c r="I91" s="50" t="str"/>
      <x:c r="J91" s="50" t="str"/>
      <x:c r="K91" s="47" t="str"/>
      <x:c r="L91" s="50" t="str"/>
      <x:c r="M91" s="50" t="str"/>
      <x:c r="N91" s="47" t="str"/>
      <x:c r="O91" s="50" t="str"/>
      <x:c r="P91" s="64" t="str">
        <x:f>IF(O91="","",O91*2)</x:f>
      </x:c>
      <x:c r="Q91" s="50" t="str"/>
      <x:c r="R91" s="47" t="str"/>
      <x:c r="S91" s="33" t="str">
        <x:v>Not Tested</x:v>
      </x:c>
      <x:c r="T91" s="64" t="str">
        <x:v>Eligible</x:v>
      </x:c>
      <x:c r="U91" s="47" t="str">
        <x:v>DHH W Series Bite-To-The-Wire</x:v>
      </x:c>
      <x:c r="V91" s="47" t="str">
        <x:v>R1-08</x:v>
      </x:c>
      <x:c r="W91" s="47" t="str">
        <x:v>Crimp full shell</x:v>
      </x:c>
      <x:c r="X91" s="50" t="n">
        <x:v>23.36</x:v>
      </x:c>
      <x:c r="Y91" s="50" t="n">
        <x:v>0.13</x:v>
      </x:c>
      <x:c r="Z91" s="47" t="str">
        <x:v>https://www.discounthydraulichose.com/v/vspfiles/downloadables/crimp.pdf (catalog p.99)</x:v>
      </x:c>
      <x:c r="AA91" s="47" t="str">
        <x:v>Published reference data; applicability is limited to the listed reference system and hose code.</x:v>
      </x:c>
      <x:c r="AB91" s="161" t="str">
        <x:v>Pending</x:v>
      </x:c>
    </x:row>
    <x:row r="92" ht="42" customHeight="1">
      <x:c r="A92" s="33" t="str">
        <x:v>Draft</x:v>
      </x:c>
      <x:c r="B92" s="47" t="str">
        <x:v>COMP_0088</x:v>
      </x:c>
      <x:c r="C92" s="47" t="str">
        <x:v>601R1_005</x:v>
      </x:c>
      <x:c r="D92" s="47" t="str">
        <x:v>JIC_F_SW_06_08</x:v>
      </x:c>
      <x:c r="E92" s="47" t="str">
        <x:v>601R1_1WB_005</x:v>
      </x:c>
      <x:c r="F92" s="47" t="str"/>
      <x:c r="G92" s="33" t="str"/>
      <x:c r="H92" s="50" t="str"/>
      <x:c r="I92" s="50" t="str"/>
      <x:c r="J92" s="50" t="str"/>
      <x:c r="K92" s="47" t="str"/>
      <x:c r="L92" s="50" t="str"/>
      <x:c r="M92" s="50" t="str"/>
      <x:c r="N92" s="47" t="str"/>
      <x:c r="O92" s="50" t="str"/>
      <x:c r="P92" s="64" t="str">
        <x:f>IF(O92="","",O92*2)</x:f>
      </x:c>
      <x:c r="Q92" s="50" t="str"/>
      <x:c r="R92" s="47" t="str"/>
      <x:c r="S92" s="33" t="str">
        <x:v>Not Tested</x:v>
      </x:c>
      <x:c r="T92" s="64" t="str">
        <x:v>Eligible</x:v>
      </x:c>
      <x:c r="U92" s="47" t="str">
        <x:v>DHH W Series Bite-To-The-Wire</x:v>
      </x:c>
      <x:c r="V92" s="47" t="str">
        <x:v>R1-08</x:v>
      </x:c>
      <x:c r="W92" s="47" t="str">
        <x:v>Crimp full shell</x:v>
      </x:c>
      <x:c r="X92" s="50" t="n">
        <x:v>23.36</x:v>
      </x:c>
      <x:c r="Y92" s="50" t="n">
        <x:v>0.13</x:v>
      </x:c>
      <x:c r="Z92" s="47" t="str">
        <x:v>https://www.discounthydraulichose.com/v/vspfiles/downloadables/crimp.pdf (catalog p.99)</x:v>
      </x:c>
      <x:c r="AA92" s="47" t="str">
        <x:v>Published reference data; applicability is limited to the listed reference system and hose code.</x:v>
      </x:c>
      <x:c r="AB92" s="161" t="str">
        <x:v>Pending</x:v>
      </x:c>
    </x:row>
    <x:row r="93" ht="42" customHeight="1">
      <x:c r="A93" s="33" t="str">
        <x:v>Draft</x:v>
      </x:c>
      <x:c r="B93" s="47" t="str">
        <x:v>COMP_0089</x:v>
      </x:c>
      <x:c r="C93" s="47" t="str">
        <x:v>601R1_005</x:v>
      </x:c>
      <x:c r="D93" s="47" t="str">
        <x:v>JIC_F_SW_08_08</x:v>
      </x:c>
      <x:c r="E93" s="47" t="str">
        <x:v>601R1_1WB_005</x:v>
      </x:c>
      <x:c r="F93" s="47" t="str"/>
      <x:c r="G93" s="33" t="str"/>
      <x:c r="H93" s="50" t="str"/>
      <x:c r="I93" s="50" t="str"/>
      <x:c r="J93" s="50" t="str"/>
      <x:c r="K93" s="47" t="str"/>
      <x:c r="L93" s="50" t="str"/>
      <x:c r="M93" s="50" t="str"/>
      <x:c r="N93" s="47" t="str"/>
      <x:c r="O93" s="50" t="str"/>
      <x:c r="P93" s="64" t="str">
        <x:f>IF(O93="","",O93*2)</x:f>
      </x:c>
      <x:c r="Q93" s="50" t="str"/>
      <x:c r="R93" s="47" t="str"/>
      <x:c r="S93" s="33" t="str">
        <x:v>Not Tested</x:v>
      </x:c>
      <x:c r="T93" s="64" t="str">
        <x:v>Eligible</x:v>
      </x:c>
      <x:c r="U93" s="47" t="str">
        <x:v>DHH W Series Bite-To-The-Wire</x:v>
      </x:c>
      <x:c r="V93" s="47" t="str">
        <x:v>R1-08</x:v>
      </x:c>
      <x:c r="W93" s="47" t="str">
        <x:v>Crimp full shell</x:v>
      </x:c>
      <x:c r="X93" s="50" t="n">
        <x:v>23.36</x:v>
      </x:c>
      <x:c r="Y93" s="50" t="n">
        <x:v>0.13</x:v>
      </x:c>
      <x:c r="Z93" s="47" t="str">
        <x:v>https://www.discounthydraulichose.com/v/vspfiles/downloadables/crimp.pdf (catalog p.99)</x:v>
      </x:c>
      <x:c r="AA93" s="47" t="str">
        <x:v>Published reference data; applicability is limited to the listed reference system and hose code.</x:v>
      </x:c>
      <x:c r="AB93" s="161" t="str">
        <x:v>Pending</x:v>
      </x:c>
    </x:row>
    <x:row r="94" ht="42" customHeight="1">
      <x:c r="A94" s="33" t="str">
        <x:v>Draft</x:v>
      </x:c>
      <x:c r="B94" s="47" t="str">
        <x:v>COMP_0090</x:v>
      </x:c>
      <x:c r="C94" s="47" t="str">
        <x:v>601R1_005</x:v>
      </x:c>
      <x:c r="D94" s="47" t="str">
        <x:v>JIC_F_SW_10_08</x:v>
      </x:c>
      <x:c r="E94" s="47" t="str">
        <x:v>601R1_1WB_005</x:v>
      </x:c>
      <x:c r="F94" s="47" t="str"/>
      <x:c r="G94" s="33" t="str"/>
      <x:c r="H94" s="50" t="str"/>
      <x:c r="I94" s="50" t="str"/>
      <x:c r="J94" s="50" t="str"/>
      <x:c r="K94" s="47" t="str"/>
      <x:c r="L94" s="50" t="str"/>
      <x:c r="M94" s="50" t="str"/>
      <x:c r="N94" s="47" t="str"/>
      <x:c r="O94" s="50" t="str"/>
      <x:c r="P94" s="64" t="str">
        <x:f>IF(O94="","",O94*2)</x:f>
      </x:c>
      <x:c r="Q94" s="50" t="str"/>
      <x:c r="R94" s="47" t="str"/>
      <x:c r="S94" s="33" t="str">
        <x:v>Not Tested</x:v>
      </x:c>
      <x:c r="T94" s="64" t="str">
        <x:v>Eligible</x:v>
      </x:c>
      <x:c r="U94" s="47" t="str">
        <x:v>DHH W Series Bite-To-The-Wire</x:v>
      </x:c>
      <x:c r="V94" s="47" t="str">
        <x:v>R1-08</x:v>
      </x:c>
      <x:c r="W94" s="47" t="str">
        <x:v>Crimp full shell</x:v>
      </x:c>
      <x:c r="X94" s="50" t="n">
        <x:v>23.36</x:v>
      </x:c>
      <x:c r="Y94" s="50" t="n">
        <x:v>0.13</x:v>
      </x:c>
      <x:c r="Z94" s="47" t="str">
        <x:v>https://www.discounthydraulichose.com/v/vspfiles/downloadables/crimp.pdf (catalog p.99)</x:v>
      </x:c>
      <x:c r="AA94" s="47" t="str">
        <x:v>Published reference data; applicability is limited to the listed reference system and hose code.</x:v>
      </x:c>
      <x:c r="AB94" s="161" t="str">
        <x:v>Pending</x:v>
      </x:c>
    </x:row>
    <x:row r="95" ht="42" customHeight="1">
      <x:c r="A95" s="33" t="str">
        <x:v>Draft</x:v>
      </x:c>
      <x:c r="B95" s="47" t="str">
        <x:v>COMP_0091</x:v>
      </x:c>
      <x:c r="C95" s="47" t="str">
        <x:v>601R1_005</x:v>
      </x:c>
      <x:c r="D95" s="47" t="str">
        <x:v>JIC_F_SW_12_08</x:v>
      </x:c>
      <x:c r="E95" s="47" t="str">
        <x:v>601R1_1WB_005</x:v>
      </x:c>
      <x:c r="F95" s="47" t="str"/>
      <x:c r="G95" s="33" t="str"/>
      <x:c r="H95" s="50" t="str"/>
      <x:c r="I95" s="50" t="str"/>
      <x:c r="J95" s="50" t="str"/>
      <x:c r="K95" s="47" t="str"/>
      <x:c r="L95" s="50" t="str"/>
      <x:c r="M95" s="50" t="str"/>
      <x:c r="N95" s="47" t="str"/>
      <x:c r="O95" s="50" t="str"/>
      <x:c r="P95" s="64" t="str">
        <x:f>IF(O95="","",O95*2)</x:f>
      </x:c>
      <x:c r="Q95" s="50" t="str"/>
      <x:c r="R95" s="47" t="str"/>
      <x:c r="S95" s="33" t="str">
        <x:v>Not Tested</x:v>
      </x:c>
      <x:c r="T95" s="64" t="str">
        <x:v>Eligible</x:v>
      </x:c>
      <x:c r="U95" s="47" t="str">
        <x:v>DHH W Series Bite-To-The-Wire</x:v>
      </x:c>
      <x:c r="V95" s="47" t="str">
        <x:v>R1-08</x:v>
      </x:c>
      <x:c r="W95" s="47" t="str">
        <x:v>Crimp full shell</x:v>
      </x:c>
      <x:c r="X95" s="50" t="n">
        <x:v>23.36</x:v>
      </x:c>
      <x:c r="Y95" s="50" t="n">
        <x:v>0.13</x:v>
      </x:c>
      <x:c r="Z95" s="47" t="str">
        <x:v>https://www.discounthydraulichose.com/v/vspfiles/downloadables/crimp.pdf (catalog p.99)</x:v>
      </x:c>
      <x:c r="AA95" s="47" t="str">
        <x:v>Published reference data; applicability is limited to the listed reference system and hose code.</x:v>
      </x:c>
      <x:c r="AB95" s="161" t="str">
        <x:v>Pending</x:v>
      </x:c>
    </x:row>
    <x:row r="96" ht="42" customHeight="1">
      <x:c r="A96" s="33" t="str">
        <x:v>Draft</x:v>
      </x:c>
      <x:c r="B96" s="47" t="str">
        <x:v>COMP_0092</x:v>
      </x:c>
      <x:c r="C96" s="47" t="str">
        <x:v>601R1_005</x:v>
      </x:c>
      <x:c r="D96" s="47" t="str">
        <x:v>JIC_M_FX_06_08</x:v>
      </x:c>
      <x:c r="E96" s="47" t="str">
        <x:v>601R1_1WB_005</x:v>
      </x:c>
      <x:c r="F96" s="47" t="str"/>
      <x:c r="G96" s="33" t="str"/>
      <x:c r="H96" s="50" t="str"/>
      <x:c r="I96" s="50" t="str"/>
      <x:c r="J96" s="50" t="str"/>
      <x:c r="K96" s="47" t="str"/>
      <x:c r="L96" s="50" t="str"/>
      <x:c r="M96" s="50" t="str"/>
      <x:c r="N96" s="47" t="str"/>
      <x:c r="O96" s="50" t="str"/>
      <x:c r="P96" s="64" t="str">
        <x:f>IF(O96="","",O96*2)</x:f>
      </x:c>
      <x:c r="Q96" s="50" t="str"/>
      <x:c r="R96" s="47" t="str"/>
      <x:c r="S96" s="33" t="str">
        <x:v>Not Tested</x:v>
      </x:c>
      <x:c r="T96" s="64" t="str">
        <x:v>Eligible</x:v>
      </x:c>
      <x:c r="U96" s="47" t="str">
        <x:v>DHH W Series Bite-To-The-Wire</x:v>
      </x:c>
      <x:c r="V96" s="47" t="str">
        <x:v>R1-08</x:v>
      </x:c>
      <x:c r="W96" s="47" t="str">
        <x:v>Crimp full shell</x:v>
      </x:c>
      <x:c r="X96" s="50" t="n">
        <x:v>23.36</x:v>
      </x:c>
      <x:c r="Y96" s="50" t="n">
        <x:v>0.13</x:v>
      </x:c>
      <x:c r="Z96" s="47" t="str">
        <x:v>https://www.discounthydraulichose.com/v/vspfiles/downloadables/crimp.pdf (catalog p.99)</x:v>
      </x:c>
      <x:c r="AA96" s="47" t="str">
        <x:v>Published reference data; applicability is limited to the listed reference system and hose code.</x:v>
      </x:c>
      <x:c r="AB96" s="161" t="str">
        <x:v>Pending</x:v>
      </x:c>
    </x:row>
    <x:row r="97" ht="42" customHeight="1">
      <x:c r="A97" s="33" t="str">
        <x:v>Draft</x:v>
      </x:c>
      <x:c r="B97" s="47" t="str">
        <x:v>COMP_0093</x:v>
      </x:c>
      <x:c r="C97" s="47" t="str">
        <x:v>601R1_005</x:v>
      </x:c>
      <x:c r="D97" s="47" t="str">
        <x:v>JIC_M_FX_08_08</x:v>
      </x:c>
      <x:c r="E97" s="47" t="str">
        <x:v>601R1_1WB_005</x:v>
      </x:c>
      <x:c r="F97" s="47" t="str"/>
      <x:c r="G97" s="33" t="str"/>
      <x:c r="H97" s="50" t="str"/>
      <x:c r="I97" s="50" t="str"/>
      <x:c r="J97" s="50" t="str"/>
      <x:c r="K97" s="47" t="str"/>
      <x:c r="L97" s="50" t="str"/>
      <x:c r="M97" s="50" t="str"/>
      <x:c r="N97" s="47" t="str"/>
      <x:c r="O97" s="50" t="str"/>
      <x:c r="P97" s="64" t="str">
        <x:f>IF(O97="","",O97*2)</x:f>
      </x:c>
      <x:c r="Q97" s="50" t="str"/>
      <x:c r="R97" s="47" t="str"/>
      <x:c r="S97" s="33" t="str">
        <x:v>Not Tested</x:v>
      </x:c>
      <x:c r="T97" s="64" t="str">
        <x:v>Eligible</x:v>
      </x:c>
      <x:c r="U97" s="47" t="str">
        <x:v>DHH W Series Bite-To-The-Wire</x:v>
      </x:c>
      <x:c r="V97" s="47" t="str">
        <x:v>R1-08</x:v>
      </x:c>
      <x:c r="W97" s="47" t="str">
        <x:v>Crimp full shell</x:v>
      </x:c>
      <x:c r="X97" s="50" t="n">
        <x:v>23.36</x:v>
      </x:c>
      <x:c r="Y97" s="50" t="n">
        <x:v>0.13</x:v>
      </x:c>
      <x:c r="Z97" s="47" t="str">
        <x:v>https://www.discounthydraulichose.com/v/vspfiles/downloadables/crimp.pdf (catalog p.99)</x:v>
      </x:c>
      <x:c r="AA97" s="47" t="str">
        <x:v>Published reference data; applicability is limited to the listed reference system and hose code.</x:v>
      </x:c>
      <x:c r="AB97" s="161" t="str">
        <x:v>Pending</x:v>
      </x:c>
    </x:row>
    <x:row r="98" ht="42" customHeight="1">
      <x:c r="A98" s="33" t="str">
        <x:v>Draft</x:v>
      </x:c>
      <x:c r="B98" s="47" t="str">
        <x:v>COMP_0094</x:v>
      </x:c>
      <x:c r="C98" s="47" t="str">
        <x:v>601R1_005</x:v>
      </x:c>
      <x:c r="D98" s="47" t="str">
        <x:v>JIC_M_FX_10_08</x:v>
      </x:c>
      <x:c r="E98" s="47" t="str">
        <x:v>601R1_1WB_005</x:v>
      </x:c>
      <x:c r="F98" s="47" t="str"/>
      <x:c r="G98" s="33" t="str"/>
      <x:c r="H98" s="50" t="str"/>
      <x:c r="I98" s="50" t="str"/>
      <x:c r="J98" s="50" t="str"/>
      <x:c r="K98" s="47" t="str"/>
      <x:c r="L98" s="50" t="str"/>
      <x:c r="M98" s="50" t="str"/>
      <x:c r="N98" s="47" t="str"/>
      <x:c r="O98" s="50" t="str"/>
      <x:c r="P98" s="64" t="str">
        <x:f>IF(O98="","",O98*2)</x:f>
      </x:c>
      <x:c r="Q98" s="50" t="str"/>
      <x:c r="R98" s="47" t="str"/>
      <x:c r="S98" s="33" t="str">
        <x:v>Not Tested</x:v>
      </x:c>
      <x:c r="T98" s="64" t="str">
        <x:v>Eligible</x:v>
      </x:c>
      <x:c r="U98" s="47" t="str">
        <x:v>DHH W Series Bite-To-The-Wire</x:v>
      </x:c>
      <x:c r="V98" s="47" t="str">
        <x:v>R1-08</x:v>
      </x:c>
      <x:c r="W98" s="47" t="str">
        <x:v>Crimp full shell</x:v>
      </x:c>
      <x:c r="X98" s="50" t="n">
        <x:v>23.36</x:v>
      </x:c>
      <x:c r="Y98" s="50" t="n">
        <x:v>0.13</x:v>
      </x:c>
      <x:c r="Z98" s="47" t="str">
        <x:v>https://www.discounthydraulichose.com/v/vspfiles/downloadables/crimp.pdf (catalog p.99)</x:v>
      </x:c>
      <x:c r="AA98" s="47" t="str">
        <x:v>Published reference data; applicability is limited to the listed reference system and hose code.</x:v>
      </x:c>
      <x:c r="AB98" s="161" t="str">
        <x:v>Pending</x:v>
      </x:c>
    </x:row>
    <x:row r="99" ht="42" customHeight="1">
      <x:c r="A99" s="33" t="str">
        <x:v>Draft</x:v>
      </x:c>
      <x:c r="B99" s="47" t="str">
        <x:v>COMP_0095</x:v>
      </x:c>
      <x:c r="C99" s="47" t="str">
        <x:v>601R1_005</x:v>
      </x:c>
      <x:c r="D99" s="47" t="str">
        <x:v>JIC_M_FX_12_08</x:v>
      </x:c>
      <x:c r="E99" s="47" t="str">
        <x:v>601R1_1WB_005</x:v>
      </x:c>
      <x:c r="F99" s="47" t="str"/>
      <x:c r="G99" s="33" t="str"/>
      <x:c r="H99" s="50" t="str"/>
      <x:c r="I99" s="50" t="str"/>
      <x:c r="J99" s="50" t="str"/>
      <x:c r="K99" s="47" t="str"/>
      <x:c r="L99" s="50" t="str"/>
      <x:c r="M99" s="50" t="str"/>
      <x:c r="N99" s="47" t="str"/>
      <x:c r="O99" s="50" t="str"/>
      <x:c r="P99" s="64" t="str">
        <x:f>IF(O99="","",O99*2)</x:f>
      </x:c>
      <x:c r="Q99" s="50" t="str"/>
      <x:c r="R99" s="47" t="str"/>
      <x:c r="S99" s="33" t="str">
        <x:v>Not Tested</x:v>
      </x:c>
      <x:c r="T99" s="64" t="str">
        <x:v>Eligible</x:v>
      </x:c>
      <x:c r="U99" s="47" t="str">
        <x:v>DHH W Series Bite-To-The-Wire</x:v>
      </x:c>
      <x:c r="V99" s="47" t="str">
        <x:v>R1-08</x:v>
      </x:c>
      <x:c r="W99" s="47" t="str">
        <x:v>Crimp full shell</x:v>
      </x:c>
      <x:c r="X99" s="50" t="n">
        <x:v>23.36</x:v>
      </x:c>
      <x:c r="Y99" s="50" t="n">
        <x:v>0.13</x:v>
      </x:c>
      <x:c r="Z99" s="47" t="str">
        <x:v>https://www.discounthydraulichose.com/v/vspfiles/downloadables/crimp.pdf (catalog p.99)</x:v>
      </x:c>
      <x:c r="AA99" s="47" t="str">
        <x:v>Published reference data; applicability is limited to the listed reference system and hose code.</x:v>
      </x:c>
      <x:c r="AB99" s="161" t="str">
        <x:v>Pending</x:v>
      </x:c>
    </x:row>
    <x:row r="100" ht="42" customHeight="1">
      <x:c r="A100" s="33" t="str">
        <x:v>Draft</x:v>
      </x:c>
      <x:c r="B100" s="47" t="str">
        <x:v>COMP_0096</x:v>
      </x:c>
      <x:c r="C100" s="47" t="str">
        <x:v>601R1_005</x:v>
      </x:c>
      <x:c r="D100" s="47" t="str">
        <x:v>JIC45_F_SW_08_08</x:v>
      </x:c>
      <x:c r="E100" s="47" t="str">
        <x:v>601R1_1WB_005</x:v>
      </x:c>
      <x:c r="F100" s="47" t="str"/>
      <x:c r="G100" s="33" t="str"/>
      <x:c r="H100" s="50" t="str"/>
      <x:c r="I100" s="50" t="str"/>
      <x:c r="J100" s="50" t="str"/>
      <x:c r="K100" s="47" t="str"/>
      <x:c r="L100" s="50" t="str"/>
      <x:c r="M100" s="50" t="str"/>
      <x:c r="N100" s="47" t="str"/>
      <x:c r="O100" s="50" t="str"/>
      <x:c r="P100" s="64" t="str">
        <x:f>IF(O100="","",O100*2)</x:f>
      </x:c>
      <x:c r="Q100" s="50" t="str"/>
      <x:c r="R100" s="47" t="str"/>
      <x:c r="S100" s="33" t="str">
        <x:v>Not Tested</x:v>
      </x:c>
      <x:c r="T100" s="64" t="str">
        <x:v>Eligible</x:v>
      </x:c>
      <x:c r="U100" s="47" t="str">
        <x:v>DHH W Series Bite-To-The-Wire</x:v>
      </x:c>
      <x:c r="V100" s="47" t="str">
        <x:v>R1-08</x:v>
      </x:c>
      <x:c r="W100" s="47" t="str">
        <x:v>Crimp full shell</x:v>
      </x:c>
      <x:c r="X100" s="50" t="n">
        <x:v>23.36</x:v>
      </x:c>
      <x:c r="Y100" s="50" t="n">
        <x:v>0.13</x:v>
      </x:c>
      <x:c r="Z100" s="47" t="str">
        <x:v>https://www.discounthydraulichose.com/v/vspfiles/downloadables/crimp.pdf (catalog p.99)</x:v>
      </x:c>
      <x:c r="AA100" s="47" t="str">
        <x:v>Published reference data; applicability is limited to the listed reference system and hose code.</x:v>
      </x:c>
      <x:c r="AB100" s="161" t="str">
        <x:v>Pending</x:v>
      </x:c>
    </x:row>
    <x:row r="101" ht="42" customHeight="1">
      <x:c r="A101" s="33" t="str">
        <x:v>Draft</x:v>
      </x:c>
      <x:c r="B101" s="47" t="str">
        <x:v>COMP_0097</x:v>
      </x:c>
      <x:c r="C101" s="47" t="str">
        <x:v>601R1_005</x:v>
      </x:c>
      <x:c r="D101" s="47" t="str">
        <x:v>JIC45_F_SW_10_08</x:v>
      </x:c>
      <x:c r="E101" s="47" t="str">
        <x:v>601R1_1WB_005</x:v>
      </x:c>
      <x:c r="F101" s="47" t="str"/>
      <x:c r="G101" s="33" t="str"/>
      <x:c r="H101" s="50" t="str"/>
      <x:c r="I101" s="50" t="str"/>
      <x:c r="J101" s="50" t="str"/>
      <x:c r="K101" s="47" t="str"/>
      <x:c r="L101" s="50" t="str"/>
      <x:c r="M101" s="50" t="str"/>
      <x:c r="N101" s="47" t="str"/>
      <x:c r="O101" s="50" t="str"/>
      <x:c r="P101" s="64" t="str">
        <x:f>IF(O101="","",O101*2)</x:f>
      </x:c>
      <x:c r="Q101" s="50" t="str"/>
      <x:c r="R101" s="47" t="str"/>
      <x:c r="S101" s="33" t="str">
        <x:v>Not Tested</x:v>
      </x:c>
      <x:c r="T101" s="64" t="str">
        <x:v>Eligible</x:v>
      </x:c>
      <x:c r="U101" s="47" t="str">
        <x:v>DHH W Series Bite-To-The-Wire</x:v>
      </x:c>
      <x:c r="V101" s="47" t="str">
        <x:v>R1-08</x:v>
      </x:c>
      <x:c r="W101" s="47" t="str">
        <x:v>Crimp full shell</x:v>
      </x:c>
      <x:c r="X101" s="50" t="n">
        <x:v>23.36</x:v>
      </x:c>
      <x:c r="Y101" s="50" t="n">
        <x:v>0.13</x:v>
      </x:c>
      <x:c r="Z101" s="47" t="str">
        <x:v>https://www.discounthydraulichose.com/v/vspfiles/downloadables/crimp.pdf (catalog p.99)</x:v>
      </x:c>
      <x:c r="AA101" s="47" t="str">
        <x:v>Published reference data; applicability is limited to the listed reference system and hose code.</x:v>
      </x:c>
      <x:c r="AB101" s="161" t="str">
        <x:v>Pending</x:v>
      </x:c>
    </x:row>
    <x:row r="102" ht="42" customHeight="1">
      <x:c r="A102" s="33" t="str">
        <x:v>Draft</x:v>
      </x:c>
      <x:c r="B102" s="47" t="str">
        <x:v>COMP_0098</x:v>
      </x:c>
      <x:c r="C102" s="47" t="str">
        <x:v>601R1_005</x:v>
      </x:c>
      <x:c r="D102" s="47" t="str">
        <x:v>JIC90_F_SW_06_08</x:v>
      </x:c>
      <x:c r="E102" s="47" t="str">
        <x:v>601R1_1WB_005</x:v>
      </x:c>
      <x:c r="F102" s="47" t="str"/>
      <x:c r="G102" s="33" t="str"/>
      <x:c r="H102" s="50" t="str"/>
      <x:c r="I102" s="50" t="str"/>
      <x:c r="J102" s="50" t="str"/>
      <x:c r="K102" s="47" t="str"/>
      <x:c r="L102" s="50" t="str"/>
      <x:c r="M102" s="50" t="str"/>
      <x:c r="N102" s="47" t="str"/>
      <x:c r="O102" s="50" t="str"/>
      <x:c r="P102" s="64" t="str">
        <x:f>IF(O102="","",O102*2)</x:f>
      </x:c>
      <x:c r="Q102" s="50" t="str"/>
      <x:c r="R102" s="47" t="str"/>
      <x:c r="S102" s="33" t="str">
        <x:v>Not Tested</x:v>
      </x:c>
      <x:c r="T102" s="64" t="str">
        <x:v>Eligible</x:v>
      </x:c>
      <x:c r="U102" s="47" t="str">
        <x:v>DHH W Series Bite-To-The-Wire</x:v>
      </x:c>
      <x:c r="V102" s="47" t="str">
        <x:v>R1-08</x:v>
      </x:c>
      <x:c r="W102" s="47" t="str">
        <x:v>Crimp full shell</x:v>
      </x:c>
      <x:c r="X102" s="50" t="n">
        <x:v>23.36</x:v>
      </x:c>
      <x:c r="Y102" s="50" t="n">
        <x:v>0.13</x:v>
      </x:c>
      <x:c r="Z102" s="47" t="str">
        <x:v>https://www.discounthydraulichose.com/v/vspfiles/downloadables/crimp.pdf (catalog p.99)</x:v>
      </x:c>
      <x:c r="AA102" s="47" t="str">
        <x:v>Published reference data; applicability is limited to the listed reference system and hose code.</x:v>
      </x:c>
      <x:c r="AB102" s="161" t="str">
        <x:v>Pending</x:v>
      </x:c>
    </x:row>
    <x:row r="103" ht="42" customHeight="1">
      <x:c r="A103" s="33" t="str">
        <x:v>Draft</x:v>
      </x:c>
      <x:c r="B103" s="47" t="str">
        <x:v>COMP_0099</x:v>
      </x:c>
      <x:c r="C103" s="47" t="str">
        <x:v>601R1_005</x:v>
      </x:c>
      <x:c r="D103" s="47" t="str">
        <x:v>JIC90_F_SW_08_08</x:v>
      </x:c>
      <x:c r="E103" s="47" t="str">
        <x:v>601R1_1WB_005</x:v>
      </x:c>
      <x:c r="F103" s="47" t="str"/>
      <x:c r="G103" s="33" t="str"/>
      <x:c r="H103" s="50" t="str"/>
      <x:c r="I103" s="50" t="str"/>
      <x:c r="J103" s="50" t="str"/>
      <x:c r="K103" s="47" t="str"/>
      <x:c r="L103" s="50" t="str"/>
      <x:c r="M103" s="50" t="str"/>
      <x:c r="N103" s="47" t="str"/>
      <x:c r="O103" s="50" t="str"/>
      <x:c r="P103" s="64" t="str">
        <x:f>IF(O103="","",O103*2)</x:f>
      </x:c>
      <x:c r="Q103" s="50" t="str"/>
      <x:c r="R103" s="47" t="str"/>
      <x:c r="S103" s="33" t="str">
        <x:v>Not Tested</x:v>
      </x:c>
      <x:c r="T103" s="64" t="str">
        <x:v>Eligible</x:v>
      </x:c>
      <x:c r="U103" s="47" t="str">
        <x:v>DHH W Series Bite-To-The-Wire</x:v>
      </x:c>
      <x:c r="V103" s="47" t="str">
        <x:v>R1-08</x:v>
      </x:c>
      <x:c r="W103" s="47" t="str">
        <x:v>Crimp full shell</x:v>
      </x:c>
      <x:c r="X103" s="50" t="n">
        <x:v>23.36</x:v>
      </x:c>
      <x:c r="Y103" s="50" t="n">
        <x:v>0.13</x:v>
      </x:c>
      <x:c r="Z103" s="47" t="str">
        <x:v>https://www.discounthydraulichose.com/v/vspfiles/downloadables/crimp.pdf (catalog p.99)</x:v>
      </x:c>
      <x:c r="AA103" s="47" t="str">
        <x:v>Published reference data; applicability is limited to the listed reference system and hose code.</x:v>
      </x:c>
      <x:c r="AB103" s="161" t="str">
        <x:v>Pending</x:v>
      </x:c>
    </x:row>
    <x:row r="104" ht="42" customHeight="1">
      <x:c r="A104" s="33" t="str">
        <x:v>Draft</x:v>
      </x:c>
      <x:c r="B104" s="47" t="str">
        <x:v>COMP_0100</x:v>
      </x:c>
      <x:c r="C104" s="47" t="str">
        <x:v>601R1_005</x:v>
      </x:c>
      <x:c r="D104" s="47" t="str">
        <x:v>JIC90_F_SW_10_08</x:v>
      </x:c>
      <x:c r="E104" s="47" t="str">
        <x:v>601R1_1WB_005</x:v>
      </x:c>
      <x:c r="F104" s="47" t="str"/>
      <x:c r="G104" s="33" t="str"/>
      <x:c r="H104" s="50" t="str"/>
      <x:c r="I104" s="50" t="str"/>
      <x:c r="J104" s="50" t="str"/>
      <x:c r="K104" s="47" t="str"/>
      <x:c r="L104" s="50" t="str"/>
      <x:c r="M104" s="50" t="str"/>
      <x:c r="N104" s="47" t="str"/>
      <x:c r="O104" s="50" t="str"/>
      <x:c r="P104" s="64" t="str">
        <x:f>IF(O104="","",O104*2)</x:f>
      </x:c>
      <x:c r="Q104" s="50" t="str"/>
      <x:c r="R104" s="47" t="str"/>
      <x:c r="S104" s="33" t="str">
        <x:v>Not Tested</x:v>
      </x:c>
      <x:c r="T104" s="64" t="str">
        <x:v>Eligible</x:v>
      </x:c>
      <x:c r="U104" s="47" t="str">
        <x:v>DHH W Series Bite-To-The-Wire</x:v>
      </x:c>
      <x:c r="V104" s="47" t="str">
        <x:v>R1-08</x:v>
      </x:c>
      <x:c r="W104" s="47" t="str">
        <x:v>Crimp full shell</x:v>
      </x:c>
      <x:c r="X104" s="50" t="n">
        <x:v>23.36</x:v>
      </x:c>
      <x:c r="Y104" s="50" t="n">
        <x:v>0.13</x:v>
      </x:c>
      <x:c r="Z104" s="47" t="str">
        <x:v>https://www.discounthydraulichose.com/v/vspfiles/downloadables/crimp.pdf (catalog p.99)</x:v>
      </x:c>
      <x:c r="AA104" s="47" t="str">
        <x:v>Published reference data; applicability is limited to the listed reference system and hose code.</x:v>
      </x:c>
      <x:c r="AB104" s="161" t="str">
        <x:v>Pending</x:v>
      </x:c>
    </x:row>
    <x:row r="105" ht="42" customHeight="1">
      <x:c r="A105" s="33" t="str">
        <x:v>Draft</x:v>
      </x:c>
      <x:c r="B105" s="47" t="str">
        <x:v>COMP_0101</x:v>
      </x:c>
      <x:c r="C105" s="47" t="str">
        <x:v>601R1_005</x:v>
      </x:c>
      <x:c r="D105" s="47" t="str">
        <x:v>JIC90_F_SW_12_08</x:v>
      </x:c>
      <x:c r="E105" s="47" t="str">
        <x:v>601R1_1WB_005</x:v>
      </x:c>
      <x:c r="F105" s="47" t="str"/>
      <x:c r="G105" s="33" t="str"/>
      <x:c r="H105" s="50" t="str"/>
      <x:c r="I105" s="50" t="str"/>
      <x:c r="J105" s="50" t="str"/>
      <x:c r="K105" s="47" t="str"/>
      <x:c r="L105" s="50" t="str"/>
      <x:c r="M105" s="50" t="str"/>
      <x:c r="N105" s="47" t="str"/>
      <x:c r="O105" s="50" t="str"/>
      <x:c r="P105" s="64" t="str">
        <x:f>IF(O105="","",O105*2)</x:f>
      </x:c>
      <x:c r="Q105" s="50" t="str"/>
      <x:c r="R105" s="47" t="str"/>
      <x:c r="S105" s="33" t="str">
        <x:v>Not Tested</x:v>
      </x:c>
      <x:c r="T105" s="64" t="str">
        <x:v>Eligible</x:v>
      </x:c>
      <x:c r="U105" s="47" t="str">
        <x:v>DHH W Series Bite-To-The-Wire</x:v>
      </x:c>
      <x:c r="V105" s="47" t="str">
        <x:v>R1-08</x:v>
      </x:c>
      <x:c r="W105" s="47" t="str">
        <x:v>Crimp full shell</x:v>
      </x:c>
      <x:c r="X105" s="50" t="n">
        <x:v>23.36</x:v>
      </x:c>
      <x:c r="Y105" s="50" t="n">
        <x:v>0.13</x:v>
      </x:c>
      <x:c r="Z105" s="47" t="str">
        <x:v>https://www.discounthydraulichose.com/v/vspfiles/downloadables/crimp.pdf (catalog p.99)</x:v>
      </x:c>
      <x:c r="AA105" s="47" t="str">
        <x:v>Published reference data; applicability is limited to the listed reference system and hose code.</x:v>
      </x:c>
      <x:c r="AB105" s="161" t="str">
        <x:v>Pending</x:v>
      </x:c>
    </x:row>
    <x:row r="106" ht="42" customHeight="1">
      <x:c r="A106" s="33" t="str">
        <x:v>Draft</x:v>
      </x:c>
      <x:c r="B106" s="47" t="str">
        <x:v>COMP_0102</x:v>
      </x:c>
      <x:c r="C106" s="47" t="str">
        <x:v>601R1_005</x:v>
      </x:c>
      <x:c r="D106" s="47" t="str">
        <x:v>NPT_F_FX_08_08</x:v>
      </x:c>
      <x:c r="E106" s="47" t="str">
        <x:v>601R1_1WB_005</x:v>
      </x:c>
      <x:c r="F106" s="47" t="str"/>
      <x:c r="G106" s="33" t="str"/>
      <x:c r="H106" s="50" t="str"/>
      <x:c r="I106" s="50" t="str"/>
      <x:c r="J106" s="50" t="str"/>
      <x:c r="K106" s="47" t="str"/>
      <x:c r="L106" s="50" t="str"/>
      <x:c r="M106" s="50" t="str"/>
      <x:c r="N106" s="47" t="str"/>
      <x:c r="O106" s="50" t="str"/>
      <x:c r="P106" s="64" t="str">
        <x:f>IF(O106="","",O106*2)</x:f>
      </x:c>
      <x:c r="Q106" s="50" t="str"/>
      <x:c r="R106" s="47" t="str"/>
      <x:c r="S106" s="33" t="str">
        <x:v>Not Tested</x:v>
      </x:c>
      <x:c r="T106" s="64" t="str">
        <x:v>Eligible</x:v>
      </x:c>
      <x:c r="U106" s="47" t="str">
        <x:v>DHH W Series Bite-To-The-Wire</x:v>
      </x:c>
      <x:c r="V106" s="47" t="str">
        <x:v>R1-08</x:v>
      </x:c>
      <x:c r="W106" s="47" t="str">
        <x:v>Crimp full shell</x:v>
      </x:c>
      <x:c r="X106" s="50" t="n">
        <x:v>23.36</x:v>
      </x:c>
      <x:c r="Y106" s="50" t="n">
        <x:v>0.13</x:v>
      </x:c>
      <x:c r="Z106" s="47" t="str">
        <x:v>https://www.discounthydraulichose.com/v/vspfiles/downloadables/crimp.pdf (catalog p.99)</x:v>
      </x:c>
      <x:c r="AA106" s="47" t="str">
        <x:v>Published reference data; applicability is limited to the listed reference system and hose code.</x:v>
      </x:c>
      <x:c r="AB106" s="161" t="str">
        <x:v>Pending</x:v>
      </x:c>
    </x:row>
    <x:row r="107" ht="42" customHeight="1">
      <x:c r="A107" s="33" t="str">
        <x:v>Draft</x:v>
      </x:c>
      <x:c r="B107" s="47" t="str">
        <x:v>COMP_0103</x:v>
      </x:c>
      <x:c r="C107" s="47" t="str">
        <x:v>601R1_005</x:v>
      </x:c>
      <x:c r="D107" s="47" t="str">
        <x:v>NPT_M_FX_06_08</x:v>
      </x:c>
      <x:c r="E107" s="47" t="str">
        <x:v>601R1_1WB_005</x:v>
      </x:c>
      <x:c r="F107" s="47" t="str"/>
      <x:c r="G107" s="33" t="str"/>
      <x:c r="H107" s="50" t="str"/>
      <x:c r="I107" s="50" t="str"/>
      <x:c r="J107" s="50" t="str"/>
      <x:c r="K107" s="47" t="str"/>
      <x:c r="L107" s="50" t="str"/>
      <x:c r="M107" s="50" t="str"/>
      <x:c r="N107" s="47" t="str"/>
      <x:c r="O107" s="50" t="str"/>
      <x:c r="P107" s="64" t="str">
        <x:f>IF(O107="","",O107*2)</x:f>
      </x:c>
      <x:c r="Q107" s="50" t="str"/>
      <x:c r="R107" s="47" t="str"/>
      <x:c r="S107" s="33" t="str">
        <x:v>Not Tested</x:v>
      </x:c>
      <x:c r="T107" s="64" t="str">
        <x:v>Eligible</x:v>
      </x:c>
      <x:c r="U107" s="47" t="str">
        <x:v>DHH W Series Bite-To-The-Wire</x:v>
      </x:c>
      <x:c r="V107" s="47" t="str">
        <x:v>R1-08</x:v>
      </x:c>
      <x:c r="W107" s="47" t="str">
        <x:v>Crimp full shell</x:v>
      </x:c>
      <x:c r="X107" s="50" t="n">
        <x:v>23.36</x:v>
      </x:c>
      <x:c r="Y107" s="50" t="n">
        <x:v>0.13</x:v>
      </x:c>
      <x:c r="Z107" s="47" t="str">
        <x:v>https://www.discounthydraulichose.com/v/vspfiles/downloadables/crimp.pdf (catalog p.99)</x:v>
      </x:c>
      <x:c r="AA107" s="47" t="str">
        <x:v>Published reference data; applicability is limited to the listed reference system and hose code.</x:v>
      </x:c>
      <x:c r="AB107" s="161" t="str">
        <x:v>Pending</x:v>
      </x:c>
    </x:row>
    <x:row r="108" ht="42" customHeight="1">
      <x:c r="A108" s="33" t="str">
        <x:v>Draft</x:v>
      </x:c>
      <x:c r="B108" s="47" t="str">
        <x:v>COMP_0104</x:v>
      </x:c>
      <x:c r="C108" s="47" t="str">
        <x:v>601R1_005</x:v>
      </x:c>
      <x:c r="D108" s="47" t="str">
        <x:v>NPT_M_FX_08_08</x:v>
      </x:c>
      <x:c r="E108" s="47" t="str">
        <x:v>601R1_1WB_005</x:v>
      </x:c>
      <x:c r="F108" s="47" t="str"/>
      <x:c r="G108" s="33" t="str"/>
      <x:c r="H108" s="50" t="str"/>
      <x:c r="I108" s="50" t="str"/>
      <x:c r="J108" s="50" t="str"/>
      <x:c r="K108" s="47" t="str"/>
      <x:c r="L108" s="50" t="str"/>
      <x:c r="M108" s="50" t="str"/>
      <x:c r="N108" s="47" t="str"/>
      <x:c r="O108" s="50" t="str"/>
      <x:c r="P108" s="64" t="str">
        <x:f>IF(O108="","",O108*2)</x:f>
      </x:c>
      <x:c r="Q108" s="50" t="str"/>
      <x:c r="R108" s="47" t="str"/>
      <x:c r="S108" s="33" t="str">
        <x:v>Not Tested</x:v>
      </x:c>
      <x:c r="T108" s="64" t="str">
        <x:v>Eligible</x:v>
      </x:c>
      <x:c r="U108" s="47" t="str">
        <x:v>DHH W Series Bite-To-The-Wire</x:v>
      </x:c>
      <x:c r="V108" s="47" t="str">
        <x:v>R1-08</x:v>
      </x:c>
      <x:c r="W108" s="47" t="str">
        <x:v>Crimp full shell</x:v>
      </x:c>
      <x:c r="X108" s="50" t="n">
        <x:v>23.36</x:v>
      </x:c>
      <x:c r="Y108" s="50" t="n">
        <x:v>0.13</x:v>
      </x:c>
      <x:c r="Z108" s="47" t="str">
        <x:v>https://www.discounthydraulichose.com/v/vspfiles/downloadables/crimp.pdf (catalog p.99)</x:v>
      </x:c>
      <x:c r="AA108" s="47" t="str">
        <x:v>Published reference data; applicability is limited to the listed reference system and hose code.</x:v>
      </x:c>
      <x:c r="AB108" s="161" t="str">
        <x:v>Pending</x:v>
      </x:c>
    </x:row>
    <x:row r="109" ht="42" customHeight="1">
      <x:c r="A109" s="33" t="str">
        <x:v>Draft</x:v>
      </x:c>
      <x:c r="B109" s="47" t="str">
        <x:v>COMP_0105</x:v>
      </x:c>
      <x:c r="C109" s="47" t="str">
        <x:v>601R1_005</x:v>
      </x:c>
      <x:c r="D109" s="47" t="str">
        <x:v>NPT_M_FX_12_08</x:v>
      </x:c>
      <x:c r="E109" s="47" t="str">
        <x:v>601R1_1WB_005</x:v>
      </x:c>
      <x:c r="F109" s="47" t="str"/>
      <x:c r="G109" s="33" t="str"/>
      <x:c r="H109" s="50" t="str"/>
      <x:c r="I109" s="50" t="str"/>
      <x:c r="J109" s="50" t="str"/>
      <x:c r="K109" s="47" t="str"/>
      <x:c r="L109" s="50" t="str"/>
      <x:c r="M109" s="50" t="str"/>
      <x:c r="N109" s="47" t="str"/>
      <x:c r="O109" s="50" t="str"/>
      <x:c r="P109" s="64" t="str">
        <x:f>IF(O109="","",O109*2)</x:f>
      </x:c>
      <x:c r="Q109" s="50" t="str"/>
      <x:c r="R109" s="47" t="str"/>
      <x:c r="S109" s="33" t="str">
        <x:v>Not Tested</x:v>
      </x:c>
      <x:c r="T109" s="64" t="str">
        <x:v>Eligible</x:v>
      </x:c>
      <x:c r="U109" s="47" t="str">
        <x:v>DHH W Series Bite-To-The-Wire</x:v>
      </x:c>
      <x:c r="V109" s="47" t="str">
        <x:v>R1-08</x:v>
      </x:c>
      <x:c r="W109" s="47" t="str">
        <x:v>Crimp full shell</x:v>
      </x:c>
      <x:c r="X109" s="50" t="n">
        <x:v>23.36</x:v>
      </x:c>
      <x:c r="Y109" s="50" t="n">
        <x:v>0.13</x:v>
      </x:c>
      <x:c r="Z109" s="47" t="str">
        <x:v>https://www.discounthydraulichose.com/v/vspfiles/downloadables/crimp.pdf (catalog p.99)</x:v>
      </x:c>
      <x:c r="AA109" s="47" t="str">
        <x:v>Published reference data; applicability is limited to the listed reference system and hose code.</x:v>
      </x:c>
      <x:c r="AB109" s="161" t="str">
        <x:v>Pending</x:v>
      </x:c>
    </x:row>
    <x:row r="110" ht="42" customHeight="1">
      <x:c r="A110" s="33" t="str">
        <x:v>Draft</x:v>
      </x:c>
      <x:c r="B110" s="47" t="str">
        <x:v>COMP_0106</x:v>
      </x:c>
      <x:c r="C110" s="47" t="str">
        <x:v>601R1_005</x:v>
      </x:c>
      <x:c r="D110" s="47" t="str">
        <x:v>NPT90_M_SW_08_08</x:v>
      </x:c>
      <x:c r="E110" s="47" t="str">
        <x:v>601R1_1WB_005</x:v>
      </x:c>
      <x:c r="F110" s="47" t="str"/>
      <x:c r="G110" s="33" t="str"/>
      <x:c r="H110" s="50" t="str"/>
      <x:c r="I110" s="50" t="str"/>
      <x:c r="J110" s="50" t="str"/>
      <x:c r="K110" s="47" t="str"/>
      <x:c r="L110" s="50" t="str"/>
      <x:c r="M110" s="50" t="str"/>
      <x:c r="N110" s="47" t="str"/>
      <x:c r="O110" s="50" t="str"/>
      <x:c r="P110" s="64" t="str">
        <x:f>IF(O110="","",O110*2)</x:f>
      </x:c>
      <x:c r="Q110" s="50" t="str"/>
      <x:c r="R110" s="47" t="str"/>
      <x:c r="S110" s="33" t="str">
        <x:v>Not Tested</x:v>
      </x:c>
      <x:c r="T110" s="64" t="str">
        <x:v>Eligible</x:v>
      </x:c>
      <x:c r="U110" s="47" t="str">
        <x:v>DHH W Series Bite-To-The-Wire</x:v>
      </x:c>
      <x:c r="V110" s="47" t="str">
        <x:v>R1-08</x:v>
      </x:c>
      <x:c r="W110" s="47" t="str">
        <x:v>Crimp full shell</x:v>
      </x:c>
      <x:c r="X110" s="50" t="n">
        <x:v>23.36</x:v>
      </x:c>
      <x:c r="Y110" s="50" t="n">
        <x:v>0.13</x:v>
      </x:c>
      <x:c r="Z110" s="47" t="str">
        <x:v>https://www.discounthydraulichose.com/v/vspfiles/downloadables/crimp.pdf (catalog p.99)</x:v>
      </x:c>
      <x:c r="AA110" s="47" t="str">
        <x:v>Published reference data; applicability is limited to the listed reference system and hose code.</x:v>
      </x:c>
      <x:c r="AB110" s="161" t="str">
        <x:v>Pending</x:v>
      </x:c>
    </x:row>
    <x:row r="111" ht="42" customHeight="1">
      <x:c r="A111" s="33" t="str">
        <x:v>Draft</x:v>
      </x:c>
      <x:c r="B111" s="47" t="str">
        <x:v>COMP_0107</x:v>
      </x:c>
      <x:c r="C111" s="47" t="str">
        <x:v>601R1_005</x:v>
      </x:c>
      <x:c r="D111" s="47" t="str">
        <x:v>ORFS_F_SW_06_08</x:v>
      </x:c>
      <x:c r="E111" s="47" t="str">
        <x:v>601R1_1WB_005</x:v>
      </x:c>
      <x:c r="F111" s="47" t="str"/>
      <x:c r="G111" s="33" t="str"/>
      <x:c r="H111" s="50" t="str"/>
      <x:c r="I111" s="50" t="str"/>
      <x:c r="J111" s="50" t="str"/>
      <x:c r="K111" s="47" t="str"/>
      <x:c r="L111" s="50" t="str"/>
      <x:c r="M111" s="50" t="str"/>
      <x:c r="N111" s="47" t="str"/>
      <x:c r="O111" s="50" t="str"/>
      <x:c r="P111" s="64" t="str">
        <x:f>IF(O111="","",O111*2)</x:f>
      </x:c>
      <x:c r="Q111" s="50" t="str"/>
      <x:c r="R111" s="47" t="str"/>
      <x:c r="S111" s="33" t="str">
        <x:v>Not Tested</x:v>
      </x:c>
      <x:c r="T111" s="64" t="str">
        <x:v>Eligible</x:v>
      </x:c>
      <x:c r="U111" s="47" t="str">
        <x:v>DHH W Series Bite-To-The-Wire</x:v>
      </x:c>
      <x:c r="V111" s="47" t="str">
        <x:v>R1-08</x:v>
      </x:c>
      <x:c r="W111" s="47" t="str">
        <x:v>Crimp full shell</x:v>
      </x:c>
      <x:c r="X111" s="50" t="n">
        <x:v>23.36</x:v>
      </x:c>
      <x:c r="Y111" s="50" t="n">
        <x:v>0.13</x:v>
      </x:c>
      <x:c r="Z111" s="47" t="str">
        <x:v>https://www.discounthydraulichose.com/v/vspfiles/downloadables/crimp.pdf (catalog p.99)</x:v>
      </x:c>
      <x:c r="AA111" s="47" t="str">
        <x:v>Published reference data; applicability is limited to the listed reference system and hose code.</x:v>
      </x:c>
      <x:c r="AB111" s="161" t="str">
        <x:v>Pending</x:v>
      </x:c>
    </x:row>
    <x:row r="112" ht="42" customHeight="1">
      <x:c r="A112" s="33" t="str">
        <x:v>Draft</x:v>
      </x:c>
      <x:c r="B112" s="47" t="str">
        <x:v>COMP_0108</x:v>
      </x:c>
      <x:c r="C112" s="47" t="str">
        <x:v>601R1_005</x:v>
      </x:c>
      <x:c r="D112" s="47" t="str">
        <x:v>ORFS_F_SW_08_08</x:v>
      </x:c>
      <x:c r="E112" s="47" t="str">
        <x:v>601R1_1WB_005</x:v>
      </x:c>
      <x:c r="F112" s="47" t="str"/>
      <x:c r="G112" s="33" t="str"/>
      <x:c r="H112" s="50" t="str"/>
      <x:c r="I112" s="50" t="str"/>
      <x:c r="J112" s="50" t="str"/>
      <x:c r="K112" s="47" t="str"/>
      <x:c r="L112" s="50" t="str"/>
      <x:c r="M112" s="50" t="str"/>
      <x:c r="N112" s="47" t="str"/>
      <x:c r="O112" s="50" t="str"/>
      <x:c r="P112" s="64" t="str">
        <x:f>IF(O112="","",O112*2)</x:f>
      </x:c>
      <x:c r="Q112" s="50" t="str"/>
      <x:c r="R112" s="47" t="str"/>
      <x:c r="S112" s="33" t="str">
        <x:v>Not Tested</x:v>
      </x:c>
      <x:c r="T112" s="64" t="str">
        <x:v>Eligible</x:v>
      </x:c>
      <x:c r="U112" s="47" t="str">
        <x:v>DHH W Series Bite-To-The-Wire</x:v>
      </x:c>
      <x:c r="V112" s="47" t="str">
        <x:v>R1-08</x:v>
      </x:c>
      <x:c r="W112" s="47" t="str">
        <x:v>Crimp full shell</x:v>
      </x:c>
      <x:c r="X112" s="50" t="n">
        <x:v>23.36</x:v>
      </x:c>
      <x:c r="Y112" s="50" t="n">
        <x:v>0.13</x:v>
      </x:c>
      <x:c r="Z112" s="47" t="str">
        <x:v>https://www.discounthydraulichose.com/v/vspfiles/downloadables/crimp.pdf (catalog p.99)</x:v>
      </x:c>
      <x:c r="AA112" s="47" t="str">
        <x:v>Published reference data; applicability is limited to the listed reference system and hose code.</x:v>
      </x:c>
      <x:c r="AB112" s="161" t="str">
        <x:v>Pending</x:v>
      </x:c>
    </x:row>
    <x:row r="113" ht="42" customHeight="1">
      <x:c r="A113" s="33" t="str">
        <x:v>Draft</x:v>
      </x:c>
      <x:c r="B113" s="47" t="str">
        <x:v>COMP_0109</x:v>
      </x:c>
      <x:c r="C113" s="47" t="str">
        <x:v>601R1_005</x:v>
      </x:c>
      <x:c r="D113" s="47" t="str">
        <x:v>ORFS_F_SW_10_08</x:v>
      </x:c>
      <x:c r="E113" s="47" t="str">
        <x:v>601R1_1WB_005</x:v>
      </x:c>
      <x:c r="F113" s="47" t="str"/>
      <x:c r="G113" s="33" t="str"/>
      <x:c r="H113" s="50" t="str"/>
      <x:c r="I113" s="50" t="str"/>
      <x:c r="J113" s="50" t="str"/>
      <x:c r="K113" s="47" t="str"/>
      <x:c r="L113" s="50" t="str"/>
      <x:c r="M113" s="50" t="str"/>
      <x:c r="N113" s="47" t="str"/>
      <x:c r="O113" s="50" t="str"/>
      <x:c r="P113" s="64" t="str">
        <x:f>IF(O113="","",O113*2)</x:f>
      </x:c>
      <x:c r="Q113" s="50" t="str"/>
      <x:c r="R113" s="47" t="str"/>
      <x:c r="S113" s="33" t="str">
        <x:v>Not Tested</x:v>
      </x:c>
      <x:c r="T113" s="64" t="str">
        <x:v>Eligible</x:v>
      </x:c>
      <x:c r="U113" s="47" t="str">
        <x:v>DHH W Series Bite-To-The-Wire</x:v>
      </x:c>
      <x:c r="V113" s="47" t="str">
        <x:v>R1-08</x:v>
      </x:c>
      <x:c r="W113" s="47" t="str">
        <x:v>Crimp full shell</x:v>
      </x:c>
      <x:c r="X113" s="50" t="n">
        <x:v>23.36</x:v>
      </x:c>
      <x:c r="Y113" s="50" t="n">
        <x:v>0.13</x:v>
      </x:c>
      <x:c r="Z113" s="47" t="str">
        <x:v>https://www.discounthydraulichose.com/v/vspfiles/downloadables/crimp.pdf (catalog p.99)</x:v>
      </x:c>
      <x:c r="AA113" s="47" t="str">
        <x:v>Published reference data; applicability is limited to the listed reference system and hose code.</x:v>
      </x:c>
      <x:c r="AB113" s="161" t="str">
        <x:v>Pending</x:v>
      </x:c>
    </x:row>
    <x:row r="114" ht="42" customHeight="1">
      <x:c r="A114" s="33" t="str">
        <x:v>Draft</x:v>
      </x:c>
      <x:c r="B114" s="47" t="str">
        <x:v>COMP_0110</x:v>
      </x:c>
      <x:c r="C114" s="47" t="str">
        <x:v>601R1_005</x:v>
      </x:c>
      <x:c r="D114" s="47" t="str">
        <x:v>ORFS_F_SW_12_08</x:v>
      </x:c>
      <x:c r="E114" s="47" t="str">
        <x:v>601R1_1WB_005</x:v>
      </x:c>
      <x:c r="F114" s="47" t="str"/>
      <x:c r="G114" s="33" t="str"/>
      <x:c r="H114" s="50" t="str"/>
      <x:c r="I114" s="50" t="str"/>
      <x:c r="J114" s="50" t="str"/>
      <x:c r="K114" s="47" t="str"/>
      <x:c r="L114" s="50" t="str"/>
      <x:c r="M114" s="50" t="str"/>
      <x:c r="N114" s="47" t="str"/>
      <x:c r="O114" s="50" t="str"/>
      <x:c r="P114" s="64" t="str">
        <x:f>IF(O114="","",O114*2)</x:f>
      </x:c>
      <x:c r="Q114" s="50" t="str"/>
      <x:c r="R114" s="47" t="str"/>
      <x:c r="S114" s="33" t="str">
        <x:v>Not Tested</x:v>
      </x:c>
      <x:c r="T114" s="64" t="str">
        <x:v>Eligible</x:v>
      </x:c>
      <x:c r="U114" s="47" t="str">
        <x:v>DHH W Series Bite-To-The-Wire</x:v>
      </x:c>
      <x:c r="V114" s="47" t="str">
        <x:v>R1-08</x:v>
      </x:c>
      <x:c r="W114" s="47" t="str">
        <x:v>Crimp full shell</x:v>
      </x:c>
      <x:c r="X114" s="50" t="n">
        <x:v>23.36</x:v>
      </x:c>
      <x:c r="Y114" s="50" t="n">
        <x:v>0.13</x:v>
      </x:c>
      <x:c r="Z114" s="47" t="str">
        <x:v>https://www.discounthydraulichose.com/v/vspfiles/downloadables/crimp.pdf (catalog p.99)</x:v>
      </x:c>
      <x:c r="AA114" s="47" t="str">
        <x:v>Published reference data; applicability is limited to the listed reference system and hose code.</x:v>
      </x:c>
      <x:c r="AB114" s="161" t="str">
        <x:v>Pending</x:v>
      </x:c>
    </x:row>
    <x:row r="115" ht="42" customHeight="1">
      <x:c r="A115" s="33" t="str">
        <x:v>Draft</x:v>
      </x:c>
      <x:c r="B115" s="47" t="str">
        <x:v>COMP_0111</x:v>
      </x:c>
      <x:c r="C115" s="47" t="str">
        <x:v>601R1_005</x:v>
      </x:c>
      <x:c r="D115" s="47" t="str">
        <x:v>ORFS_M_FX_08_08</x:v>
      </x:c>
      <x:c r="E115" s="47" t="str">
        <x:v>601R1_1WB_005</x:v>
      </x:c>
      <x:c r="F115" s="47" t="str"/>
      <x:c r="G115" s="33" t="str"/>
      <x:c r="H115" s="50" t="str"/>
      <x:c r="I115" s="50" t="str"/>
      <x:c r="J115" s="50" t="str"/>
      <x:c r="K115" s="47" t="str"/>
      <x:c r="L115" s="50" t="str"/>
      <x:c r="M115" s="50" t="str"/>
      <x:c r="N115" s="47" t="str"/>
      <x:c r="O115" s="50" t="str"/>
      <x:c r="P115" s="64" t="str">
        <x:f>IF(O115="","",O115*2)</x:f>
      </x:c>
      <x:c r="Q115" s="50" t="str"/>
      <x:c r="R115" s="47" t="str"/>
      <x:c r="S115" s="33" t="str">
        <x:v>Not Tested</x:v>
      </x:c>
      <x:c r="T115" s="64" t="str">
        <x:v>Eligible</x:v>
      </x:c>
      <x:c r="U115" s="47" t="str">
        <x:v>DHH W Series Bite-To-The-Wire</x:v>
      </x:c>
      <x:c r="V115" s="47" t="str">
        <x:v>R1-08</x:v>
      </x:c>
      <x:c r="W115" s="47" t="str">
        <x:v>Crimp full shell</x:v>
      </x:c>
      <x:c r="X115" s="50" t="n">
        <x:v>23.36</x:v>
      </x:c>
      <x:c r="Y115" s="50" t="n">
        <x:v>0.13</x:v>
      </x:c>
      <x:c r="Z115" s="47" t="str">
        <x:v>https://www.discounthydraulichose.com/v/vspfiles/downloadables/crimp.pdf (catalog p.99)</x:v>
      </x:c>
      <x:c r="AA115" s="47" t="str">
        <x:v>Published reference data; applicability is limited to the listed reference system and hose code.</x:v>
      </x:c>
      <x:c r="AB115" s="161" t="str">
        <x:v>Pending</x:v>
      </x:c>
    </x:row>
    <x:row r="116" ht="42" customHeight="1">
      <x:c r="A116" s="33" t="str">
        <x:v>Draft</x:v>
      </x:c>
      <x:c r="B116" s="47" t="str">
        <x:v>COMP_0112</x:v>
      </x:c>
      <x:c r="C116" s="47" t="str">
        <x:v>601R1_005</x:v>
      </x:c>
      <x:c r="D116" s="47" t="str">
        <x:v>ORFS_M_FX_10_08</x:v>
      </x:c>
      <x:c r="E116" s="47" t="str">
        <x:v>601R1_1WB_005</x:v>
      </x:c>
      <x:c r="F116" s="47" t="str"/>
      <x:c r="G116" s="33" t="str"/>
      <x:c r="H116" s="50" t="str"/>
      <x:c r="I116" s="50" t="str"/>
      <x:c r="J116" s="50" t="str"/>
      <x:c r="K116" s="47" t="str"/>
      <x:c r="L116" s="50" t="str"/>
      <x:c r="M116" s="50" t="str"/>
      <x:c r="N116" s="47" t="str"/>
      <x:c r="O116" s="50" t="str"/>
      <x:c r="P116" s="64" t="str">
        <x:f>IF(O116="","",O116*2)</x:f>
      </x:c>
      <x:c r="Q116" s="50" t="str"/>
      <x:c r="R116" s="47" t="str"/>
      <x:c r="S116" s="33" t="str">
        <x:v>Not Tested</x:v>
      </x:c>
      <x:c r="T116" s="64" t="str">
        <x:v>Eligible</x:v>
      </x:c>
      <x:c r="U116" s="47" t="str">
        <x:v>DHH W Series Bite-To-The-Wire</x:v>
      </x:c>
      <x:c r="V116" s="47" t="str">
        <x:v>R1-08</x:v>
      </x:c>
      <x:c r="W116" s="47" t="str">
        <x:v>Crimp full shell</x:v>
      </x:c>
      <x:c r="X116" s="50" t="n">
        <x:v>23.36</x:v>
      </x:c>
      <x:c r="Y116" s="50" t="n">
        <x:v>0.13</x:v>
      </x:c>
      <x:c r="Z116" s="47" t="str">
        <x:v>https://www.discounthydraulichose.com/v/vspfiles/downloadables/crimp.pdf (catalog p.99)</x:v>
      </x:c>
      <x:c r="AA116" s="47" t="str">
        <x:v>Published reference data; applicability is limited to the listed reference system and hose code.</x:v>
      </x:c>
      <x:c r="AB116" s="161" t="str">
        <x:v>Pending</x:v>
      </x:c>
    </x:row>
    <x:row r="117" ht="42" customHeight="1">
      <x:c r="A117" s="33" t="str">
        <x:v>Draft</x:v>
      </x:c>
      <x:c r="B117" s="47" t="str">
        <x:v>COMP_0113</x:v>
      </x:c>
      <x:c r="C117" s="47" t="str">
        <x:v>601R1_005</x:v>
      </x:c>
      <x:c r="D117" s="47" t="str">
        <x:v>ORFS_M_FX_12_08</x:v>
      </x:c>
      <x:c r="E117" s="47" t="str">
        <x:v>601R1_1WB_005</x:v>
      </x:c>
      <x:c r="F117" s="47" t="str"/>
      <x:c r="G117" s="33" t="str"/>
      <x:c r="H117" s="50" t="str"/>
      <x:c r="I117" s="50" t="str"/>
      <x:c r="J117" s="50" t="str"/>
      <x:c r="K117" s="47" t="str"/>
      <x:c r="L117" s="50" t="str"/>
      <x:c r="M117" s="50" t="str"/>
      <x:c r="N117" s="47" t="str"/>
      <x:c r="O117" s="50" t="str"/>
      <x:c r="P117" s="64" t="str">
        <x:f>IF(O117="","",O117*2)</x:f>
      </x:c>
      <x:c r="Q117" s="50" t="str"/>
      <x:c r="R117" s="47" t="str"/>
      <x:c r="S117" s="33" t="str">
        <x:v>Not Tested</x:v>
      </x:c>
      <x:c r="T117" s="64" t="str">
        <x:v>Eligible</x:v>
      </x:c>
      <x:c r="U117" s="47" t="str">
        <x:v>DHH W Series Bite-To-The-Wire</x:v>
      </x:c>
      <x:c r="V117" s="47" t="str">
        <x:v>R1-08</x:v>
      </x:c>
      <x:c r="W117" s="47" t="str">
        <x:v>Crimp full shell</x:v>
      </x:c>
      <x:c r="X117" s="50" t="n">
        <x:v>23.36</x:v>
      </x:c>
      <x:c r="Y117" s="50" t="n">
        <x:v>0.13</x:v>
      </x:c>
      <x:c r="Z117" s="47" t="str">
        <x:v>https://www.discounthydraulichose.com/v/vspfiles/downloadables/crimp.pdf (catalog p.99)</x:v>
      </x:c>
      <x:c r="AA117" s="47" t="str">
        <x:v>Published reference data; applicability is limited to the listed reference system and hose code.</x:v>
      </x:c>
      <x:c r="AB117" s="161" t="str">
        <x:v>Pending</x:v>
      </x:c>
    </x:row>
    <x:row r="118" ht="42" customHeight="1">
      <x:c r="A118" s="33" t="str">
        <x:v>Draft</x:v>
      </x:c>
      <x:c r="B118" s="47" t="str">
        <x:v>COMP_0114</x:v>
      </x:c>
      <x:c r="C118" s="47" t="str">
        <x:v>601R1_005</x:v>
      </x:c>
      <x:c r="D118" s="47" t="str">
        <x:v>ORFS45_F_SW_08_08</x:v>
      </x:c>
      <x:c r="E118" s="47" t="str">
        <x:v>601R1_1WB_005</x:v>
      </x:c>
      <x:c r="F118" s="47" t="str"/>
      <x:c r="G118" s="33" t="str"/>
      <x:c r="H118" s="50" t="str"/>
      <x:c r="I118" s="50" t="str"/>
      <x:c r="J118" s="50" t="str"/>
      <x:c r="K118" s="47" t="str"/>
      <x:c r="L118" s="50" t="str"/>
      <x:c r="M118" s="50" t="str"/>
      <x:c r="N118" s="47" t="str"/>
      <x:c r="O118" s="50" t="str"/>
      <x:c r="P118" s="64" t="str">
        <x:f>IF(O118="","",O118*2)</x:f>
      </x:c>
      <x:c r="Q118" s="50" t="str"/>
      <x:c r="R118" s="47" t="str"/>
      <x:c r="S118" s="33" t="str">
        <x:v>Not Tested</x:v>
      </x:c>
      <x:c r="T118" s="64" t="str">
        <x:v>Eligible</x:v>
      </x:c>
      <x:c r="U118" s="47" t="str">
        <x:v>DHH W Series Bite-To-The-Wire</x:v>
      </x:c>
      <x:c r="V118" s="47" t="str">
        <x:v>R1-08</x:v>
      </x:c>
      <x:c r="W118" s="47" t="str">
        <x:v>Crimp full shell</x:v>
      </x:c>
      <x:c r="X118" s="50" t="n">
        <x:v>23.36</x:v>
      </x:c>
      <x:c r="Y118" s="50" t="n">
        <x:v>0.13</x:v>
      </x:c>
      <x:c r="Z118" s="47" t="str">
        <x:v>https://www.discounthydraulichose.com/v/vspfiles/downloadables/crimp.pdf (catalog p.99)</x:v>
      </x:c>
      <x:c r="AA118" s="47" t="str">
        <x:v>Published reference data; applicability is limited to the listed reference system and hose code.</x:v>
      </x:c>
      <x:c r="AB118" s="161" t="str">
        <x:v>Pending</x:v>
      </x:c>
    </x:row>
    <x:row r="119" ht="42" customHeight="1">
      <x:c r="A119" s="33" t="str">
        <x:v>Draft</x:v>
      </x:c>
      <x:c r="B119" s="47" t="str">
        <x:v>COMP_0115</x:v>
      </x:c>
      <x:c r="C119" s="47" t="str">
        <x:v>601R1_005</x:v>
      </x:c>
      <x:c r="D119" s="47" t="str">
        <x:v>ORFS45_F_SW_10_08</x:v>
      </x:c>
      <x:c r="E119" s="47" t="str">
        <x:v>601R1_1WB_005</x:v>
      </x:c>
      <x:c r="F119" s="47" t="str"/>
      <x:c r="G119" s="33" t="str"/>
      <x:c r="H119" s="50" t="str"/>
      <x:c r="I119" s="50" t="str"/>
      <x:c r="J119" s="50" t="str"/>
      <x:c r="K119" s="47" t="str"/>
      <x:c r="L119" s="50" t="str"/>
      <x:c r="M119" s="50" t="str"/>
      <x:c r="N119" s="47" t="str"/>
      <x:c r="O119" s="50" t="str"/>
      <x:c r="P119" s="64" t="str">
        <x:f>IF(O119="","",O119*2)</x:f>
      </x:c>
      <x:c r="Q119" s="50" t="str"/>
      <x:c r="R119" s="47" t="str"/>
      <x:c r="S119" s="33" t="str">
        <x:v>Not Tested</x:v>
      </x:c>
      <x:c r="T119" s="64" t="str">
        <x:v>Eligible</x:v>
      </x:c>
      <x:c r="U119" s="47" t="str">
        <x:v>DHH W Series Bite-To-The-Wire</x:v>
      </x:c>
      <x:c r="V119" s="47" t="str">
        <x:v>R1-08</x:v>
      </x:c>
      <x:c r="W119" s="47" t="str">
        <x:v>Crimp full shell</x:v>
      </x:c>
      <x:c r="X119" s="50" t="n">
        <x:v>23.36</x:v>
      </x:c>
      <x:c r="Y119" s="50" t="n">
        <x:v>0.13</x:v>
      </x:c>
      <x:c r="Z119" s="47" t="str">
        <x:v>https://www.discounthydraulichose.com/v/vspfiles/downloadables/crimp.pdf (catalog p.99)</x:v>
      </x:c>
      <x:c r="AA119" s="47" t="str">
        <x:v>Published reference data; applicability is limited to the listed reference system and hose code.</x:v>
      </x:c>
      <x:c r="AB119" s="161" t="str">
        <x:v>Pending</x:v>
      </x:c>
    </x:row>
    <x:row r="120" ht="42" customHeight="1">
      <x:c r="A120" s="33" t="str">
        <x:v>Draft</x:v>
      </x:c>
      <x:c r="B120" s="47" t="str">
        <x:v>COMP_0116</x:v>
      </x:c>
      <x:c r="C120" s="47" t="str">
        <x:v>601R1_005</x:v>
      </x:c>
      <x:c r="D120" s="47" t="str">
        <x:v>ORFS45_F_SW_12_08</x:v>
      </x:c>
      <x:c r="E120" s="47" t="str">
        <x:v>601R1_1WB_005</x:v>
      </x:c>
      <x:c r="F120" s="47" t="str"/>
      <x:c r="G120" s="33" t="str"/>
      <x:c r="H120" s="50" t="str"/>
      <x:c r="I120" s="50" t="str"/>
      <x:c r="J120" s="50" t="str"/>
      <x:c r="K120" s="47" t="str"/>
      <x:c r="L120" s="50" t="str"/>
      <x:c r="M120" s="50" t="str"/>
      <x:c r="N120" s="47" t="str"/>
      <x:c r="O120" s="50" t="str"/>
      <x:c r="P120" s="64" t="str">
        <x:f>IF(O120="","",O120*2)</x:f>
      </x:c>
      <x:c r="Q120" s="50" t="str"/>
      <x:c r="R120" s="47" t="str"/>
      <x:c r="S120" s="33" t="str">
        <x:v>Not Tested</x:v>
      </x:c>
      <x:c r="T120" s="64" t="str">
        <x:v>Eligible</x:v>
      </x:c>
      <x:c r="U120" s="47" t="str">
        <x:v>DHH W Series Bite-To-The-Wire</x:v>
      </x:c>
      <x:c r="V120" s="47" t="str">
        <x:v>R1-08</x:v>
      </x:c>
      <x:c r="W120" s="47" t="str">
        <x:v>Crimp full shell</x:v>
      </x:c>
      <x:c r="X120" s="50" t="n">
        <x:v>23.36</x:v>
      </x:c>
      <x:c r="Y120" s="50" t="n">
        <x:v>0.13</x:v>
      </x:c>
      <x:c r="Z120" s="47" t="str">
        <x:v>https://www.discounthydraulichose.com/v/vspfiles/downloadables/crimp.pdf (catalog p.99)</x:v>
      </x:c>
      <x:c r="AA120" s="47" t="str">
        <x:v>Published reference data; applicability is limited to the listed reference system and hose code.</x:v>
      </x:c>
      <x:c r="AB120" s="161" t="str">
        <x:v>Pending</x:v>
      </x:c>
    </x:row>
    <x:row r="121" ht="42" customHeight="1">
      <x:c r="A121" s="33" t="str">
        <x:v>Draft</x:v>
      </x:c>
      <x:c r="B121" s="47" t="str">
        <x:v>COMP_0117</x:v>
      </x:c>
      <x:c r="C121" s="47" t="str">
        <x:v>601R1_005</x:v>
      </x:c>
      <x:c r="D121" s="47" t="str">
        <x:v>ORFS90_F_SW_08_08</x:v>
      </x:c>
      <x:c r="E121" s="47" t="str">
        <x:v>601R1_1WB_005</x:v>
      </x:c>
      <x:c r="F121" s="47" t="str"/>
      <x:c r="G121" s="33" t="str"/>
      <x:c r="H121" s="50" t="str"/>
      <x:c r="I121" s="50" t="str"/>
      <x:c r="J121" s="50" t="str"/>
      <x:c r="K121" s="47" t="str"/>
      <x:c r="L121" s="50" t="str"/>
      <x:c r="M121" s="50" t="str"/>
      <x:c r="N121" s="47" t="str"/>
      <x:c r="O121" s="50" t="str"/>
      <x:c r="P121" s="64" t="str">
        <x:f>IF(O121="","",O121*2)</x:f>
      </x:c>
      <x:c r="Q121" s="50" t="str"/>
      <x:c r="R121" s="47" t="str"/>
      <x:c r="S121" s="33" t="str">
        <x:v>Not Tested</x:v>
      </x:c>
      <x:c r="T121" s="64" t="str">
        <x:v>Eligible</x:v>
      </x:c>
      <x:c r="U121" s="47" t="str">
        <x:v>DHH W Series Bite-To-The-Wire</x:v>
      </x:c>
      <x:c r="V121" s="47" t="str">
        <x:v>R1-08</x:v>
      </x:c>
      <x:c r="W121" s="47" t="str">
        <x:v>Crimp full shell</x:v>
      </x:c>
      <x:c r="X121" s="50" t="n">
        <x:v>23.36</x:v>
      </x:c>
      <x:c r="Y121" s="50" t="n">
        <x:v>0.13</x:v>
      </x:c>
      <x:c r="Z121" s="47" t="str">
        <x:v>https://www.discounthydraulichose.com/v/vspfiles/downloadables/crimp.pdf (catalog p.99)</x:v>
      </x:c>
      <x:c r="AA121" s="47" t="str">
        <x:v>Published reference data; applicability is limited to the listed reference system and hose code.</x:v>
      </x:c>
      <x:c r="AB121" s="161" t="str">
        <x:v>Pending</x:v>
      </x:c>
    </x:row>
    <x:row r="122" ht="42" customHeight="1">
      <x:c r="A122" s="33" t="str">
        <x:v>Draft</x:v>
      </x:c>
      <x:c r="B122" s="47" t="str">
        <x:v>COMP_0118</x:v>
      </x:c>
      <x:c r="C122" s="47" t="str">
        <x:v>601R1_005</x:v>
      </x:c>
      <x:c r="D122" s="47" t="str">
        <x:v>ORFS90_F_SW_10_08</x:v>
      </x:c>
      <x:c r="E122" s="47" t="str">
        <x:v>601R1_1WB_005</x:v>
      </x:c>
      <x:c r="F122" s="47" t="str"/>
      <x:c r="G122" s="33" t="str"/>
      <x:c r="H122" s="50" t="str"/>
      <x:c r="I122" s="50" t="str"/>
      <x:c r="J122" s="50" t="str"/>
      <x:c r="K122" s="47" t="str"/>
      <x:c r="L122" s="50" t="str"/>
      <x:c r="M122" s="50" t="str"/>
      <x:c r="N122" s="47" t="str"/>
      <x:c r="O122" s="50" t="str"/>
      <x:c r="P122" s="64" t="str">
        <x:f>IF(O122="","",O122*2)</x:f>
      </x:c>
      <x:c r="Q122" s="50" t="str"/>
      <x:c r="R122" s="47" t="str"/>
      <x:c r="S122" s="33" t="str">
        <x:v>Not Tested</x:v>
      </x:c>
      <x:c r="T122" s="64" t="str">
        <x:v>Eligible</x:v>
      </x:c>
      <x:c r="U122" s="47" t="str">
        <x:v>DHH W Series Bite-To-The-Wire</x:v>
      </x:c>
      <x:c r="V122" s="47" t="str">
        <x:v>R1-08</x:v>
      </x:c>
      <x:c r="W122" s="47" t="str">
        <x:v>Crimp full shell</x:v>
      </x:c>
      <x:c r="X122" s="50" t="n">
        <x:v>23.36</x:v>
      </x:c>
      <x:c r="Y122" s="50" t="n">
        <x:v>0.13</x:v>
      </x:c>
      <x:c r="Z122" s="47" t="str">
        <x:v>https://www.discounthydraulichose.com/v/vspfiles/downloadables/crimp.pdf (catalog p.99)</x:v>
      </x:c>
      <x:c r="AA122" s="47" t="str">
        <x:v>Published reference data; applicability is limited to the listed reference system and hose code.</x:v>
      </x:c>
      <x:c r="AB122" s="161" t="str">
        <x:v>Pending</x:v>
      </x:c>
    </x:row>
    <x:row r="123" ht="42" customHeight="1">
      <x:c r="A123" s="33" t="str">
        <x:v>Draft</x:v>
      </x:c>
      <x:c r="B123" s="47" t="str">
        <x:v>COMP_0119</x:v>
      </x:c>
      <x:c r="C123" s="47" t="str">
        <x:v>601R1_005</x:v>
      </x:c>
      <x:c r="D123" s="47" t="str">
        <x:v>ORFS90_F_SW_12_08</x:v>
      </x:c>
      <x:c r="E123" s="47" t="str">
        <x:v>601R1_1WB_005</x:v>
      </x:c>
      <x:c r="F123" s="47" t="str"/>
      <x:c r="G123" s="33" t="str"/>
      <x:c r="H123" s="50" t="str"/>
      <x:c r="I123" s="50" t="str"/>
      <x:c r="J123" s="50" t="str"/>
      <x:c r="K123" s="47" t="str"/>
      <x:c r="L123" s="50" t="str"/>
      <x:c r="M123" s="50" t="str"/>
      <x:c r="N123" s="47" t="str"/>
      <x:c r="O123" s="50" t="str"/>
      <x:c r="P123" s="64" t="str">
        <x:f>IF(O123="","",O123*2)</x:f>
      </x:c>
      <x:c r="Q123" s="50" t="str"/>
      <x:c r="R123" s="47" t="str"/>
      <x:c r="S123" s="33" t="str">
        <x:v>Not Tested</x:v>
      </x:c>
      <x:c r="T123" s="64" t="str">
        <x:v>Eligible</x:v>
      </x:c>
      <x:c r="U123" s="47" t="str">
        <x:v>DHH W Series Bite-To-The-Wire</x:v>
      </x:c>
      <x:c r="V123" s="47" t="str">
        <x:v>R1-08</x:v>
      </x:c>
      <x:c r="W123" s="47" t="str">
        <x:v>Crimp full shell</x:v>
      </x:c>
      <x:c r="X123" s="50" t="n">
        <x:v>23.36</x:v>
      </x:c>
      <x:c r="Y123" s="50" t="n">
        <x:v>0.13</x:v>
      </x:c>
      <x:c r="Z123" s="47" t="str">
        <x:v>https://www.discounthydraulichose.com/v/vspfiles/downloadables/crimp.pdf (catalog p.99)</x:v>
      </x:c>
      <x:c r="AA123" s="47" t="str">
        <x:v>Published reference data; applicability is limited to the listed reference system and hose code.</x:v>
      </x:c>
      <x:c r="AB123" s="161" t="str">
        <x:v>Pending</x:v>
      </x:c>
    </x:row>
    <x:row r="124" ht="42" customHeight="1">
      <x:c r="A124" s="33" t="str">
        <x:v>Draft</x:v>
      </x:c>
      <x:c r="B124" s="47" t="str">
        <x:v>COMP_0120</x:v>
      </x:c>
      <x:c r="C124" s="47" t="str">
        <x:v>601R1_006</x:v>
      </x:c>
      <x:c r="D124" s="47" t="str">
        <x:v>BSPP_F_SW_10_10</x:v>
      </x:c>
      <x:c r="E124" s="47" t="str">
        <x:v>601R1_1WB_006</x:v>
      </x:c>
      <x:c r="F124" s="47" t="str"/>
      <x:c r="G124" s="33" t="str"/>
      <x:c r="H124" s="50" t="str"/>
      <x:c r="I124" s="50" t="str"/>
      <x:c r="J124" s="50" t="str"/>
      <x:c r="K124" s="47" t="str"/>
      <x:c r="L124" s="50" t="str"/>
      <x:c r="M124" s="50" t="str"/>
      <x:c r="N124" s="47" t="str"/>
      <x:c r="O124" s="50" t="str"/>
      <x:c r="P124" s="64" t="str">
        <x:f>IF(O124="","",O124*2)</x:f>
      </x:c>
      <x:c r="Q124" s="50" t="str"/>
      <x:c r="R124" s="47" t="str"/>
      <x:c r="S124" s="33" t="str">
        <x:v>Not Tested</x:v>
      </x:c>
      <x:c r="T124" s="64" t="str">
        <x:v>Eligible</x:v>
      </x:c>
      <x:c r="U124" s="47" t="str"/>
      <x:c r="V124" s="47" t="str"/>
      <x:c r="W124" s="47" t="str"/>
      <x:c r="X124" s="50" t="str"/>
      <x:c r="Y124" s="50" t="str"/>
      <x:c r="Z124" s="47" t="str"/>
      <x:c r="AA124" s="47" t="str">
        <x:v>No direct published reference located; do not display a crimp value.</x:v>
      </x:c>
      <x:c r="AB124" s="161" t="str">
        <x:v>Pending</x:v>
      </x:c>
    </x:row>
    <x:row r="125" ht="42" customHeight="1">
      <x:c r="A125" s="33" t="str">
        <x:v>Draft</x:v>
      </x:c>
      <x:c r="B125" s="47" t="str">
        <x:v>COMP_0121</x:v>
      </x:c>
      <x:c r="C125" s="47" t="str">
        <x:v>601R1_006</x:v>
      </x:c>
      <x:c r="D125" s="47" t="str">
        <x:v>BSPP45_F_SW_10_10</x:v>
      </x:c>
      <x:c r="E125" s="47" t="str">
        <x:v>601R1_1WB_006</x:v>
      </x:c>
      <x:c r="F125" s="47" t="str"/>
      <x:c r="G125" s="33" t="str"/>
      <x:c r="H125" s="50" t="str"/>
      <x:c r="I125" s="50" t="str"/>
      <x:c r="J125" s="50" t="str"/>
      <x:c r="K125" s="47" t="str"/>
      <x:c r="L125" s="50" t="str"/>
      <x:c r="M125" s="50" t="str"/>
      <x:c r="N125" s="47" t="str"/>
      <x:c r="O125" s="50" t="str"/>
      <x:c r="P125" s="64" t="str">
        <x:f>IF(O125="","",O125*2)</x:f>
      </x:c>
      <x:c r="Q125" s="50" t="str"/>
      <x:c r="R125" s="47" t="str"/>
      <x:c r="S125" s="33" t="str">
        <x:v>Not Tested</x:v>
      </x:c>
      <x:c r="T125" s="64" t="str">
        <x:v>Eligible</x:v>
      </x:c>
      <x:c r="U125" s="47" t="str"/>
      <x:c r="V125" s="47" t="str"/>
      <x:c r="W125" s="47" t="str"/>
      <x:c r="X125" s="50" t="str"/>
      <x:c r="Y125" s="50" t="str"/>
      <x:c r="Z125" s="47" t="str"/>
      <x:c r="AA125" s="47" t="str">
        <x:v>No direct published reference located; do not display a crimp value.</x:v>
      </x:c>
      <x:c r="AB125" s="161" t="str">
        <x:v>Pending</x:v>
      </x:c>
    </x:row>
    <x:row r="126" ht="42" customHeight="1">
      <x:c r="A126" s="33" t="str">
        <x:v>Draft</x:v>
      </x:c>
      <x:c r="B126" s="47" t="str">
        <x:v>COMP_0122</x:v>
      </x:c>
      <x:c r="C126" s="47" t="str">
        <x:v>601R1_006</x:v>
      </x:c>
      <x:c r="D126" s="47" t="str">
        <x:v>BSPP90_F_SW_10_10</x:v>
      </x:c>
      <x:c r="E126" s="47" t="str">
        <x:v>601R1_1WB_006</x:v>
      </x:c>
      <x:c r="F126" s="47" t="str"/>
      <x:c r="G126" s="33" t="str"/>
      <x:c r="H126" s="50" t="str"/>
      <x:c r="I126" s="50" t="str"/>
      <x:c r="J126" s="50" t="str"/>
      <x:c r="K126" s="47" t="str"/>
      <x:c r="L126" s="50" t="str"/>
      <x:c r="M126" s="50" t="str"/>
      <x:c r="N126" s="47" t="str"/>
      <x:c r="O126" s="50" t="str"/>
      <x:c r="P126" s="64" t="str">
        <x:f>IF(O126="","",O126*2)</x:f>
      </x:c>
      <x:c r="Q126" s="50" t="str"/>
      <x:c r="R126" s="47" t="str"/>
      <x:c r="S126" s="33" t="str">
        <x:v>Not Tested</x:v>
      </x:c>
      <x:c r="T126" s="64" t="str">
        <x:v>Eligible</x:v>
      </x:c>
      <x:c r="U126" s="47" t="str"/>
      <x:c r="V126" s="47" t="str"/>
      <x:c r="W126" s="47" t="str"/>
      <x:c r="X126" s="50" t="str"/>
      <x:c r="Y126" s="50" t="str"/>
      <x:c r="Z126" s="47" t="str"/>
      <x:c r="AA126" s="47" t="str">
        <x:v>No direct published reference located; do not display a crimp value.</x:v>
      </x:c>
      <x:c r="AB126" s="161" t="str">
        <x:v>Pending</x:v>
      </x:c>
    </x:row>
    <x:row r="127" ht="42" customHeight="1">
      <x:c r="A127" s="33" t="str">
        <x:v>Draft</x:v>
      </x:c>
      <x:c r="B127" s="47" t="str">
        <x:v>COMP_0123</x:v>
      </x:c>
      <x:c r="C127" s="47" t="str">
        <x:v>601R1_006</x:v>
      </x:c>
      <x:c r="D127" s="47" t="str">
        <x:v>JIC_F_SW_08_10</x:v>
      </x:c>
      <x:c r="E127" s="47" t="str">
        <x:v>601R1_1WB_006</x:v>
      </x:c>
      <x:c r="F127" s="47" t="str"/>
      <x:c r="G127" s="33" t="str"/>
      <x:c r="H127" s="50" t="str"/>
      <x:c r="I127" s="50" t="str"/>
      <x:c r="J127" s="50" t="str"/>
      <x:c r="K127" s="47" t="str"/>
      <x:c r="L127" s="50" t="str"/>
      <x:c r="M127" s="50" t="str"/>
      <x:c r="N127" s="47" t="str"/>
      <x:c r="O127" s="50" t="str"/>
      <x:c r="P127" s="64" t="str">
        <x:f>IF(O127="","",O127*2)</x:f>
      </x:c>
      <x:c r="Q127" s="50" t="str"/>
      <x:c r="R127" s="47" t="str"/>
      <x:c r="S127" s="33" t="str">
        <x:v>Not Tested</x:v>
      </x:c>
      <x:c r="T127" s="64" t="str">
        <x:v>Eligible</x:v>
      </x:c>
      <x:c r="U127" s="47" t="str"/>
      <x:c r="V127" s="47" t="str"/>
      <x:c r="W127" s="47" t="str"/>
      <x:c r="X127" s="50" t="str"/>
      <x:c r="Y127" s="50" t="str"/>
      <x:c r="Z127" s="47" t="str"/>
      <x:c r="AA127" s="47" t="str">
        <x:v>No direct published reference located; do not display a crimp value.</x:v>
      </x:c>
      <x:c r="AB127" s="161" t="str">
        <x:v>Pending</x:v>
      </x:c>
    </x:row>
    <x:row r="128" ht="42" customHeight="1">
      <x:c r="A128" s="33" t="str">
        <x:v>Draft</x:v>
      </x:c>
      <x:c r="B128" s="47" t="str">
        <x:v>COMP_0124</x:v>
      </x:c>
      <x:c r="C128" s="47" t="str">
        <x:v>601R1_006</x:v>
      </x:c>
      <x:c r="D128" s="47" t="str">
        <x:v>JIC_F_SW_10_10</x:v>
      </x:c>
      <x:c r="E128" s="47" t="str">
        <x:v>601R1_1WB_006</x:v>
      </x:c>
      <x:c r="F128" s="47" t="str"/>
      <x:c r="G128" s="33" t="str"/>
      <x:c r="H128" s="50" t="str"/>
      <x:c r="I128" s="50" t="str"/>
      <x:c r="J128" s="50" t="str"/>
      <x:c r="K128" s="47" t="str"/>
      <x:c r="L128" s="50" t="str"/>
      <x:c r="M128" s="50" t="str"/>
      <x:c r="N128" s="47" t="str"/>
      <x:c r="O128" s="50" t="str"/>
      <x:c r="P128" s="64" t="str">
        <x:f>IF(O128="","",O128*2)</x:f>
      </x:c>
      <x:c r="Q128" s="50" t="str"/>
      <x:c r="R128" s="47" t="str"/>
      <x:c r="S128" s="33" t="str">
        <x:v>Not Tested</x:v>
      </x:c>
      <x:c r="T128" s="64" t="str">
        <x:v>Eligible</x:v>
      </x:c>
      <x:c r="U128" s="47" t="str"/>
      <x:c r="V128" s="47" t="str"/>
      <x:c r="W128" s="47" t="str"/>
      <x:c r="X128" s="50" t="str"/>
      <x:c r="Y128" s="50" t="str"/>
      <x:c r="Z128" s="47" t="str"/>
      <x:c r="AA128" s="47" t="str">
        <x:v>No direct published reference located; do not display a crimp value.</x:v>
      </x:c>
      <x:c r="AB128" s="161" t="str">
        <x:v>Pending</x:v>
      </x:c>
    </x:row>
    <x:row r="129" ht="42" customHeight="1">
      <x:c r="A129" s="33" t="str">
        <x:v>Draft</x:v>
      </x:c>
      <x:c r="B129" s="47" t="str">
        <x:v>COMP_0125</x:v>
      </x:c>
      <x:c r="C129" s="47" t="str">
        <x:v>601R1_006</x:v>
      </x:c>
      <x:c r="D129" s="47" t="str">
        <x:v>JIC_F_SW_12_10</x:v>
      </x:c>
      <x:c r="E129" s="47" t="str">
        <x:v>601R1_1WB_006</x:v>
      </x:c>
      <x:c r="F129" s="47" t="str"/>
      <x:c r="G129" s="33" t="str"/>
      <x:c r="H129" s="50" t="str"/>
      <x:c r="I129" s="50" t="str"/>
      <x:c r="J129" s="50" t="str"/>
      <x:c r="K129" s="47" t="str"/>
      <x:c r="L129" s="50" t="str"/>
      <x:c r="M129" s="50" t="str"/>
      <x:c r="N129" s="47" t="str"/>
      <x:c r="O129" s="50" t="str"/>
      <x:c r="P129" s="64" t="str">
        <x:f>IF(O129="","",O129*2)</x:f>
      </x:c>
      <x:c r="Q129" s="50" t="str"/>
      <x:c r="R129" s="47" t="str"/>
      <x:c r="S129" s="33" t="str">
        <x:v>Not Tested</x:v>
      </x:c>
      <x:c r="T129" s="64" t="str">
        <x:v>Eligible</x:v>
      </x:c>
      <x:c r="U129" s="47" t="str"/>
      <x:c r="V129" s="47" t="str"/>
      <x:c r="W129" s="47" t="str"/>
      <x:c r="X129" s="50" t="str"/>
      <x:c r="Y129" s="50" t="str"/>
      <x:c r="Z129" s="47" t="str"/>
      <x:c r="AA129" s="47" t="str">
        <x:v>No direct published reference located; do not display a crimp value.</x:v>
      </x:c>
      <x:c r="AB129" s="161" t="str">
        <x:v>Pending</x:v>
      </x:c>
    </x:row>
    <x:row r="130" ht="42" customHeight="1">
      <x:c r="A130" s="33" t="str">
        <x:v>Draft</x:v>
      </x:c>
      <x:c r="B130" s="47" t="str">
        <x:v>COMP_0126</x:v>
      </x:c>
      <x:c r="C130" s="47" t="str">
        <x:v>601R1_006</x:v>
      </x:c>
      <x:c r="D130" s="47" t="str">
        <x:v>JIC_M_FX_10_10</x:v>
      </x:c>
      <x:c r="E130" s="47" t="str">
        <x:v>601R1_1WB_006</x:v>
      </x:c>
      <x:c r="F130" s="47" t="str"/>
      <x:c r="G130" s="33" t="str"/>
      <x:c r="H130" s="50" t="str"/>
      <x:c r="I130" s="50" t="str"/>
      <x:c r="J130" s="50" t="str"/>
      <x:c r="K130" s="47" t="str"/>
      <x:c r="L130" s="50" t="str"/>
      <x:c r="M130" s="50" t="str"/>
      <x:c r="N130" s="47" t="str"/>
      <x:c r="O130" s="50" t="str"/>
      <x:c r="P130" s="64" t="str">
        <x:f>IF(O130="","",O130*2)</x:f>
      </x:c>
      <x:c r="Q130" s="50" t="str"/>
      <x:c r="R130" s="47" t="str"/>
      <x:c r="S130" s="33" t="str">
        <x:v>Not Tested</x:v>
      </x:c>
      <x:c r="T130" s="64" t="str">
        <x:v>Eligible</x:v>
      </x:c>
      <x:c r="U130" s="47" t="str"/>
      <x:c r="V130" s="47" t="str"/>
      <x:c r="W130" s="47" t="str"/>
      <x:c r="X130" s="50" t="str"/>
      <x:c r="Y130" s="50" t="str"/>
      <x:c r="Z130" s="47" t="str"/>
      <x:c r="AA130" s="47" t="str">
        <x:v>No direct published reference located; do not display a crimp value.</x:v>
      </x:c>
      <x:c r="AB130" s="161" t="str">
        <x:v>Pending</x:v>
      </x:c>
    </x:row>
    <x:row r="131" ht="42" customHeight="1">
      <x:c r="A131" s="33" t="str">
        <x:v>Draft</x:v>
      </x:c>
      <x:c r="B131" s="47" t="str">
        <x:v>COMP_0127</x:v>
      </x:c>
      <x:c r="C131" s="47" t="str">
        <x:v>601R1_006</x:v>
      </x:c>
      <x:c r="D131" s="47" t="str">
        <x:v>JIC45_F_SW_10_10</x:v>
      </x:c>
      <x:c r="E131" s="47" t="str">
        <x:v>601R1_1WB_006</x:v>
      </x:c>
      <x:c r="F131" s="47" t="str"/>
      <x:c r="G131" s="33" t="str"/>
      <x:c r="H131" s="50" t="str"/>
      <x:c r="I131" s="50" t="str"/>
      <x:c r="J131" s="50" t="str"/>
      <x:c r="K131" s="47" t="str"/>
      <x:c r="L131" s="50" t="str"/>
      <x:c r="M131" s="50" t="str"/>
      <x:c r="N131" s="47" t="str"/>
      <x:c r="O131" s="50" t="str"/>
      <x:c r="P131" s="64" t="str">
        <x:f>IF(O131="","",O131*2)</x:f>
      </x:c>
      <x:c r="Q131" s="50" t="str"/>
      <x:c r="R131" s="47" t="str"/>
      <x:c r="S131" s="33" t="str">
        <x:v>Not Tested</x:v>
      </x:c>
      <x:c r="T131" s="64" t="str">
        <x:v>Eligible</x:v>
      </x:c>
      <x:c r="U131" s="47" t="str"/>
      <x:c r="V131" s="47" t="str"/>
      <x:c r="W131" s="47" t="str"/>
      <x:c r="X131" s="50" t="str"/>
      <x:c r="Y131" s="50" t="str"/>
      <x:c r="Z131" s="47" t="str"/>
      <x:c r="AA131" s="47" t="str">
        <x:v>No direct published reference located; do not display a crimp value.</x:v>
      </x:c>
      <x:c r="AB131" s="161" t="str">
        <x:v>Pending</x:v>
      </x:c>
    </x:row>
    <x:row r="132" ht="42" customHeight="1">
      <x:c r="A132" s="33" t="str">
        <x:v>Draft</x:v>
      </x:c>
      <x:c r="B132" s="47" t="str">
        <x:v>COMP_0128</x:v>
      </x:c>
      <x:c r="C132" s="47" t="str">
        <x:v>601R1_006</x:v>
      </x:c>
      <x:c r="D132" s="47" t="str">
        <x:v>JIC45_F_SW_12_10</x:v>
      </x:c>
      <x:c r="E132" s="47" t="str">
        <x:v>601R1_1WB_006</x:v>
      </x:c>
      <x:c r="F132" s="47" t="str"/>
      <x:c r="G132" s="33" t="str"/>
      <x:c r="H132" s="50" t="str"/>
      <x:c r="I132" s="50" t="str"/>
      <x:c r="J132" s="50" t="str"/>
      <x:c r="K132" s="47" t="str"/>
      <x:c r="L132" s="50" t="str"/>
      <x:c r="M132" s="50" t="str"/>
      <x:c r="N132" s="47" t="str"/>
      <x:c r="O132" s="50" t="str"/>
      <x:c r="P132" s="64" t="str">
        <x:f>IF(O132="","",O132*2)</x:f>
      </x:c>
      <x:c r="Q132" s="50" t="str"/>
      <x:c r="R132" s="47" t="str"/>
      <x:c r="S132" s="33" t="str">
        <x:v>Not Tested</x:v>
      </x:c>
      <x:c r="T132" s="64" t="str">
        <x:v>Eligible</x:v>
      </x:c>
      <x:c r="U132" s="47" t="str"/>
      <x:c r="V132" s="47" t="str"/>
      <x:c r="W132" s="47" t="str"/>
      <x:c r="X132" s="50" t="str"/>
      <x:c r="Y132" s="50" t="str"/>
      <x:c r="Z132" s="47" t="str"/>
      <x:c r="AA132" s="47" t="str">
        <x:v>No direct published reference located; do not display a crimp value.</x:v>
      </x:c>
      <x:c r="AB132" s="161" t="str">
        <x:v>Pending</x:v>
      </x:c>
    </x:row>
    <x:row r="133" ht="42" customHeight="1">
      <x:c r="A133" s="33" t="str">
        <x:v>Draft</x:v>
      </x:c>
      <x:c r="B133" s="47" t="str">
        <x:v>COMP_0129</x:v>
      </x:c>
      <x:c r="C133" s="47" t="str">
        <x:v>601R1_006</x:v>
      </x:c>
      <x:c r="D133" s="47" t="str">
        <x:v>JIC90_F_SW_10_10</x:v>
      </x:c>
      <x:c r="E133" s="47" t="str">
        <x:v>601R1_1WB_006</x:v>
      </x:c>
      <x:c r="F133" s="47" t="str"/>
      <x:c r="G133" s="33" t="str"/>
      <x:c r="H133" s="50" t="str"/>
      <x:c r="I133" s="50" t="str"/>
      <x:c r="J133" s="50" t="str"/>
      <x:c r="K133" s="47" t="str"/>
      <x:c r="L133" s="50" t="str"/>
      <x:c r="M133" s="50" t="str"/>
      <x:c r="N133" s="47" t="str"/>
      <x:c r="O133" s="50" t="str"/>
      <x:c r="P133" s="64" t="str">
        <x:f>IF(O133="","",O133*2)</x:f>
      </x:c>
      <x:c r="Q133" s="50" t="str"/>
      <x:c r="R133" s="47" t="str"/>
      <x:c r="S133" s="33" t="str">
        <x:v>Not Tested</x:v>
      </x:c>
      <x:c r="T133" s="64" t="str">
        <x:v>Eligible</x:v>
      </x:c>
      <x:c r="U133" s="47" t="str"/>
      <x:c r="V133" s="47" t="str"/>
      <x:c r="W133" s="47" t="str"/>
      <x:c r="X133" s="50" t="str"/>
      <x:c r="Y133" s="50" t="str"/>
      <x:c r="Z133" s="47" t="str"/>
      <x:c r="AA133" s="47" t="str">
        <x:v>No direct published reference located; do not display a crimp value.</x:v>
      </x:c>
      <x:c r="AB133" s="161" t="str">
        <x:v>Pending</x:v>
      </x:c>
    </x:row>
    <x:row r="134" ht="42" customHeight="1">
      <x:c r="A134" s="33" t="str">
        <x:v>Draft</x:v>
      </x:c>
      <x:c r="B134" s="47" t="str">
        <x:v>COMP_0130</x:v>
      </x:c>
      <x:c r="C134" s="47" t="str">
        <x:v>601R1_006</x:v>
      </x:c>
      <x:c r="D134" s="47" t="str">
        <x:v>JIC90_F_SW_12_10</x:v>
      </x:c>
      <x:c r="E134" s="47" t="str">
        <x:v>601R1_1WB_006</x:v>
      </x:c>
      <x:c r="F134" s="47" t="str"/>
      <x:c r="G134" s="33" t="str"/>
      <x:c r="H134" s="50" t="str"/>
      <x:c r="I134" s="50" t="str"/>
      <x:c r="J134" s="50" t="str"/>
      <x:c r="K134" s="47" t="str"/>
      <x:c r="L134" s="50" t="str"/>
      <x:c r="M134" s="50" t="str"/>
      <x:c r="N134" s="47" t="str"/>
      <x:c r="O134" s="50" t="str"/>
      <x:c r="P134" s="64" t="str">
        <x:f>IF(O134="","",O134*2)</x:f>
      </x:c>
      <x:c r="Q134" s="50" t="str"/>
      <x:c r="R134" s="47" t="str"/>
      <x:c r="S134" s="33" t="str">
        <x:v>Not Tested</x:v>
      </x:c>
      <x:c r="T134" s="64" t="str">
        <x:v>Eligible</x:v>
      </x:c>
      <x:c r="U134" s="47" t="str"/>
      <x:c r="V134" s="47" t="str"/>
      <x:c r="W134" s="47" t="str"/>
      <x:c r="X134" s="50" t="str"/>
      <x:c r="Y134" s="50" t="str"/>
      <x:c r="Z134" s="47" t="str"/>
      <x:c r="AA134" s="47" t="str">
        <x:v>No direct published reference located; do not display a crimp value.</x:v>
      </x:c>
      <x:c r="AB134" s="161" t="str">
        <x:v>Pending</x:v>
      </x:c>
    </x:row>
    <x:row r="135" ht="42" customHeight="1">
      <x:c r="A135" s="33" t="str">
        <x:v>Draft</x:v>
      </x:c>
      <x:c r="B135" s="47" t="str">
        <x:v>COMP_0131</x:v>
      </x:c>
      <x:c r="C135" s="47" t="str">
        <x:v>601R1_006</x:v>
      </x:c>
      <x:c r="D135" s="47" t="str">
        <x:v>NPT_M_FX_06_10</x:v>
      </x:c>
      <x:c r="E135" s="47" t="str">
        <x:v>601R1_1WB_006</x:v>
      </x:c>
      <x:c r="F135" s="47" t="str"/>
      <x:c r="G135" s="33" t="str"/>
      <x:c r="H135" s="50" t="str"/>
      <x:c r="I135" s="50" t="str"/>
      <x:c r="J135" s="50" t="str"/>
      <x:c r="K135" s="47" t="str"/>
      <x:c r="L135" s="50" t="str"/>
      <x:c r="M135" s="50" t="str"/>
      <x:c r="N135" s="47" t="str"/>
      <x:c r="O135" s="50" t="str"/>
      <x:c r="P135" s="64" t="str">
        <x:f>IF(O135="","",O135*2)</x:f>
      </x:c>
      <x:c r="Q135" s="50" t="str"/>
      <x:c r="R135" s="47" t="str"/>
      <x:c r="S135" s="33" t="str">
        <x:v>Not Tested</x:v>
      </x:c>
      <x:c r="T135" s="64" t="str">
        <x:v>Eligible</x:v>
      </x:c>
      <x:c r="U135" s="47" t="str"/>
      <x:c r="V135" s="47" t="str"/>
      <x:c r="W135" s="47" t="str"/>
      <x:c r="X135" s="50" t="str"/>
      <x:c r="Y135" s="50" t="str"/>
      <x:c r="Z135" s="47" t="str"/>
      <x:c r="AA135" s="47" t="str">
        <x:v>No direct published reference located; do not display a crimp value.</x:v>
      </x:c>
      <x:c r="AB135" s="161" t="str">
        <x:v>Pending</x:v>
      </x:c>
    </x:row>
    <x:row r="136" ht="42" customHeight="1">
      <x:c r="A136" s="33" t="str">
        <x:v>Draft</x:v>
      </x:c>
      <x:c r="B136" s="47" t="str">
        <x:v>COMP_0132</x:v>
      </x:c>
      <x:c r="C136" s="47" t="str">
        <x:v>601R1_006</x:v>
      </x:c>
      <x:c r="D136" s="47" t="str">
        <x:v>NPT_M_FX_08_10</x:v>
      </x:c>
      <x:c r="E136" s="47" t="str">
        <x:v>601R1_1WB_006</x:v>
      </x:c>
      <x:c r="F136" s="47" t="str"/>
      <x:c r="G136" s="33" t="str"/>
      <x:c r="H136" s="50" t="str"/>
      <x:c r="I136" s="50" t="str"/>
      <x:c r="J136" s="50" t="str"/>
      <x:c r="K136" s="47" t="str"/>
      <x:c r="L136" s="50" t="str"/>
      <x:c r="M136" s="50" t="str"/>
      <x:c r="N136" s="47" t="str"/>
      <x:c r="O136" s="50" t="str"/>
      <x:c r="P136" s="64" t="str">
        <x:f>IF(O136="","",O136*2)</x:f>
      </x:c>
      <x:c r="Q136" s="50" t="str"/>
      <x:c r="R136" s="47" t="str"/>
      <x:c r="S136" s="33" t="str">
        <x:v>Not Tested</x:v>
      </x:c>
      <x:c r="T136" s="64" t="str">
        <x:v>Eligible</x:v>
      </x:c>
      <x:c r="U136" s="47" t="str"/>
      <x:c r="V136" s="47" t="str"/>
      <x:c r="W136" s="47" t="str"/>
      <x:c r="X136" s="50" t="str"/>
      <x:c r="Y136" s="50" t="str"/>
      <x:c r="Z136" s="47" t="str"/>
      <x:c r="AA136" s="47" t="str">
        <x:v>No direct published reference located; do not display a crimp value.</x:v>
      </x:c>
      <x:c r="AB136" s="161" t="str">
        <x:v>Pending</x:v>
      </x:c>
    </x:row>
    <x:row r="137" ht="42" customHeight="1">
      <x:c r="A137" s="33" t="str">
        <x:v>Draft</x:v>
      </x:c>
      <x:c r="B137" s="47" t="str">
        <x:v>COMP_0133</x:v>
      </x:c>
      <x:c r="C137" s="47" t="str">
        <x:v>601R1_006</x:v>
      </x:c>
      <x:c r="D137" s="47" t="str">
        <x:v>NPT_M_FX_12_10</x:v>
      </x:c>
      <x:c r="E137" s="47" t="str">
        <x:v>601R1_1WB_006</x:v>
      </x:c>
      <x:c r="F137" s="47" t="str"/>
      <x:c r="G137" s="33" t="str"/>
      <x:c r="H137" s="50" t="str"/>
      <x:c r="I137" s="50" t="str"/>
      <x:c r="J137" s="50" t="str"/>
      <x:c r="K137" s="47" t="str"/>
      <x:c r="L137" s="50" t="str"/>
      <x:c r="M137" s="50" t="str"/>
      <x:c r="N137" s="47" t="str"/>
      <x:c r="O137" s="50" t="str"/>
      <x:c r="P137" s="64" t="str">
        <x:f>IF(O137="","",O137*2)</x:f>
      </x:c>
      <x:c r="Q137" s="50" t="str"/>
      <x:c r="R137" s="47" t="str"/>
      <x:c r="S137" s="33" t="str">
        <x:v>Not Tested</x:v>
      </x:c>
      <x:c r="T137" s="64" t="str">
        <x:v>Eligible</x:v>
      </x:c>
      <x:c r="U137" s="47" t="str"/>
      <x:c r="V137" s="47" t="str"/>
      <x:c r="W137" s="47" t="str"/>
      <x:c r="X137" s="50" t="str"/>
      <x:c r="Y137" s="50" t="str"/>
      <x:c r="Z137" s="47" t="str"/>
      <x:c r="AA137" s="47" t="str">
        <x:v>No direct published reference located; do not display a crimp value.</x:v>
      </x:c>
      <x:c r="AB137" s="161" t="str">
        <x:v>Pending</x:v>
      </x:c>
    </x:row>
    <x:row r="138" ht="42" customHeight="1">
      <x:c r="A138" s="33" t="str">
        <x:v>Draft</x:v>
      </x:c>
      <x:c r="B138" s="47" t="str">
        <x:v>COMP_0134</x:v>
      </x:c>
      <x:c r="C138" s="47" t="str">
        <x:v>601R1_006</x:v>
      </x:c>
      <x:c r="D138" s="47" t="str">
        <x:v>ORFS_F_SW_08_10</x:v>
      </x:c>
      <x:c r="E138" s="47" t="str">
        <x:v>601R1_1WB_006</x:v>
      </x:c>
      <x:c r="F138" s="47" t="str"/>
      <x:c r="G138" s="33" t="str"/>
      <x:c r="H138" s="50" t="str"/>
      <x:c r="I138" s="50" t="str"/>
      <x:c r="J138" s="50" t="str"/>
      <x:c r="K138" s="47" t="str"/>
      <x:c r="L138" s="50" t="str"/>
      <x:c r="M138" s="50" t="str"/>
      <x:c r="N138" s="47" t="str"/>
      <x:c r="O138" s="50" t="str"/>
      <x:c r="P138" s="64" t="str">
        <x:f>IF(O138="","",O138*2)</x:f>
      </x:c>
      <x:c r="Q138" s="50" t="str"/>
      <x:c r="R138" s="47" t="str"/>
      <x:c r="S138" s="33" t="str">
        <x:v>Not Tested</x:v>
      </x:c>
      <x:c r="T138" s="64" t="str">
        <x:v>Eligible</x:v>
      </x:c>
      <x:c r="U138" s="47" t="str"/>
      <x:c r="V138" s="47" t="str"/>
      <x:c r="W138" s="47" t="str"/>
      <x:c r="X138" s="50" t="str"/>
      <x:c r="Y138" s="50" t="str"/>
      <x:c r="Z138" s="47" t="str"/>
      <x:c r="AA138" s="47" t="str">
        <x:v>No direct published reference located; do not display a crimp value.</x:v>
      </x:c>
      <x:c r="AB138" s="161" t="str">
        <x:v>Pending</x:v>
      </x:c>
    </x:row>
    <x:row r="139" ht="42" customHeight="1">
      <x:c r="A139" s="33" t="str">
        <x:v>Draft</x:v>
      </x:c>
      <x:c r="B139" s="47" t="str">
        <x:v>COMP_0135</x:v>
      </x:c>
      <x:c r="C139" s="47" t="str">
        <x:v>601R1_006</x:v>
      </x:c>
      <x:c r="D139" s="47" t="str">
        <x:v>ORFS_F_SW_10_10</x:v>
      </x:c>
      <x:c r="E139" s="47" t="str">
        <x:v>601R1_1WB_006</x:v>
      </x:c>
      <x:c r="F139" s="47" t="str"/>
      <x:c r="G139" s="33" t="str"/>
      <x:c r="H139" s="50" t="str"/>
      <x:c r="I139" s="50" t="str"/>
      <x:c r="J139" s="50" t="str"/>
      <x:c r="K139" s="47" t="str"/>
      <x:c r="L139" s="50" t="str"/>
      <x:c r="M139" s="50" t="str"/>
      <x:c r="N139" s="47" t="str"/>
      <x:c r="O139" s="50" t="str"/>
      <x:c r="P139" s="64" t="str">
        <x:f>IF(O139="","",O139*2)</x:f>
      </x:c>
      <x:c r="Q139" s="50" t="str"/>
      <x:c r="R139" s="47" t="str"/>
      <x:c r="S139" s="33" t="str">
        <x:v>Not Tested</x:v>
      </x:c>
      <x:c r="T139" s="64" t="str">
        <x:v>Eligible</x:v>
      </x:c>
      <x:c r="U139" s="47" t="str"/>
      <x:c r="V139" s="47" t="str"/>
      <x:c r="W139" s="47" t="str"/>
      <x:c r="X139" s="50" t="str"/>
      <x:c r="Y139" s="50" t="str"/>
      <x:c r="Z139" s="47" t="str"/>
      <x:c r="AA139" s="47" t="str">
        <x:v>No direct published reference located; do not display a crimp value.</x:v>
      </x:c>
      <x:c r="AB139" s="161" t="str">
        <x:v>Pending</x:v>
      </x:c>
    </x:row>
    <x:row r="140" ht="42" customHeight="1">
      <x:c r="A140" s="33" t="str">
        <x:v>Draft</x:v>
      </x:c>
      <x:c r="B140" s="47" t="str">
        <x:v>COMP_0136</x:v>
      </x:c>
      <x:c r="C140" s="47" t="str">
        <x:v>601R1_006</x:v>
      </x:c>
      <x:c r="D140" s="47" t="str">
        <x:v>ORFS_F_SW_12_10</x:v>
      </x:c>
      <x:c r="E140" s="47" t="str">
        <x:v>601R1_1WB_006</x:v>
      </x:c>
      <x:c r="F140" s="47" t="str"/>
      <x:c r="G140" s="33" t="str"/>
      <x:c r="H140" s="50" t="str"/>
      <x:c r="I140" s="50" t="str"/>
      <x:c r="J140" s="50" t="str"/>
      <x:c r="K140" s="47" t="str"/>
      <x:c r="L140" s="50" t="str"/>
      <x:c r="M140" s="50" t="str"/>
      <x:c r="N140" s="47" t="str"/>
      <x:c r="O140" s="50" t="str"/>
      <x:c r="P140" s="64" t="str">
        <x:f>IF(O140="","",O140*2)</x:f>
      </x:c>
      <x:c r="Q140" s="50" t="str"/>
      <x:c r="R140" s="47" t="str"/>
      <x:c r="S140" s="33" t="str">
        <x:v>Not Tested</x:v>
      </x:c>
      <x:c r="T140" s="64" t="str">
        <x:v>Eligible</x:v>
      </x:c>
      <x:c r="U140" s="47" t="str"/>
      <x:c r="V140" s="47" t="str"/>
      <x:c r="W140" s="47" t="str"/>
      <x:c r="X140" s="50" t="str"/>
      <x:c r="Y140" s="50" t="str"/>
      <x:c r="Z140" s="47" t="str"/>
      <x:c r="AA140" s="47" t="str">
        <x:v>No direct published reference located; do not display a crimp value.</x:v>
      </x:c>
      <x:c r="AB140" s="161" t="str">
        <x:v>Pending</x:v>
      </x:c>
    </x:row>
    <x:row r="141" ht="42" customHeight="1">
      <x:c r="A141" s="33" t="str">
        <x:v>Draft</x:v>
      </x:c>
      <x:c r="B141" s="47" t="str">
        <x:v>COMP_0137</x:v>
      </x:c>
      <x:c r="C141" s="47" t="str">
        <x:v>601R1_006</x:v>
      </x:c>
      <x:c r="D141" s="47" t="str">
        <x:v>ORFS_M_FX_10_10</x:v>
      </x:c>
      <x:c r="E141" s="47" t="str">
        <x:v>601R1_1WB_006</x:v>
      </x:c>
      <x:c r="F141" s="47" t="str"/>
      <x:c r="G141" s="33" t="str"/>
      <x:c r="H141" s="50" t="str"/>
      <x:c r="I141" s="50" t="str"/>
      <x:c r="J141" s="50" t="str"/>
      <x:c r="K141" s="47" t="str"/>
      <x:c r="L141" s="50" t="str"/>
      <x:c r="M141" s="50" t="str"/>
      <x:c r="N141" s="47" t="str"/>
      <x:c r="O141" s="50" t="str"/>
      <x:c r="P141" s="64" t="str">
        <x:f>IF(O141="","",O141*2)</x:f>
      </x:c>
      <x:c r="Q141" s="50" t="str"/>
      <x:c r="R141" s="47" t="str"/>
      <x:c r="S141" s="33" t="str">
        <x:v>Not Tested</x:v>
      </x:c>
      <x:c r="T141" s="64" t="str">
        <x:v>Eligible</x:v>
      </x:c>
      <x:c r="U141" s="47" t="str"/>
      <x:c r="V141" s="47" t="str"/>
      <x:c r="W141" s="47" t="str"/>
      <x:c r="X141" s="50" t="str"/>
      <x:c r="Y141" s="50" t="str"/>
      <x:c r="Z141" s="47" t="str"/>
      <x:c r="AA141" s="47" t="str">
        <x:v>No direct published reference located; do not display a crimp value.</x:v>
      </x:c>
      <x:c r="AB141" s="161" t="str">
        <x:v>Pending</x:v>
      </x:c>
    </x:row>
    <x:row r="142" ht="42" customHeight="1">
      <x:c r="A142" s="33" t="str">
        <x:v>Draft</x:v>
      </x:c>
      <x:c r="B142" s="47" t="str">
        <x:v>COMP_0138</x:v>
      </x:c>
      <x:c r="C142" s="47" t="str">
        <x:v>601R1_006</x:v>
      </x:c>
      <x:c r="D142" s="47" t="str">
        <x:v>ORFS_M_FX_12_10</x:v>
      </x:c>
      <x:c r="E142" s="47" t="str">
        <x:v>601R1_1WB_006</x:v>
      </x:c>
      <x:c r="F142" s="47" t="str"/>
      <x:c r="G142" s="33" t="str"/>
      <x:c r="H142" s="50" t="str"/>
      <x:c r="I142" s="50" t="str"/>
      <x:c r="J142" s="50" t="str"/>
      <x:c r="K142" s="47" t="str"/>
      <x:c r="L142" s="50" t="str"/>
      <x:c r="M142" s="50" t="str"/>
      <x:c r="N142" s="47" t="str"/>
      <x:c r="O142" s="50" t="str"/>
      <x:c r="P142" s="64" t="str">
        <x:f>IF(O142="","",O142*2)</x:f>
      </x:c>
      <x:c r="Q142" s="50" t="str"/>
      <x:c r="R142" s="47" t="str"/>
      <x:c r="S142" s="33" t="str">
        <x:v>Not Tested</x:v>
      </x:c>
      <x:c r="T142" s="64" t="str">
        <x:v>Eligible</x:v>
      </x:c>
      <x:c r="U142" s="47" t="str"/>
      <x:c r="V142" s="47" t="str"/>
      <x:c r="W142" s="47" t="str"/>
      <x:c r="X142" s="50" t="str"/>
      <x:c r="Y142" s="50" t="str"/>
      <x:c r="Z142" s="47" t="str"/>
      <x:c r="AA142" s="47" t="str">
        <x:v>No direct published reference located; do not display a crimp value.</x:v>
      </x:c>
      <x:c r="AB142" s="161" t="str">
        <x:v>Pending</x:v>
      </x:c>
    </x:row>
    <x:row r="143" ht="42" customHeight="1">
      <x:c r="A143" s="33" t="str">
        <x:v>Draft</x:v>
      </x:c>
      <x:c r="B143" s="47" t="str">
        <x:v>COMP_0139</x:v>
      </x:c>
      <x:c r="C143" s="47" t="str">
        <x:v>601R1_006</x:v>
      </x:c>
      <x:c r="D143" s="47" t="str">
        <x:v>ORFS45_F_SW_10_10</x:v>
      </x:c>
      <x:c r="E143" s="47" t="str">
        <x:v>601R1_1WB_006</x:v>
      </x:c>
      <x:c r="F143" s="47" t="str"/>
      <x:c r="G143" s="33" t="str"/>
      <x:c r="H143" s="50" t="str"/>
      <x:c r="I143" s="50" t="str"/>
      <x:c r="J143" s="50" t="str"/>
      <x:c r="K143" s="47" t="str"/>
      <x:c r="L143" s="50" t="str"/>
      <x:c r="M143" s="50" t="str"/>
      <x:c r="N143" s="47" t="str"/>
      <x:c r="O143" s="50" t="str"/>
      <x:c r="P143" s="64" t="str">
        <x:f>IF(O143="","",O143*2)</x:f>
      </x:c>
      <x:c r="Q143" s="50" t="str"/>
      <x:c r="R143" s="47" t="str"/>
      <x:c r="S143" s="33" t="str">
        <x:v>Not Tested</x:v>
      </x:c>
      <x:c r="T143" s="64" t="str">
        <x:v>Eligible</x:v>
      </x:c>
      <x:c r="U143" s="47" t="str"/>
      <x:c r="V143" s="47" t="str"/>
      <x:c r="W143" s="47" t="str"/>
      <x:c r="X143" s="50" t="str"/>
      <x:c r="Y143" s="50" t="str"/>
      <x:c r="Z143" s="47" t="str"/>
      <x:c r="AA143" s="47" t="str">
        <x:v>No direct published reference located; do not display a crimp value.</x:v>
      </x:c>
      <x:c r="AB143" s="161" t="str">
        <x:v>Pending</x:v>
      </x:c>
    </x:row>
    <x:row r="144" ht="42" customHeight="1">
      <x:c r="A144" s="33" t="str">
        <x:v>Draft</x:v>
      </x:c>
      <x:c r="B144" s="47" t="str">
        <x:v>COMP_0140</x:v>
      </x:c>
      <x:c r="C144" s="47" t="str">
        <x:v>601R1_006</x:v>
      </x:c>
      <x:c r="D144" s="47" t="str">
        <x:v>ORFS45_F_SW_12_10</x:v>
      </x:c>
      <x:c r="E144" s="47" t="str">
        <x:v>601R1_1WB_006</x:v>
      </x:c>
      <x:c r="F144" s="47" t="str"/>
      <x:c r="G144" s="33" t="str"/>
      <x:c r="H144" s="50" t="str"/>
      <x:c r="I144" s="50" t="str"/>
      <x:c r="J144" s="50" t="str"/>
      <x:c r="K144" s="47" t="str"/>
      <x:c r="L144" s="50" t="str"/>
      <x:c r="M144" s="50" t="str"/>
      <x:c r="N144" s="47" t="str"/>
      <x:c r="O144" s="50" t="str"/>
      <x:c r="P144" s="64" t="str">
        <x:f>IF(O144="","",O144*2)</x:f>
      </x:c>
      <x:c r="Q144" s="50" t="str"/>
      <x:c r="R144" s="47" t="str"/>
      <x:c r="S144" s="33" t="str">
        <x:v>Not Tested</x:v>
      </x:c>
      <x:c r="T144" s="64" t="str">
        <x:v>Eligible</x:v>
      </x:c>
      <x:c r="U144" s="47" t="str"/>
      <x:c r="V144" s="47" t="str"/>
      <x:c r="W144" s="47" t="str"/>
      <x:c r="X144" s="50" t="str"/>
      <x:c r="Y144" s="50" t="str"/>
      <x:c r="Z144" s="47" t="str"/>
      <x:c r="AA144" s="47" t="str">
        <x:v>No direct published reference located; do not display a crimp value.</x:v>
      </x:c>
      <x:c r="AB144" s="161" t="str">
        <x:v>Pending</x:v>
      </x:c>
    </x:row>
    <x:row r="145" ht="42" customHeight="1">
      <x:c r="A145" s="33" t="str">
        <x:v>Draft</x:v>
      </x:c>
      <x:c r="B145" s="47" t="str">
        <x:v>COMP_0141</x:v>
      </x:c>
      <x:c r="C145" s="47" t="str">
        <x:v>601R1_006</x:v>
      </x:c>
      <x:c r="D145" s="47" t="str">
        <x:v>ORFS90_F_SW_08_10</x:v>
      </x:c>
      <x:c r="E145" s="47" t="str">
        <x:v>601R1_1WB_006</x:v>
      </x:c>
      <x:c r="F145" s="47" t="str"/>
      <x:c r="G145" s="33" t="str"/>
      <x:c r="H145" s="50" t="str"/>
      <x:c r="I145" s="50" t="str"/>
      <x:c r="J145" s="50" t="str"/>
      <x:c r="K145" s="47" t="str"/>
      <x:c r="L145" s="50" t="str"/>
      <x:c r="M145" s="50" t="str"/>
      <x:c r="N145" s="47" t="str"/>
      <x:c r="O145" s="50" t="str"/>
      <x:c r="P145" s="64" t="str">
        <x:f>IF(O145="","",O145*2)</x:f>
      </x:c>
      <x:c r="Q145" s="50" t="str"/>
      <x:c r="R145" s="47" t="str"/>
      <x:c r="S145" s="33" t="str">
        <x:v>Not Tested</x:v>
      </x:c>
      <x:c r="T145" s="64" t="str">
        <x:v>Eligible</x:v>
      </x:c>
      <x:c r="U145" s="47" t="str"/>
      <x:c r="V145" s="47" t="str"/>
      <x:c r="W145" s="47" t="str"/>
      <x:c r="X145" s="50" t="str"/>
      <x:c r="Y145" s="50" t="str"/>
      <x:c r="Z145" s="47" t="str"/>
      <x:c r="AA145" s="47" t="str">
        <x:v>No direct published reference located; do not display a crimp value.</x:v>
      </x:c>
      <x:c r="AB145" s="161" t="str">
        <x:v>Pending</x:v>
      </x:c>
    </x:row>
    <x:row r="146" ht="42" customHeight="1">
      <x:c r="A146" s="33" t="str">
        <x:v>Draft</x:v>
      </x:c>
      <x:c r="B146" s="47" t="str">
        <x:v>COMP_0142</x:v>
      </x:c>
      <x:c r="C146" s="47" t="str">
        <x:v>601R1_006</x:v>
      </x:c>
      <x:c r="D146" s="47" t="str">
        <x:v>ORFS90_F_SW_10_10</x:v>
      </x:c>
      <x:c r="E146" s="47" t="str">
        <x:v>601R1_1WB_006</x:v>
      </x:c>
      <x:c r="F146" s="47" t="str"/>
      <x:c r="G146" s="33" t="str"/>
      <x:c r="H146" s="50" t="str"/>
      <x:c r="I146" s="50" t="str"/>
      <x:c r="J146" s="50" t="str"/>
      <x:c r="K146" s="47" t="str"/>
      <x:c r="L146" s="50" t="str"/>
      <x:c r="M146" s="50" t="str"/>
      <x:c r="N146" s="47" t="str"/>
      <x:c r="O146" s="50" t="str"/>
      <x:c r="P146" s="64" t="str">
        <x:f>IF(O146="","",O146*2)</x:f>
      </x:c>
      <x:c r="Q146" s="50" t="str"/>
      <x:c r="R146" s="47" t="str"/>
      <x:c r="S146" s="33" t="str">
        <x:v>Not Tested</x:v>
      </x:c>
      <x:c r="T146" s="64" t="str">
        <x:v>Eligible</x:v>
      </x:c>
      <x:c r="U146" s="47" t="str"/>
      <x:c r="V146" s="47" t="str"/>
      <x:c r="W146" s="47" t="str"/>
      <x:c r="X146" s="50" t="str"/>
      <x:c r="Y146" s="50" t="str"/>
      <x:c r="Z146" s="47" t="str"/>
      <x:c r="AA146" s="47" t="str">
        <x:v>No direct published reference located; do not display a crimp value.</x:v>
      </x:c>
      <x:c r="AB146" s="161" t="str">
        <x:v>Pending</x:v>
      </x:c>
    </x:row>
    <x:row r="147" ht="42" customHeight="1">
      <x:c r="A147" s="33" t="str">
        <x:v>Draft</x:v>
      </x:c>
      <x:c r="B147" s="47" t="str">
        <x:v>COMP_0143</x:v>
      </x:c>
      <x:c r="C147" s="47" t="str">
        <x:v>601R1_007</x:v>
      </x:c>
      <x:c r="D147" s="47" t="str">
        <x:v>BSPP_F_SW_12_12</x:v>
      </x:c>
      <x:c r="E147" s="47" t="str">
        <x:v>601R1_1WB_007</x:v>
      </x:c>
      <x:c r="F147" s="47" t="str"/>
      <x:c r="G147" s="33" t="str"/>
      <x:c r="H147" s="50" t="str"/>
      <x:c r="I147" s="50" t="str"/>
      <x:c r="J147" s="50" t="str"/>
      <x:c r="K147" s="47" t="str"/>
      <x:c r="L147" s="50" t="str"/>
      <x:c r="M147" s="50" t="str"/>
      <x:c r="N147" s="47" t="str"/>
      <x:c r="O147" s="50" t="str"/>
      <x:c r="P147" s="64" t="str">
        <x:f>IF(O147="","",O147*2)</x:f>
      </x:c>
      <x:c r="Q147" s="50" t="str"/>
      <x:c r="R147" s="47" t="str"/>
      <x:c r="S147" s="33" t="str">
        <x:v>Not Tested</x:v>
      </x:c>
      <x:c r="T147" s="64" t="str">
        <x:v>Eligible</x:v>
      </x:c>
      <x:c r="U147" s="47" t="str">
        <x:v>DHH W Series Bite-To-The-Wire</x:v>
      </x:c>
      <x:c r="V147" s="47" t="str">
        <x:v>R1-12</x:v>
      </x:c>
      <x:c r="W147" s="47" t="str">
        <x:v>Crimp full shell</x:v>
      </x:c>
      <x:c r="X147" s="50" t="n">
        <x:v>30.86</x:v>
      </x:c>
      <x:c r="Y147" s="50" t="n">
        <x:v>0.13</x:v>
      </x:c>
      <x:c r="Z147" s="47" t="str">
        <x:v>https://www.discounthydraulichose.com/v/vspfiles/downloadables/crimp.pdf (catalog p.99)</x:v>
      </x:c>
      <x:c r="AA147" s="47" t="str">
        <x:v>Published reference data; applicability is limited to the listed reference system and hose code.</x:v>
      </x:c>
      <x:c r="AB147" s="161" t="str">
        <x:v>Pending</x:v>
      </x:c>
    </x:row>
    <x:row r="148" ht="42" customHeight="1">
      <x:c r="A148" s="33" t="str">
        <x:v>Draft</x:v>
      </x:c>
      <x:c r="B148" s="47" t="str">
        <x:v>COMP_0144</x:v>
      </x:c>
      <x:c r="C148" s="47" t="str">
        <x:v>601R1_007</x:v>
      </x:c>
      <x:c r="D148" s="47" t="str">
        <x:v>BSPP_M_FX_12_12</x:v>
      </x:c>
      <x:c r="E148" s="47" t="str">
        <x:v>601R1_1WB_007</x:v>
      </x:c>
      <x:c r="F148" s="47" t="str"/>
      <x:c r="G148" s="33" t="str"/>
      <x:c r="H148" s="50" t="str"/>
      <x:c r="I148" s="50" t="str"/>
      <x:c r="J148" s="50" t="str"/>
      <x:c r="K148" s="47" t="str"/>
      <x:c r="L148" s="50" t="str"/>
      <x:c r="M148" s="50" t="str"/>
      <x:c r="N148" s="47" t="str"/>
      <x:c r="O148" s="50" t="str"/>
      <x:c r="P148" s="64" t="str">
        <x:f>IF(O148="","",O148*2)</x:f>
      </x:c>
      <x:c r="Q148" s="50" t="str"/>
      <x:c r="R148" s="47" t="str"/>
      <x:c r="S148" s="33" t="str">
        <x:v>Not Tested</x:v>
      </x:c>
      <x:c r="T148" s="64" t="str">
        <x:v>Eligible</x:v>
      </x:c>
      <x:c r="U148" s="47" t="str">
        <x:v>DHH W Series Bite-To-The-Wire</x:v>
      </x:c>
      <x:c r="V148" s="47" t="str">
        <x:v>R1-12</x:v>
      </x:c>
      <x:c r="W148" s="47" t="str">
        <x:v>Crimp full shell</x:v>
      </x:c>
      <x:c r="X148" s="50" t="n">
        <x:v>30.86</x:v>
      </x:c>
      <x:c r="Y148" s="50" t="n">
        <x:v>0.13</x:v>
      </x:c>
      <x:c r="Z148" s="47" t="str">
        <x:v>https://www.discounthydraulichose.com/v/vspfiles/downloadables/crimp.pdf (catalog p.99)</x:v>
      </x:c>
      <x:c r="AA148" s="47" t="str">
        <x:v>Published reference data; applicability is limited to the listed reference system and hose code.</x:v>
      </x:c>
      <x:c r="AB148" s="161" t="str">
        <x:v>Pending</x:v>
      </x:c>
    </x:row>
    <x:row r="149" ht="42" customHeight="1">
      <x:c r="A149" s="33" t="str">
        <x:v>Draft</x:v>
      </x:c>
      <x:c r="B149" s="47" t="str">
        <x:v>COMP_0145</x:v>
      </x:c>
      <x:c r="C149" s="47" t="str">
        <x:v>601R1_007</x:v>
      </x:c>
      <x:c r="D149" s="47" t="str">
        <x:v>BSPP45_F_SW_12_12</x:v>
      </x:c>
      <x:c r="E149" s="47" t="str">
        <x:v>601R1_1WB_007</x:v>
      </x:c>
      <x:c r="F149" s="47" t="str"/>
      <x:c r="G149" s="33" t="str"/>
      <x:c r="H149" s="50" t="str"/>
      <x:c r="I149" s="50" t="str"/>
      <x:c r="J149" s="50" t="str"/>
      <x:c r="K149" s="47" t="str"/>
      <x:c r="L149" s="50" t="str"/>
      <x:c r="M149" s="50" t="str"/>
      <x:c r="N149" s="47" t="str"/>
      <x:c r="O149" s="50" t="str"/>
      <x:c r="P149" s="64" t="str">
        <x:f>IF(O149="","",O149*2)</x:f>
      </x:c>
      <x:c r="Q149" s="50" t="str"/>
      <x:c r="R149" s="47" t="str"/>
      <x:c r="S149" s="33" t="str">
        <x:v>Not Tested</x:v>
      </x:c>
      <x:c r="T149" s="64" t="str">
        <x:v>Eligible</x:v>
      </x:c>
      <x:c r="U149" s="47" t="str">
        <x:v>DHH W Series Bite-To-The-Wire</x:v>
      </x:c>
      <x:c r="V149" s="47" t="str">
        <x:v>R1-12</x:v>
      </x:c>
      <x:c r="W149" s="47" t="str">
        <x:v>Crimp full shell</x:v>
      </x:c>
      <x:c r="X149" s="50" t="n">
        <x:v>30.86</x:v>
      </x:c>
      <x:c r="Y149" s="50" t="n">
        <x:v>0.13</x:v>
      </x:c>
      <x:c r="Z149" s="47" t="str">
        <x:v>https://www.discounthydraulichose.com/v/vspfiles/downloadables/crimp.pdf (catalog p.99)</x:v>
      </x:c>
      <x:c r="AA149" s="47" t="str">
        <x:v>Published reference data; applicability is limited to the listed reference system and hose code.</x:v>
      </x:c>
      <x:c r="AB149" s="161" t="str">
        <x:v>Pending</x:v>
      </x:c>
    </x:row>
    <x:row r="150" ht="42" customHeight="1">
      <x:c r="A150" s="33" t="str">
        <x:v>Draft</x:v>
      </x:c>
      <x:c r="B150" s="47" t="str">
        <x:v>COMP_0146</x:v>
      </x:c>
      <x:c r="C150" s="47" t="str">
        <x:v>601R1_007</x:v>
      </x:c>
      <x:c r="D150" s="47" t="str">
        <x:v>BSPP90_F_SW_12_12</x:v>
      </x:c>
      <x:c r="E150" s="47" t="str">
        <x:v>601R1_1WB_007</x:v>
      </x:c>
      <x:c r="F150" s="47" t="str"/>
      <x:c r="G150" s="33" t="str"/>
      <x:c r="H150" s="50" t="str"/>
      <x:c r="I150" s="50" t="str"/>
      <x:c r="J150" s="50" t="str"/>
      <x:c r="K150" s="47" t="str"/>
      <x:c r="L150" s="50" t="str"/>
      <x:c r="M150" s="50" t="str"/>
      <x:c r="N150" s="47" t="str"/>
      <x:c r="O150" s="50" t="str"/>
      <x:c r="P150" s="64" t="str">
        <x:f>IF(O150="","",O150*2)</x:f>
      </x:c>
      <x:c r="Q150" s="50" t="str"/>
      <x:c r="R150" s="47" t="str"/>
      <x:c r="S150" s="33" t="str">
        <x:v>Not Tested</x:v>
      </x:c>
      <x:c r="T150" s="64" t="str">
        <x:v>Eligible</x:v>
      </x:c>
      <x:c r="U150" s="47" t="str">
        <x:v>DHH W Series Bite-To-The-Wire</x:v>
      </x:c>
      <x:c r="V150" s="47" t="str">
        <x:v>R1-12</x:v>
      </x:c>
      <x:c r="W150" s="47" t="str">
        <x:v>Crimp full shell</x:v>
      </x:c>
      <x:c r="X150" s="50" t="n">
        <x:v>30.86</x:v>
      </x:c>
      <x:c r="Y150" s="50" t="n">
        <x:v>0.13</x:v>
      </x:c>
      <x:c r="Z150" s="47" t="str">
        <x:v>https://www.discounthydraulichose.com/v/vspfiles/downloadables/crimp.pdf (catalog p.99)</x:v>
      </x:c>
      <x:c r="AA150" s="47" t="str">
        <x:v>Published reference data; applicability is limited to the listed reference system and hose code.</x:v>
      </x:c>
      <x:c r="AB150" s="161" t="str">
        <x:v>Pending</x:v>
      </x:c>
    </x:row>
    <x:row r="151" ht="42" customHeight="1">
      <x:c r="A151" s="33" t="str">
        <x:v>Draft</x:v>
      </x:c>
      <x:c r="B151" s="47" t="str">
        <x:v>COMP_0147</x:v>
      </x:c>
      <x:c r="C151" s="47" t="str">
        <x:v>601R1_007</x:v>
      </x:c>
      <x:c r="D151" s="47" t="str">
        <x:v>BSPT_M_FX_12_12</x:v>
      </x:c>
      <x:c r="E151" s="47" t="str">
        <x:v>601R1_1WB_007</x:v>
      </x:c>
      <x:c r="F151" s="47" t="str"/>
      <x:c r="G151" s="33" t="str"/>
      <x:c r="H151" s="50" t="str"/>
      <x:c r="I151" s="50" t="str"/>
      <x:c r="J151" s="50" t="str"/>
      <x:c r="K151" s="47" t="str"/>
      <x:c r="L151" s="50" t="str"/>
      <x:c r="M151" s="50" t="str"/>
      <x:c r="N151" s="47" t="str"/>
      <x:c r="O151" s="50" t="str"/>
      <x:c r="P151" s="64" t="str">
        <x:f>IF(O151="","",O151*2)</x:f>
      </x:c>
      <x:c r="Q151" s="50" t="str"/>
      <x:c r="R151" s="47" t="str"/>
      <x:c r="S151" s="33" t="str">
        <x:v>Not Tested</x:v>
      </x:c>
      <x:c r="T151" s="64" t="str">
        <x:v>Eligible</x:v>
      </x:c>
      <x:c r="U151" s="47" t="str">
        <x:v>DHH W Series Bite-To-The-Wire</x:v>
      </x:c>
      <x:c r="V151" s="47" t="str">
        <x:v>R1-12</x:v>
      </x:c>
      <x:c r="W151" s="47" t="str">
        <x:v>Crimp full shell</x:v>
      </x:c>
      <x:c r="X151" s="50" t="n">
        <x:v>30.86</x:v>
      </x:c>
      <x:c r="Y151" s="50" t="n">
        <x:v>0.13</x:v>
      </x:c>
      <x:c r="Z151" s="47" t="str">
        <x:v>https://www.discounthydraulichose.com/v/vspfiles/downloadables/crimp.pdf (catalog p.99)</x:v>
      </x:c>
      <x:c r="AA151" s="47" t="str">
        <x:v>Published reference data; applicability is limited to the listed reference system and hose code.</x:v>
      </x:c>
      <x:c r="AB151" s="161" t="str">
        <x:v>Pending</x:v>
      </x:c>
    </x:row>
    <x:row r="152" ht="42" customHeight="1">
      <x:c r="A152" s="33" t="str">
        <x:v>Draft</x:v>
      </x:c>
      <x:c r="B152" s="47" t="str">
        <x:v>COMP_0148</x:v>
      </x:c>
      <x:c r="C152" s="47" t="str">
        <x:v>601R1_007</x:v>
      </x:c>
      <x:c r="D152" s="47" t="str">
        <x:v>JIC_F_SW_08_12</x:v>
      </x:c>
      <x:c r="E152" s="47" t="str">
        <x:v>601R1_1WB_007</x:v>
      </x:c>
      <x:c r="F152" s="47" t="str"/>
      <x:c r="G152" s="33" t="str"/>
      <x:c r="H152" s="50" t="str"/>
      <x:c r="I152" s="50" t="str"/>
      <x:c r="J152" s="50" t="str"/>
      <x:c r="K152" s="47" t="str"/>
      <x:c r="L152" s="50" t="str"/>
      <x:c r="M152" s="50" t="str"/>
      <x:c r="N152" s="47" t="str"/>
      <x:c r="O152" s="50" t="str"/>
      <x:c r="P152" s="64" t="str">
        <x:f>IF(O152="","",O152*2)</x:f>
      </x:c>
      <x:c r="Q152" s="50" t="str"/>
      <x:c r="R152" s="47" t="str"/>
      <x:c r="S152" s="33" t="str">
        <x:v>Not Tested</x:v>
      </x:c>
      <x:c r="T152" s="64" t="str">
        <x:v>Eligible</x:v>
      </x:c>
      <x:c r="U152" s="47" t="str">
        <x:v>DHH W Series Bite-To-The-Wire</x:v>
      </x:c>
      <x:c r="V152" s="47" t="str">
        <x:v>R1-12</x:v>
      </x:c>
      <x:c r="W152" s="47" t="str">
        <x:v>Crimp full shell</x:v>
      </x:c>
      <x:c r="X152" s="50" t="n">
        <x:v>30.86</x:v>
      </x:c>
      <x:c r="Y152" s="50" t="n">
        <x:v>0.13</x:v>
      </x:c>
      <x:c r="Z152" s="47" t="str">
        <x:v>https://www.discounthydraulichose.com/v/vspfiles/downloadables/crimp.pdf (catalog p.99)</x:v>
      </x:c>
      <x:c r="AA152" s="47" t="str">
        <x:v>Published reference data; applicability is limited to the listed reference system and hose code.</x:v>
      </x:c>
      <x:c r="AB152" s="161" t="str">
        <x:v>Pending</x:v>
      </x:c>
    </x:row>
    <x:row r="153" ht="42" customHeight="1">
      <x:c r="A153" s="33" t="str">
        <x:v>Draft</x:v>
      </x:c>
      <x:c r="B153" s="47" t="str">
        <x:v>COMP_0149</x:v>
      </x:c>
      <x:c r="C153" s="47" t="str">
        <x:v>601R1_007</x:v>
      </x:c>
      <x:c r="D153" s="47" t="str">
        <x:v>JIC_F_SW_10_12</x:v>
      </x:c>
      <x:c r="E153" s="47" t="str">
        <x:v>601R1_1WB_007</x:v>
      </x:c>
      <x:c r="F153" s="47" t="str"/>
      <x:c r="G153" s="33" t="str"/>
      <x:c r="H153" s="50" t="str"/>
      <x:c r="I153" s="50" t="str"/>
      <x:c r="J153" s="50" t="str"/>
      <x:c r="K153" s="47" t="str"/>
      <x:c r="L153" s="50" t="str"/>
      <x:c r="M153" s="50" t="str"/>
      <x:c r="N153" s="47" t="str"/>
      <x:c r="O153" s="50" t="str"/>
      <x:c r="P153" s="64" t="str">
        <x:f>IF(O153="","",O153*2)</x:f>
      </x:c>
      <x:c r="Q153" s="50" t="str"/>
      <x:c r="R153" s="47" t="str"/>
      <x:c r="S153" s="33" t="str">
        <x:v>Not Tested</x:v>
      </x:c>
      <x:c r="T153" s="64" t="str">
        <x:v>Eligible</x:v>
      </x:c>
      <x:c r="U153" s="47" t="str">
        <x:v>DHH W Series Bite-To-The-Wire</x:v>
      </x:c>
      <x:c r="V153" s="47" t="str">
        <x:v>R1-12</x:v>
      </x:c>
      <x:c r="W153" s="47" t="str">
        <x:v>Crimp full shell</x:v>
      </x:c>
      <x:c r="X153" s="50" t="n">
        <x:v>30.86</x:v>
      </x:c>
      <x:c r="Y153" s="50" t="n">
        <x:v>0.13</x:v>
      </x:c>
      <x:c r="Z153" s="47" t="str">
        <x:v>https://www.discounthydraulichose.com/v/vspfiles/downloadables/crimp.pdf (catalog p.99)</x:v>
      </x:c>
      <x:c r="AA153" s="47" t="str">
        <x:v>Published reference data; applicability is limited to the listed reference system and hose code.</x:v>
      </x:c>
      <x:c r="AB153" s="161" t="str">
        <x:v>Pending</x:v>
      </x:c>
    </x:row>
    <x:row r="154" ht="42" customHeight="1">
      <x:c r="A154" s="33" t="str">
        <x:v>Draft</x:v>
      </x:c>
      <x:c r="B154" s="47" t="str">
        <x:v>COMP_0150</x:v>
      </x:c>
      <x:c r="C154" s="47" t="str">
        <x:v>601R1_007</x:v>
      </x:c>
      <x:c r="D154" s="47" t="str">
        <x:v>JIC_F_SW_12_12</x:v>
      </x:c>
      <x:c r="E154" s="47" t="str">
        <x:v>601R1_1WB_007</x:v>
      </x:c>
      <x:c r="F154" s="47" t="str"/>
      <x:c r="G154" s="33" t="str"/>
      <x:c r="H154" s="50" t="str"/>
      <x:c r="I154" s="50" t="str"/>
      <x:c r="J154" s="50" t="str"/>
      <x:c r="K154" s="47" t="str"/>
      <x:c r="L154" s="50" t="str"/>
      <x:c r="M154" s="50" t="str"/>
      <x:c r="N154" s="47" t="str"/>
      <x:c r="O154" s="50" t="str"/>
      <x:c r="P154" s="64" t="str">
        <x:f>IF(O154="","",O154*2)</x:f>
      </x:c>
      <x:c r="Q154" s="50" t="str"/>
      <x:c r="R154" s="47" t="str"/>
      <x:c r="S154" s="33" t="str">
        <x:v>Not Tested</x:v>
      </x:c>
      <x:c r="T154" s="64" t="str">
        <x:v>Eligible</x:v>
      </x:c>
      <x:c r="U154" s="47" t="str">
        <x:v>DHH W Series Bite-To-The-Wire</x:v>
      </x:c>
      <x:c r="V154" s="47" t="str">
        <x:v>R1-12</x:v>
      </x:c>
      <x:c r="W154" s="47" t="str">
        <x:v>Crimp full shell</x:v>
      </x:c>
      <x:c r="X154" s="50" t="n">
        <x:v>30.86</x:v>
      </x:c>
      <x:c r="Y154" s="50" t="n">
        <x:v>0.13</x:v>
      </x:c>
      <x:c r="Z154" s="47" t="str">
        <x:v>https://www.discounthydraulichose.com/v/vspfiles/downloadables/crimp.pdf (catalog p.99)</x:v>
      </x:c>
      <x:c r="AA154" s="47" t="str">
        <x:v>Published reference data; applicability is limited to the listed reference system and hose code.</x:v>
      </x:c>
      <x:c r="AB154" s="161" t="str">
        <x:v>Pending</x:v>
      </x:c>
    </x:row>
    <x:row r="155" ht="42" customHeight="1">
      <x:c r="A155" s="33" t="str">
        <x:v>Draft</x:v>
      </x:c>
      <x:c r="B155" s="47" t="str">
        <x:v>COMP_0151</x:v>
      </x:c>
      <x:c r="C155" s="47" t="str">
        <x:v>601R1_007</x:v>
      </x:c>
      <x:c r="D155" s="47" t="str">
        <x:v>JIC_F_SW_14_12</x:v>
      </x:c>
      <x:c r="E155" s="47" t="str">
        <x:v>601R1_1WB_007</x:v>
      </x:c>
      <x:c r="F155" s="47" t="str"/>
      <x:c r="G155" s="33" t="str"/>
      <x:c r="H155" s="50" t="str"/>
      <x:c r="I155" s="50" t="str"/>
      <x:c r="J155" s="50" t="str"/>
      <x:c r="K155" s="47" t="str"/>
      <x:c r="L155" s="50" t="str"/>
      <x:c r="M155" s="50" t="str"/>
      <x:c r="N155" s="47" t="str"/>
      <x:c r="O155" s="50" t="str"/>
      <x:c r="P155" s="64" t="str">
        <x:f>IF(O155="","",O155*2)</x:f>
      </x:c>
      <x:c r="Q155" s="50" t="str"/>
      <x:c r="R155" s="47" t="str"/>
      <x:c r="S155" s="33" t="str">
        <x:v>Not Tested</x:v>
      </x:c>
      <x:c r="T155" s="64" t="str">
        <x:v>Eligible</x:v>
      </x:c>
      <x:c r="U155" s="47" t="str">
        <x:v>DHH W Series Bite-To-The-Wire</x:v>
      </x:c>
      <x:c r="V155" s="47" t="str">
        <x:v>R1-12</x:v>
      </x:c>
      <x:c r="W155" s="47" t="str">
        <x:v>Crimp full shell</x:v>
      </x:c>
      <x:c r="X155" s="50" t="n">
        <x:v>30.86</x:v>
      </x:c>
      <x:c r="Y155" s="50" t="n">
        <x:v>0.13</x:v>
      </x:c>
      <x:c r="Z155" s="47" t="str">
        <x:v>https://www.discounthydraulichose.com/v/vspfiles/downloadables/crimp.pdf (catalog p.99)</x:v>
      </x:c>
      <x:c r="AA155" s="47" t="str">
        <x:v>Published reference data; applicability is limited to the listed reference system and hose code.</x:v>
      </x:c>
      <x:c r="AB155" s="161" t="str">
        <x:v>Pending</x:v>
      </x:c>
    </x:row>
    <x:row r="156" ht="42" customHeight="1">
      <x:c r="A156" s="33" t="str">
        <x:v>Draft</x:v>
      </x:c>
      <x:c r="B156" s="47" t="str">
        <x:v>COMP_0152</x:v>
      </x:c>
      <x:c r="C156" s="47" t="str">
        <x:v>601R1_007</x:v>
      </x:c>
      <x:c r="D156" s="47" t="str">
        <x:v>JIC_F_SW_16_12</x:v>
      </x:c>
      <x:c r="E156" s="47" t="str">
        <x:v>601R1_1WB_007</x:v>
      </x:c>
      <x:c r="F156" s="47" t="str"/>
      <x:c r="G156" s="33" t="str"/>
      <x:c r="H156" s="50" t="str"/>
      <x:c r="I156" s="50" t="str"/>
      <x:c r="J156" s="50" t="str"/>
      <x:c r="K156" s="47" t="str"/>
      <x:c r="L156" s="50" t="str"/>
      <x:c r="M156" s="50" t="str"/>
      <x:c r="N156" s="47" t="str"/>
      <x:c r="O156" s="50" t="str"/>
      <x:c r="P156" s="64" t="str">
        <x:f>IF(O156="","",O156*2)</x:f>
      </x:c>
      <x:c r="Q156" s="50" t="str"/>
      <x:c r="R156" s="47" t="str"/>
      <x:c r="S156" s="33" t="str">
        <x:v>Not Tested</x:v>
      </x:c>
      <x:c r="T156" s="64" t="str">
        <x:v>Eligible</x:v>
      </x:c>
      <x:c r="U156" s="47" t="str">
        <x:v>DHH W Series Bite-To-The-Wire</x:v>
      </x:c>
      <x:c r="V156" s="47" t="str">
        <x:v>R1-12</x:v>
      </x:c>
      <x:c r="W156" s="47" t="str">
        <x:v>Crimp full shell</x:v>
      </x:c>
      <x:c r="X156" s="50" t="n">
        <x:v>30.86</x:v>
      </x:c>
      <x:c r="Y156" s="50" t="n">
        <x:v>0.13</x:v>
      </x:c>
      <x:c r="Z156" s="47" t="str">
        <x:v>https://www.discounthydraulichose.com/v/vspfiles/downloadables/crimp.pdf (catalog p.99)</x:v>
      </x:c>
      <x:c r="AA156" s="47" t="str">
        <x:v>Published reference data; applicability is limited to the listed reference system and hose code.</x:v>
      </x:c>
      <x:c r="AB156" s="161" t="str">
        <x:v>Pending</x:v>
      </x:c>
    </x:row>
    <x:row r="157" ht="42" customHeight="1">
      <x:c r="A157" s="33" t="str">
        <x:v>Draft</x:v>
      </x:c>
      <x:c r="B157" s="47" t="str">
        <x:v>COMP_0153</x:v>
      </x:c>
      <x:c r="C157" s="47" t="str">
        <x:v>601R1_007</x:v>
      </x:c>
      <x:c r="D157" s="47" t="str">
        <x:v>JIC_M_FX_12_12</x:v>
      </x:c>
      <x:c r="E157" s="47" t="str">
        <x:v>601R1_1WB_007</x:v>
      </x:c>
      <x:c r="F157" s="47" t="str"/>
      <x:c r="G157" s="33" t="str"/>
      <x:c r="H157" s="50" t="str"/>
      <x:c r="I157" s="50" t="str"/>
      <x:c r="J157" s="50" t="str"/>
      <x:c r="K157" s="47" t="str"/>
      <x:c r="L157" s="50" t="str"/>
      <x:c r="M157" s="50" t="str"/>
      <x:c r="N157" s="47" t="str"/>
      <x:c r="O157" s="50" t="str"/>
      <x:c r="P157" s="64" t="str">
        <x:f>IF(O157="","",O157*2)</x:f>
      </x:c>
      <x:c r="Q157" s="50" t="str"/>
      <x:c r="R157" s="47" t="str"/>
      <x:c r="S157" s="33" t="str">
        <x:v>Not Tested</x:v>
      </x:c>
      <x:c r="T157" s="64" t="str">
        <x:v>Eligible</x:v>
      </x:c>
      <x:c r="U157" s="47" t="str">
        <x:v>DHH W Series Bite-To-The-Wire</x:v>
      </x:c>
      <x:c r="V157" s="47" t="str">
        <x:v>R1-12</x:v>
      </x:c>
      <x:c r="W157" s="47" t="str">
        <x:v>Crimp full shell</x:v>
      </x:c>
      <x:c r="X157" s="50" t="n">
        <x:v>30.86</x:v>
      </x:c>
      <x:c r="Y157" s="50" t="n">
        <x:v>0.13</x:v>
      </x:c>
      <x:c r="Z157" s="47" t="str">
        <x:v>https://www.discounthydraulichose.com/v/vspfiles/downloadables/crimp.pdf (catalog p.99)</x:v>
      </x:c>
      <x:c r="AA157" s="47" t="str">
        <x:v>Published reference data; applicability is limited to the listed reference system and hose code.</x:v>
      </x:c>
      <x:c r="AB157" s="161" t="str">
        <x:v>Pending</x:v>
      </x:c>
    </x:row>
    <x:row r="158" ht="42" customHeight="1">
      <x:c r="A158" s="33" t="str">
        <x:v>Draft</x:v>
      </x:c>
      <x:c r="B158" s="47" t="str">
        <x:v>COMP_0154</x:v>
      </x:c>
      <x:c r="C158" s="47" t="str">
        <x:v>601R1_007</x:v>
      </x:c>
      <x:c r="D158" s="47" t="str">
        <x:v>JIC_M_FX_14_12</x:v>
      </x:c>
      <x:c r="E158" s="47" t="str">
        <x:v>601R1_1WB_007</x:v>
      </x:c>
      <x:c r="F158" s="47" t="str"/>
      <x:c r="G158" s="33" t="str"/>
      <x:c r="H158" s="50" t="str"/>
      <x:c r="I158" s="50" t="str"/>
      <x:c r="J158" s="50" t="str"/>
      <x:c r="K158" s="47" t="str"/>
      <x:c r="L158" s="50" t="str"/>
      <x:c r="M158" s="50" t="str"/>
      <x:c r="N158" s="47" t="str"/>
      <x:c r="O158" s="50" t="str"/>
      <x:c r="P158" s="64" t="str">
        <x:f>IF(O158="","",O158*2)</x:f>
      </x:c>
      <x:c r="Q158" s="50" t="str"/>
      <x:c r="R158" s="47" t="str"/>
      <x:c r="S158" s="33" t="str">
        <x:v>Not Tested</x:v>
      </x:c>
      <x:c r="T158" s="64" t="str">
        <x:v>Eligible</x:v>
      </x:c>
      <x:c r="U158" s="47" t="str">
        <x:v>DHH W Series Bite-To-The-Wire</x:v>
      </x:c>
      <x:c r="V158" s="47" t="str">
        <x:v>R1-12</x:v>
      </x:c>
      <x:c r="W158" s="47" t="str">
        <x:v>Crimp full shell</x:v>
      </x:c>
      <x:c r="X158" s="50" t="n">
        <x:v>30.86</x:v>
      </x:c>
      <x:c r="Y158" s="50" t="n">
        <x:v>0.13</x:v>
      </x:c>
      <x:c r="Z158" s="47" t="str">
        <x:v>https://www.discounthydraulichose.com/v/vspfiles/downloadables/crimp.pdf (catalog p.99)</x:v>
      </x:c>
      <x:c r="AA158" s="47" t="str">
        <x:v>Published reference data; applicability is limited to the listed reference system and hose code.</x:v>
      </x:c>
      <x:c r="AB158" s="161" t="str">
        <x:v>Pending</x:v>
      </x:c>
    </x:row>
    <x:row r="159" ht="42" customHeight="1">
      <x:c r="A159" s="33" t="str">
        <x:v>Draft</x:v>
      </x:c>
      <x:c r="B159" s="47" t="str">
        <x:v>COMP_0155</x:v>
      </x:c>
      <x:c r="C159" s="47" t="str">
        <x:v>601R1_007</x:v>
      </x:c>
      <x:c r="D159" s="47" t="str">
        <x:v>JIC_M_FX_16_12</x:v>
      </x:c>
      <x:c r="E159" s="47" t="str">
        <x:v>601R1_1WB_007</x:v>
      </x:c>
      <x:c r="F159" s="47" t="str"/>
      <x:c r="G159" s="33" t="str"/>
      <x:c r="H159" s="50" t="str"/>
      <x:c r="I159" s="50" t="str"/>
      <x:c r="J159" s="50" t="str"/>
      <x:c r="K159" s="47" t="str"/>
      <x:c r="L159" s="50" t="str"/>
      <x:c r="M159" s="50" t="str"/>
      <x:c r="N159" s="47" t="str"/>
      <x:c r="O159" s="50" t="str"/>
      <x:c r="P159" s="64" t="str">
        <x:f>IF(O159="","",O159*2)</x:f>
      </x:c>
      <x:c r="Q159" s="50" t="str"/>
      <x:c r="R159" s="47" t="str"/>
      <x:c r="S159" s="33" t="str">
        <x:v>Not Tested</x:v>
      </x:c>
      <x:c r="T159" s="64" t="str">
        <x:v>Eligible</x:v>
      </x:c>
      <x:c r="U159" s="47" t="str">
        <x:v>DHH W Series Bite-To-The-Wire</x:v>
      </x:c>
      <x:c r="V159" s="47" t="str">
        <x:v>R1-12</x:v>
      </x:c>
      <x:c r="W159" s="47" t="str">
        <x:v>Crimp full shell</x:v>
      </x:c>
      <x:c r="X159" s="50" t="n">
        <x:v>30.86</x:v>
      </x:c>
      <x:c r="Y159" s="50" t="n">
        <x:v>0.13</x:v>
      </x:c>
      <x:c r="Z159" s="47" t="str">
        <x:v>https://www.discounthydraulichose.com/v/vspfiles/downloadables/crimp.pdf (catalog p.99)</x:v>
      </x:c>
      <x:c r="AA159" s="47" t="str">
        <x:v>Published reference data; applicability is limited to the listed reference system and hose code.</x:v>
      </x:c>
      <x:c r="AB159" s="161" t="str">
        <x:v>Pending</x:v>
      </x:c>
    </x:row>
    <x:row r="160" ht="42" customHeight="1">
      <x:c r="A160" s="33" t="str">
        <x:v>Draft</x:v>
      </x:c>
      <x:c r="B160" s="47" t="str">
        <x:v>COMP_0156</x:v>
      </x:c>
      <x:c r="C160" s="47" t="str">
        <x:v>601R1_007</x:v>
      </x:c>
      <x:c r="D160" s="47" t="str">
        <x:v>JIC45_F_SW_12_12</x:v>
      </x:c>
      <x:c r="E160" s="47" t="str">
        <x:v>601R1_1WB_007</x:v>
      </x:c>
      <x:c r="F160" s="47" t="str"/>
      <x:c r="G160" s="33" t="str"/>
      <x:c r="H160" s="50" t="str"/>
      <x:c r="I160" s="50" t="str"/>
      <x:c r="J160" s="50" t="str"/>
      <x:c r="K160" s="47" t="str"/>
      <x:c r="L160" s="50" t="str"/>
      <x:c r="M160" s="50" t="str"/>
      <x:c r="N160" s="47" t="str"/>
      <x:c r="O160" s="50" t="str"/>
      <x:c r="P160" s="64" t="str">
        <x:f>IF(O160="","",O160*2)</x:f>
      </x:c>
      <x:c r="Q160" s="50" t="str"/>
      <x:c r="R160" s="47" t="str"/>
      <x:c r="S160" s="33" t="str">
        <x:v>Not Tested</x:v>
      </x:c>
      <x:c r="T160" s="64" t="str">
        <x:v>Eligible</x:v>
      </x:c>
      <x:c r="U160" s="47" t="str">
        <x:v>DHH W Series Bite-To-The-Wire</x:v>
      </x:c>
      <x:c r="V160" s="47" t="str">
        <x:v>R1-12</x:v>
      </x:c>
      <x:c r="W160" s="47" t="str">
        <x:v>Crimp full shell</x:v>
      </x:c>
      <x:c r="X160" s="50" t="n">
        <x:v>30.86</x:v>
      </x:c>
      <x:c r="Y160" s="50" t="n">
        <x:v>0.13</x:v>
      </x:c>
      <x:c r="Z160" s="47" t="str">
        <x:v>https://www.discounthydraulichose.com/v/vspfiles/downloadables/crimp.pdf (catalog p.99)</x:v>
      </x:c>
      <x:c r="AA160" s="47" t="str">
        <x:v>Published reference data; applicability is limited to the listed reference system and hose code.</x:v>
      </x:c>
      <x:c r="AB160" s="161" t="str">
        <x:v>Pending</x:v>
      </x:c>
    </x:row>
    <x:row r="161" ht="42" customHeight="1">
      <x:c r="A161" s="33" t="str">
        <x:v>Draft</x:v>
      </x:c>
      <x:c r="B161" s="47" t="str">
        <x:v>COMP_0157</x:v>
      </x:c>
      <x:c r="C161" s="47" t="str">
        <x:v>601R1_007</x:v>
      </x:c>
      <x:c r="D161" s="47" t="str">
        <x:v>JIC45_F_SW_16_12</x:v>
      </x:c>
      <x:c r="E161" s="47" t="str">
        <x:v>601R1_1WB_007</x:v>
      </x:c>
      <x:c r="F161" s="47" t="str"/>
      <x:c r="G161" s="33" t="str"/>
      <x:c r="H161" s="50" t="str"/>
      <x:c r="I161" s="50" t="str"/>
      <x:c r="J161" s="50" t="str"/>
      <x:c r="K161" s="47" t="str"/>
      <x:c r="L161" s="50" t="str"/>
      <x:c r="M161" s="50" t="str"/>
      <x:c r="N161" s="47" t="str"/>
      <x:c r="O161" s="50" t="str"/>
      <x:c r="P161" s="64" t="str">
        <x:f>IF(O161="","",O161*2)</x:f>
      </x:c>
      <x:c r="Q161" s="50" t="str"/>
      <x:c r="R161" s="47" t="str"/>
      <x:c r="S161" s="33" t="str">
        <x:v>Not Tested</x:v>
      </x:c>
      <x:c r="T161" s="64" t="str">
        <x:v>Eligible</x:v>
      </x:c>
      <x:c r="U161" s="47" t="str">
        <x:v>DHH W Series Bite-To-The-Wire</x:v>
      </x:c>
      <x:c r="V161" s="47" t="str">
        <x:v>R1-12</x:v>
      </x:c>
      <x:c r="W161" s="47" t="str">
        <x:v>Crimp full shell</x:v>
      </x:c>
      <x:c r="X161" s="50" t="n">
        <x:v>30.86</x:v>
      </x:c>
      <x:c r="Y161" s="50" t="n">
        <x:v>0.13</x:v>
      </x:c>
      <x:c r="Z161" s="47" t="str">
        <x:v>https://www.discounthydraulichose.com/v/vspfiles/downloadables/crimp.pdf (catalog p.99)</x:v>
      </x:c>
      <x:c r="AA161" s="47" t="str">
        <x:v>Published reference data; applicability is limited to the listed reference system and hose code.</x:v>
      </x:c>
      <x:c r="AB161" s="161" t="str">
        <x:v>Pending</x:v>
      </x:c>
    </x:row>
    <x:row r="162" ht="42" customHeight="1">
      <x:c r="A162" s="33" t="str">
        <x:v>Draft</x:v>
      </x:c>
      <x:c r="B162" s="47" t="str">
        <x:v>COMP_0158</x:v>
      </x:c>
      <x:c r="C162" s="47" t="str">
        <x:v>601R1_007</x:v>
      </x:c>
      <x:c r="D162" s="47" t="str">
        <x:v>JIC90_F_SW_12_12</x:v>
      </x:c>
      <x:c r="E162" s="47" t="str">
        <x:v>601R1_1WB_007</x:v>
      </x:c>
      <x:c r="F162" s="47" t="str"/>
      <x:c r="G162" s="33" t="str"/>
      <x:c r="H162" s="50" t="str"/>
      <x:c r="I162" s="50" t="str"/>
      <x:c r="J162" s="50" t="str"/>
      <x:c r="K162" s="47" t="str"/>
      <x:c r="L162" s="50" t="str"/>
      <x:c r="M162" s="50" t="str"/>
      <x:c r="N162" s="47" t="str"/>
      <x:c r="O162" s="50" t="str"/>
      <x:c r="P162" s="64" t="str">
        <x:f>IF(O162="","",O162*2)</x:f>
      </x:c>
      <x:c r="Q162" s="50" t="str"/>
      <x:c r="R162" s="47" t="str"/>
      <x:c r="S162" s="33" t="str">
        <x:v>Not Tested</x:v>
      </x:c>
      <x:c r="T162" s="64" t="str">
        <x:v>Eligible</x:v>
      </x:c>
      <x:c r="U162" s="47" t="str">
        <x:v>DHH W Series Bite-To-The-Wire</x:v>
      </x:c>
      <x:c r="V162" s="47" t="str">
        <x:v>R1-12</x:v>
      </x:c>
      <x:c r="W162" s="47" t="str">
        <x:v>Crimp full shell</x:v>
      </x:c>
      <x:c r="X162" s="50" t="n">
        <x:v>30.86</x:v>
      </x:c>
      <x:c r="Y162" s="50" t="n">
        <x:v>0.13</x:v>
      </x:c>
      <x:c r="Z162" s="47" t="str">
        <x:v>https://www.discounthydraulichose.com/v/vspfiles/downloadables/crimp.pdf (catalog p.99)</x:v>
      </x:c>
      <x:c r="AA162" s="47" t="str">
        <x:v>Published reference data; applicability is limited to the listed reference system and hose code.</x:v>
      </x:c>
      <x:c r="AB162" s="161" t="str">
        <x:v>Pending</x:v>
      </x:c>
    </x:row>
    <x:row r="163" ht="42" customHeight="1">
      <x:c r="A163" s="33" t="str">
        <x:v>Draft</x:v>
      </x:c>
      <x:c r="B163" s="47" t="str">
        <x:v>COMP_0159</x:v>
      </x:c>
      <x:c r="C163" s="47" t="str">
        <x:v>601R1_007</x:v>
      </x:c>
      <x:c r="D163" s="47" t="str">
        <x:v>JIC90_F_SW_16_12</x:v>
      </x:c>
      <x:c r="E163" s="47" t="str">
        <x:v>601R1_1WB_007</x:v>
      </x:c>
      <x:c r="F163" s="47" t="str"/>
      <x:c r="G163" s="33" t="str"/>
      <x:c r="H163" s="50" t="str"/>
      <x:c r="I163" s="50" t="str"/>
      <x:c r="J163" s="50" t="str"/>
      <x:c r="K163" s="47" t="str"/>
      <x:c r="L163" s="50" t="str"/>
      <x:c r="M163" s="50" t="str"/>
      <x:c r="N163" s="47" t="str"/>
      <x:c r="O163" s="50" t="str"/>
      <x:c r="P163" s="64" t="str">
        <x:f>IF(O163="","",O163*2)</x:f>
      </x:c>
      <x:c r="Q163" s="50" t="str"/>
      <x:c r="R163" s="47" t="str"/>
      <x:c r="S163" s="33" t="str">
        <x:v>Not Tested</x:v>
      </x:c>
      <x:c r="T163" s="64" t="str">
        <x:v>Eligible</x:v>
      </x:c>
      <x:c r="U163" s="47" t="str">
        <x:v>DHH W Series Bite-To-The-Wire</x:v>
      </x:c>
      <x:c r="V163" s="47" t="str">
        <x:v>R1-12</x:v>
      </x:c>
      <x:c r="W163" s="47" t="str">
        <x:v>Crimp full shell</x:v>
      </x:c>
      <x:c r="X163" s="50" t="n">
        <x:v>30.86</x:v>
      </x:c>
      <x:c r="Y163" s="50" t="n">
        <x:v>0.13</x:v>
      </x:c>
      <x:c r="Z163" s="47" t="str">
        <x:v>https://www.discounthydraulichose.com/v/vspfiles/downloadables/crimp.pdf (catalog p.99)</x:v>
      </x:c>
      <x:c r="AA163" s="47" t="str">
        <x:v>Published reference data; applicability is limited to the listed reference system and hose code.</x:v>
      </x:c>
      <x:c r="AB163" s="161" t="str">
        <x:v>Pending</x:v>
      </x:c>
    </x:row>
    <x:row r="164" ht="42" customHeight="1">
      <x:c r="A164" s="33" t="str">
        <x:v>Draft</x:v>
      </x:c>
      <x:c r="B164" s="47" t="str">
        <x:v>COMP_0160</x:v>
      </x:c>
      <x:c r="C164" s="47" t="str">
        <x:v>601R1_007</x:v>
      </x:c>
      <x:c r="D164" s="47" t="str">
        <x:v>NPT_F_FX_12_12</x:v>
      </x:c>
      <x:c r="E164" s="47" t="str">
        <x:v>601R1_1WB_007</x:v>
      </x:c>
      <x:c r="F164" s="47" t="str"/>
      <x:c r="G164" s="33" t="str"/>
      <x:c r="H164" s="50" t="str"/>
      <x:c r="I164" s="50" t="str"/>
      <x:c r="J164" s="50" t="str"/>
      <x:c r="K164" s="47" t="str"/>
      <x:c r="L164" s="50" t="str"/>
      <x:c r="M164" s="50" t="str"/>
      <x:c r="N164" s="47" t="str"/>
      <x:c r="O164" s="50" t="str"/>
      <x:c r="P164" s="64" t="str">
        <x:f>IF(O164="","",O164*2)</x:f>
      </x:c>
      <x:c r="Q164" s="50" t="str"/>
      <x:c r="R164" s="47" t="str"/>
      <x:c r="S164" s="33" t="str">
        <x:v>Not Tested</x:v>
      </x:c>
      <x:c r="T164" s="64" t="str">
        <x:v>Eligible</x:v>
      </x:c>
      <x:c r="U164" s="47" t="str">
        <x:v>DHH W Series Bite-To-The-Wire</x:v>
      </x:c>
      <x:c r="V164" s="47" t="str">
        <x:v>R1-12</x:v>
      </x:c>
      <x:c r="W164" s="47" t="str">
        <x:v>Crimp full shell</x:v>
      </x:c>
      <x:c r="X164" s="50" t="n">
        <x:v>30.86</x:v>
      </x:c>
      <x:c r="Y164" s="50" t="n">
        <x:v>0.13</x:v>
      </x:c>
      <x:c r="Z164" s="47" t="str">
        <x:v>https://www.discounthydraulichose.com/v/vspfiles/downloadables/crimp.pdf (catalog p.99)</x:v>
      </x:c>
      <x:c r="AA164" s="47" t="str">
        <x:v>Published reference data; applicability is limited to the listed reference system and hose code.</x:v>
      </x:c>
      <x:c r="AB164" s="161" t="str">
        <x:v>Pending</x:v>
      </x:c>
    </x:row>
    <x:row r="165" ht="42" customHeight="1">
      <x:c r="A165" s="33" t="str">
        <x:v>Draft</x:v>
      </x:c>
      <x:c r="B165" s="47" t="str">
        <x:v>COMP_0161</x:v>
      </x:c>
      <x:c r="C165" s="47" t="str">
        <x:v>601R1_007</x:v>
      </x:c>
      <x:c r="D165" s="47" t="str">
        <x:v>NPT_M_FX_08_12</x:v>
      </x:c>
      <x:c r="E165" s="47" t="str">
        <x:v>601R1_1WB_007</x:v>
      </x:c>
      <x:c r="F165" s="47" t="str"/>
      <x:c r="G165" s="33" t="str"/>
      <x:c r="H165" s="50" t="str"/>
      <x:c r="I165" s="50" t="str"/>
      <x:c r="J165" s="50" t="str"/>
      <x:c r="K165" s="47" t="str"/>
      <x:c r="L165" s="50" t="str"/>
      <x:c r="M165" s="50" t="str"/>
      <x:c r="N165" s="47" t="str"/>
      <x:c r="O165" s="50" t="str"/>
      <x:c r="P165" s="64" t="str">
        <x:f>IF(O165="","",O165*2)</x:f>
      </x:c>
      <x:c r="Q165" s="50" t="str"/>
      <x:c r="R165" s="47" t="str"/>
      <x:c r="S165" s="33" t="str">
        <x:v>Not Tested</x:v>
      </x:c>
      <x:c r="T165" s="64" t="str">
        <x:v>Eligible</x:v>
      </x:c>
      <x:c r="U165" s="47" t="str">
        <x:v>DHH W Series Bite-To-The-Wire</x:v>
      </x:c>
      <x:c r="V165" s="47" t="str">
        <x:v>R1-12</x:v>
      </x:c>
      <x:c r="W165" s="47" t="str">
        <x:v>Crimp full shell</x:v>
      </x:c>
      <x:c r="X165" s="50" t="n">
        <x:v>30.86</x:v>
      </x:c>
      <x:c r="Y165" s="50" t="n">
        <x:v>0.13</x:v>
      </x:c>
      <x:c r="Z165" s="47" t="str">
        <x:v>https://www.discounthydraulichose.com/v/vspfiles/downloadables/crimp.pdf (catalog p.99)</x:v>
      </x:c>
      <x:c r="AA165" s="47" t="str">
        <x:v>Published reference data; applicability is limited to the listed reference system and hose code.</x:v>
      </x:c>
      <x:c r="AB165" s="161" t="str">
        <x:v>Pending</x:v>
      </x:c>
    </x:row>
    <x:row r="166" ht="42" customHeight="1">
      <x:c r="A166" s="33" t="str">
        <x:v>Draft</x:v>
      </x:c>
      <x:c r="B166" s="47" t="str">
        <x:v>COMP_0162</x:v>
      </x:c>
      <x:c r="C166" s="47" t="str">
        <x:v>601R1_007</x:v>
      </x:c>
      <x:c r="D166" s="47" t="str">
        <x:v>NPT_M_FX_12_12</x:v>
      </x:c>
      <x:c r="E166" s="47" t="str">
        <x:v>601R1_1WB_007</x:v>
      </x:c>
      <x:c r="F166" s="47" t="str"/>
      <x:c r="G166" s="33" t="str"/>
      <x:c r="H166" s="50" t="str"/>
      <x:c r="I166" s="50" t="str"/>
      <x:c r="J166" s="50" t="str"/>
      <x:c r="K166" s="47" t="str"/>
      <x:c r="L166" s="50" t="str"/>
      <x:c r="M166" s="50" t="str"/>
      <x:c r="N166" s="47" t="str"/>
      <x:c r="O166" s="50" t="str"/>
      <x:c r="P166" s="64" t="str">
        <x:f>IF(O166="","",O166*2)</x:f>
      </x:c>
      <x:c r="Q166" s="50" t="str"/>
      <x:c r="R166" s="47" t="str"/>
      <x:c r="S166" s="33" t="str">
        <x:v>Not Tested</x:v>
      </x:c>
      <x:c r="T166" s="64" t="str">
        <x:v>Eligible</x:v>
      </x:c>
      <x:c r="U166" s="47" t="str">
        <x:v>DHH W Series Bite-To-The-Wire</x:v>
      </x:c>
      <x:c r="V166" s="47" t="str">
        <x:v>R1-12</x:v>
      </x:c>
      <x:c r="W166" s="47" t="str">
        <x:v>Crimp full shell</x:v>
      </x:c>
      <x:c r="X166" s="50" t="n">
        <x:v>30.86</x:v>
      </x:c>
      <x:c r="Y166" s="50" t="n">
        <x:v>0.13</x:v>
      </x:c>
      <x:c r="Z166" s="47" t="str">
        <x:v>https://www.discounthydraulichose.com/v/vspfiles/downloadables/crimp.pdf (catalog p.99)</x:v>
      </x:c>
      <x:c r="AA166" s="47" t="str">
        <x:v>Published reference data; applicability is limited to the listed reference system and hose code.</x:v>
      </x:c>
      <x:c r="AB166" s="161" t="str">
        <x:v>Pending</x:v>
      </x:c>
    </x:row>
    <x:row r="167" ht="42" customHeight="1">
      <x:c r="A167" s="33" t="str">
        <x:v>Draft</x:v>
      </x:c>
      <x:c r="B167" s="47" t="str">
        <x:v>COMP_0163</x:v>
      </x:c>
      <x:c r="C167" s="47" t="str">
        <x:v>601R1_007</x:v>
      </x:c>
      <x:c r="D167" s="47" t="str">
        <x:v>NPT_M_FX_16_12</x:v>
      </x:c>
      <x:c r="E167" s="47" t="str">
        <x:v>601R1_1WB_007</x:v>
      </x:c>
      <x:c r="F167" s="47" t="str"/>
      <x:c r="G167" s="33" t="str"/>
      <x:c r="H167" s="50" t="str"/>
      <x:c r="I167" s="50" t="str"/>
      <x:c r="J167" s="50" t="str"/>
      <x:c r="K167" s="47" t="str"/>
      <x:c r="L167" s="50" t="str"/>
      <x:c r="M167" s="50" t="str"/>
      <x:c r="N167" s="47" t="str"/>
      <x:c r="O167" s="50" t="str"/>
      <x:c r="P167" s="64" t="str">
        <x:f>IF(O167="","",O167*2)</x:f>
      </x:c>
      <x:c r="Q167" s="50" t="str"/>
      <x:c r="R167" s="47" t="str"/>
      <x:c r="S167" s="33" t="str">
        <x:v>Not Tested</x:v>
      </x:c>
      <x:c r="T167" s="64" t="str">
        <x:v>Eligible</x:v>
      </x:c>
      <x:c r="U167" s="47" t="str">
        <x:v>DHH W Series Bite-To-The-Wire</x:v>
      </x:c>
      <x:c r="V167" s="47" t="str">
        <x:v>R1-12</x:v>
      </x:c>
      <x:c r="W167" s="47" t="str">
        <x:v>Crimp full shell</x:v>
      </x:c>
      <x:c r="X167" s="50" t="n">
        <x:v>30.86</x:v>
      </x:c>
      <x:c r="Y167" s="50" t="n">
        <x:v>0.13</x:v>
      </x:c>
      <x:c r="Z167" s="47" t="str">
        <x:v>https://www.discounthydraulichose.com/v/vspfiles/downloadables/crimp.pdf (catalog p.99)</x:v>
      </x:c>
      <x:c r="AA167" s="47" t="str">
        <x:v>Published reference data; applicability is limited to the listed reference system and hose code.</x:v>
      </x:c>
      <x:c r="AB167" s="161" t="str">
        <x:v>Pending</x:v>
      </x:c>
    </x:row>
    <x:row r="168" ht="42" customHeight="1">
      <x:c r="A168" s="33" t="str">
        <x:v>Draft</x:v>
      </x:c>
      <x:c r="B168" s="47" t="str">
        <x:v>COMP_0164</x:v>
      </x:c>
      <x:c r="C168" s="47" t="str">
        <x:v>601R1_007</x:v>
      </x:c>
      <x:c r="D168" s="47" t="str">
        <x:v>NPT90_M_SW_12_12</x:v>
      </x:c>
      <x:c r="E168" s="47" t="str">
        <x:v>601R1_1WB_007</x:v>
      </x:c>
      <x:c r="F168" s="47" t="str"/>
      <x:c r="G168" s="33" t="str"/>
      <x:c r="H168" s="50" t="str"/>
      <x:c r="I168" s="50" t="str"/>
      <x:c r="J168" s="50" t="str"/>
      <x:c r="K168" s="47" t="str"/>
      <x:c r="L168" s="50" t="str"/>
      <x:c r="M168" s="50" t="str"/>
      <x:c r="N168" s="47" t="str"/>
      <x:c r="O168" s="50" t="str"/>
      <x:c r="P168" s="64" t="str">
        <x:f>IF(O168="","",O168*2)</x:f>
      </x:c>
      <x:c r="Q168" s="50" t="str"/>
      <x:c r="R168" s="47" t="str"/>
      <x:c r="S168" s="33" t="str">
        <x:v>Not Tested</x:v>
      </x:c>
      <x:c r="T168" s="64" t="str">
        <x:v>Eligible</x:v>
      </x:c>
      <x:c r="U168" s="47" t="str">
        <x:v>DHH W Series Bite-To-The-Wire</x:v>
      </x:c>
      <x:c r="V168" s="47" t="str">
        <x:v>R1-12</x:v>
      </x:c>
      <x:c r="W168" s="47" t="str">
        <x:v>Crimp full shell</x:v>
      </x:c>
      <x:c r="X168" s="50" t="n">
        <x:v>30.86</x:v>
      </x:c>
      <x:c r="Y168" s="50" t="n">
        <x:v>0.13</x:v>
      </x:c>
      <x:c r="Z168" s="47" t="str">
        <x:v>https://www.discounthydraulichose.com/v/vspfiles/downloadables/crimp.pdf (catalog p.99)</x:v>
      </x:c>
      <x:c r="AA168" s="47" t="str">
        <x:v>Published reference data; applicability is limited to the listed reference system and hose code.</x:v>
      </x:c>
      <x:c r="AB168" s="161" t="str">
        <x:v>Pending</x:v>
      </x:c>
    </x:row>
    <x:row r="169" ht="42" customHeight="1">
      <x:c r="A169" s="33" t="str">
        <x:v>Draft</x:v>
      </x:c>
      <x:c r="B169" s="47" t="str">
        <x:v>COMP_0165</x:v>
      </x:c>
      <x:c r="C169" s="47" t="str">
        <x:v>601R1_007</x:v>
      </x:c>
      <x:c r="D169" s="47" t="str">
        <x:v>ORFS_F_SW_10_12</x:v>
      </x:c>
      <x:c r="E169" s="47" t="str">
        <x:v>601R1_1WB_007</x:v>
      </x:c>
      <x:c r="F169" s="47" t="str"/>
      <x:c r="G169" s="33" t="str"/>
      <x:c r="H169" s="50" t="str"/>
      <x:c r="I169" s="50" t="str"/>
      <x:c r="J169" s="50" t="str"/>
      <x:c r="K169" s="47" t="str"/>
      <x:c r="L169" s="50" t="str"/>
      <x:c r="M169" s="50" t="str"/>
      <x:c r="N169" s="47" t="str"/>
      <x:c r="O169" s="50" t="str"/>
      <x:c r="P169" s="64" t="str">
        <x:f>IF(O169="","",O169*2)</x:f>
      </x:c>
      <x:c r="Q169" s="50" t="str"/>
      <x:c r="R169" s="47" t="str"/>
      <x:c r="S169" s="33" t="str">
        <x:v>Not Tested</x:v>
      </x:c>
      <x:c r="T169" s="64" t="str">
        <x:v>Eligible</x:v>
      </x:c>
      <x:c r="U169" s="47" t="str">
        <x:v>DHH W Series Bite-To-The-Wire</x:v>
      </x:c>
      <x:c r="V169" s="47" t="str">
        <x:v>R1-12</x:v>
      </x:c>
      <x:c r="W169" s="47" t="str">
        <x:v>Crimp full shell</x:v>
      </x:c>
      <x:c r="X169" s="50" t="n">
        <x:v>30.86</x:v>
      </x:c>
      <x:c r="Y169" s="50" t="n">
        <x:v>0.13</x:v>
      </x:c>
      <x:c r="Z169" s="47" t="str">
        <x:v>https://www.discounthydraulichose.com/v/vspfiles/downloadables/crimp.pdf (catalog p.99)</x:v>
      </x:c>
      <x:c r="AA169" s="47" t="str">
        <x:v>Published reference data; applicability is limited to the listed reference system and hose code.</x:v>
      </x:c>
      <x:c r="AB169" s="161" t="str">
        <x:v>Pending</x:v>
      </x:c>
    </x:row>
    <x:row r="170" ht="42" customHeight="1">
      <x:c r="A170" s="33" t="str">
        <x:v>Draft</x:v>
      </x:c>
      <x:c r="B170" s="47" t="str">
        <x:v>COMP_0166</x:v>
      </x:c>
      <x:c r="C170" s="47" t="str">
        <x:v>601R1_007</x:v>
      </x:c>
      <x:c r="D170" s="47" t="str">
        <x:v>ORFS_F_SW_12_12</x:v>
      </x:c>
      <x:c r="E170" s="47" t="str">
        <x:v>601R1_1WB_007</x:v>
      </x:c>
      <x:c r="F170" s="47" t="str"/>
      <x:c r="G170" s="33" t="str"/>
      <x:c r="H170" s="50" t="str"/>
      <x:c r="I170" s="50" t="str"/>
      <x:c r="J170" s="50" t="str"/>
      <x:c r="K170" s="47" t="str"/>
      <x:c r="L170" s="50" t="str"/>
      <x:c r="M170" s="50" t="str"/>
      <x:c r="N170" s="47" t="str"/>
      <x:c r="O170" s="50" t="str"/>
      <x:c r="P170" s="64" t="str">
        <x:f>IF(O170="","",O170*2)</x:f>
      </x:c>
      <x:c r="Q170" s="50" t="str"/>
      <x:c r="R170" s="47" t="str"/>
      <x:c r="S170" s="33" t="str">
        <x:v>Not Tested</x:v>
      </x:c>
      <x:c r="T170" s="64" t="str">
        <x:v>Eligible</x:v>
      </x:c>
      <x:c r="U170" s="47" t="str">
        <x:v>DHH W Series Bite-To-The-Wire</x:v>
      </x:c>
      <x:c r="V170" s="47" t="str">
        <x:v>R1-12</x:v>
      </x:c>
      <x:c r="W170" s="47" t="str">
        <x:v>Crimp full shell</x:v>
      </x:c>
      <x:c r="X170" s="50" t="n">
        <x:v>30.86</x:v>
      </x:c>
      <x:c r="Y170" s="50" t="n">
        <x:v>0.13</x:v>
      </x:c>
      <x:c r="Z170" s="47" t="str">
        <x:v>https://www.discounthydraulichose.com/v/vspfiles/downloadables/crimp.pdf (catalog p.99)</x:v>
      </x:c>
      <x:c r="AA170" s="47" t="str">
        <x:v>Published reference data; applicability is limited to the listed reference system and hose code.</x:v>
      </x:c>
      <x:c r="AB170" s="161" t="str">
        <x:v>Pending</x:v>
      </x:c>
    </x:row>
    <x:row r="171" ht="42" customHeight="1">
      <x:c r="A171" s="33" t="str">
        <x:v>Draft</x:v>
      </x:c>
      <x:c r="B171" s="47" t="str">
        <x:v>COMP_0167</x:v>
      </x:c>
      <x:c r="C171" s="47" t="str">
        <x:v>601R1_007</x:v>
      </x:c>
      <x:c r="D171" s="47" t="str">
        <x:v>ORFS_F_SW_16_12</x:v>
      </x:c>
      <x:c r="E171" s="47" t="str">
        <x:v>601R1_1WB_007</x:v>
      </x:c>
      <x:c r="F171" s="47" t="str"/>
      <x:c r="G171" s="33" t="str"/>
      <x:c r="H171" s="50" t="str"/>
      <x:c r="I171" s="50" t="str"/>
      <x:c r="J171" s="50" t="str"/>
      <x:c r="K171" s="47" t="str"/>
      <x:c r="L171" s="50" t="str"/>
      <x:c r="M171" s="50" t="str"/>
      <x:c r="N171" s="47" t="str"/>
      <x:c r="O171" s="50" t="str"/>
      <x:c r="P171" s="64" t="str">
        <x:f>IF(O171="","",O171*2)</x:f>
      </x:c>
      <x:c r="Q171" s="50" t="str"/>
      <x:c r="R171" s="47" t="str"/>
      <x:c r="S171" s="33" t="str">
        <x:v>Not Tested</x:v>
      </x:c>
      <x:c r="T171" s="64" t="str">
        <x:v>Eligible</x:v>
      </x:c>
      <x:c r="U171" s="47" t="str">
        <x:v>DHH W Series Bite-To-The-Wire</x:v>
      </x:c>
      <x:c r="V171" s="47" t="str">
        <x:v>R1-12</x:v>
      </x:c>
      <x:c r="W171" s="47" t="str">
        <x:v>Crimp full shell</x:v>
      </x:c>
      <x:c r="X171" s="50" t="n">
        <x:v>30.86</x:v>
      </x:c>
      <x:c r="Y171" s="50" t="n">
        <x:v>0.13</x:v>
      </x:c>
      <x:c r="Z171" s="47" t="str">
        <x:v>https://www.discounthydraulichose.com/v/vspfiles/downloadables/crimp.pdf (catalog p.99)</x:v>
      </x:c>
      <x:c r="AA171" s="47" t="str">
        <x:v>Published reference data; applicability is limited to the listed reference system and hose code.</x:v>
      </x:c>
      <x:c r="AB171" s="161" t="str">
        <x:v>Pending</x:v>
      </x:c>
    </x:row>
    <x:row r="172" ht="42" customHeight="1">
      <x:c r="A172" s="33" t="str">
        <x:v>Draft</x:v>
      </x:c>
      <x:c r="B172" s="47" t="str">
        <x:v>COMP_0168</x:v>
      </x:c>
      <x:c r="C172" s="47" t="str">
        <x:v>601R1_007</x:v>
      </x:c>
      <x:c r="D172" s="47" t="str">
        <x:v>ORFS_M_FX_12_12</x:v>
      </x:c>
      <x:c r="E172" s="47" t="str">
        <x:v>601R1_1WB_007</x:v>
      </x:c>
      <x:c r="F172" s="47" t="str"/>
      <x:c r="G172" s="33" t="str"/>
      <x:c r="H172" s="50" t="str"/>
      <x:c r="I172" s="50" t="str"/>
      <x:c r="J172" s="50" t="str"/>
      <x:c r="K172" s="47" t="str"/>
      <x:c r="L172" s="50" t="str"/>
      <x:c r="M172" s="50" t="str"/>
      <x:c r="N172" s="47" t="str"/>
      <x:c r="O172" s="50" t="str"/>
      <x:c r="P172" s="64" t="str">
        <x:f>IF(O172="","",O172*2)</x:f>
      </x:c>
      <x:c r="Q172" s="50" t="str"/>
      <x:c r="R172" s="47" t="str"/>
      <x:c r="S172" s="33" t="str">
        <x:v>Not Tested</x:v>
      </x:c>
      <x:c r="T172" s="64" t="str">
        <x:v>Eligible</x:v>
      </x:c>
      <x:c r="U172" s="47" t="str">
        <x:v>DHH W Series Bite-To-The-Wire</x:v>
      </x:c>
      <x:c r="V172" s="47" t="str">
        <x:v>R1-12</x:v>
      </x:c>
      <x:c r="W172" s="47" t="str">
        <x:v>Crimp full shell</x:v>
      </x:c>
      <x:c r="X172" s="50" t="n">
        <x:v>30.86</x:v>
      </x:c>
      <x:c r="Y172" s="50" t="n">
        <x:v>0.13</x:v>
      </x:c>
      <x:c r="Z172" s="47" t="str">
        <x:v>https://www.discounthydraulichose.com/v/vspfiles/downloadables/crimp.pdf (catalog p.99)</x:v>
      </x:c>
      <x:c r="AA172" s="47" t="str">
        <x:v>Published reference data; applicability is limited to the listed reference system and hose code.</x:v>
      </x:c>
      <x:c r="AB172" s="161" t="str">
        <x:v>Pending</x:v>
      </x:c>
    </x:row>
    <x:row r="173" ht="42" customHeight="1">
      <x:c r="A173" s="33" t="str">
        <x:v>Draft</x:v>
      </x:c>
      <x:c r="B173" s="47" t="str">
        <x:v>COMP_0169</x:v>
      </x:c>
      <x:c r="C173" s="47" t="str">
        <x:v>601R1_007</x:v>
      </x:c>
      <x:c r="D173" s="47" t="str">
        <x:v>ORFS_M_FX_16_12</x:v>
      </x:c>
      <x:c r="E173" s="47" t="str">
        <x:v>601R1_1WB_007</x:v>
      </x:c>
      <x:c r="F173" s="47" t="str"/>
      <x:c r="G173" s="33" t="str"/>
      <x:c r="H173" s="50" t="str"/>
      <x:c r="I173" s="50" t="str"/>
      <x:c r="J173" s="50" t="str"/>
      <x:c r="K173" s="47" t="str"/>
      <x:c r="L173" s="50" t="str"/>
      <x:c r="M173" s="50" t="str"/>
      <x:c r="N173" s="47" t="str"/>
      <x:c r="O173" s="50" t="str"/>
      <x:c r="P173" s="64" t="str">
        <x:f>IF(O173="","",O173*2)</x:f>
      </x:c>
      <x:c r="Q173" s="50" t="str"/>
      <x:c r="R173" s="47" t="str"/>
      <x:c r="S173" s="33" t="str">
        <x:v>Not Tested</x:v>
      </x:c>
      <x:c r="T173" s="64" t="str">
        <x:v>Eligible</x:v>
      </x:c>
      <x:c r="U173" s="47" t="str">
        <x:v>DHH W Series Bite-To-The-Wire</x:v>
      </x:c>
      <x:c r="V173" s="47" t="str">
        <x:v>R1-12</x:v>
      </x:c>
      <x:c r="W173" s="47" t="str">
        <x:v>Crimp full shell</x:v>
      </x:c>
      <x:c r="X173" s="50" t="n">
        <x:v>30.86</x:v>
      </x:c>
      <x:c r="Y173" s="50" t="n">
        <x:v>0.13</x:v>
      </x:c>
      <x:c r="Z173" s="47" t="str">
        <x:v>https://www.discounthydraulichose.com/v/vspfiles/downloadables/crimp.pdf (catalog p.99)</x:v>
      </x:c>
      <x:c r="AA173" s="47" t="str">
        <x:v>Published reference data; applicability is limited to the listed reference system and hose code.</x:v>
      </x:c>
      <x:c r="AB173" s="161" t="str">
        <x:v>Pending</x:v>
      </x:c>
    </x:row>
    <x:row r="174" ht="42" customHeight="1">
      <x:c r="A174" s="33" t="str">
        <x:v>Draft</x:v>
      </x:c>
      <x:c r="B174" s="47" t="str">
        <x:v>COMP_0170</x:v>
      </x:c>
      <x:c r="C174" s="47" t="str">
        <x:v>601R1_007</x:v>
      </x:c>
      <x:c r="D174" s="47" t="str">
        <x:v>ORFS45_F_SW_10_12</x:v>
      </x:c>
      <x:c r="E174" s="47" t="str">
        <x:v>601R1_1WB_007</x:v>
      </x:c>
      <x:c r="F174" s="47" t="str"/>
      <x:c r="G174" s="33" t="str"/>
      <x:c r="H174" s="50" t="str"/>
      <x:c r="I174" s="50" t="str"/>
      <x:c r="J174" s="50" t="str"/>
      <x:c r="K174" s="47" t="str"/>
      <x:c r="L174" s="50" t="str"/>
      <x:c r="M174" s="50" t="str"/>
      <x:c r="N174" s="47" t="str"/>
      <x:c r="O174" s="50" t="str"/>
      <x:c r="P174" s="64" t="str">
        <x:f>IF(O174="","",O174*2)</x:f>
      </x:c>
      <x:c r="Q174" s="50" t="str"/>
      <x:c r="R174" s="47" t="str"/>
      <x:c r="S174" s="33" t="str">
        <x:v>Not Tested</x:v>
      </x:c>
      <x:c r="T174" s="64" t="str">
        <x:v>Eligible</x:v>
      </x:c>
      <x:c r="U174" s="47" t="str">
        <x:v>DHH W Series Bite-To-The-Wire</x:v>
      </x:c>
      <x:c r="V174" s="47" t="str">
        <x:v>R1-12</x:v>
      </x:c>
      <x:c r="W174" s="47" t="str">
        <x:v>Crimp full shell</x:v>
      </x:c>
      <x:c r="X174" s="50" t="n">
        <x:v>30.86</x:v>
      </x:c>
      <x:c r="Y174" s="50" t="n">
        <x:v>0.13</x:v>
      </x:c>
      <x:c r="Z174" s="47" t="str">
        <x:v>https://www.discounthydraulichose.com/v/vspfiles/downloadables/crimp.pdf (catalog p.99)</x:v>
      </x:c>
      <x:c r="AA174" s="47" t="str">
        <x:v>Published reference data; applicability is limited to the listed reference system and hose code.</x:v>
      </x:c>
      <x:c r="AB174" s="161" t="str">
        <x:v>Pending</x:v>
      </x:c>
    </x:row>
    <x:row r="175" ht="42" customHeight="1">
      <x:c r="A175" s="33" t="str">
        <x:v>Draft</x:v>
      </x:c>
      <x:c r="B175" s="47" t="str">
        <x:v>COMP_0171</x:v>
      </x:c>
      <x:c r="C175" s="47" t="str">
        <x:v>601R1_007</x:v>
      </x:c>
      <x:c r="D175" s="47" t="str">
        <x:v>ORFS45_F_SW_12_12</x:v>
      </x:c>
      <x:c r="E175" s="47" t="str">
        <x:v>601R1_1WB_007</x:v>
      </x:c>
      <x:c r="F175" s="47" t="str"/>
      <x:c r="G175" s="33" t="str"/>
      <x:c r="H175" s="50" t="str"/>
      <x:c r="I175" s="50" t="str"/>
      <x:c r="J175" s="50" t="str"/>
      <x:c r="K175" s="47" t="str"/>
      <x:c r="L175" s="50" t="str"/>
      <x:c r="M175" s="50" t="str"/>
      <x:c r="N175" s="47" t="str"/>
      <x:c r="O175" s="50" t="str"/>
      <x:c r="P175" s="64" t="str">
        <x:f>IF(O175="","",O175*2)</x:f>
      </x:c>
      <x:c r="Q175" s="50" t="str"/>
      <x:c r="R175" s="47" t="str"/>
      <x:c r="S175" s="33" t="str">
        <x:v>Not Tested</x:v>
      </x:c>
      <x:c r="T175" s="64" t="str">
        <x:v>Eligible</x:v>
      </x:c>
      <x:c r="U175" s="47" t="str">
        <x:v>DHH W Series Bite-To-The-Wire</x:v>
      </x:c>
      <x:c r="V175" s="47" t="str">
        <x:v>R1-12</x:v>
      </x:c>
      <x:c r="W175" s="47" t="str">
        <x:v>Crimp full shell</x:v>
      </x:c>
      <x:c r="X175" s="50" t="n">
        <x:v>30.86</x:v>
      </x:c>
      <x:c r="Y175" s="50" t="n">
        <x:v>0.13</x:v>
      </x:c>
      <x:c r="Z175" s="47" t="str">
        <x:v>https://www.discounthydraulichose.com/v/vspfiles/downloadables/crimp.pdf (catalog p.99)</x:v>
      </x:c>
      <x:c r="AA175" s="47" t="str">
        <x:v>Published reference data; applicability is limited to the listed reference system and hose code.</x:v>
      </x:c>
      <x:c r="AB175" s="161" t="str">
        <x:v>Pending</x:v>
      </x:c>
    </x:row>
    <x:row r="176" ht="42" customHeight="1">
      <x:c r="A176" s="33" t="str">
        <x:v>Draft</x:v>
      </x:c>
      <x:c r="B176" s="47" t="str">
        <x:v>COMP_0172</x:v>
      </x:c>
      <x:c r="C176" s="47" t="str">
        <x:v>601R1_007</x:v>
      </x:c>
      <x:c r="D176" s="47" t="str">
        <x:v>ORFS45_F_SW_16_12</x:v>
      </x:c>
      <x:c r="E176" s="47" t="str">
        <x:v>601R1_1WB_007</x:v>
      </x:c>
      <x:c r="F176" s="47" t="str"/>
      <x:c r="G176" s="33" t="str"/>
      <x:c r="H176" s="50" t="str"/>
      <x:c r="I176" s="50" t="str"/>
      <x:c r="J176" s="50" t="str"/>
      <x:c r="K176" s="47" t="str"/>
      <x:c r="L176" s="50" t="str"/>
      <x:c r="M176" s="50" t="str"/>
      <x:c r="N176" s="47" t="str"/>
      <x:c r="O176" s="50" t="str"/>
      <x:c r="P176" s="64" t="str">
        <x:f>IF(O176="","",O176*2)</x:f>
      </x:c>
      <x:c r="Q176" s="50" t="str"/>
      <x:c r="R176" s="47" t="str"/>
      <x:c r="S176" s="33" t="str">
        <x:v>Not Tested</x:v>
      </x:c>
      <x:c r="T176" s="64" t="str">
        <x:v>Eligible</x:v>
      </x:c>
      <x:c r="U176" s="47" t="str">
        <x:v>DHH W Series Bite-To-The-Wire</x:v>
      </x:c>
      <x:c r="V176" s="47" t="str">
        <x:v>R1-12</x:v>
      </x:c>
      <x:c r="W176" s="47" t="str">
        <x:v>Crimp full shell</x:v>
      </x:c>
      <x:c r="X176" s="50" t="n">
        <x:v>30.86</x:v>
      </x:c>
      <x:c r="Y176" s="50" t="n">
        <x:v>0.13</x:v>
      </x:c>
      <x:c r="Z176" s="47" t="str">
        <x:v>https://www.discounthydraulichose.com/v/vspfiles/downloadables/crimp.pdf (catalog p.99)</x:v>
      </x:c>
      <x:c r="AA176" s="47" t="str">
        <x:v>Published reference data; applicability is limited to the listed reference system and hose code.</x:v>
      </x:c>
      <x:c r="AB176" s="161" t="str">
        <x:v>Pending</x:v>
      </x:c>
    </x:row>
    <x:row r="177" ht="42" customHeight="1">
      <x:c r="A177" s="33" t="str">
        <x:v>Draft</x:v>
      </x:c>
      <x:c r="B177" s="47" t="str">
        <x:v>COMP_0173</x:v>
      </x:c>
      <x:c r="C177" s="47" t="str">
        <x:v>601R1_007</x:v>
      </x:c>
      <x:c r="D177" s="47" t="str">
        <x:v>ORFS90_F_SW_10_12</x:v>
      </x:c>
      <x:c r="E177" s="47" t="str">
        <x:v>601R1_1WB_007</x:v>
      </x:c>
      <x:c r="F177" s="47" t="str"/>
      <x:c r="G177" s="33" t="str"/>
      <x:c r="H177" s="50" t="str"/>
      <x:c r="I177" s="50" t="str"/>
      <x:c r="J177" s="50" t="str"/>
      <x:c r="K177" s="47" t="str"/>
      <x:c r="L177" s="50" t="str"/>
      <x:c r="M177" s="50" t="str"/>
      <x:c r="N177" s="47" t="str"/>
      <x:c r="O177" s="50" t="str"/>
      <x:c r="P177" s="64" t="str">
        <x:f>IF(O177="","",O177*2)</x:f>
      </x:c>
      <x:c r="Q177" s="50" t="str"/>
      <x:c r="R177" s="47" t="str"/>
      <x:c r="S177" s="33" t="str">
        <x:v>Not Tested</x:v>
      </x:c>
      <x:c r="T177" s="64" t="str">
        <x:v>Eligible</x:v>
      </x:c>
      <x:c r="U177" s="47" t="str">
        <x:v>DHH W Series Bite-To-The-Wire</x:v>
      </x:c>
      <x:c r="V177" s="47" t="str">
        <x:v>R1-12</x:v>
      </x:c>
      <x:c r="W177" s="47" t="str">
        <x:v>Crimp full shell</x:v>
      </x:c>
      <x:c r="X177" s="50" t="n">
        <x:v>30.86</x:v>
      </x:c>
      <x:c r="Y177" s="50" t="n">
        <x:v>0.13</x:v>
      </x:c>
      <x:c r="Z177" s="47" t="str">
        <x:v>https://www.discounthydraulichose.com/v/vspfiles/downloadables/crimp.pdf (catalog p.99)</x:v>
      </x:c>
      <x:c r="AA177" s="47" t="str">
        <x:v>Published reference data; applicability is limited to the listed reference system and hose code.</x:v>
      </x:c>
      <x:c r="AB177" s="161" t="str">
        <x:v>Pending</x:v>
      </x:c>
    </x:row>
    <x:row r="178" ht="42" customHeight="1">
      <x:c r="A178" s="33" t="str">
        <x:v>Draft</x:v>
      </x:c>
      <x:c r="B178" s="47" t="str">
        <x:v>COMP_0174</x:v>
      </x:c>
      <x:c r="C178" s="47" t="str">
        <x:v>601R1_007</x:v>
      </x:c>
      <x:c r="D178" s="47" t="str">
        <x:v>ORFS90_F_SW_12_12</x:v>
      </x:c>
      <x:c r="E178" s="47" t="str">
        <x:v>601R1_1WB_007</x:v>
      </x:c>
      <x:c r="F178" s="47" t="str"/>
      <x:c r="G178" s="33" t="str"/>
      <x:c r="H178" s="50" t="str"/>
      <x:c r="I178" s="50" t="str"/>
      <x:c r="J178" s="50" t="str"/>
      <x:c r="K178" s="47" t="str"/>
      <x:c r="L178" s="50" t="str"/>
      <x:c r="M178" s="50" t="str"/>
      <x:c r="N178" s="47" t="str"/>
      <x:c r="O178" s="50" t="str"/>
      <x:c r="P178" s="64" t="str">
        <x:f>IF(O178="","",O178*2)</x:f>
      </x:c>
      <x:c r="Q178" s="50" t="str"/>
      <x:c r="R178" s="47" t="str"/>
      <x:c r="S178" s="33" t="str">
        <x:v>Not Tested</x:v>
      </x:c>
      <x:c r="T178" s="64" t="str">
        <x:v>Eligible</x:v>
      </x:c>
      <x:c r="U178" s="47" t="str">
        <x:v>DHH W Series Bite-To-The-Wire</x:v>
      </x:c>
      <x:c r="V178" s="47" t="str">
        <x:v>R1-12</x:v>
      </x:c>
      <x:c r="W178" s="47" t="str">
        <x:v>Crimp full shell</x:v>
      </x:c>
      <x:c r="X178" s="50" t="n">
        <x:v>30.86</x:v>
      </x:c>
      <x:c r="Y178" s="50" t="n">
        <x:v>0.13</x:v>
      </x:c>
      <x:c r="Z178" s="47" t="str">
        <x:v>https://www.discounthydraulichose.com/v/vspfiles/downloadables/crimp.pdf (catalog p.99)</x:v>
      </x:c>
      <x:c r="AA178" s="47" t="str">
        <x:v>Published reference data; applicability is limited to the listed reference system and hose code.</x:v>
      </x:c>
      <x:c r="AB178" s="161" t="str">
        <x:v>Pending</x:v>
      </x:c>
    </x:row>
    <x:row r="179" ht="42" customHeight="1">
      <x:c r="A179" s="33" t="str">
        <x:v>Draft</x:v>
      </x:c>
      <x:c r="B179" s="47" t="str">
        <x:v>COMP_0175</x:v>
      </x:c>
      <x:c r="C179" s="47" t="str">
        <x:v>601R1_007</x:v>
      </x:c>
      <x:c r="D179" s="47" t="str">
        <x:v>ORFS90_F_SW_16_12</x:v>
      </x:c>
      <x:c r="E179" s="47" t="str">
        <x:v>601R1_1WB_007</x:v>
      </x:c>
      <x:c r="F179" s="47" t="str"/>
      <x:c r="G179" s="33" t="str"/>
      <x:c r="H179" s="50" t="str"/>
      <x:c r="I179" s="50" t="str"/>
      <x:c r="J179" s="50" t="str"/>
      <x:c r="K179" s="47" t="str"/>
      <x:c r="L179" s="50" t="str"/>
      <x:c r="M179" s="50" t="str"/>
      <x:c r="N179" s="47" t="str"/>
      <x:c r="O179" s="50" t="str"/>
      <x:c r="P179" s="64" t="str">
        <x:f>IF(O179="","",O179*2)</x:f>
      </x:c>
      <x:c r="Q179" s="50" t="str"/>
      <x:c r="R179" s="47" t="str"/>
      <x:c r="S179" s="33" t="str">
        <x:v>Not Tested</x:v>
      </x:c>
      <x:c r="T179" s="64" t="str">
        <x:v>Eligible</x:v>
      </x:c>
      <x:c r="U179" s="47" t="str">
        <x:v>DHH W Series Bite-To-The-Wire</x:v>
      </x:c>
      <x:c r="V179" s="47" t="str">
        <x:v>R1-12</x:v>
      </x:c>
      <x:c r="W179" s="47" t="str">
        <x:v>Crimp full shell</x:v>
      </x:c>
      <x:c r="X179" s="50" t="n">
        <x:v>30.86</x:v>
      </x:c>
      <x:c r="Y179" s="50" t="n">
        <x:v>0.13</x:v>
      </x:c>
      <x:c r="Z179" s="47" t="str">
        <x:v>https://www.discounthydraulichose.com/v/vspfiles/downloadables/crimp.pdf (catalog p.99)</x:v>
      </x:c>
      <x:c r="AA179" s="47" t="str">
        <x:v>Published reference data; applicability is limited to the listed reference system and hose code.</x:v>
      </x:c>
      <x:c r="AB179" s="161" t="str">
        <x:v>Pending</x:v>
      </x:c>
    </x:row>
    <x:row r="180" ht="42" customHeight="1">
      <x:c r="A180" s="33" t="str">
        <x:v>Draft</x:v>
      </x:c>
      <x:c r="B180" s="47" t="str">
        <x:v>COMP_0176</x:v>
      </x:c>
      <x:c r="C180" s="47" t="str">
        <x:v>601R1_009</x:v>
      </x:c>
      <x:c r="D180" s="47" t="str">
        <x:v>BSPP_F_SW_16_16</x:v>
      </x:c>
      <x:c r="E180" s="47" t="str">
        <x:v>601R1_1WB_009</x:v>
      </x:c>
      <x:c r="F180" s="47" t="str"/>
      <x:c r="G180" s="33" t="str"/>
      <x:c r="H180" s="50" t="str"/>
      <x:c r="I180" s="50" t="str"/>
      <x:c r="J180" s="50" t="str"/>
      <x:c r="K180" s="47" t="str"/>
      <x:c r="L180" s="50" t="str"/>
      <x:c r="M180" s="50" t="str"/>
      <x:c r="N180" s="47" t="str"/>
      <x:c r="O180" s="50" t="str"/>
      <x:c r="P180" s="64" t="str">
        <x:f>IF(O180="","",O180*2)</x:f>
      </x:c>
      <x:c r="Q180" s="50" t="str"/>
      <x:c r="R180" s="47" t="str"/>
      <x:c r="S180" s="33" t="str">
        <x:v>Not Tested</x:v>
      </x:c>
      <x:c r="T180" s="64" t="str">
        <x:v>Eligible</x:v>
      </x:c>
      <x:c r="U180" s="47" t="str">
        <x:v>DHH W Series Bite-To-The-Wire</x:v>
      </x:c>
      <x:c r="V180" s="47" t="str">
        <x:v>R1-16</x:v>
      </x:c>
      <x:c r="W180" s="47" t="str">
        <x:v>Crimp full shell</x:v>
      </x:c>
      <x:c r="X180" s="50" t="n">
        <x:v>41.3</x:v>
      </x:c>
      <x:c r="Y180" s="50" t="n">
        <x:v>0.13</x:v>
      </x:c>
      <x:c r="Z180" s="47" t="str">
        <x:v>https://www.discounthydraulichose.com/v/vspfiles/downloadables/crimp.pdf (catalog p.99)</x:v>
      </x:c>
      <x:c r="AA180" s="47" t="str">
        <x:v>Published reference data; applicability is limited to the listed reference system and hose code.</x:v>
      </x:c>
      <x:c r="AB180" s="161" t="str">
        <x:v>Pending</x:v>
      </x:c>
    </x:row>
    <x:row r="181" ht="42" customHeight="1">
      <x:c r="A181" s="33" t="str">
        <x:v>Draft</x:v>
      </x:c>
      <x:c r="B181" s="47" t="str">
        <x:v>COMP_0177</x:v>
      </x:c>
      <x:c r="C181" s="47" t="str">
        <x:v>601R1_009</x:v>
      </x:c>
      <x:c r="D181" s="47" t="str">
        <x:v>BSPP45_F_SW_16_16</x:v>
      </x:c>
      <x:c r="E181" s="47" t="str">
        <x:v>601R1_1WB_009</x:v>
      </x:c>
      <x:c r="F181" s="47" t="str"/>
      <x:c r="G181" s="33" t="str"/>
      <x:c r="H181" s="50" t="str"/>
      <x:c r="I181" s="50" t="str"/>
      <x:c r="J181" s="50" t="str"/>
      <x:c r="K181" s="47" t="str"/>
      <x:c r="L181" s="50" t="str"/>
      <x:c r="M181" s="50" t="str"/>
      <x:c r="N181" s="47" t="str"/>
      <x:c r="O181" s="50" t="str"/>
      <x:c r="P181" s="64" t="str">
        <x:f>IF(O181="","",O181*2)</x:f>
      </x:c>
      <x:c r="Q181" s="50" t="str"/>
      <x:c r="R181" s="47" t="str"/>
      <x:c r="S181" s="33" t="str">
        <x:v>Not Tested</x:v>
      </x:c>
      <x:c r="T181" s="64" t="str">
        <x:v>Eligible</x:v>
      </x:c>
      <x:c r="U181" s="47" t="str">
        <x:v>DHH W Series Bite-To-The-Wire</x:v>
      </x:c>
      <x:c r="V181" s="47" t="str">
        <x:v>R1-16</x:v>
      </x:c>
      <x:c r="W181" s="47" t="str">
        <x:v>Crimp full shell</x:v>
      </x:c>
      <x:c r="X181" s="50" t="n">
        <x:v>41.3</x:v>
      </x:c>
      <x:c r="Y181" s="50" t="n">
        <x:v>0.13</x:v>
      </x:c>
      <x:c r="Z181" s="47" t="str">
        <x:v>https://www.discounthydraulichose.com/v/vspfiles/downloadables/crimp.pdf (catalog p.99)</x:v>
      </x:c>
      <x:c r="AA181" s="47" t="str">
        <x:v>Published reference data; applicability is limited to the listed reference system and hose code.</x:v>
      </x:c>
      <x:c r="AB181" s="161" t="str">
        <x:v>Pending</x:v>
      </x:c>
    </x:row>
    <x:row r="182" ht="42" customHeight="1">
      <x:c r="A182" s="33" t="str">
        <x:v>Draft</x:v>
      </x:c>
      <x:c r="B182" s="47" t="str">
        <x:v>COMP_0178</x:v>
      </x:c>
      <x:c r="C182" s="47" t="str">
        <x:v>601R1_009</x:v>
      </x:c>
      <x:c r="D182" s="47" t="str">
        <x:v>BSPP90_F_SW_16_16</x:v>
      </x:c>
      <x:c r="E182" s="47" t="str">
        <x:v>601R1_1WB_009</x:v>
      </x:c>
      <x:c r="F182" s="47" t="str"/>
      <x:c r="G182" s="33" t="str"/>
      <x:c r="H182" s="50" t="str"/>
      <x:c r="I182" s="50" t="str"/>
      <x:c r="J182" s="50" t="str"/>
      <x:c r="K182" s="47" t="str"/>
      <x:c r="L182" s="50" t="str"/>
      <x:c r="M182" s="50" t="str"/>
      <x:c r="N182" s="47" t="str"/>
      <x:c r="O182" s="50" t="str"/>
      <x:c r="P182" s="64" t="str">
        <x:f>IF(O182="","",O182*2)</x:f>
      </x:c>
      <x:c r="Q182" s="50" t="str"/>
      <x:c r="R182" s="47" t="str"/>
      <x:c r="S182" s="33" t="str">
        <x:v>Not Tested</x:v>
      </x:c>
      <x:c r="T182" s="64" t="str">
        <x:v>Eligible</x:v>
      </x:c>
      <x:c r="U182" s="47" t="str">
        <x:v>DHH W Series Bite-To-The-Wire</x:v>
      </x:c>
      <x:c r="V182" s="47" t="str">
        <x:v>R1-16</x:v>
      </x:c>
      <x:c r="W182" s="47" t="str">
        <x:v>Crimp full shell</x:v>
      </x:c>
      <x:c r="X182" s="50" t="n">
        <x:v>41.3</x:v>
      </x:c>
      <x:c r="Y182" s="50" t="n">
        <x:v>0.13</x:v>
      </x:c>
      <x:c r="Z182" s="47" t="str">
        <x:v>https://www.discounthydraulichose.com/v/vspfiles/downloadables/crimp.pdf (catalog p.99)</x:v>
      </x:c>
      <x:c r="AA182" s="47" t="str">
        <x:v>Published reference data; applicability is limited to the listed reference system and hose code.</x:v>
      </x:c>
      <x:c r="AB182" s="161" t="str">
        <x:v>Pending</x:v>
      </x:c>
    </x:row>
    <x:row r="183" ht="42" customHeight="1">
      <x:c r="A183" s="33" t="str">
        <x:v>Draft</x:v>
      </x:c>
      <x:c r="B183" s="47" t="str">
        <x:v>COMP_0179</x:v>
      </x:c>
      <x:c r="C183" s="47" t="str">
        <x:v>601R1_009</x:v>
      </x:c>
      <x:c r="D183" s="47" t="str">
        <x:v>BSPT_M_FX_16_16</x:v>
      </x:c>
      <x:c r="E183" s="47" t="str">
        <x:v>601R1_1WB_009</x:v>
      </x:c>
      <x:c r="F183" s="47" t="str"/>
      <x:c r="G183" s="33" t="str"/>
      <x:c r="H183" s="50" t="str"/>
      <x:c r="I183" s="50" t="str"/>
      <x:c r="J183" s="50" t="str"/>
      <x:c r="K183" s="47" t="str"/>
      <x:c r="L183" s="50" t="str"/>
      <x:c r="M183" s="50" t="str"/>
      <x:c r="N183" s="47" t="str"/>
      <x:c r="O183" s="50" t="str"/>
      <x:c r="P183" s="64" t="str">
        <x:f>IF(O183="","",O183*2)</x:f>
      </x:c>
      <x:c r="Q183" s="50" t="str"/>
      <x:c r="R183" s="47" t="str"/>
      <x:c r="S183" s="33" t="str">
        <x:v>Not Tested</x:v>
      </x:c>
      <x:c r="T183" s="64" t="str">
        <x:v>Eligible</x:v>
      </x:c>
      <x:c r="U183" s="47" t="str">
        <x:v>DHH W Series Bite-To-The-Wire</x:v>
      </x:c>
      <x:c r="V183" s="47" t="str">
        <x:v>R1-16</x:v>
      </x:c>
      <x:c r="W183" s="47" t="str">
        <x:v>Crimp full shell</x:v>
      </x:c>
      <x:c r="X183" s="50" t="n">
        <x:v>41.3</x:v>
      </x:c>
      <x:c r="Y183" s="50" t="n">
        <x:v>0.13</x:v>
      </x:c>
      <x:c r="Z183" s="47" t="str">
        <x:v>https://www.discounthydraulichose.com/v/vspfiles/downloadables/crimp.pdf (catalog p.99)</x:v>
      </x:c>
      <x:c r="AA183" s="47" t="str">
        <x:v>Published reference data; applicability is limited to the listed reference system and hose code.</x:v>
      </x:c>
      <x:c r="AB183" s="161" t="str">
        <x:v>Pending</x:v>
      </x:c>
    </x:row>
    <x:row r="184" ht="42" customHeight="1">
      <x:c r="A184" s="33" t="str">
        <x:v>Draft</x:v>
      </x:c>
      <x:c r="B184" s="47" t="str">
        <x:v>COMP_0180</x:v>
      </x:c>
      <x:c r="C184" s="47" t="str">
        <x:v>601R1_009</x:v>
      </x:c>
      <x:c r="D184" s="47" t="str">
        <x:v>JIC_F_SW_12_16</x:v>
      </x:c>
      <x:c r="E184" s="47" t="str">
        <x:v>601R1_1WB_009</x:v>
      </x:c>
      <x:c r="F184" s="47" t="str"/>
      <x:c r="G184" s="33" t="str"/>
      <x:c r="H184" s="50" t="str"/>
      <x:c r="I184" s="50" t="str"/>
      <x:c r="J184" s="50" t="str"/>
      <x:c r="K184" s="47" t="str"/>
      <x:c r="L184" s="50" t="str"/>
      <x:c r="M184" s="50" t="str"/>
      <x:c r="N184" s="47" t="str"/>
      <x:c r="O184" s="50" t="str"/>
      <x:c r="P184" s="64" t="str">
        <x:f>IF(O184="","",O184*2)</x:f>
      </x:c>
      <x:c r="Q184" s="50" t="str"/>
      <x:c r="R184" s="47" t="str"/>
      <x:c r="S184" s="33" t="str">
        <x:v>Not Tested</x:v>
      </x:c>
      <x:c r="T184" s="64" t="str">
        <x:v>Eligible</x:v>
      </x:c>
      <x:c r="U184" s="47" t="str">
        <x:v>DHH W Series Bite-To-The-Wire</x:v>
      </x:c>
      <x:c r="V184" s="47" t="str">
        <x:v>R1-16</x:v>
      </x:c>
      <x:c r="W184" s="47" t="str">
        <x:v>Crimp full shell</x:v>
      </x:c>
      <x:c r="X184" s="50" t="n">
        <x:v>41.3</x:v>
      </x:c>
      <x:c r="Y184" s="50" t="n">
        <x:v>0.13</x:v>
      </x:c>
      <x:c r="Z184" s="47" t="str">
        <x:v>https://www.discounthydraulichose.com/v/vspfiles/downloadables/crimp.pdf (catalog p.99)</x:v>
      </x:c>
      <x:c r="AA184" s="47" t="str">
        <x:v>Published reference data; applicability is limited to the listed reference system and hose code.</x:v>
      </x:c>
      <x:c r="AB184" s="161" t="str">
        <x:v>Pending</x:v>
      </x:c>
    </x:row>
    <x:row r="185" ht="42" customHeight="1">
      <x:c r="A185" s="33" t="str">
        <x:v>Draft</x:v>
      </x:c>
      <x:c r="B185" s="47" t="str">
        <x:v>COMP_0181</x:v>
      </x:c>
      <x:c r="C185" s="47" t="str">
        <x:v>601R1_009</x:v>
      </x:c>
      <x:c r="D185" s="47" t="str">
        <x:v>JIC_F_SW_16_16</x:v>
      </x:c>
      <x:c r="E185" s="47" t="str">
        <x:v>601R1_1WB_009</x:v>
      </x:c>
      <x:c r="F185" s="47" t="str"/>
      <x:c r="G185" s="33" t="str"/>
      <x:c r="H185" s="50" t="str"/>
      <x:c r="I185" s="50" t="str"/>
      <x:c r="J185" s="50" t="str"/>
      <x:c r="K185" s="47" t="str"/>
      <x:c r="L185" s="50" t="str"/>
      <x:c r="M185" s="50" t="str"/>
      <x:c r="N185" s="47" t="str"/>
      <x:c r="O185" s="50" t="str"/>
      <x:c r="P185" s="64" t="str">
        <x:f>IF(O185="","",O185*2)</x:f>
      </x:c>
      <x:c r="Q185" s="50" t="str"/>
      <x:c r="R185" s="47" t="str"/>
      <x:c r="S185" s="33" t="str">
        <x:v>Not Tested</x:v>
      </x:c>
      <x:c r="T185" s="64" t="str">
        <x:v>Eligible</x:v>
      </x:c>
      <x:c r="U185" s="47" t="str">
        <x:v>DHH W Series Bite-To-The-Wire</x:v>
      </x:c>
      <x:c r="V185" s="47" t="str">
        <x:v>R1-16</x:v>
      </x:c>
      <x:c r="W185" s="47" t="str">
        <x:v>Crimp full shell</x:v>
      </x:c>
      <x:c r="X185" s="50" t="n">
        <x:v>41.3</x:v>
      </x:c>
      <x:c r="Y185" s="50" t="n">
        <x:v>0.13</x:v>
      </x:c>
      <x:c r="Z185" s="47" t="str">
        <x:v>https://www.discounthydraulichose.com/v/vspfiles/downloadables/crimp.pdf (catalog p.99)</x:v>
      </x:c>
      <x:c r="AA185" s="47" t="str">
        <x:v>Published reference data; applicability is limited to the listed reference system and hose code.</x:v>
      </x:c>
      <x:c r="AB185" s="161" t="str">
        <x:v>Pending</x:v>
      </x:c>
    </x:row>
    <x:row r="186" ht="42" customHeight="1">
      <x:c r="A186" s="33" t="str">
        <x:v>Draft</x:v>
      </x:c>
      <x:c r="B186" s="47" t="str">
        <x:v>COMP_0182</x:v>
      </x:c>
      <x:c r="C186" s="47" t="str">
        <x:v>601R1_009</x:v>
      </x:c>
      <x:c r="D186" s="47" t="str">
        <x:v>JIC_F_SW_20_16</x:v>
      </x:c>
      <x:c r="E186" s="47" t="str">
        <x:v>601R1_1WB_009</x:v>
      </x:c>
      <x:c r="F186" s="47" t="str"/>
      <x:c r="G186" s="33" t="str"/>
      <x:c r="H186" s="50" t="str"/>
      <x:c r="I186" s="50" t="str"/>
      <x:c r="J186" s="50" t="str"/>
      <x:c r="K186" s="47" t="str"/>
      <x:c r="L186" s="50" t="str"/>
      <x:c r="M186" s="50" t="str"/>
      <x:c r="N186" s="47" t="str"/>
      <x:c r="O186" s="50" t="str"/>
      <x:c r="P186" s="64" t="str">
        <x:f>IF(O186="","",O186*2)</x:f>
      </x:c>
      <x:c r="Q186" s="50" t="str"/>
      <x:c r="R186" s="47" t="str"/>
      <x:c r="S186" s="33" t="str">
        <x:v>Not Tested</x:v>
      </x:c>
      <x:c r="T186" s="64" t="str">
        <x:v>Eligible</x:v>
      </x:c>
      <x:c r="U186" s="47" t="str">
        <x:v>DHH W Series Bite-To-The-Wire</x:v>
      </x:c>
      <x:c r="V186" s="47" t="str">
        <x:v>R1-16</x:v>
      </x:c>
      <x:c r="W186" s="47" t="str">
        <x:v>Crimp full shell</x:v>
      </x:c>
      <x:c r="X186" s="50" t="n">
        <x:v>41.3</x:v>
      </x:c>
      <x:c r="Y186" s="50" t="n">
        <x:v>0.13</x:v>
      </x:c>
      <x:c r="Z186" s="47" t="str">
        <x:v>https://www.discounthydraulichose.com/v/vspfiles/downloadables/crimp.pdf (catalog p.99)</x:v>
      </x:c>
      <x:c r="AA186" s="47" t="str">
        <x:v>Published reference data; applicability is limited to the listed reference system and hose code.</x:v>
      </x:c>
      <x:c r="AB186" s="161" t="str">
        <x:v>Pending</x:v>
      </x:c>
    </x:row>
    <x:row r="187" ht="42" customHeight="1">
      <x:c r="A187" s="33" t="str">
        <x:v>Draft</x:v>
      </x:c>
      <x:c r="B187" s="47" t="str">
        <x:v>COMP_0183</x:v>
      </x:c>
      <x:c r="C187" s="47" t="str">
        <x:v>601R1_009</x:v>
      </x:c>
      <x:c r="D187" s="47" t="str">
        <x:v>JIC_M_FX_16_16</x:v>
      </x:c>
      <x:c r="E187" s="47" t="str">
        <x:v>601R1_1WB_009</x:v>
      </x:c>
      <x:c r="F187" s="47" t="str"/>
      <x:c r="G187" s="33" t="str"/>
      <x:c r="H187" s="50" t="str"/>
      <x:c r="I187" s="50" t="str"/>
      <x:c r="J187" s="50" t="str"/>
      <x:c r="K187" s="47" t="str"/>
      <x:c r="L187" s="50" t="str"/>
      <x:c r="M187" s="50" t="str"/>
      <x:c r="N187" s="47" t="str"/>
      <x:c r="O187" s="50" t="str"/>
      <x:c r="P187" s="64" t="str">
        <x:f>IF(O187="","",O187*2)</x:f>
      </x:c>
      <x:c r="Q187" s="50" t="str"/>
      <x:c r="R187" s="47" t="str"/>
      <x:c r="S187" s="33" t="str">
        <x:v>Not Tested</x:v>
      </x:c>
      <x:c r="T187" s="64" t="str">
        <x:v>Eligible</x:v>
      </x:c>
      <x:c r="U187" s="47" t="str">
        <x:v>DHH W Series Bite-To-The-Wire</x:v>
      </x:c>
      <x:c r="V187" s="47" t="str">
        <x:v>R1-16</x:v>
      </x:c>
      <x:c r="W187" s="47" t="str">
        <x:v>Crimp full shell</x:v>
      </x:c>
      <x:c r="X187" s="50" t="n">
        <x:v>41.3</x:v>
      </x:c>
      <x:c r="Y187" s="50" t="n">
        <x:v>0.13</x:v>
      </x:c>
      <x:c r="Z187" s="47" t="str">
        <x:v>https://www.discounthydraulichose.com/v/vspfiles/downloadables/crimp.pdf (catalog p.99)</x:v>
      </x:c>
      <x:c r="AA187" s="47" t="str">
        <x:v>Published reference data; applicability is limited to the listed reference system and hose code.</x:v>
      </x:c>
      <x:c r="AB187" s="161" t="str">
        <x:v>Pending</x:v>
      </x:c>
    </x:row>
    <x:row r="188" ht="42" customHeight="1">
      <x:c r="A188" s="33" t="str">
        <x:v>Draft</x:v>
      </x:c>
      <x:c r="B188" s="47" t="str">
        <x:v>COMP_0184</x:v>
      </x:c>
      <x:c r="C188" s="47" t="str">
        <x:v>601R1_009</x:v>
      </x:c>
      <x:c r="D188" s="47" t="str">
        <x:v>JIC_M_FX_20_16</x:v>
      </x:c>
      <x:c r="E188" s="47" t="str">
        <x:v>601R1_1WB_009</x:v>
      </x:c>
      <x:c r="F188" s="47" t="str"/>
      <x:c r="G188" s="33" t="str"/>
      <x:c r="H188" s="50" t="str"/>
      <x:c r="I188" s="50" t="str"/>
      <x:c r="J188" s="50" t="str"/>
      <x:c r="K188" s="47" t="str"/>
      <x:c r="L188" s="50" t="str"/>
      <x:c r="M188" s="50" t="str"/>
      <x:c r="N188" s="47" t="str"/>
      <x:c r="O188" s="50" t="str"/>
      <x:c r="P188" s="64" t="str">
        <x:f>IF(O188="","",O188*2)</x:f>
      </x:c>
      <x:c r="Q188" s="50" t="str"/>
      <x:c r="R188" s="47" t="str"/>
      <x:c r="S188" s="33" t="str">
        <x:v>Not Tested</x:v>
      </x:c>
      <x:c r="T188" s="64" t="str">
        <x:v>Eligible</x:v>
      </x:c>
      <x:c r="U188" s="47" t="str">
        <x:v>DHH W Series Bite-To-The-Wire</x:v>
      </x:c>
      <x:c r="V188" s="47" t="str">
        <x:v>R1-16</x:v>
      </x:c>
      <x:c r="W188" s="47" t="str">
        <x:v>Crimp full shell</x:v>
      </x:c>
      <x:c r="X188" s="50" t="n">
        <x:v>41.3</x:v>
      </x:c>
      <x:c r="Y188" s="50" t="n">
        <x:v>0.13</x:v>
      </x:c>
      <x:c r="Z188" s="47" t="str">
        <x:v>https://www.discounthydraulichose.com/v/vspfiles/downloadables/crimp.pdf (catalog p.99)</x:v>
      </x:c>
      <x:c r="AA188" s="47" t="str">
        <x:v>Published reference data; applicability is limited to the listed reference system and hose code.</x:v>
      </x:c>
      <x:c r="AB188" s="161" t="str">
        <x:v>Pending</x:v>
      </x:c>
    </x:row>
    <x:row r="189" ht="42" customHeight="1">
      <x:c r="A189" s="33" t="str">
        <x:v>Draft</x:v>
      </x:c>
      <x:c r="B189" s="47" t="str">
        <x:v>COMP_0185</x:v>
      </x:c>
      <x:c r="C189" s="47" t="str">
        <x:v>601R1_009</x:v>
      </x:c>
      <x:c r="D189" s="47" t="str">
        <x:v>JIC45_F_SW_16_16</x:v>
      </x:c>
      <x:c r="E189" s="47" t="str">
        <x:v>601R1_1WB_009</x:v>
      </x:c>
      <x:c r="F189" s="47" t="str"/>
      <x:c r="G189" s="33" t="str"/>
      <x:c r="H189" s="50" t="str"/>
      <x:c r="I189" s="50" t="str"/>
      <x:c r="J189" s="50" t="str"/>
      <x:c r="K189" s="47" t="str"/>
      <x:c r="L189" s="50" t="str"/>
      <x:c r="M189" s="50" t="str"/>
      <x:c r="N189" s="47" t="str"/>
      <x:c r="O189" s="50" t="str"/>
      <x:c r="P189" s="64" t="str">
        <x:f>IF(O189="","",O189*2)</x:f>
      </x:c>
      <x:c r="Q189" s="50" t="str"/>
      <x:c r="R189" s="47" t="str"/>
      <x:c r="S189" s="33" t="str">
        <x:v>Not Tested</x:v>
      </x:c>
      <x:c r="T189" s="64" t="str">
        <x:v>Eligible</x:v>
      </x:c>
      <x:c r="U189" s="47" t="str">
        <x:v>DHH W Series Bite-To-The-Wire</x:v>
      </x:c>
      <x:c r="V189" s="47" t="str">
        <x:v>R1-16</x:v>
      </x:c>
      <x:c r="W189" s="47" t="str">
        <x:v>Crimp full shell</x:v>
      </x:c>
      <x:c r="X189" s="50" t="n">
        <x:v>41.3</x:v>
      </x:c>
      <x:c r="Y189" s="50" t="n">
        <x:v>0.13</x:v>
      </x:c>
      <x:c r="Z189" s="47" t="str">
        <x:v>https://www.discounthydraulichose.com/v/vspfiles/downloadables/crimp.pdf (catalog p.99)</x:v>
      </x:c>
      <x:c r="AA189" s="47" t="str">
        <x:v>Published reference data; applicability is limited to the listed reference system and hose code.</x:v>
      </x:c>
      <x:c r="AB189" s="161" t="str">
        <x:v>Pending</x:v>
      </x:c>
    </x:row>
    <x:row r="190" ht="42" customHeight="1">
      <x:c r="A190" s="33" t="str">
        <x:v>Draft</x:v>
      </x:c>
      <x:c r="B190" s="47" t="str">
        <x:v>COMP_0186</x:v>
      </x:c>
      <x:c r="C190" s="47" t="str">
        <x:v>601R1_009</x:v>
      </x:c>
      <x:c r="D190" s="47" t="str">
        <x:v>JIC45_F_SW_20_16</x:v>
      </x:c>
      <x:c r="E190" s="47" t="str">
        <x:v>601R1_1WB_009</x:v>
      </x:c>
      <x:c r="F190" s="47" t="str"/>
      <x:c r="G190" s="33" t="str"/>
      <x:c r="H190" s="50" t="str"/>
      <x:c r="I190" s="50" t="str"/>
      <x:c r="J190" s="50" t="str"/>
      <x:c r="K190" s="47" t="str"/>
      <x:c r="L190" s="50" t="str"/>
      <x:c r="M190" s="50" t="str"/>
      <x:c r="N190" s="47" t="str"/>
      <x:c r="O190" s="50" t="str"/>
      <x:c r="P190" s="64" t="str">
        <x:f>IF(O190="","",O190*2)</x:f>
      </x:c>
      <x:c r="Q190" s="50" t="str"/>
      <x:c r="R190" s="47" t="str"/>
      <x:c r="S190" s="33" t="str">
        <x:v>Not Tested</x:v>
      </x:c>
      <x:c r="T190" s="64" t="str">
        <x:v>Eligible</x:v>
      </x:c>
      <x:c r="U190" s="47" t="str">
        <x:v>DHH W Series Bite-To-The-Wire</x:v>
      </x:c>
      <x:c r="V190" s="47" t="str">
        <x:v>R1-16</x:v>
      </x:c>
      <x:c r="W190" s="47" t="str">
        <x:v>Crimp full shell</x:v>
      </x:c>
      <x:c r="X190" s="50" t="n">
        <x:v>41.3</x:v>
      </x:c>
      <x:c r="Y190" s="50" t="n">
        <x:v>0.13</x:v>
      </x:c>
      <x:c r="Z190" s="47" t="str">
        <x:v>https://www.discounthydraulichose.com/v/vspfiles/downloadables/crimp.pdf (catalog p.99)</x:v>
      </x:c>
      <x:c r="AA190" s="47" t="str">
        <x:v>Published reference data; applicability is limited to the listed reference system and hose code.</x:v>
      </x:c>
      <x:c r="AB190" s="161" t="str">
        <x:v>Pending</x:v>
      </x:c>
    </x:row>
    <x:row r="191" ht="42" customHeight="1">
      <x:c r="A191" s="33" t="str">
        <x:v>Draft</x:v>
      </x:c>
      <x:c r="B191" s="47" t="str">
        <x:v>COMP_0187</x:v>
      </x:c>
      <x:c r="C191" s="47" t="str">
        <x:v>601R1_009</x:v>
      </x:c>
      <x:c r="D191" s="47" t="str">
        <x:v>JIC90_F_SW_16_16</x:v>
      </x:c>
      <x:c r="E191" s="47" t="str">
        <x:v>601R1_1WB_009</x:v>
      </x:c>
      <x:c r="F191" s="47" t="str"/>
      <x:c r="G191" s="33" t="str"/>
      <x:c r="H191" s="50" t="str"/>
      <x:c r="I191" s="50" t="str"/>
      <x:c r="J191" s="50" t="str"/>
      <x:c r="K191" s="47" t="str"/>
      <x:c r="L191" s="50" t="str"/>
      <x:c r="M191" s="50" t="str"/>
      <x:c r="N191" s="47" t="str"/>
      <x:c r="O191" s="50" t="str"/>
      <x:c r="P191" s="64" t="str">
        <x:f>IF(O191="","",O191*2)</x:f>
      </x:c>
      <x:c r="Q191" s="50" t="str"/>
      <x:c r="R191" s="47" t="str"/>
      <x:c r="S191" s="33" t="str">
        <x:v>Not Tested</x:v>
      </x:c>
      <x:c r="T191" s="64" t="str">
        <x:v>Eligible</x:v>
      </x:c>
      <x:c r="U191" s="47" t="str">
        <x:v>DHH W Series Bite-To-The-Wire</x:v>
      </x:c>
      <x:c r="V191" s="47" t="str">
        <x:v>R1-16</x:v>
      </x:c>
      <x:c r="W191" s="47" t="str">
        <x:v>Crimp full shell</x:v>
      </x:c>
      <x:c r="X191" s="50" t="n">
        <x:v>41.3</x:v>
      </x:c>
      <x:c r="Y191" s="50" t="n">
        <x:v>0.13</x:v>
      </x:c>
      <x:c r="Z191" s="47" t="str">
        <x:v>https://www.discounthydraulichose.com/v/vspfiles/downloadables/crimp.pdf (catalog p.99)</x:v>
      </x:c>
      <x:c r="AA191" s="47" t="str">
        <x:v>Published reference data; applicability is limited to the listed reference system and hose code.</x:v>
      </x:c>
      <x:c r="AB191" s="161" t="str">
        <x:v>Pending</x:v>
      </x:c>
    </x:row>
    <x:row r="192" ht="42" customHeight="1">
      <x:c r="A192" s="33" t="str">
        <x:v>Draft</x:v>
      </x:c>
      <x:c r="B192" s="47" t="str">
        <x:v>COMP_0188</x:v>
      </x:c>
      <x:c r="C192" s="47" t="str">
        <x:v>601R1_009</x:v>
      </x:c>
      <x:c r="D192" s="47" t="str">
        <x:v>JIC90_F_SW_20_16</x:v>
      </x:c>
      <x:c r="E192" s="47" t="str">
        <x:v>601R1_1WB_009</x:v>
      </x:c>
      <x:c r="F192" s="47" t="str"/>
      <x:c r="G192" s="33" t="str"/>
      <x:c r="H192" s="50" t="str"/>
      <x:c r="I192" s="50" t="str"/>
      <x:c r="J192" s="50" t="str"/>
      <x:c r="K192" s="47" t="str"/>
      <x:c r="L192" s="50" t="str"/>
      <x:c r="M192" s="50" t="str"/>
      <x:c r="N192" s="47" t="str"/>
      <x:c r="O192" s="50" t="str"/>
      <x:c r="P192" s="64" t="str">
        <x:f>IF(O192="","",O192*2)</x:f>
      </x:c>
      <x:c r="Q192" s="50" t="str"/>
      <x:c r="R192" s="47" t="str"/>
      <x:c r="S192" s="33" t="str">
        <x:v>Not Tested</x:v>
      </x:c>
      <x:c r="T192" s="64" t="str">
        <x:v>Eligible</x:v>
      </x:c>
      <x:c r="U192" s="47" t="str">
        <x:v>DHH W Series Bite-To-The-Wire</x:v>
      </x:c>
      <x:c r="V192" s="47" t="str">
        <x:v>R1-16</x:v>
      </x:c>
      <x:c r="W192" s="47" t="str">
        <x:v>Crimp full shell</x:v>
      </x:c>
      <x:c r="X192" s="50" t="n">
        <x:v>41.3</x:v>
      </x:c>
      <x:c r="Y192" s="50" t="n">
        <x:v>0.13</x:v>
      </x:c>
      <x:c r="Z192" s="47" t="str">
        <x:v>https://www.discounthydraulichose.com/v/vspfiles/downloadables/crimp.pdf (catalog p.99)</x:v>
      </x:c>
      <x:c r="AA192" s="47" t="str">
        <x:v>Published reference data; applicability is limited to the listed reference system and hose code.</x:v>
      </x:c>
      <x:c r="AB192" s="161" t="str">
        <x:v>Pending</x:v>
      </x:c>
    </x:row>
    <x:row r="193" ht="42" customHeight="1">
      <x:c r="A193" s="33" t="str">
        <x:v>Draft</x:v>
      </x:c>
      <x:c r="B193" s="47" t="str">
        <x:v>COMP_0189</x:v>
      </x:c>
      <x:c r="C193" s="47" t="str">
        <x:v>601R1_009</x:v>
      </x:c>
      <x:c r="D193" s="47" t="str">
        <x:v>NPT_M_FX_12_16</x:v>
      </x:c>
      <x:c r="E193" s="47" t="str">
        <x:v>601R1_1WB_009</x:v>
      </x:c>
      <x:c r="F193" s="47" t="str"/>
      <x:c r="G193" s="33" t="str"/>
      <x:c r="H193" s="50" t="str"/>
      <x:c r="I193" s="50" t="str"/>
      <x:c r="J193" s="50" t="str"/>
      <x:c r="K193" s="47" t="str"/>
      <x:c r="L193" s="50" t="str"/>
      <x:c r="M193" s="50" t="str"/>
      <x:c r="N193" s="47" t="str"/>
      <x:c r="O193" s="50" t="str"/>
      <x:c r="P193" s="64" t="str">
        <x:f>IF(O193="","",O193*2)</x:f>
      </x:c>
      <x:c r="Q193" s="50" t="str"/>
      <x:c r="R193" s="47" t="str"/>
      <x:c r="S193" s="33" t="str">
        <x:v>Not Tested</x:v>
      </x:c>
      <x:c r="T193" s="64" t="str">
        <x:v>Eligible</x:v>
      </x:c>
      <x:c r="U193" s="47" t="str">
        <x:v>DHH W Series Bite-To-The-Wire</x:v>
      </x:c>
      <x:c r="V193" s="47" t="str">
        <x:v>R1-16</x:v>
      </x:c>
      <x:c r="W193" s="47" t="str">
        <x:v>Crimp full shell</x:v>
      </x:c>
      <x:c r="X193" s="50" t="n">
        <x:v>41.3</x:v>
      </x:c>
      <x:c r="Y193" s="50" t="n">
        <x:v>0.13</x:v>
      </x:c>
      <x:c r="Z193" s="47" t="str">
        <x:v>https://www.discounthydraulichose.com/v/vspfiles/downloadables/crimp.pdf (catalog p.99)</x:v>
      </x:c>
      <x:c r="AA193" s="47" t="str">
        <x:v>Published reference data; applicability is limited to the listed reference system and hose code.</x:v>
      </x:c>
      <x:c r="AB193" s="161" t="str">
        <x:v>Pending</x:v>
      </x:c>
    </x:row>
    <x:row r="194" ht="42" customHeight="1">
      <x:c r="A194" s="33" t="str">
        <x:v>Draft</x:v>
      </x:c>
      <x:c r="B194" s="47" t="str">
        <x:v>COMP_0190</x:v>
      </x:c>
      <x:c r="C194" s="47" t="str">
        <x:v>601R1_009</x:v>
      </x:c>
      <x:c r="D194" s="47" t="str">
        <x:v>NPT_M_FX_16_16</x:v>
      </x:c>
      <x:c r="E194" s="47" t="str">
        <x:v>601R1_1WB_009</x:v>
      </x:c>
      <x:c r="F194" s="47" t="str"/>
      <x:c r="G194" s="33" t="str"/>
      <x:c r="H194" s="50" t="str"/>
      <x:c r="I194" s="50" t="str"/>
      <x:c r="J194" s="50" t="str"/>
      <x:c r="K194" s="47" t="str"/>
      <x:c r="L194" s="50" t="str"/>
      <x:c r="M194" s="50" t="str"/>
      <x:c r="N194" s="47" t="str"/>
      <x:c r="O194" s="50" t="str"/>
      <x:c r="P194" s="64" t="str">
        <x:f>IF(O194="","",O194*2)</x:f>
      </x:c>
      <x:c r="Q194" s="50" t="str"/>
      <x:c r="R194" s="47" t="str"/>
      <x:c r="S194" s="33" t="str">
        <x:v>Not Tested</x:v>
      </x:c>
      <x:c r="T194" s="64" t="str">
        <x:v>Eligible</x:v>
      </x:c>
      <x:c r="U194" s="47" t="str">
        <x:v>DHH W Series Bite-To-The-Wire</x:v>
      </x:c>
      <x:c r="V194" s="47" t="str">
        <x:v>R1-16</x:v>
      </x:c>
      <x:c r="W194" s="47" t="str">
        <x:v>Crimp full shell</x:v>
      </x:c>
      <x:c r="X194" s="50" t="n">
        <x:v>41.3</x:v>
      </x:c>
      <x:c r="Y194" s="50" t="n">
        <x:v>0.13</x:v>
      </x:c>
      <x:c r="Z194" s="47" t="str">
        <x:v>https://www.discounthydraulichose.com/v/vspfiles/downloadables/crimp.pdf (catalog p.99)</x:v>
      </x:c>
      <x:c r="AA194" s="47" t="str">
        <x:v>Published reference data; applicability is limited to the listed reference system and hose code.</x:v>
      </x:c>
      <x:c r="AB194" s="161" t="str">
        <x:v>Pending</x:v>
      </x:c>
    </x:row>
    <x:row r="195" ht="42" customHeight="1">
      <x:c r="A195" s="33" t="str">
        <x:v>Draft</x:v>
      </x:c>
      <x:c r="B195" s="47" t="str">
        <x:v>COMP_0191</x:v>
      </x:c>
      <x:c r="C195" s="47" t="str">
        <x:v>601R1_009</x:v>
      </x:c>
      <x:c r="D195" s="47" t="str">
        <x:v>NPT_M_FX_20_16</x:v>
      </x:c>
      <x:c r="E195" s="47" t="str">
        <x:v>601R1_1WB_009</x:v>
      </x:c>
      <x:c r="F195" s="47" t="str"/>
      <x:c r="G195" s="33" t="str"/>
      <x:c r="H195" s="50" t="str"/>
      <x:c r="I195" s="50" t="str"/>
      <x:c r="J195" s="50" t="str"/>
      <x:c r="K195" s="47" t="str"/>
      <x:c r="L195" s="50" t="str"/>
      <x:c r="M195" s="50" t="str"/>
      <x:c r="N195" s="47" t="str"/>
      <x:c r="O195" s="50" t="str"/>
      <x:c r="P195" s="64" t="str">
        <x:f>IF(O195="","",O195*2)</x:f>
      </x:c>
      <x:c r="Q195" s="50" t="str"/>
      <x:c r="R195" s="47" t="str"/>
      <x:c r="S195" s="33" t="str">
        <x:v>Not Tested</x:v>
      </x:c>
      <x:c r="T195" s="64" t="str">
        <x:v>Eligible</x:v>
      </x:c>
      <x:c r="U195" s="47" t="str">
        <x:v>DHH W Series Bite-To-The-Wire</x:v>
      </x:c>
      <x:c r="V195" s="47" t="str">
        <x:v>R1-16</x:v>
      </x:c>
      <x:c r="W195" s="47" t="str">
        <x:v>Crimp full shell</x:v>
      </x:c>
      <x:c r="X195" s="50" t="n">
        <x:v>41.3</x:v>
      </x:c>
      <x:c r="Y195" s="50" t="n">
        <x:v>0.13</x:v>
      </x:c>
      <x:c r="Z195" s="47" t="str">
        <x:v>https://www.discounthydraulichose.com/v/vspfiles/downloadables/crimp.pdf (catalog p.99)</x:v>
      </x:c>
      <x:c r="AA195" s="47" t="str">
        <x:v>Published reference data; applicability is limited to the listed reference system and hose code.</x:v>
      </x:c>
      <x:c r="AB195" s="161" t="str">
        <x:v>Pending</x:v>
      </x:c>
    </x:row>
    <x:row r="196" ht="42" customHeight="1">
      <x:c r="A196" s="33" t="str">
        <x:v>Draft</x:v>
      </x:c>
      <x:c r="B196" s="47" t="str">
        <x:v>COMP_0192</x:v>
      </x:c>
      <x:c r="C196" s="47" t="str">
        <x:v>601R1_009</x:v>
      </x:c>
      <x:c r="D196" s="47" t="str">
        <x:v>ORFS_F_SW_12_16</x:v>
      </x:c>
      <x:c r="E196" s="47" t="str">
        <x:v>601R1_1WB_009</x:v>
      </x:c>
      <x:c r="F196" s="47" t="str"/>
      <x:c r="G196" s="33" t="str"/>
      <x:c r="H196" s="50" t="str"/>
      <x:c r="I196" s="50" t="str"/>
      <x:c r="J196" s="50" t="str"/>
      <x:c r="K196" s="47" t="str"/>
      <x:c r="L196" s="50" t="str"/>
      <x:c r="M196" s="50" t="str"/>
      <x:c r="N196" s="47" t="str"/>
      <x:c r="O196" s="50" t="str"/>
      <x:c r="P196" s="64" t="str">
        <x:f>IF(O196="","",O196*2)</x:f>
      </x:c>
      <x:c r="Q196" s="50" t="str"/>
      <x:c r="R196" s="47" t="str"/>
      <x:c r="S196" s="33" t="str">
        <x:v>Not Tested</x:v>
      </x:c>
      <x:c r="T196" s="64" t="str">
        <x:v>Eligible</x:v>
      </x:c>
      <x:c r="U196" s="47" t="str">
        <x:v>DHH W Series Bite-To-The-Wire</x:v>
      </x:c>
      <x:c r="V196" s="47" t="str">
        <x:v>R1-16</x:v>
      </x:c>
      <x:c r="W196" s="47" t="str">
        <x:v>Crimp full shell</x:v>
      </x:c>
      <x:c r="X196" s="50" t="n">
        <x:v>41.3</x:v>
      </x:c>
      <x:c r="Y196" s="50" t="n">
        <x:v>0.13</x:v>
      </x:c>
      <x:c r="Z196" s="47" t="str">
        <x:v>https://www.discounthydraulichose.com/v/vspfiles/downloadables/crimp.pdf (catalog p.99)</x:v>
      </x:c>
      <x:c r="AA196" s="47" t="str">
        <x:v>Published reference data; applicability is limited to the listed reference system and hose code.</x:v>
      </x:c>
      <x:c r="AB196" s="161" t="str">
        <x:v>Pending</x:v>
      </x:c>
    </x:row>
    <x:row r="197" ht="42" customHeight="1">
      <x:c r="A197" s="33" t="str">
        <x:v>Draft</x:v>
      </x:c>
      <x:c r="B197" s="47" t="str">
        <x:v>COMP_0193</x:v>
      </x:c>
      <x:c r="C197" s="47" t="str">
        <x:v>601R1_009</x:v>
      </x:c>
      <x:c r="D197" s="47" t="str">
        <x:v>ORFS_F_SW_16_16</x:v>
      </x:c>
      <x:c r="E197" s="47" t="str">
        <x:v>601R1_1WB_009</x:v>
      </x:c>
      <x:c r="F197" s="47" t="str"/>
      <x:c r="G197" s="33" t="str"/>
      <x:c r="H197" s="50" t="str"/>
      <x:c r="I197" s="50" t="str"/>
      <x:c r="J197" s="50" t="str"/>
      <x:c r="K197" s="47" t="str"/>
      <x:c r="L197" s="50" t="str"/>
      <x:c r="M197" s="50" t="str"/>
      <x:c r="N197" s="47" t="str"/>
      <x:c r="O197" s="50" t="str"/>
      <x:c r="P197" s="64" t="str">
        <x:f>IF(O197="","",O197*2)</x:f>
      </x:c>
      <x:c r="Q197" s="50" t="str"/>
      <x:c r="R197" s="47" t="str"/>
      <x:c r="S197" s="33" t="str">
        <x:v>Not Tested</x:v>
      </x:c>
      <x:c r="T197" s="64" t="str">
        <x:v>Eligible</x:v>
      </x:c>
      <x:c r="U197" s="47" t="str">
        <x:v>DHH W Series Bite-To-The-Wire</x:v>
      </x:c>
      <x:c r="V197" s="47" t="str">
        <x:v>R1-16</x:v>
      </x:c>
      <x:c r="W197" s="47" t="str">
        <x:v>Crimp full shell</x:v>
      </x:c>
      <x:c r="X197" s="50" t="n">
        <x:v>41.3</x:v>
      </x:c>
      <x:c r="Y197" s="50" t="n">
        <x:v>0.13</x:v>
      </x:c>
      <x:c r="Z197" s="47" t="str">
        <x:v>https://www.discounthydraulichose.com/v/vspfiles/downloadables/crimp.pdf (catalog p.99)</x:v>
      </x:c>
      <x:c r="AA197" s="47" t="str">
        <x:v>Published reference data; applicability is limited to the listed reference system and hose code.</x:v>
      </x:c>
      <x:c r="AB197" s="161" t="str">
        <x:v>Pending</x:v>
      </x:c>
    </x:row>
    <x:row r="198" ht="42" customHeight="1">
      <x:c r="A198" s="33" t="str">
        <x:v>Draft</x:v>
      </x:c>
      <x:c r="B198" s="47" t="str">
        <x:v>COMP_0194</x:v>
      </x:c>
      <x:c r="C198" s="47" t="str">
        <x:v>601R1_009</x:v>
      </x:c>
      <x:c r="D198" s="47" t="str">
        <x:v>ORFS_F_SW_20_16</x:v>
      </x:c>
      <x:c r="E198" s="47" t="str">
        <x:v>601R1_1WB_009</x:v>
      </x:c>
      <x:c r="F198" s="47" t="str"/>
      <x:c r="G198" s="33" t="str"/>
      <x:c r="H198" s="50" t="str"/>
      <x:c r="I198" s="50" t="str"/>
      <x:c r="J198" s="50" t="str"/>
      <x:c r="K198" s="47" t="str"/>
      <x:c r="L198" s="50" t="str"/>
      <x:c r="M198" s="50" t="str"/>
      <x:c r="N198" s="47" t="str"/>
      <x:c r="O198" s="50" t="str"/>
      <x:c r="P198" s="64" t="str">
        <x:f>IF(O198="","",O198*2)</x:f>
      </x:c>
      <x:c r="Q198" s="50" t="str"/>
      <x:c r="R198" s="47" t="str"/>
      <x:c r="S198" s="33" t="str">
        <x:v>Not Tested</x:v>
      </x:c>
      <x:c r="T198" s="64" t="str">
        <x:v>Eligible</x:v>
      </x:c>
      <x:c r="U198" s="47" t="str">
        <x:v>DHH W Series Bite-To-The-Wire</x:v>
      </x:c>
      <x:c r="V198" s="47" t="str">
        <x:v>R1-16</x:v>
      </x:c>
      <x:c r="W198" s="47" t="str">
        <x:v>Crimp full shell</x:v>
      </x:c>
      <x:c r="X198" s="50" t="n">
        <x:v>41.3</x:v>
      </x:c>
      <x:c r="Y198" s="50" t="n">
        <x:v>0.13</x:v>
      </x:c>
      <x:c r="Z198" s="47" t="str">
        <x:v>https://www.discounthydraulichose.com/v/vspfiles/downloadables/crimp.pdf (catalog p.99)</x:v>
      </x:c>
      <x:c r="AA198" s="47" t="str">
        <x:v>Published reference data; applicability is limited to the listed reference system and hose code.</x:v>
      </x:c>
      <x:c r="AB198" s="161" t="str">
        <x:v>Pending</x:v>
      </x:c>
    </x:row>
    <x:row r="199" ht="42" customHeight="1">
      <x:c r="A199" s="33" t="str">
        <x:v>Draft</x:v>
      </x:c>
      <x:c r="B199" s="47" t="str">
        <x:v>COMP_0195</x:v>
      </x:c>
      <x:c r="C199" s="47" t="str">
        <x:v>601R1_009</x:v>
      </x:c>
      <x:c r="D199" s="47" t="str">
        <x:v>ORFS_M_FX_12_16</x:v>
      </x:c>
      <x:c r="E199" s="47" t="str">
        <x:v>601R1_1WB_009</x:v>
      </x:c>
      <x:c r="F199" s="47" t="str"/>
      <x:c r="G199" s="33" t="str"/>
      <x:c r="H199" s="50" t="str"/>
      <x:c r="I199" s="50" t="str"/>
      <x:c r="J199" s="50" t="str"/>
      <x:c r="K199" s="47" t="str"/>
      <x:c r="L199" s="50" t="str"/>
      <x:c r="M199" s="50" t="str"/>
      <x:c r="N199" s="47" t="str"/>
      <x:c r="O199" s="50" t="str"/>
      <x:c r="P199" s="64" t="str">
        <x:f>IF(O199="","",O199*2)</x:f>
      </x:c>
      <x:c r="Q199" s="50" t="str"/>
      <x:c r="R199" s="47" t="str"/>
      <x:c r="S199" s="33" t="str">
        <x:v>Not Tested</x:v>
      </x:c>
      <x:c r="T199" s="64" t="str">
        <x:v>Eligible</x:v>
      </x:c>
      <x:c r="U199" s="47" t="str">
        <x:v>DHH W Series Bite-To-The-Wire</x:v>
      </x:c>
      <x:c r="V199" s="47" t="str">
        <x:v>R1-16</x:v>
      </x:c>
      <x:c r="W199" s="47" t="str">
        <x:v>Crimp full shell</x:v>
      </x:c>
      <x:c r="X199" s="50" t="n">
        <x:v>41.3</x:v>
      </x:c>
      <x:c r="Y199" s="50" t="n">
        <x:v>0.13</x:v>
      </x:c>
      <x:c r="Z199" s="47" t="str">
        <x:v>https://www.discounthydraulichose.com/v/vspfiles/downloadables/crimp.pdf (catalog p.99)</x:v>
      </x:c>
      <x:c r="AA199" s="47" t="str">
        <x:v>Published reference data; applicability is limited to the listed reference system and hose code.</x:v>
      </x:c>
      <x:c r="AB199" s="161" t="str">
        <x:v>Pending</x:v>
      </x:c>
    </x:row>
    <x:row r="200" ht="42" customHeight="1">
      <x:c r="A200" s="33" t="str">
        <x:v>Draft</x:v>
      </x:c>
      <x:c r="B200" s="47" t="str">
        <x:v>COMP_0196</x:v>
      </x:c>
      <x:c r="C200" s="47" t="str">
        <x:v>601R1_009</x:v>
      </x:c>
      <x:c r="D200" s="47" t="str">
        <x:v>ORFS_M_FX_16_16</x:v>
      </x:c>
      <x:c r="E200" s="47" t="str">
        <x:v>601R1_1WB_009</x:v>
      </x:c>
      <x:c r="F200" s="47" t="str"/>
      <x:c r="G200" s="33" t="str"/>
      <x:c r="H200" s="50" t="str"/>
      <x:c r="I200" s="50" t="str"/>
      <x:c r="J200" s="50" t="str"/>
      <x:c r="K200" s="47" t="str"/>
      <x:c r="L200" s="50" t="str"/>
      <x:c r="M200" s="50" t="str"/>
      <x:c r="N200" s="47" t="str"/>
      <x:c r="O200" s="50" t="str"/>
      <x:c r="P200" s="64" t="str">
        <x:f>IF(O200="","",O200*2)</x:f>
      </x:c>
      <x:c r="Q200" s="50" t="str"/>
      <x:c r="R200" s="47" t="str"/>
      <x:c r="S200" s="33" t="str">
        <x:v>Not Tested</x:v>
      </x:c>
      <x:c r="T200" s="64" t="str">
        <x:v>Eligible</x:v>
      </x:c>
      <x:c r="U200" s="47" t="str">
        <x:v>DHH W Series Bite-To-The-Wire</x:v>
      </x:c>
      <x:c r="V200" s="47" t="str">
        <x:v>R1-16</x:v>
      </x:c>
      <x:c r="W200" s="47" t="str">
        <x:v>Crimp full shell</x:v>
      </x:c>
      <x:c r="X200" s="50" t="n">
        <x:v>41.3</x:v>
      </x:c>
      <x:c r="Y200" s="50" t="n">
        <x:v>0.13</x:v>
      </x:c>
      <x:c r="Z200" s="47" t="str">
        <x:v>https://www.discounthydraulichose.com/v/vspfiles/downloadables/crimp.pdf (catalog p.99)</x:v>
      </x:c>
      <x:c r="AA200" s="47" t="str">
        <x:v>Published reference data; applicability is limited to the listed reference system and hose code.</x:v>
      </x:c>
      <x:c r="AB200" s="161" t="str">
        <x:v>Pending</x:v>
      </x:c>
    </x:row>
    <x:row r="201" ht="42" customHeight="1">
      <x:c r="A201" s="33" t="str">
        <x:v>Draft</x:v>
      </x:c>
      <x:c r="B201" s="47" t="str">
        <x:v>COMP_0197</x:v>
      </x:c>
      <x:c r="C201" s="47" t="str">
        <x:v>601R1_009</x:v>
      </x:c>
      <x:c r="D201" s="47" t="str">
        <x:v>ORFS45_F_SW_16_16</x:v>
      </x:c>
      <x:c r="E201" s="47" t="str">
        <x:v>601R1_1WB_009</x:v>
      </x:c>
      <x:c r="F201" s="47" t="str"/>
      <x:c r="G201" s="33" t="str"/>
      <x:c r="H201" s="50" t="str"/>
      <x:c r="I201" s="50" t="str"/>
      <x:c r="J201" s="50" t="str"/>
      <x:c r="K201" s="47" t="str"/>
      <x:c r="L201" s="50" t="str"/>
      <x:c r="M201" s="50" t="str"/>
      <x:c r="N201" s="47" t="str"/>
      <x:c r="O201" s="50" t="str"/>
      <x:c r="P201" s="64" t="str">
        <x:f>IF(O201="","",O201*2)</x:f>
      </x:c>
      <x:c r="Q201" s="50" t="str"/>
      <x:c r="R201" s="47" t="str"/>
      <x:c r="S201" s="33" t="str">
        <x:v>Not Tested</x:v>
      </x:c>
      <x:c r="T201" s="64" t="str">
        <x:v>Eligible</x:v>
      </x:c>
      <x:c r="U201" s="47" t="str">
        <x:v>DHH W Series Bite-To-The-Wire</x:v>
      </x:c>
      <x:c r="V201" s="47" t="str">
        <x:v>R1-16</x:v>
      </x:c>
      <x:c r="W201" s="47" t="str">
        <x:v>Crimp full shell</x:v>
      </x:c>
      <x:c r="X201" s="50" t="n">
        <x:v>41.3</x:v>
      </x:c>
      <x:c r="Y201" s="50" t="n">
        <x:v>0.13</x:v>
      </x:c>
      <x:c r="Z201" s="47" t="str">
        <x:v>https://www.discounthydraulichose.com/v/vspfiles/downloadables/crimp.pdf (catalog p.99)</x:v>
      </x:c>
      <x:c r="AA201" s="47" t="str">
        <x:v>Published reference data; applicability is limited to the listed reference system and hose code.</x:v>
      </x:c>
      <x:c r="AB201" s="161" t="str">
        <x:v>Pending</x:v>
      </x:c>
    </x:row>
    <x:row r="202" ht="42" customHeight="1">
      <x:c r="A202" s="33" t="str">
        <x:v>Draft</x:v>
      </x:c>
      <x:c r="B202" s="47" t="str">
        <x:v>COMP_0198</x:v>
      </x:c>
      <x:c r="C202" s="47" t="str">
        <x:v>601R1_009</x:v>
      </x:c>
      <x:c r="D202" s="47" t="str">
        <x:v>ORFS45_F_SW_20_16</x:v>
      </x:c>
      <x:c r="E202" s="47" t="str">
        <x:v>601R1_1WB_009</x:v>
      </x:c>
      <x:c r="F202" s="47" t="str"/>
      <x:c r="G202" s="33" t="str"/>
      <x:c r="H202" s="50" t="str"/>
      <x:c r="I202" s="50" t="str"/>
      <x:c r="J202" s="50" t="str"/>
      <x:c r="K202" s="47" t="str"/>
      <x:c r="L202" s="50" t="str"/>
      <x:c r="M202" s="50" t="str"/>
      <x:c r="N202" s="47" t="str"/>
      <x:c r="O202" s="50" t="str"/>
      <x:c r="P202" s="64" t="str">
        <x:f>IF(O202="","",O202*2)</x:f>
      </x:c>
      <x:c r="Q202" s="50" t="str"/>
      <x:c r="R202" s="47" t="str"/>
      <x:c r="S202" s="33" t="str">
        <x:v>Not Tested</x:v>
      </x:c>
      <x:c r="T202" s="64" t="str">
        <x:v>Eligible</x:v>
      </x:c>
      <x:c r="U202" s="47" t="str">
        <x:v>DHH W Series Bite-To-The-Wire</x:v>
      </x:c>
      <x:c r="V202" s="47" t="str">
        <x:v>R1-16</x:v>
      </x:c>
      <x:c r="W202" s="47" t="str">
        <x:v>Crimp full shell</x:v>
      </x:c>
      <x:c r="X202" s="50" t="n">
        <x:v>41.3</x:v>
      </x:c>
      <x:c r="Y202" s="50" t="n">
        <x:v>0.13</x:v>
      </x:c>
      <x:c r="Z202" s="47" t="str">
        <x:v>https://www.discounthydraulichose.com/v/vspfiles/downloadables/crimp.pdf (catalog p.99)</x:v>
      </x:c>
      <x:c r="AA202" s="47" t="str">
        <x:v>Published reference data; applicability is limited to the listed reference system and hose code.</x:v>
      </x:c>
      <x:c r="AB202" s="161" t="str">
        <x:v>Pending</x:v>
      </x:c>
    </x:row>
    <x:row r="203" ht="42" customHeight="1">
      <x:c r="A203" s="33" t="str">
        <x:v>Draft</x:v>
      </x:c>
      <x:c r="B203" s="47" t="str">
        <x:v>COMP_0199</x:v>
      </x:c>
      <x:c r="C203" s="47" t="str">
        <x:v>601R1_009</x:v>
      </x:c>
      <x:c r="D203" s="47" t="str">
        <x:v>ORFS90_F_SW_16_16</x:v>
      </x:c>
      <x:c r="E203" s="47" t="str">
        <x:v>601R1_1WB_009</x:v>
      </x:c>
      <x:c r="F203" s="47" t="str"/>
      <x:c r="G203" s="33" t="str"/>
      <x:c r="H203" s="50" t="str"/>
      <x:c r="I203" s="50" t="str"/>
      <x:c r="J203" s="50" t="str"/>
      <x:c r="K203" s="47" t="str"/>
      <x:c r="L203" s="50" t="str"/>
      <x:c r="M203" s="50" t="str"/>
      <x:c r="N203" s="47" t="str"/>
      <x:c r="O203" s="50" t="str"/>
      <x:c r="P203" s="64" t="str">
        <x:f>IF(O203="","",O203*2)</x:f>
      </x:c>
      <x:c r="Q203" s="50" t="str"/>
      <x:c r="R203" s="47" t="str"/>
      <x:c r="S203" s="33" t="str">
        <x:v>Not Tested</x:v>
      </x:c>
      <x:c r="T203" s="64" t="str">
        <x:v>Eligible</x:v>
      </x:c>
      <x:c r="U203" s="47" t="str">
        <x:v>DHH W Series Bite-To-The-Wire</x:v>
      </x:c>
      <x:c r="V203" s="47" t="str">
        <x:v>R1-16</x:v>
      </x:c>
      <x:c r="W203" s="47" t="str">
        <x:v>Crimp full shell</x:v>
      </x:c>
      <x:c r="X203" s="50" t="n">
        <x:v>41.3</x:v>
      </x:c>
      <x:c r="Y203" s="50" t="n">
        <x:v>0.13</x:v>
      </x:c>
      <x:c r="Z203" s="47" t="str">
        <x:v>https://www.discounthydraulichose.com/v/vspfiles/downloadables/crimp.pdf (catalog p.99)</x:v>
      </x:c>
      <x:c r="AA203" s="47" t="str">
        <x:v>Published reference data; applicability is limited to the listed reference system and hose code.</x:v>
      </x:c>
      <x:c r="AB203" s="161" t="str">
        <x:v>Pending</x:v>
      </x:c>
    </x:row>
    <x:row r="204" ht="42" customHeight="1">
      <x:c r="A204" s="33" t="str">
        <x:v>Draft</x:v>
      </x:c>
      <x:c r="B204" s="47" t="str">
        <x:v>COMP_0200</x:v>
      </x:c>
      <x:c r="C204" s="47" t="str">
        <x:v>601R1_009</x:v>
      </x:c>
      <x:c r="D204" s="47" t="str">
        <x:v>ORFS90_F_SW_20_16</x:v>
      </x:c>
      <x:c r="E204" s="47" t="str">
        <x:v>601R1_1WB_009</x:v>
      </x:c>
      <x:c r="F204" s="47" t="str"/>
      <x:c r="G204" s="33" t="str"/>
      <x:c r="H204" s="50" t="str"/>
      <x:c r="I204" s="50" t="str"/>
      <x:c r="J204" s="50" t="str"/>
      <x:c r="K204" s="47" t="str"/>
      <x:c r="L204" s="50" t="str"/>
      <x:c r="M204" s="50" t="str"/>
      <x:c r="N204" s="47" t="str"/>
      <x:c r="O204" s="50" t="str"/>
      <x:c r="P204" s="64" t="str">
        <x:f>IF(O204="","",O204*2)</x:f>
      </x:c>
      <x:c r="Q204" s="50" t="str"/>
      <x:c r="R204" s="47" t="str"/>
      <x:c r="S204" s="33" t="str">
        <x:v>Not Tested</x:v>
      </x:c>
      <x:c r="T204" s="64" t="str">
        <x:v>Eligible</x:v>
      </x:c>
      <x:c r="U204" s="47" t="str">
        <x:v>DHH W Series Bite-To-The-Wire</x:v>
      </x:c>
      <x:c r="V204" s="47" t="str">
        <x:v>R1-16</x:v>
      </x:c>
      <x:c r="W204" s="47" t="str">
        <x:v>Crimp full shell</x:v>
      </x:c>
      <x:c r="X204" s="50" t="n">
        <x:v>41.3</x:v>
      </x:c>
      <x:c r="Y204" s="50" t="n">
        <x:v>0.13</x:v>
      </x:c>
      <x:c r="Z204" s="47" t="str">
        <x:v>https://www.discounthydraulichose.com/v/vspfiles/downloadables/crimp.pdf (catalog p.99)</x:v>
      </x:c>
      <x:c r="AA204" s="47" t="str">
        <x:v>Published reference data; applicability is limited to the listed reference system and hose code.</x:v>
      </x:c>
      <x:c r="AB204" s="161" t="str">
        <x:v>Pending</x:v>
      </x:c>
    </x:row>
    <x:row r="205" ht="42" customHeight="1">
      <x:c r="A205" s="33" t="str">
        <x:v>Draft</x:v>
      </x:c>
      <x:c r="B205" s="47" t="str">
        <x:v>COMP_0201</x:v>
      </x:c>
      <x:c r="C205" s="47" t="str">
        <x:v>601R2_002</x:v>
      </x:c>
      <x:c r="D205" s="47" t="str">
        <x:v>BSPP_F_SW_04_04</x:v>
      </x:c>
      <x:c r="E205" s="47" t="str">
        <x:v>601R2_2WB_002</x:v>
      </x:c>
      <x:c r="F205" s="47" t="str"/>
      <x:c r="G205" s="33" t="str"/>
      <x:c r="H205" s="50" t="str"/>
      <x:c r="I205" s="50" t="str"/>
      <x:c r="J205" s="50" t="str"/>
      <x:c r="K205" s="47" t="str"/>
      <x:c r="L205" s="50" t="str"/>
      <x:c r="M205" s="50" t="str"/>
      <x:c r="N205" s="47" t="str"/>
      <x:c r="O205" s="50" t="str"/>
      <x:c r="P205" s="64" t="str">
        <x:f>IF(O205="","",O205*2)</x:f>
      </x:c>
      <x:c r="Q205" s="50" t="str"/>
      <x:c r="R205" s="47" t="str"/>
      <x:c r="S205" s="33" t="str">
        <x:v>Not Tested</x:v>
      </x:c>
      <x:c r="T205" s="64" t="str">
        <x:v>Eligible</x:v>
      </x:c>
      <x:c r="U205" s="47" t="str">
        <x:v>DHH W Series Bite-To-The-Wire</x:v>
      </x:c>
      <x:c r="V205" s="47" t="str">
        <x:v>R2-04</x:v>
      </x:c>
      <x:c r="W205" s="47" t="str">
        <x:v>Crimp full shell</x:v>
      </x:c>
      <x:c r="X205" s="50" t="n">
        <x:v>17.65</x:v>
      </x:c>
      <x:c r="Y205" s="50" t="n">
        <x:v>0.13</x:v>
      </x:c>
      <x:c r="Z205" s="47" t="str">
        <x:v>https://www.discounthydraulichose.com/v/vspfiles/downloadables/crimp.pdf (catalog p.99)</x:v>
      </x:c>
      <x:c r="AA205" s="47" t="str">
        <x:v>Published reference data; applicability is limited to the listed reference system and hose code.</x:v>
      </x:c>
      <x:c r="AB205" s="161" t="str">
        <x:v>Pending</x:v>
      </x:c>
    </x:row>
    <x:row r="206" ht="42" customHeight="1">
      <x:c r="A206" s="33" t="str">
        <x:v>Draft</x:v>
      </x:c>
      <x:c r="B206" s="47" t="str">
        <x:v>COMP_0202</x:v>
      </x:c>
      <x:c r="C206" s="47" t="str">
        <x:v>601R2_002</x:v>
      </x:c>
      <x:c r="D206" s="47" t="str">
        <x:v>BSPP_F_SW_06_04</x:v>
      </x:c>
      <x:c r="E206" s="47" t="str">
        <x:v>601R2_2WB_002</x:v>
      </x:c>
      <x:c r="F206" s="47" t="str"/>
      <x:c r="G206" s="33" t="str"/>
      <x:c r="H206" s="50" t="str"/>
      <x:c r="I206" s="50" t="str"/>
      <x:c r="J206" s="50" t="str"/>
      <x:c r="K206" s="47" t="str"/>
      <x:c r="L206" s="50" t="str"/>
      <x:c r="M206" s="50" t="str"/>
      <x:c r="N206" s="47" t="str"/>
      <x:c r="O206" s="50" t="str"/>
      <x:c r="P206" s="64" t="str">
        <x:f>IF(O206="","",O206*2)</x:f>
      </x:c>
      <x:c r="Q206" s="50" t="str"/>
      <x:c r="R206" s="47" t="str"/>
      <x:c r="S206" s="33" t="str">
        <x:v>Not Tested</x:v>
      </x:c>
      <x:c r="T206" s="64" t="str">
        <x:v>Eligible</x:v>
      </x:c>
      <x:c r="U206" s="47" t="str">
        <x:v>DHH W Series Bite-To-The-Wire</x:v>
      </x:c>
      <x:c r="V206" s="47" t="str">
        <x:v>R2-04</x:v>
      </x:c>
      <x:c r="W206" s="47" t="str">
        <x:v>Crimp full shell</x:v>
      </x:c>
      <x:c r="X206" s="50" t="n">
        <x:v>17.65</x:v>
      </x:c>
      <x:c r="Y206" s="50" t="n">
        <x:v>0.13</x:v>
      </x:c>
      <x:c r="Z206" s="47" t="str">
        <x:v>https://www.discounthydraulichose.com/v/vspfiles/downloadables/crimp.pdf (catalog p.99)</x:v>
      </x:c>
      <x:c r="AA206" s="47" t="str">
        <x:v>Published reference data; applicability is limited to the listed reference system and hose code.</x:v>
      </x:c>
      <x:c r="AB206" s="161" t="str">
        <x:v>Pending</x:v>
      </x:c>
    </x:row>
    <x:row r="207" ht="42" customHeight="1">
      <x:c r="A207" s="33" t="str">
        <x:v>Draft</x:v>
      </x:c>
      <x:c r="B207" s="47" t="str">
        <x:v>COMP_0203</x:v>
      </x:c>
      <x:c r="C207" s="47" t="str">
        <x:v>601R2_002</x:v>
      </x:c>
      <x:c r="D207" s="47" t="str">
        <x:v>BSPP_M_FX_04_04</x:v>
      </x:c>
      <x:c r="E207" s="47" t="str">
        <x:v>601R2_2WB_002</x:v>
      </x:c>
      <x:c r="F207" s="47" t="str"/>
      <x:c r="G207" s="33" t="str"/>
      <x:c r="H207" s="50" t="str"/>
      <x:c r="I207" s="50" t="str"/>
      <x:c r="J207" s="50" t="str"/>
      <x:c r="K207" s="47" t="str"/>
      <x:c r="L207" s="50" t="str"/>
      <x:c r="M207" s="50" t="str"/>
      <x:c r="N207" s="47" t="str"/>
      <x:c r="O207" s="50" t="str"/>
      <x:c r="P207" s="64" t="str">
        <x:f>IF(O207="","",O207*2)</x:f>
      </x:c>
      <x:c r="Q207" s="50" t="str"/>
      <x:c r="R207" s="47" t="str"/>
      <x:c r="S207" s="33" t="str">
        <x:v>Not Tested</x:v>
      </x:c>
      <x:c r="T207" s="64" t="str">
        <x:v>Eligible</x:v>
      </x:c>
      <x:c r="U207" s="47" t="str">
        <x:v>DHH W Series Bite-To-The-Wire</x:v>
      </x:c>
      <x:c r="V207" s="47" t="str">
        <x:v>R2-04</x:v>
      </x:c>
      <x:c r="W207" s="47" t="str">
        <x:v>Crimp full shell</x:v>
      </x:c>
      <x:c r="X207" s="50" t="n">
        <x:v>17.65</x:v>
      </x:c>
      <x:c r="Y207" s="50" t="n">
        <x:v>0.13</x:v>
      </x:c>
      <x:c r="Z207" s="47" t="str">
        <x:v>https://www.discounthydraulichose.com/v/vspfiles/downloadables/crimp.pdf (catalog p.99)</x:v>
      </x:c>
      <x:c r="AA207" s="47" t="str">
        <x:v>Published reference data; applicability is limited to the listed reference system and hose code.</x:v>
      </x:c>
      <x:c r="AB207" s="161" t="str">
        <x:v>Pending</x:v>
      </x:c>
    </x:row>
    <x:row r="208" ht="42" customHeight="1">
      <x:c r="A208" s="33" t="str">
        <x:v>Draft</x:v>
      </x:c>
      <x:c r="B208" s="47" t="str">
        <x:v>COMP_0204</x:v>
      </x:c>
      <x:c r="C208" s="47" t="str">
        <x:v>601R2_002</x:v>
      </x:c>
      <x:c r="D208" s="47" t="str">
        <x:v>BSPP_M_FX_06_04</x:v>
      </x:c>
      <x:c r="E208" s="47" t="str">
        <x:v>601R2_2WB_002</x:v>
      </x:c>
      <x:c r="F208" s="47" t="str"/>
      <x:c r="G208" s="33" t="str"/>
      <x:c r="H208" s="50" t="str"/>
      <x:c r="I208" s="50" t="str"/>
      <x:c r="J208" s="50" t="str"/>
      <x:c r="K208" s="47" t="str"/>
      <x:c r="L208" s="50" t="str"/>
      <x:c r="M208" s="50" t="str"/>
      <x:c r="N208" s="47" t="str"/>
      <x:c r="O208" s="50" t="str"/>
      <x:c r="P208" s="64" t="str">
        <x:f>IF(O208="","",O208*2)</x:f>
      </x:c>
      <x:c r="Q208" s="50" t="str"/>
      <x:c r="R208" s="47" t="str"/>
      <x:c r="S208" s="33" t="str">
        <x:v>Not Tested</x:v>
      </x:c>
      <x:c r="T208" s="64" t="str">
        <x:v>Eligible</x:v>
      </x:c>
      <x:c r="U208" s="47" t="str">
        <x:v>DHH W Series Bite-To-The-Wire</x:v>
      </x:c>
      <x:c r="V208" s="47" t="str">
        <x:v>R2-04</x:v>
      </x:c>
      <x:c r="W208" s="47" t="str">
        <x:v>Crimp full shell</x:v>
      </x:c>
      <x:c r="X208" s="50" t="n">
        <x:v>17.65</x:v>
      </x:c>
      <x:c r="Y208" s="50" t="n">
        <x:v>0.13</x:v>
      </x:c>
      <x:c r="Z208" s="47" t="str">
        <x:v>https://www.discounthydraulichose.com/v/vspfiles/downloadables/crimp.pdf (catalog p.99)</x:v>
      </x:c>
      <x:c r="AA208" s="47" t="str">
        <x:v>Published reference data; applicability is limited to the listed reference system and hose code.</x:v>
      </x:c>
      <x:c r="AB208" s="161" t="str">
        <x:v>Pending</x:v>
      </x:c>
    </x:row>
    <x:row r="209" ht="42" customHeight="1">
      <x:c r="A209" s="33" t="str">
        <x:v>Draft</x:v>
      </x:c>
      <x:c r="B209" s="47" t="str">
        <x:v>COMP_0205</x:v>
      </x:c>
      <x:c r="C209" s="47" t="str">
        <x:v>601R2_002</x:v>
      </x:c>
      <x:c r="D209" s="47" t="str">
        <x:v>BSPP45_F_SW_04_04</x:v>
      </x:c>
      <x:c r="E209" s="47" t="str">
        <x:v>601R2_2WB_002</x:v>
      </x:c>
      <x:c r="F209" s="47" t="str"/>
      <x:c r="G209" s="33" t="str"/>
      <x:c r="H209" s="50" t="str"/>
      <x:c r="I209" s="50" t="str"/>
      <x:c r="J209" s="50" t="str"/>
      <x:c r="K209" s="47" t="str"/>
      <x:c r="L209" s="50" t="str"/>
      <x:c r="M209" s="50" t="str"/>
      <x:c r="N209" s="47" t="str"/>
      <x:c r="O209" s="50" t="str"/>
      <x:c r="P209" s="64" t="str">
        <x:f>IF(O209="","",O209*2)</x:f>
      </x:c>
      <x:c r="Q209" s="50" t="str"/>
      <x:c r="R209" s="47" t="str"/>
      <x:c r="S209" s="33" t="str">
        <x:v>Not Tested</x:v>
      </x:c>
      <x:c r="T209" s="64" t="str">
        <x:v>Eligible</x:v>
      </x:c>
      <x:c r="U209" s="47" t="str">
        <x:v>DHH W Series Bite-To-The-Wire</x:v>
      </x:c>
      <x:c r="V209" s="47" t="str">
        <x:v>R2-04</x:v>
      </x:c>
      <x:c r="W209" s="47" t="str">
        <x:v>Crimp full shell</x:v>
      </x:c>
      <x:c r="X209" s="50" t="n">
        <x:v>17.65</x:v>
      </x:c>
      <x:c r="Y209" s="50" t="n">
        <x:v>0.13</x:v>
      </x:c>
      <x:c r="Z209" s="47" t="str">
        <x:v>https://www.discounthydraulichose.com/v/vspfiles/downloadables/crimp.pdf (catalog p.99)</x:v>
      </x:c>
      <x:c r="AA209" s="47" t="str">
        <x:v>Published reference data; applicability is limited to the listed reference system and hose code.</x:v>
      </x:c>
      <x:c r="AB209" s="161" t="str">
        <x:v>Pending</x:v>
      </x:c>
    </x:row>
    <x:row r="210" ht="42" customHeight="1">
      <x:c r="A210" s="33" t="str">
        <x:v>Draft</x:v>
      </x:c>
      <x:c r="B210" s="47" t="str">
        <x:v>COMP_0206</x:v>
      </x:c>
      <x:c r="C210" s="47" t="str">
        <x:v>601R2_002</x:v>
      </x:c>
      <x:c r="D210" s="47" t="str">
        <x:v>BSPP90_F_SW_04_04</x:v>
      </x:c>
      <x:c r="E210" s="47" t="str">
        <x:v>601R2_2WB_002</x:v>
      </x:c>
      <x:c r="F210" s="47" t="str"/>
      <x:c r="G210" s="33" t="str"/>
      <x:c r="H210" s="50" t="str"/>
      <x:c r="I210" s="50" t="str"/>
      <x:c r="J210" s="50" t="str"/>
      <x:c r="K210" s="47" t="str"/>
      <x:c r="L210" s="50" t="str"/>
      <x:c r="M210" s="50" t="str"/>
      <x:c r="N210" s="47" t="str"/>
      <x:c r="O210" s="50" t="str"/>
      <x:c r="P210" s="64" t="str">
        <x:f>IF(O210="","",O210*2)</x:f>
      </x:c>
      <x:c r="Q210" s="50" t="str"/>
      <x:c r="R210" s="47" t="str"/>
      <x:c r="S210" s="33" t="str">
        <x:v>Not Tested</x:v>
      </x:c>
      <x:c r="T210" s="64" t="str">
        <x:v>Eligible</x:v>
      </x:c>
      <x:c r="U210" s="47" t="str">
        <x:v>DHH W Series Bite-To-The-Wire</x:v>
      </x:c>
      <x:c r="V210" s="47" t="str">
        <x:v>R2-04</x:v>
      </x:c>
      <x:c r="W210" s="47" t="str">
        <x:v>Crimp full shell</x:v>
      </x:c>
      <x:c r="X210" s="50" t="n">
        <x:v>17.65</x:v>
      </x:c>
      <x:c r="Y210" s="50" t="n">
        <x:v>0.13</x:v>
      </x:c>
      <x:c r="Z210" s="47" t="str">
        <x:v>https://www.discounthydraulichose.com/v/vspfiles/downloadables/crimp.pdf (catalog p.99)</x:v>
      </x:c>
      <x:c r="AA210" s="47" t="str">
        <x:v>Published reference data; applicability is limited to the listed reference system and hose code.</x:v>
      </x:c>
      <x:c r="AB210" s="161" t="str">
        <x:v>Pending</x:v>
      </x:c>
    </x:row>
    <x:row r="211" ht="42" customHeight="1">
      <x:c r="A211" s="33" t="str">
        <x:v>Draft</x:v>
      </x:c>
      <x:c r="B211" s="47" t="str">
        <x:v>COMP_0207</x:v>
      </x:c>
      <x:c r="C211" s="47" t="str">
        <x:v>601R2_002</x:v>
      </x:c>
      <x:c r="D211" s="47" t="str">
        <x:v>BSPP90_F_SW_06_04</x:v>
      </x:c>
      <x:c r="E211" s="47" t="str">
        <x:v>601R2_2WB_002</x:v>
      </x:c>
      <x:c r="F211" s="47" t="str"/>
      <x:c r="G211" s="33" t="str"/>
      <x:c r="H211" s="50" t="str"/>
      <x:c r="I211" s="50" t="str"/>
      <x:c r="J211" s="50" t="str"/>
      <x:c r="K211" s="47" t="str"/>
      <x:c r="L211" s="50" t="str"/>
      <x:c r="M211" s="50" t="str"/>
      <x:c r="N211" s="47" t="str"/>
      <x:c r="O211" s="50" t="str"/>
      <x:c r="P211" s="64" t="str">
        <x:f>IF(O211="","",O211*2)</x:f>
      </x:c>
      <x:c r="Q211" s="50" t="str"/>
      <x:c r="R211" s="47" t="str"/>
      <x:c r="S211" s="33" t="str">
        <x:v>Not Tested</x:v>
      </x:c>
      <x:c r="T211" s="64" t="str">
        <x:v>Eligible</x:v>
      </x:c>
      <x:c r="U211" s="47" t="str">
        <x:v>DHH W Series Bite-To-The-Wire</x:v>
      </x:c>
      <x:c r="V211" s="47" t="str">
        <x:v>R2-04</x:v>
      </x:c>
      <x:c r="W211" s="47" t="str">
        <x:v>Crimp full shell</x:v>
      </x:c>
      <x:c r="X211" s="50" t="n">
        <x:v>17.65</x:v>
      </x:c>
      <x:c r="Y211" s="50" t="n">
        <x:v>0.13</x:v>
      </x:c>
      <x:c r="Z211" s="47" t="str">
        <x:v>https://www.discounthydraulichose.com/v/vspfiles/downloadables/crimp.pdf (catalog p.99)</x:v>
      </x:c>
      <x:c r="AA211" s="47" t="str">
        <x:v>Published reference data; applicability is limited to the listed reference system and hose code.</x:v>
      </x:c>
      <x:c r="AB211" s="161" t="str">
        <x:v>Pending</x:v>
      </x:c>
    </x:row>
    <x:row r="212" ht="42" customHeight="1">
      <x:c r="A212" s="33" t="str">
        <x:v>Draft</x:v>
      </x:c>
      <x:c r="B212" s="47" t="str">
        <x:v>COMP_0208</x:v>
      </x:c>
      <x:c r="C212" s="47" t="str">
        <x:v>601R2_002</x:v>
      </x:c>
      <x:c r="D212" s="47" t="str">
        <x:v>BSPT_M_FX_02_04</x:v>
      </x:c>
      <x:c r="E212" s="47" t="str">
        <x:v>601R2_2WB_002</x:v>
      </x:c>
      <x:c r="F212" s="47" t="str"/>
      <x:c r="G212" s="33" t="str"/>
      <x:c r="H212" s="50" t="str"/>
      <x:c r="I212" s="50" t="str"/>
      <x:c r="J212" s="50" t="str"/>
      <x:c r="K212" s="47" t="str"/>
      <x:c r="L212" s="50" t="str"/>
      <x:c r="M212" s="50" t="str"/>
      <x:c r="N212" s="47" t="str"/>
      <x:c r="O212" s="50" t="str"/>
      <x:c r="P212" s="64" t="str">
        <x:f>IF(O212="","",O212*2)</x:f>
      </x:c>
      <x:c r="Q212" s="50" t="str"/>
      <x:c r="R212" s="47" t="str"/>
      <x:c r="S212" s="33" t="str">
        <x:v>Not Tested</x:v>
      </x:c>
      <x:c r="T212" s="64" t="str">
        <x:v>Eligible</x:v>
      </x:c>
      <x:c r="U212" s="47" t="str">
        <x:v>DHH W Series Bite-To-The-Wire</x:v>
      </x:c>
      <x:c r="V212" s="47" t="str">
        <x:v>R2-04</x:v>
      </x:c>
      <x:c r="W212" s="47" t="str">
        <x:v>Crimp full shell</x:v>
      </x:c>
      <x:c r="X212" s="50" t="n">
        <x:v>17.65</x:v>
      </x:c>
      <x:c r="Y212" s="50" t="n">
        <x:v>0.13</x:v>
      </x:c>
      <x:c r="Z212" s="47" t="str">
        <x:v>https://www.discounthydraulichose.com/v/vspfiles/downloadables/crimp.pdf (catalog p.99)</x:v>
      </x:c>
      <x:c r="AA212" s="47" t="str">
        <x:v>Published reference data; applicability is limited to the listed reference system and hose code.</x:v>
      </x:c>
      <x:c r="AB212" s="161" t="str">
        <x:v>Pending</x:v>
      </x:c>
    </x:row>
    <x:row r="213" ht="42" customHeight="1">
      <x:c r="A213" s="33" t="str">
        <x:v>Draft</x:v>
      </x:c>
      <x:c r="B213" s="47" t="str">
        <x:v>COMP_0209</x:v>
      </x:c>
      <x:c r="C213" s="47" t="str">
        <x:v>601R2_002</x:v>
      </x:c>
      <x:c r="D213" s="47" t="str">
        <x:v>BSPT_M_FX_04_04</x:v>
      </x:c>
      <x:c r="E213" s="47" t="str">
        <x:v>601R2_2WB_002</x:v>
      </x:c>
      <x:c r="F213" s="47" t="str"/>
      <x:c r="G213" s="33" t="str"/>
      <x:c r="H213" s="50" t="str"/>
      <x:c r="I213" s="50" t="str"/>
      <x:c r="J213" s="50" t="str"/>
      <x:c r="K213" s="47" t="str"/>
      <x:c r="L213" s="50" t="str"/>
      <x:c r="M213" s="50" t="str"/>
      <x:c r="N213" s="47" t="str"/>
      <x:c r="O213" s="50" t="str"/>
      <x:c r="P213" s="64" t="str">
        <x:f>IF(O213="","",O213*2)</x:f>
      </x:c>
      <x:c r="Q213" s="50" t="str"/>
      <x:c r="R213" s="47" t="str"/>
      <x:c r="S213" s="33" t="str">
        <x:v>Not Tested</x:v>
      </x:c>
      <x:c r="T213" s="64" t="str">
        <x:v>Eligible</x:v>
      </x:c>
      <x:c r="U213" s="47" t="str">
        <x:v>DHH W Series Bite-To-The-Wire</x:v>
      </x:c>
      <x:c r="V213" s="47" t="str">
        <x:v>R2-04</x:v>
      </x:c>
      <x:c r="W213" s="47" t="str">
        <x:v>Crimp full shell</x:v>
      </x:c>
      <x:c r="X213" s="50" t="n">
        <x:v>17.65</x:v>
      </x:c>
      <x:c r="Y213" s="50" t="n">
        <x:v>0.13</x:v>
      </x:c>
      <x:c r="Z213" s="47" t="str">
        <x:v>https://www.discounthydraulichose.com/v/vspfiles/downloadables/crimp.pdf (catalog p.99)</x:v>
      </x:c>
      <x:c r="AA213" s="47" t="str">
        <x:v>Published reference data; applicability is limited to the listed reference system and hose code.</x:v>
      </x:c>
      <x:c r="AB213" s="161" t="str">
        <x:v>Pending</x:v>
      </x:c>
    </x:row>
    <x:row r="214" ht="42" customHeight="1">
      <x:c r="A214" s="33" t="str">
        <x:v>Draft</x:v>
      </x:c>
      <x:c r="B214" s="47" t="str">
        <x:v>COMP_0210</x:v>
      </x:c>
      <x:c r="C214" s="47" t="str">
        <x:v>601R2_002</x:v>
      </x:c>
      <x:c r="D214" s="47" t="str">
        <x:v>BSPT_M_FX_06_04</x:v>
      </x:c>
      <x:c r="E214" s="47" t="str">
        <x:v>601R2_2WB_002</x:v>
      </x:c>
      <x:c r="F214" s="47" t="str"/>
      <x:c r="G214" s="33" t="str"/>
      <x:c r="H214" s="50" t="str"/>
      <x:c r="I214" s="50" t="str"/>
      <x:c r="J214" s="50" t="str"/>
      <x:c r="K214" s="47" t="str"/>
      <x:c r="L214" s="50" t="str"/>
      <x:c r="M214" s="50" t="str"/>
      <x:c r="N214" s="47" t="str"/>
      <x:c r="O214" s="50" t="str"/>
      <x:c r="P214" s="64" t="str">
        <x:f>IF(O214="","",O214*2)</x:f>
      </x:c>
      <x:c r="Q214" s="50" t="str"/>
      <x:c r="R214" s="47" t="str"/>
      <x:c r="S214" s="33" t="str">
        <x:v>Not Tested</x:v>
      </x:c>
      <x:c r="T214" s="64" t="str">
        <x:v>Eligible</x:v>
      </x:c>
      <x:c r="U214" s="47" t="str">
        <x:v>DHH W Series Bite-To-The-Wire</x:v>
      </x:c>
      <x:c r="V214" s="47" t="str">
        <x:v>R2-04</x:v>
      </x:c>
      <x:c r="W214" s="47" t="str">
        <x:v>Crimp full shell</x:v>
      </x:c>
      <x:c r="X214" s="50" t="n">
        <x:v>17.65</x:v>
      </x:c>
      <x:c r="Y214" s="50" t="n">
        <x:v>0.13</x:v>
      </x:c>
      <x:c r="Z214" s="47" t="str">
        <x:v>https://www.discounthydraulichose.com/v/vspfiles/downloadables/crimp.pdf (catalog p.99)</x:v>
      </x:c>
      <x:c r="AA214" s="47" t="str">
        <x:v>Published reference data; applicability is limited to the listed reference system and hose code.</x:v>
      </x:c>
      <x:c r="AB214" s="161" t="str">
        <x:v>Pending</x:v>
      </x:c>
    </x:row>
    <x:row r="215" ht="42" customHeight="1">
      <x:c r="A215" s="33" t="str">
        <x:v>Draft</x:v>
      </x:c>
      <x:c r="B215" s="47" t="str">
        <x:v>COMP_0211</x:v>
      </x:c>
      <x:c r="C215" s="47" t="str">
        <x:v>601R2_002</x:v>
      </x:c>
      <x:c r="D215" s="47" t="str">
        <x:v>JIC_F_SW_04_04</x:v>
      </x:c>
      <x:c r="E215" s="47" t="str">
        <x:v>601R2_2WB_002</x:v>
      </x:c>
      <x:c r="F215" s="47" t="str"/>
      <x:c r="G215" s="33" t="str"/>
      <x:c r="H215" s="50" t="str"/>
      <x:c r="I215" s="50" t="str"/>
      <x:c r="J215" s="50" t="str"/>
      <x:c r="K215" s="47" t="str"/>
      <x:c r="L215" s="50" t="str"/>
      <x:c r="M215" s="50" t="str"/>
      <x:c r="N215" s="47" t="str"/>
      <x:c r="O215" s="50" t="str"/>
      <x:c r="P215" s="64" t="str">
        <x:f>IF(O215="","",O215*2)</x:f>
      </x:c>
      <x:c r="Q215" s="50" t="str"/>
      <x:c r="R215" s="47" t="str"/>
      <x:c r="S215" s="33" t="str">
        <x:v>Not Tested</x:v>
      </x:c>
      <x:c r="T215" s="64" t="str">
        <x:v>Eligible</x:v>
      </x:c>
      <x:c r="U215" s="47" t="str">
        <x:v>DHH W Series Bite-To-The-Wire</x:v>
      </x:c>
      <x:c r="V215" s="47" t="str">
        <x:v>R2-04</x:v>
      </x:c>
      <x:c r="W215" s="47" t="str">
        <x:v>Crimp full shell</x:v>
      </x:c>
      <x:c r="X215" s="50" t="n">
        <x:v>17.65</x:v>
      </x:c>
      <x:c r="Y215" s="50" t="n">
        <x:v>0.13</x:v>
      </x:c>
      <x:c r="Z215" s="47" t="str">
        <x:v>https://www.discounthydraulichose.com/v/vspfiles/downloadables/crimp.pdf (catalog p.99)</x:v>
      </x:c>
      <x:c r="AA215" s="47" t="str">
        <x:v>Published reference data; applicability is limited to the listed reference system and hose code.</x:v>
      </x:c>
      <x:c r="AB215" s="161" t="str">
        <x:v>Pending</x:v>
      </x:c>
    </x:row>
    <x:row r="216" ht="42" customHeight="1">
      <x:c r="A216" s="33" t="str">
        <x:v>Draft</x:v>
      </x:c>
      <x:c r="B216" s="47" t="str">
        <x:v>COMP_0212</x:v>
      </x:c>
      <x:c r="C216" s="47" t="str">
        <x:v>601R2_002</x:v>
      </x:c>
      <x:c r="D216" s="47" t="str">
        <x:v>JIC_F_SW_05_04</x:v>
      </x:c>
      <x:c r="E216" s="47" t="str">
        <x:v>601R2_2WB_002</x:v>
      </x:c>
      <x:c r="F216" s="47" t="str"/>
      <x:c r="G216" s="33" t="str"/>
      <x:c r="H216" s="50" t="str"/>
      <x:c r="I216" s="50" t="str"/>
      <x:c r="J216" s="50" t="str"/>
      <x:c r="K216" s="47" t="str"/>
      <x:c r="L216" s="50" t="str"/>
      <x:c r="M216" s="50" t="str"/>
      <x:c r="N216" s="47" t="str"/>
      <x:c r="O216" s="50" t="str"/>
      <x:c r="P216" s="64" t="str">
        <x:f>IF(O216="","",O216*2)</x:f>
      </x:c>
      <x:c r="Q216" s="50" t="str"/>
      <x:c r="R216" s="47" t="str"/>
      <x:c r="S216" s="33" t="str">
        <x:v>Not Tested</x:v>
      </x:c>
      <x:c r="T216" s="64" t="str">
        <x:v>Eligible</x:v>
      </x:c>
      <x:c r="U216" s="47" t="str">
        <x:v>DHH W Series Bite-To-The-Wire</x:v>
      </x:c>
      <x:c r="V216" s="47" t="str">
        <x:v>R2-04</x:v>
      </x:c>
      <x:c r="W216" s="47" t="str">
        <x:v>Crimp full shell</x:v>
      </x:c>
      <x:c r="X216" s="50" t="n">
        <x:v>17.65</x:v>
      </x:c>
      <x:c r="Y216" s="50" t="n">
        <x:v>0.13</x:v>
      </x:c>
      <x:c r="Z216" s="47" t="str">
        <x:v>https://www.discounthydraulichose.com/v/vspfiles/downloadables/crimp.pdf (catalog p.99)</x:v>
      </x:c>
      <x:c r="AA216" s="47" t="str">
        <x:v>Published reference data; applicability is limited to the listed reference system and hose code.</x:v>
      </x:c>
      <x:c r="AB216" s="161" t="str">
        <x:v>Pending</x:v>
      </x:c>
    </x:row>
    <x:row r="217" ht="42" customHeight="1">
      <x:c r="A217" s="33" t="str">
        <x:v>Draft</x:v>
      </x:c>
      <x:c r="B217" s="47" t="str">
        <x:v>COMP_0213</x:v>
      </x:c>
      <x:c r="C217" s="47" t="str">
        <x:v>601R2_002</x:v>
      </x:c>
      <x:c r="D217" s="47" t="str">
        <x:v>JIC_F_SW_06_04</x:v>
      </x:c>
      <x:c r="E217" s="47" t="str">
        <x:v>601R2_2WB_002</x:v>
      </x:c>
      <x:c r="F217" s="47" t="str"/>
      <x:c r="G217" s="33" t="str"/>
      <x:c r="H217" s="50" t="str"/>
      <x:c r="I217" s="50" t="str"/>
      <x:c r="J217" s="50" t="str"/>
      <x:c r="K217" s="47" t="str"/>
      <x:c r="L217" s="50" t="str"/>
      <x:c r="M217" s="50" t="str"/>
      <x:c r="N217" s="47" t="str"/>
      <x:c r="O217" s="50" t="str"/>
      <x:c r="P217" s="64" t="str">
        <x:f>IF(O217="","",O217*2)</x:f>
      </x:c>
      <x:c r="Q217" s="50" t="str"/>
      <x:c r="R217" s="47" t="str"/>
      <x:c r="S217" s="33" t="str">
        <x:v>Not Tested</x:v>
      </x:c>
      <x:c r="T217" s="64" t="str">
        <x:v>Eligible</x:v>
      </x:c>
      <x:c r="U217" s="47" t="str">
        <x:v>DHH W Series Bite-To-The-Wire</x:v>
      </x:c>
      <x:c r="V217" s="47" t="str">
        <x:v>R2-04</x:v>
      </x:c>
      <x:c r="W217" s="47" t="str">
        <x:v>Crimp full shell</x:v>
      </x:c>
      <x:c r="X217" s="50" t="n">
        <x:v>17.65</x:v>
      </x:c>
      <x:c r="Y217" s="50" t="n">
        <x:v>0.13</x:v>
      </x:c>
      <x:c r="Z217" s="47" t="str">
        <x:v>https://www.discounthydraulichose.com/v/vspfiles/downloadables/crimp.pdf (catalog p.99)</x:v>
      </x:c>
      <x:c r="AA217" s="47" t="str">
        <x:v>Published reference data; applicability is limited to the listed reference system and hose code.</x:v>
      </x:c>
      <x:c r="AB217" s="161" t="str">
        <x:v>Pending</x:v>
      </x:c>
    </x:row>
    <x:row r="218" ht="42" customHeight="1">
      <x:c r="A218" s="33" t="str">
        <x:v>Draft</x:v>
      </x:c>
      <x:c r="B218" s="47" t="str">
        <x:v>COMP_0214</x:v>
      </x:c>
      <x:c r="C218" s="47" t="str">
        <x:v>601R2_002</x:v>
      </x:c>
      <x:c r="D218" s="47" t="str">
        <x:v>JIC_M_FX_04_04</x:v>
      </x:c>
      <x:c r="E218" s="47" t="str">
        <x:v>601R2_2WB_002</x:v>
      </x:c>
      <x:c r="F218" s="47" t="str"/>
      <x:c r="G218" s="33" t="str"/>
      <x:c r="H218" s="50" t="str"/>
      <x:c r="I218" s="50" t="str"/>
      <x:c r="J218" s="50" t="str"/>
      <x:c r="K218" s="47" t="str"/>
      <x:c r="L218" s="50" t="str"/>
      <x:c r="M218" s="50" t="str"/>
      <x:c r="N218" s="47" t="str"/>
      <x:c r="O218" s="50" t="str"/>
      <x:c r="P218" s="64" t="str">
        <x:f>IF(O218="","",O218*2)</x:f>
      </x:c>
      <x:c r="Q218" s="50" t="str"/>
      <x:c r="R218" s="47" t="str"/>
      <x:c r="S218" s="33" t="str">
        <x:v>Not Tested</x:v>
      </x:c>
      <x:c r="T218" s="64" t="str">
        <x:v>Eligible</x:v>
      </x:c>
      <x:c r="U218" s="47" t="str">
        <x:v>DHH W Series Bite-To-The-Wire</x:v>
      </x:c>
      <x:c r="V218" s="47" t="str">
        <x:v>R2-04</x:v>
      </x:c>
      <x:c r="W218" s="47" t="str">
        <x:v>Crimp full shell</x:v>
      </x:c>
      <x:c r="X218" s="50" t="n">
        <x:v>17.65</x:v>
      </x:c>
      <x:c r="Y218" s="50" t="n">
        <x:v>0.13</x:v>
      </x:c>
      <x:c r="Z218" s="47" t="str">
        <x:v>https://www.discounthydraulichose.com/v/vspfiles/downloadables/crimp.pdf (catalog p.99)</x:v>
      </x:c>
      <x:c r="AA218" s="47" t="str">
        <x:v>Published reference data; applicability is limited to the listed reference system and hose code.</x:v>
      </x:c>
      <x:c r="AB218" s="161" t="str">
        <x:v>Pending</x:v>
      </x:c>
    </x:row>
    <x:row r="219" ht="42" customHeight="1">
      <x:c r="A219" s="33" t="str">
        <x:v>Draft</x:v>
      </x:c>
      <x:c r="B219" s="47" t="str">
        <x:v>COMP_0215</x:v>
      </x:c>
      <x:c r="C219" s="47" t="str">
        <x:v>601R2_002</x:v>
      </x:c>
      <x:c r="D219" s="47" t="str">
        <x:v>JIC_M_FX_05_04</x:v>
      </x:c>
      <x:c r="E219" s="47" t="str">
        <x:v>601R2_2WB_002</x:v>
      </x:c>
      <x:c r="F219" s="47" t="str"/>
      <x:c r="G219" s="33" t="str"/>
      <x:c r="H219" s="50" t="str"/>
      <x:c r="I219" s="50" t="str"/>
      <x:c r="J219" s="50" t="str"/>
      <x:c r="K219" s="47" t="str"/>
      <x:c r="L219" s="50" t="str"/>
      <x:c r="M219" s="50" t="str"/>
      <x:c r="N219" s="47" t="str"/>
      <x:c r="O219" s="50" t="str"/>
      <x:c r="P219" s="64" t="str">
        <x:f>IF(O219="","",O219*2)</x:f>
      </x:c>
      <x:c r="Q219" s="50" t="str"/>
      <x:c r="R219" s="47" t="str"/>
      <x:c r="S219" s="33" t="str">
        <x:v>Not Tested</x:v>
      </x:c>
      <x:c r="T219" s="64" t="str">
        <x:v>Eligible</x:v>
      </x:c>
      <x:c r="U219" s="47" t="str">
        <x:v>DHH W Series Bite-To-The-Wire</x:v>
      </x:c>
      <x:c r="V219" s="47" t="str">
        <x:v>R2-04</x:v>
      </x:c>
      <x:c r="W219" s="47" t="str">
        <x:v>Crimp full shell</x:v>
      </x:c>
      <x:c r="X219" s="50" t="n">
        <x:v>17.65</x:v>
      </x:c>
      <x:c r="Y219" s="50" t="n">
        <x:v>0.13</x:v>
      </x:c>
      <x:c r="Z219" s="47" t="str">
        <x:v>https://www.discounthydraulichose.com/v/vspfiles/downloadables/crimp.pdf (catalog p.99)</x:v>
      </x:c>
      <x:c r="AA219" s="47" t="str">
        <x:v>Published reference data; applicability is limited to the listed reference system and hose code.</x:v>
      </x:c>
      <x:c r="AB219" s="161" t="str">
        <x:v>Pending</x:v>
      </x:c>
    </x:row>
    <x:row r="220" ht="42" customHeight="1">
      <x:c r="A220" s="33" t="str">
        <x:v>Draft</x:v>
      </x:c>
      <x:c r="B220" s="47" t="str">
        <x:v>COMP_0216</x:v>
      </x:c>
      <x:c r="C220" s="47" t="str">
        <x:v>601R2_002</x:v>
      </x:c>
      <x:c r="D220" s="47" t="str">
        <x:v>JIC_M_FX_06_04</x:v>
      </x:c>
      <x:c r="E220" s="47" t="str">
        <x:v>601R2_2WB_002</x:v>
      </x:c>
      <x:c r="F220" s="47" t="str"/>
      <x:c r="G220" s="33" t="str"/>
      <x:c r="H220" s="50" t="str"/>
      <x:c r="I220" s="50" t="str"/>
      <x:c r="J220" s="50" t="str"/>
      <x:c r="K220" s="47" t="str"/>
      <x:c r="L220" s="50" t="str"/>
      <x:c r="M220" s="50" t="str"/>
      <x:c r="N220" s="47" t="str"/>
      <x:c r="O220" s="50" t="str"/>
      <x:c r="P220" s="64" t="str">
        <x:f>IF(O220="","",O220*2)</x:f>
      </x:c>
      <x:c r="Q220" s="50" t="str"/>
      <x:c r="R220" s="47" t="str"/>
      <x:c r="S220" s="33" t="str">
        <x:v>Not Tested</x:v>
      </x:c>
      <x:c r="T220" s="64" t="str">
        <x:v>Eligible</x:v>
      </x:c>
      <x:c r="U220" s="47" t="str">
        <x:v>DHH W Series Bite-To-The-Wire</x:v>
      </x:c>
      <x:c r="V220" s="47" t="str">
        <x:v>R2-04</x:v>
      </x:c>
      <x:c r="W220" s="47" t="str">
        <x:v>Crimp full shell</x:v>
      </x:c>
      <x:c r="X220" s="50" t="n">
        <x:v>17.65</x:v>
      </x:c>
      <x:c r="Y220" s="50" t="n">
        <x:v>0.13</x:v>
      </x:c>
      <x:c r="Z220" s="47" t="str">
        <x:v>https://www.discounthydraulichose.com/v/vspfiles/downloadables/crimp.pdf (catalog p.99)</x:v>
      </x:c>
      <x:c r="AA220" s="47" t="str">
        <x:v>Published reference data; applicability is limited to the listed reference system and hose code.</x:v>
      </x:c>
      <x:c r="AB220" s="161" t="str">
        <x:v>Pending</x:v>
      </x:c>
    </x:row>
    <x:row r="221" ht="42" customHeight="1">
      <x:c r="A221" s="33" t="str">
        <x:v>Draft</x:v>
      </x:c>
      <x:c r="B221" s="47" t="str">
        <x:v>COMP_0217</x:v>
      </x:c>
      <x:c r="C221" s="47" t="str">
        <x:v>601R2_002</x:v>
      </x:c>
      <x:c r="D221" s="47" t="str">
        <x:v>JIC45_F_SW_04_04</x:v>
      </x:c>
      <x:c r="E221" s="47" t="str">
        <x:v>601R2_2WB_002</x:v>
      </x:c>
      <x:c r="F221" s="47" t="str"/>
      <x:c r="G221" s="33" t="str"/>
      <x:c r="H221" s="50" t="str"/>
      <x:c r="I221" s="50" t="str"/>
      <x:c r="J221" s="50" t="str"/>
      <x:c r="K221" s="47" t="str"/>
      <x:c r="L221" s="50" t="str"/>
      <x:c r="M221" s="50" t="str"/>
      <x:c r="N221" s="47" t="str"/>
      <x:c r="O221" s="50" t="str"/>
      <x:c r="P221" s="64" t="str">
        <x:f>IF(O221="","",O221*2)</x:f>
      </x:c>
      <x:c r="Q221" s="50" t="str"/>
      <x:c r="R221" s="47" t="str"/>
      <x:c r="S221" s="33" t="str">
        <x:v>Not Tested</x:v>
      </x:c>
      <x:c r="T221" s="64" t="str">
        <x:v>Eligible</x:v>
      </x:c>
      <x:c r="U221" s="47" t="str">
        <x:v>DHH W Series Bite-To-The-Wire</x:v>
      </x:c>
      <x:c r="V221" s="47" t="str">
        <x:v>R2-04</x:v>
      </x:c>
      <x:c r="W221" s="47" t="str">
        <x:v>Crimp full shell</x:v>
      </x:c>
      <x:c r="X221" s="50" t="n">
        <x:v>17.65</x:v>
      </x:c>
      <x:c r="Y221" s="50" t="n">
        <x:v>0.13</x:v>
      </x:c>
      <x:c r="Z221" s="47" t="str">
        <x:v>https://www.discounthydraulichose.com/v/vspfiles/downloadables/crimp.pdf (catalog p.99)</x:v>
      </x:c>
      <x:c r="AA221" s="47" t="str">
        <x:v>Published reference data; applicability is limited to the listed reference system and hose code.</x:v>
      </x:c>
      <x:c r="AB221" s="161" t="str">
        <x:v>Pending</x:v>
      </x:c>
    </x:row>
    <x:row r="222" ht="42" customHeight="1">
      <x:c r="A222" s="33" t="str">
        <x:v>Draft</x:v>
      </x:c>
      <x:c r="B222" s="47" t="str">
        <x:v>COMP_0218</x:v>
      </x:c>
      <x:c r="C222" s="47" t="str">
        <x:v>601R2_002</x:v>
      </x:c>
      <x:c r="D222" s="47" t="str">
        <x:v>JIC45_F_SW_06_04</x:v>
      </x:c>
      <x:c r="E222" s="47" t="str">
        <x:v>601R2_2WB_002</x:v>
      </x:c>
      <x:c r="F222" s="47" t="str"/>
      <x:c r="G222" s="33" t="str"/>
      <x:c r="H222" s="50" t="str"/>
      <x:c r="I222" s="50" t="str"/>
      <x:c r="J222" s="50" t="str"/>
      <x:c r="K222" s="47" t="str"/>
      <x:c r="L222" s="50" t="str"/>
      <x:c r="M222" s="50" t="str"/>
      <x:c r="N222" s="47" t="str"/>
      <x:c r="O222" s="50" t="str"/>
      <x:c r="P222" s="64" t="str">
        <x:f>IF(O222="","",O222*2)</x:f>
      </x:c>
      <x:c r="Q222" s="50" t="str"/>
      <x:c r="R222" s="47" t="str"/>
      <x:c r="S222" s="33" t="str">
        <x:v>Not Tested</x:v>
      </x:c>
      <x:c r="T222" s="64" t="str">
        <x:v>Eligible</x:v>
      </x:c>
      <x:c r="U222" s="47" t="str">
        <x:v>DHH W Series Bite-To-The-Wire</x:v>
      </x:c>
      <x:c r="V222" s="47" t="str">
        <x:v>R2-04</x:v>
      </x:c>
      <x:c r="W222" s="47" t="str">
        <x:v>Crimp full shell</x:v>
      </x:c>
      <x:c r="X222" s="50" t="n">
        <x:v>17.65</x:v>
      </x:c>
      <x:c r="Y222" s="50" t="n">
        <x:v>0.13</x:v>
      </x:c>
      <x:c r="Z222" s="47" t="str">
        <x:v>https://www.discounthydraulichose.com/v/vspfiles/downloadables/crimp.pdf (catalog p.99)</x:v>
      </x:c>
      <x:c r="AA222" s="47" t="str">
        <x:v>Published reference data; applicability is limited to the listed reference system and hose code.</x:v>
      </x:c>
      <x:c r="AB222" s="161" t="str">
        <x:v>Pending</x:v>
      </x:c>
    </x:row>
    <x:row r="223" ht="42" customHeight="1">
      <x:c r="A223" s="33" t="str">
        <x:v>Draft</x:v>
      </x:c>
      <x:c r="B223" s="47" t="str">
        <x:v>COMP_0219</x:v>
      </x:c>
      <x:c r="C223" s="47" t="str">
        <x:v>601R2_002</x:v>
      </x:c>
      <x:c r="D223" s="47" t="str">
        <x:v>JIC90_F_SW_04_04</x:v>
      </x:c>
      <x:c r="E223" s="47" t="str">
        <x:v>601R2_2WB_002</x:v>
      </x:c>
      <x:c r="F223" s="47" t="str"/>
      <x:c r="G223" s="33" t="str"/>
      <x:c r="H223" s="50" t="str"/>
      <x:c r="I223" s="50" t="str"/>
      <x:c r="J223" s="50" t="str"/>
      <x:c r="K223" s="47" t="str"/>
      <x:c r="L223" s="50" t="str"/>
      <x:c r="M223" s="50" t="str"/>
      <x:c r="N223" s="47" t="str"/>
      <x:c r="O223" s="50" t="str"/>
      <x:c r="P223" s="64" t="str">
        <x:f>IF(O223="","",O223*2)</x:f>
      </x:c>
      <x:c r="Q223" s="50" t="str"/>
      <x:c r="R223" s="47" t="str"/>
      <x:c r="S223" s="33" t="str">
        <x:v>Not Tested</x:v>
      </x:c>
      <x:c r="T223" s="64" t="str">
        <x:v>Eligible</x:v>
      </x:c>
      <x:c r="U223" s="47" t="str">
        <x:v>DHH W Series Bite-To-The-Wire</x:v>
      </x:c>
      <x:c r="V223" s="47" t="str">
        <x:v>R2-04</x:v>
      </x:c>
      <x:c r="W223" s="47" t="str">
        <x:v>Crimp full shell</x:v>
      </x:c>
      <x:c r="X223" s="50" t="n">
        <x:v>17.65</x:v>
      </x:c>
      <x:c r="Y223" s="50" t="n">
        <x:v>0.13</x:v>
      </x:c>
      <x:c r="Z223" s="47" t="str">
        <x:v>https://www.discounthydraulichose.com/v/vspfiles/downloadables/crimp.pdf (catalog p.99)</x:v>
      </x:c>
      <x:c r="AA223" s="47" t="str">
        <x:v>Published reference data; applicability is limited to the listed reference system and hose code.</x:v>
      </x:c>
      <x:c r="AB223" s="161" t="str">
        <x:v>Pending</x:v>
      </x:c>
    </x:row>
    <x:row r="224" ht="42" customHeight="1">
      <x:c r="A224" s="33" t="str">
        <x:v>Draft</x:v>
      </x:c>
      <x:c r="B224" s="47" t="str">
        <x:v>COMP_0220</x:v>
      </x:c>
      <x:c r="C224" s="47" t="str">
        <x:v>601R2_002</x:v>
      </x:c>
      <x:c r="D224" s="47" t="str">
        <x:v>JIC90_F_SW_05_04</x:v>
      </x:c>
      <x:c r="E224" s="47" t="str">
        <x:v>601R2_2WB_002</x:v>
      </x:c>
      <x:c r="F224" s="47" t="str"/>
      <x:c r="G224" s="33" t="str"/>
      <x:c r="H224" s="50" t="str"/>
      <x:c r="I224" s="50" t="str"/>
      <x:c r="J224" s="50" t="str"/>
      <x:c r="K224" s="47" t="str"/>
      <x:c r="L224" s="50" t="str"/>
      <x:c r="M224" s="50" t="str"/>
      <x:c r="N224" s="47" t="str"/>
      <x:c r="O224" s="50" t="str"/>
      <x:c r="P224" s="64" t="str">
        <x:f>IF(O224="","",O224*2)</x:f>
      </x:c>
      <x:c r="Q224" s="50" t="str"/>
      <x:c r="R224" s="47" t="str"/>
      <x:c r="S224" s="33" t="str">
        <x:v>Not Tested</x:v>
      </x:c>
      <x:c r="T224" s="64" t="str">
        <x:v>Eligible</x:v>
      </x:c>
      <x:c r="U224" s="47" t="str">
        <x:v>DHH W Series Bite-To-The-Wire</x:v>
      </x:c>
      <x:c r="V224" s="47" t="str">
        <x:v>R2-04</x:v>
      </x:c>
      <x:c r="W224" s="47" t="str">
        <x:v>Crimp full shell</x:v>
      </x:c>
      <x:c r="X224" s="50" t="n">
        <x:v>17.65</x:v>
      </x:c>
      <x:c r="Y224" s="50" t="n">
        <x:v>0.13</x:v>
      </x:c>
      <x:c r="Z224" s="47" t="str">
        <x:v>https://www.discounthydraulichose.com/v/vspfiles/downloadables/crimp.pdf (catalog p.99)</x:v>
      </x:c>
      <x:c r="AA224" s="47" t="str">
        <x:v>Published reference data; applicability is limited to the listed reference system and hose code.</x:v>
      </x:c>
      <x:c r="AB224" s="161" t="str">
        <x:v>Pending</x:v>
      </x:c>
    </x:row>
    <x:row r="225" ht="42" customHeight="1">
      <x:c r="A225" s="33" t="str">
        <x:v>Draft</x:v>
      </x:c>
      <x:c r="B225" s="47" t="str">
        <x:v>COMP_0221</x:v>
      </x:c>
      <x:c r="C225" s="47" t="str">
        <x:v>601R2_002</x:v>
      </x:c>
      <x:c r="D225" s="47" t="str">
        <x:v>JIC90_F_SW_06_04</x:v>
      </x:c>
      <x:c r="E225" s="47" t="str">
        <x:v>601R2_2WB_002</x:v>
      </x:c>
      <x:c r="F225" s="47" t="str"/>
      <x:c r="G225" s="33" t="str"/>
      <x:c r="H225" s="50" t="str"/>
      <x:c r="I225" s="50" t="str"/>
      <x:c r="J225" s="50" t="str"/>
      <x:c r="K225" s="47" t="str"/>
      <x:c r="L225" s="50" t="str"/>
      <x:c r="M225" s="50" t="str"/>
      <x:c r="N225" s="47" t="str"/>
      <x:c r="O225" s="50" t="str"/>
      <x:c r="P225" s="64" t="str">
        <x:f>IF(O225="","",O225*2)</x:f>
      </x:c>
      <x:c r="Q225" s="50" t="str"/>
      <x:c r="R225" s="47" t="str"/>
      <x:c r="S225" s="33" t="str">
        <x:v>Not Tested</x:v>
      </x:c>
      <x:c r="T225" s="64" t="str">
        <x:v>Eligible</x:v>
      </x:c>
      <x:c r="U225" s="47" t="str">
        <x:v>DHH W Series Bite-To-The-Wire</x:v>
      </x:c>
      <x:c r="V225" s="47" t="str">
        <x:v>R2-04</x:v>
      </x:c>
      <x:c r="W225" s="47" t="str">
        <x:v>Crimp full shell</x:v>
      </x:c>
      <x:c r="X225" s="50" t="n">
        <x:v>17.65</x:v>
      </x:c>
      <x:c r="Y225" s="50" t="n">
        <x:v>0.13</x:v>
      </x:c>
      <x:c r="Z225" s="47" t="str">
        <x:v>https://www.discounthydraulichose.com/v/vspfiles/downloadables/crimp.pdf (catalog p.99)</x:v>
      </x:c>
      <x:c r="AA225" s="47" t="str">
        <x:v>Published reference data; applicability is limited to the listed reference system and hose code.</x:v>
      </x:c>
      <x:c r="AB225" s="161" t="str">
        <x:v>Pending</x:v>
      </x:c>
    </x:row>
    <x:row r="226" ht="42" customHeight="1">
      <x:c r="A226" s="33" t="str">
        <x:v>Draft</x:v>
      </x:c>
      <x:c r="B226" s="47" t="str">
        <x:v>COMP_0222</x:v>
      </x:c>
      <x:c r="C226" s="47" t="str">
        <x:v>601R2_002</x:v>
      </x:c>
      <x:c r="D226" s="47" t="str">
        <x:v>NPT_F_FX_02_04</x:v>
      </x:c>
      <x:c r="E226" s="47" t="str">
        <x:v>601R2_2WB_002</x:v>
      </x:c>
      <x:c r="F226" s="47" t="str"/>
      <x:c r="G226" s="33" t="str"/>
      <x:c r="H226" s="50" t="str"/>
      <x:c r="I226" s="50" t="str"/>
      <x:c r="J226" s="50" t="str"/>
      <x:c r="K226" s="47" t="str"/>
      <x:c r="L226" s="50" t="str"/>
      <x:c r="M226" s="50" t="str"/>
      <x:c r="N226" s="47" t="str"/>
      <x:c r="O226" s="50" t="str"/>
      <x:c r="P226" s="64" t="str">
        <x:f>IF(O226="","",O226*2)</x:f>
      </x:c>
      <x:c r="Q226" s="50" t="str"/>
      <x:c r="R226" s="47" t="str"/>
      <x:c r="S226" s="33" t="str">
        <x:v>Not Tested</x:v>
      </x:c>
      <x:c r="T226" s="64" t="str">
        <x:v>Eligible</x:v>
      </x:c>
      <x:c r="U226" s="47" t="str">
        <x:v>DHH W Series Bite-To-The-Wire</x:v>
      </x:c>
      <x:c r="V226" s="47" t="str">
        <x:v>R2-04</x:v>
      </x:c>
      <x:c r="W226" s="47" t="str">
        <x:v>Crimp full shell</x:v>
      </x:c>
      <x:c r="X226" s="50" t="n">
        <x:v>17.65</x:v>
      </x:c>
      <x:c r="Y226" s="50" t="n">
        <x:v>0.13</x:v>
      </x:c>
      <x:c r="Z226" s="47" t="str">
        <x:v>https://www.discounthydraulichose.com/v/vspfiles/downloadables/crimp.pdf (catalog p.99)</x:v>
      </x:c>
      <x:c r="AA226" s="47" t="str">
        <x:v>Published reference data; applicability is limited to the listed reference system and hose code.</x:v>
      </x:c>
      <x:c r="AB226" s="161" t="str">
        <x:v>Pending</x:v>
      </x:c>
    </x:row>
    <x:row r="227" ht="42" customHeight="1">
      <x:c r="A227" s="33" t="str">
        <x:v>Draft</x:v>
      </x:c>
      <x:c r="B227" s="47" t="str">
        <x:v>COMP_0223</x:v>
      </x:c>
      <x:c r="C227" s="47" t="str">
        <x:v>601R2_002</x:v>
      </x:c>
      <x:c r="D227" s="47" t="str">
        <x:v>NPT_F_FX_04_04</x:v>
      </x:c>
      <x:c r="E227" s="47" t="str">
        <x:v>601R2_2WB_002</x:v>
      </x:c>
      <x:c r="F227" s="47" t="str"/>
      <x:c r="G227" s="33" t="str"/>
      <x:c r="H227" s="50" t="str"/>
      <x:c r="I227" s="50" t="str"/>
      <x:c r="J227" s="50" t="str"/>
      <x:c r="K227" s="47" t="str"/>
      <x:c r="L227" s="50" t="str"/>
      <x:c r="M227" s="50" t="str"/>
      <x:c r="N227" s="47" t="str"/>
      <x:c r="O227" s="50" t="str"/>
      <x:c r="P227" s="64" t="str">
        <x:f>IF(O227="","",O227*2)</x:f>
      </x:c>
      <x:c r="Q227" s="50" t="str"/>
      <x:c r="R227" s="47" t="str"/>
      <x:c r="S227" s="33" t="str">
        <x:v>Not Tested</x:v>
      </x:c>
      <x:c r="T227" s="64" t="str">
        <x:v>Eligible</x:v>
      </x:c>
      <x:c r="U227" s="47" t="str">
        <x:v>DHH W Series Bite-To-The-Wire</x:v>
      </x:c>
      <x:c r="V227" s="47" t="str">
        <x:v>R2-04</x:v>
      </x:c>
      <x:c r="W227" s="47" t="str">
        <x:v>Crimp full shell</x:v>
      </x:c>
      <x:c r="X227" s="50" t="n">
        <x:v>17.65</x:v>
      </x:c>
      <x:c r="Y227" s="50" t="n">
        <x:v>0.13</x:v>
      </x:c>
      <x:c r="Z227" s="47" t="str">
        <x:v>https://www.discounthydraulichose.com/v/vspfiles/downloadables/crimp.pdf (catalog p.99)</x:v>
      </x:c>
      <x:c r="AA227" s="47" t="str">
        <x:v>Published reference data; applicability is limited to the listed reference system and hose code.</x:v>
      </x:c>
      <x:c r="AB227" s="161" t="str">
        <x:v>Pending</x:v>
      </x:c>
    </x:row>
    <x:row r="228" ht="42" customHeight="1">
      <x:c r="A228" s="33" t="str">
        <x:v>Draft</x:v>
      </x:c>
      <x:c r="B228" s="47" t="str">
        <x:v>COMP_0224</x:v>
      </x:c>
      <x:c r="C228" s="47" t="str">
        <x:v>601R2_002</x:v>
      </x:c>
      <x:c r="D228" s="47" t="str">
        <x:v>NPT_F_FX_06_04</x:v>
      </x:c>
      <x:c r="E228" s="47" t="str">
        <x:v>601R2_2WB_002</x:v>
      </x:c>
      <x:c r="F228" s="47" t="str"/>
      <x:c r="G228" s="33" t="str"/>
      <x:c r="H228" s="50" t="str"/>
      <x:c r="I228" s="50" t="str"/>
      <x:c r="J228" s="50" t="str"/>
      <x:c r="K228" s="47" t="str"/>
      <x:c r="L228" s="50" t="str"/>
      <x:c r="M228" s="50" t="str"/>
      <x:c r="N228" s="47" t="str"/>
      <x:c r="O228" s="50" t="str"/>
      <x:c r="P228" s="64" t="str">
        <x:f>IF(O228="","",O228*2)</x:f>
      </x:c>
      <x:c r="Q228" s="50" t="str"/>
      <x:c r="R228" s="47" t="str"/>
      <x:c r="S228" s="33" t="str">
        <x:v>Not Tested</x:v>
      </x:c>
      <x:c r="T228" s="64" t="str">
        <x:v>Eligible</x:v>
      </x:c>
      <x:c r="U228" s="47" t="str">
        <x:v>DHH W Series Bite-To-The-Wire</x:v>
      </x:c>
      <x:c r="V228" s="47" t="str">
        <x:v>R2-04</x:v>
      </x:c>
      <x:c r="W228" s="47" t="str">
        <x:v>Crimp full shell</x:v>
      </x:c>
      <x:c r="X228" s="50" t="n">
        <x:v>17.65</x:v>
      </x:c>
      <x:c r="Y228" s="50" t="n">
        <x:v>0.13</x:v>
      </x:c>
      <x:c r="Z228" s="47" t="str">
        <x:v>https://www.discounthydraulichose.com/v/vspfiles/downloadables/crimp.pdf (catalog p.99)</x:v>
      </x:c>
      <x:c r="AA228" s="47" t="str">
        <x:v>Published reference data; applicability is limited to the listed reference system and hose code.</x:v>
      </x:c>
      <x:c r="AB228" s="161" t="str">
        <x:v>Pending</x:v>
      </x:c>
    </x:row>
    <x:row r="229" ht="42" customHeight="1">
      <x:c r="A229" s="33" t="str">
        <x:v>Draft</x:v>
      </x:c>
      <x:c r="B229" s="47" t="str">
        <x:v>COMP_0225</x:v>
      </x:c>
      <x:c r="C229" s="47" t="str">
        <x:v>601R2_002</x:v>
      </x:c>
      <x:c r="D229" s="47" t="str">
        <x:v>NPT_M_FX_02_04</x:v>
      </x:c>
      <x:c r="E229" s="47" t="str">
        <x:v>601R2_2WB_002</x:v>
      </x:c>
      <x:c r="F229" s="47" t="str"/>
      <x:c r="G229" s="33" t="str"/>
      <x:c r="H229" s="50" t="str"/>
      <x:c r="I229" s="50" t="str"/>
      <x:c r="J229" s="50" t="str"/>
      <x:c r="K229" s="47" t="str"/>
      <x:c r="L229" s="50" t="str"/>
      <x:c r="M229" s="50" t="str"/>
      <x:c r="N229" s="47" t="str"/>
      <x:c r="O229" s="50" t="str"/>
      <x:c r="P229" s="64" t="str">
        <x:f>IF(O229="","",O229*2)</x:f>
      </x:c>
      <x:c r="Q229" s="50" t="str"/>
      <x:c r="R229" s="47" t="str"/>
      <x:c r="S229" s="33" t="str">
        <x:v>Not Tested</x:v>
      </x:c>
      <x:c r="T229" s="64" t="str">
        <x:v>Eligible</x:v>
      </x:c>
      <x:c r="U229" s="47" t="str">
        <x:v>DHH W Series Bite-To-The-Wire</x:v>
      </x:c>
      <x:c r="V229" s="47" t="str">
        <x:v>R2-04</x:v>
      </x:c>
      <x:c r="W229" s="47" t="str">
        <x:v>Crimp full shell</x:v>
      </x:c>
      <x:c r="X229" s="50" t="n">
        <x:v>17.65</x:v>
      </x:c>
      <x:c r="Y229" s="50" t="n">
        <x:v>0.13</x:v>
      </x:c>
      <x:c r="Z229" s="47" t="str">
        <x:v>https://www.discounthydraulichose.com/v/vspfiles/downloadables/crimp.pdf (catalog p.99)</x:v>
      </x:c>
      <x:c r="AA229" s="47" t="str">
        <x:v>Published reference data; applicability is limited to the listed reference system and hose code.</x:v>
      </x:c>
      <x:c r="AB229" s="161" t="str">
        <x:v>Pending</x:v>
      </x:c>
    </x:row>
    <x:row r="230" ht="42" customHeight="1">
      <x:c r="A230" s="33" t="str">
        <x:v>Draft</x:v>
      </x:c>
      <x:c r="B230" s="47" t="str">
        <x:v>COMP_0226</x:v>
      </x:c>
      <x:c r="C230" s="47" t="str">
        <x:v>601R2_002</x:v>
      </x:c>
      <x:c r="D230" s="47" t="str">
        <x:v>NPT_M_FX_04_04</x:v>
      </x:c>
      <x:c r="E230" s="47" t="str">
        <x:v>601R2_2WB_002</x:v>
      </x:c>
      <x:c r="F230" s="47" t="str"/>
      <x:c r="G230" s="33" t="str"/>
      <x:c r="H230" s="50" t="str"/>
      <x:c r="I230" s="50" t="str"/>
      <x:c r="J230" s="50" t="str"/>
      <x:c r="K230" s="47" t="str"/>
      <x:c r="L230" s="50" t="str"/>
      <x:c r="M230" s="50" t="str"/>
      <x:c r="N230" s="47" t="str"/>
      <x:c r="O230" s="50" t="str"/>
      <x:c r="P230" s="64" t="str">
        <x:f>IF(O230="","",O230*2)</x:f>
      </x:c>
      <x:c r="Q230" s="50" t="str"/>
      <x:c r="R230" s="47" t="str"/>
      <x:c r="S230" s="33" t="str">
        <x:v>Not Tested</x:v>
      </x:c>
      <x:c r="T230" s="64" t="str">
        <x:v>Eligible</x:v>
      </x:c>
      <x:c r="U230" s="47" t="str">
        <x:v>DHH W Series Bite-To-The-Wire</x:v>
      </x:c>
      <x:c r="V230" s="47" t="str">
        <x:v>R2-04</x:v>
      </x:c>
      <x:c r="W230" s="47" t="str">
        <x:v>Crimp full shell</x:v>
      </x:c>
      <x:c r="X230" s="50" t="n">
        <x:v>17.65</x:v>
      </x:c>
      <x:c r="Y230" s="50" t="n">
        <x:v>0.13</x:v>
      </x:c>
      <x:c r="Z230" s="47" t="str">
        <x:v>https://www.discounthydraulichose.com/v/vspfiles/downloadables/crimp.pdf (catalog p.99)</x:v>
      </x:c>
      <x:c r="AA230" s="47" t="str">
        <x:v>Published reference data; applicability is limited to the listed reference system and hose code.</x:v>
      </x:c>
      <x:c r="AB230" s="161" t="str">
        <x:v>Pending</x:v>
      </x:c>
    </x:row>
    <x:row r="231" ht="42" customHeight="1">
      <x:c r="A231" s="33" t="str">
        <x:v>Draft</x:v>
      </x:c>
      <x:c r="B231" s="47" t="str">
        <x:v>COMP_0227</x:v>
      </x:c>
      <x:c r="C231" s="47" t="str">
        <x:v>601R2_002</x:v>
      </x:c>
      <x:c r="D231" s="47" t="str">
        <x:v>NPT_M_FX_06_04</x:v>
      </x:c>
      <x:c r="E231" s="47" t="str">
        <x:v>601R2_2WB_002</x:v>
      </x:c>
      <x:c r="F231" s="47" t="str"/>
      <x:c r="G231" s="33" t="str"/>
      <x:c r="H231" s="50" t="str"/>
      <x:c r="I231" s="50" t="str"/>
      <x:c r="J231" s="50" t="str"/>
      <x:c r="K231" s="47" t="str"/>
      <x:c r="L231" s="50" t="str"/>
      <x:c r="M231" s="50" t="str"/>
      <x:c r="N231" s="47" t="str"/>
      <x:c r="O231" s="50" t="str"/>
      <x:c r="P231" s="64" t="str">
        <x:f>IF(O231="","",O231*2)</x:f>
      </x:c>
      <x:c r="Q231" s="50" t="str"/>
      <x:c r="R231" s="47" t="str"/>
      <x:c r="S231" s="33" t="str">
        <x:v>Not Tested</x:v>
      </x:c>
      <x:c r="T231" s="64" t="str">
        <x:v>Eligible</x:v>
      </x:c>
      <x:c r="U231" s="47" t="str">
        <x:v>DHH W Series Bite-To-The-Wire</x:v>
      </x:c>
      <x:c r="V231" s="47" t="str">
        <x:v>R2-04</x:v>
      </x:c>
      <x:c r="W231" s="47" t="str">
        <x:v>Crimp full shell</x:v>
      </x:c>
      <x:c r="X231" s="50" t="n">
        <x:v>17.65</x:v>
      </x:c>
      <x:c r="Y231" s="50" t="n">
        <x:v>0.13</x:v>
      </x:c>
      <x:c r="Z231" s="47" t="str">
        <x:v>https://www.discounthydraulichose.com/v/vspfiles/downloadables/crimp.pdf (catalog p.99)</x:v>
      </x:c>
      <x:c r="AA231" s="47" t="str">
        <x:v>Published reference data; applicability is limited to the listed reference system and hose code.</x:v>
      </x:c>
      <x:c r="AB231" s="161" t="str">
        <x:v>Pending</x:v>
      </x:c>
    </x:row>
    <x:row r="232" ht="42" customHeight="1">
      <x:c r="A232" s="33" t="str">
        <x:v>Draft</x:v>
      </x:c>
      <x:c r="B232" s="47" t="str">
        <x:v>COMP_0228</x:v>
      </x:c>
      <x:c r="C232" s="47" t="str">
        <x:v>601R2_002</x:v>
      </x:c>
      <x:c r="D232" s="47" t="str">
        <x:v>NPT_M_FX_08_04</x:v>
      </x:c>
      <x:c r="E232" s="47" t="str">
        <x:v>601R2_2WB_002</x:v>
      </x:c>
      <x:c r="F232" s="47" t="str"/>
      <x:c r="G232" s="33" t="str"/>
      <x:c r="H232" s="50" t="str"/>
      <x:c r="I232" s="50" t="str"/>
      <x:c r="J232" s="50" t="str"/>
      <x:c r="K232" s="47" t="str"/>
      <x:c r="L232" s="50" t="str"/>
      <x:c r="M232" s="50" t="str"/>
      <x:c r="N232" s="47" t="str"/>
      <x:c r="O232" s="50" t="str"/>
      <x:c r="P232" s="64" t="str">
        <x:f>IF(O232="","",O232*2)</x:f>
      </x:c>
      <x:c r="Q232" s="50" t="str"/>
      <x:c r="R232" s="47" t="str"/>
      <x:c r="S232" s="33" t="str">
        <x:v>Not Tested</x:v>
      </x:c>
      <x:c r="T232" s="64" t="str">
        <x:v>Eligible</x:v>
      </x:c>
      <x:c r="U232" s="47" t="str">
        <x:v>DHH W Series Bite-To-The-Wire</x:v>
      </x:c>
      <x:c r="V232" s="47" t="str">
        <x:v>R2-04</x:v>
      </x:c>
      <x:c r="W232" s="47" t="str">
        <x:v>Crimp full shell</x:v>
      </x:c>
      <x:c r="X232" s="50" t="n">
        <x:v>17.65</x:v>
      </x:c>
      <x:c r="Y232" s="50" t="n">
        <x:v>0.13</x:v>
      </x:c>
      <x:c r="Z232" s="47" t="str">
        <x:v>https://www.discounthydraulichose.com/v/vspfiles/downloadables/crimp.pdf (catalog p.99)</x:v>
      </x:c>
      <x:c r="AA232" s="47" t="str">
        <x:v>Published reference data; applicability is limited to the listed reference system and hose code.</x:v>
      </x:c>
      <x:c r="AB232" s="161" t="str">
        <x:v>Pending</x:v>
      </x:c>
    </x:row>
    <x:row r="233" ht="42" customHeight="1">
      <x:c r="A233" s="33" t="str">
        <x:v>Draft</x:v>
      </x:c>
      <x:c r="B233" s="47" t="str">
        <x:v>COMP_0229</x:v>
      </x:c>
      <x:c r="C233" s="47" t="str">
        <x:v>601R2_002</x:v>
      </x:c>
      <x:c r="D233" s="47" t="str">
        <x:v>NPT90_M_SW_04_04</x:v>
      </x:c>
      <x:c r="E233" s="47" t="str">
        <x:v>601R2_2WB_002</x:v>
      </x:c>
      <x:c r="F233" s="47" t="str"/>
      <x:c r="G233" s="33" t="str"/>
      <x:c r="H233" s="50" t="str"/>
      <x:c r="I233" s="50" t="str"/>
      <x:c r="J233" s="50" t="str"/>
      <x:c r="K233" s="47" t="str"/>
      <x:c r="L233" s="50" t="str"/>
      <x:c r="M233" s="50" t="str"/>
      <x:c r="N233" s="47" t="str"/>
      <x:c r="O233" s="50" t="str"/>
      <x:c r="P233" s="64" t="str">
        <x:f>IF(O233="","",O233*2)</x:f>
      </x:c>
      <x:c r="Q233" s="50" t="str"/>
      <x:c r="R233" s="47" t="str"/>
      <x:c r="S233" s="33" t="str">
        <x:v>Not Tested</x:v>
      </x:c>
      <x:c r="T233" s="64" t="str">
        <x:v>Eligible</x:v>
      </x:c>
      <x:c r="U233" s="47" t="str">
        <x:v>DHH W Series Bite-To-The-Wire</x:v>
      </x:c>
      <x:c r="V233" s="47" t="str">
        <x:v>R2-04</x:v>
      </x:c>
      <x:c r="W233" s="47" t="str">
        <x:v>Crimp full shell</x:v>
      </x:c>
      <x:c r="X233" s="50" t="n">
        <x:v>17.65</x:v>
      </x:c>
      <x:c r="Y233" s="50" t="n">
        <x:v>0.13</x:v>
      </x:c>
      <x:c r="Z233" s="47" t="str">
        <x:v>https://www.discounthydraulichose.com/v/vspfiles/downloadables/crimp.pdf (catalog p.99)</x:v>
      </x:c>
      <x:c r="AA233" s="47" t="str">
        <x:v>Published reference data; applicability is limited to the listed reference system and hose code.</x:v>
      </x:c>
      <x:c r="AB233" s="161" t="str">
        <x:v>Pending</x:v>
      </x:c>
    </x:row>
    <x:row r="234" ht="42" customHeight="1">
      <x:c r="A234" s="33" t="str">
        <x:v>Draft</x:v>
      </x:c>
      <x:c r="B234" s="47" t="str">
        <x:v>COMP_0230</x:v>
      </x:c>
      <x:c r="C234" s="47" t="str">
        <x:v>601R2_002</x:v>
      </x:c>
      <x:c r="D234" s="47" t="str">
        <x:v>ORFS_F_SW_04_04</x:v>
      </x:c>
      <x:c r="E234" s="47" t="str">
        <x:v>601R2_2WB_002</x:v>
      </x:c>
      <x:c r="F234" s="47" t="str"/>
      <x:c r="G234" s="33" t="str"/>
      <x:c r="H234" s="50" t="str"/>
      <x:c r="I234" s="50" t="str"/>
      <x:c r="J234" s="50" t="str"/>
      <x:c r="K234" s="47" t="str"/>
      <x:c r="L234" s="50" t="str"/>
      <x:c r="M234" s="50" t="str"/>
      <x:c r="N234" s="47" t="str"/>
      <x:c r="O234" s="50" t="str"/>
      <x:c r="P234" s="64" t="str">
        <x:f>IF(O234="","",O234*2)</x:f>
      </x:c>
      <x:c r="Q234" s="50" t="str"/>
      <x:c r="R234" s="47" t="str"/>
      <x:c r="S234" s="33" t="str">
        <x:v>Not Tested</x:v>
      </x:c>
      <x:c r="T234" s="64" t="str">
        <x:v>Eligible</x:v>
      </x:c>
      <x:c r="U234" s="47" t="str">
        <x:v>DHH W Series Bite-To-The-Wire</x:v>
      </x:c>
      <x:c r="V234" s="47" t="str">
        <x:v>R2-04</x:v>
      </x:c>
      <x:c r="W234" s="47" t="str">
        <x:v>Crimp full shell</x:v>
      </x:c>
      <x:c r="X234" s="50" t="n">
        <x:v>17.65</x:v>
      </x:c>
      <x:c r="Y234" s="50" t="n">
        <x:v>0.13</x:v>
      </x:c>
      <x:c r="Z234" s="47" t="str">
        <x:v>https://www.discounthydraulichose.com/v/vspfiles/downloadables/crimp.pdf (catalog p.99)</x:v>
      </x:c>
      <x:c r="AA234" s="47" t="str">
        <x:v>Published reference data; applicability is limited to the listed reference system and hose code.</x:v>
      </x:c>
      <x:c r="AB234" s="161" t="str">
        <x:v>Pending</x:v>
      </x:c>
    </x:row>
    <x:row r="235" ht="42" customHeight="1">
      <x:c r="A235" s="33" t="str">
        <x:v>Draft</x:v>
      </x:c>
      <x:c r="B235" s="47" t="str">
        <x:v>COMP_0231</x:v>
      </x:c>
      <x:c r="C235" s="47" t="str">
        <x:v>601R2_002</x:v>
      </x:c>
      <x:c r="D235" s="47" t="str">
        <x:v>ORFS_F_SW_06_04</x:v>
      </x:c>
      <x:c r="E235" s="47" t="str">
        <x:v>601R2_2WB_002</x:v>
      </x:c>
      <x:c r="F235" s="47" t="str"/>
      <x:c r="G235" s="33" t="str"/>
      <x:c r="H235" s="50" t="str"/>
      <x:c r="I235" s="50" t="str"/>
      <x:c r="J235" s="50" t="str"/>
      <x:c r="K235" s="47" t="str"/>
      <x:c r="L235" s="50" t="str"/>
      <x:c r="M235" s="50" t="str"/>
      <x:c r="N235" s="47" t="str"/>
      <x:c r="O235" s="50" t="str"/>
      <x:c r="P235" s="64" t="str">
        <x:f>IF(O235="","",O235*2)</x:f>
      </x:c>
      <x:c r="Q235" s="50" t="str"/>
      <x:c r="R235" s="47" t="str"/>
      <x:c r="S235" s="33" t="str">
        <x:v>Not Tested</x:v>
      </x:c>
      <x:c r="T235" s="64" t="str">
        <x:v>Eligible</x:v>
      </x:c>
      <x:c r="U235" s="47" t="str">
        <x:v>DHH W Series Bite-To-The-Wire</x:v>
      </x:c>
      <x:c r="V235" s="47" t="str">
        <x:v>R2-04</x:v>
      </x:c>
      <x:c r="W235" s="47" t="str">
        <x:v>Crimp full shell</x:v>
      </x:c>
      <x:c r="X235" s="50" t="n">
        <x:v>17.65</x:v>
      </x:c>
      <x:c r="Y235" s="50" t="n">
        <x:v>0.13</x:v>
      </x:c>
      <x:c r="Z235" s="47" t="str">
        <x:v>https://www.discounthydraulichose.com/v/vspfiles/downloadables/crimp.pdf (catalog p.99)</x:v>
      </x:c>
      <x:c r="AA235" s="47" t="str">
        <x:v>Published reference data; applicability is limited to the listed reference system and hose code.</x:v>
      </x:c>
      <x:c r="AB235" s="161" t="str">
        <x:v>Pending</x:v>
      </x:c>
    </x:row>
    <x:row r="236" ht="42" customHeight="1">
      <x:c r="A236" s="33" t="str">
        <x:v>Draft</x:v>
      </x:c>
      <x:c r="B236" s="47" t="str">
        <x:v>COMP_0232</x:v>
      </x:c>
      <x:c r="C236" s="47" t="str">
        <x:v>601R2_002</x:v>
      </x:c>
      <x:c r="D236" s="47" t="str">
        <x:v>ORFS_F_SW_08_04</x:v>
      </x:c>
      <x:c r="E236" s="47" t="str">
        <x:v>601R2_2WB_002</x:v>
      </x:c>
      <x:c r="F236" s="47" t="str"/>
      <x:c r="G236" s="33" t="str"/>
      <x:c r="H236" s="50" t="str"/>
      <x:c r="I236" s="50" t="str"/>
      <x:c r="J236" s="50" t="str"/>
      <x:c r="K236" s="47" t="str"/>
      <x:c r="L236" s="50" t="str"/>
      <x:c r="M236" s="50" t="str"/>
      <x:c r="N236" s="47" t="str"/>
      <x:c r="O236" s="50" t="str"/>
      <x:c r="P236" s="64" t="str">
        <x:f>IF(O236="","",O236*2)</x:f>
      </x:c>
      <x:c r="Q236" s="50" t="str"/>
      <x:c r="R236" s="47" t="str"/>
      <x:c r="S236" s="33" t="str">
        <x:v>Not Tested</x:v>
      </x:c>
      <x:c r="T236" s="64" t="str">
        <x:v>Eligible</x:v>
      </x:c>
      <x:c r="U236" s="47" t="str">
        <x:v>DHH W Series Bite-To-The-Wire</x:v>
      </x:c>
      <x:c r="V236" s="47" t="str">
        <x:v>R2-04</x:v>
      </x:c>
      <x:c r="W236" s="47" t="str">
        <x:v>Crimp full shell</x:v>
      </x:c>
      <x:c r="X236" s="50" t="n">
        <x:v>17.65</x:v>
      </x:c>
      <x:c r="Y236" s="50" t="n">
        <x:v>0.13</x:v>
      </x:c>
      <x:c r="Z236" s="47" t="str">
        <x:v>https://www.discounthydraulichose.com/v/vspfiles/downloadables/crimp.pdf (catalog p.99)</x:v>
      </x:c>
      <x:c r="AA236" s="47" t="str">
        <x:v>Published reference data; applicability is limited to the listed reference system and hose code.</x:v>
      </x:c>
      <x:c r="AB236" s="161" t="str">
        <x:v>Pending</x:v>
      </x:c>
    </x:row>
    <x:row r="237" ht="42" customHeight="1">
      <x:c r="A237" s="33" t="str">
        <x:v>Draft</x:v>
      </x:c>
      <x:c r="B237" s="47" t="str">
        <x:v>COMP_0233</x:v>
      </x:c>
      <x:c r="C237" s="47" t="str">
        <x:v>601R2_002</x:v>
      </x:c>
      <x:c r="D237" s="47" t="str">
        <x:v>ORFS_M_FX_04_04</x:v>
      </x:c>
      <x:c r="E237" s="47" t="str">
        <x:v>601R2_2WB_002</x:v>
      </x:c>
      <x:c r="F237" s="47" t="str"/>
      <x:c r="G237" s="33" t="str"/>
      <x:c r="H237" s="50" t="str"/>
      <x:c r="I237" s="50" t="str"/>
      <x:c r="J237" s="50" t="str"/>
      <x:c r="K237" s="47" t="str"/>
      <x:c r="L237" s="50" t="str"/>
      <x:c r="M237" s="50" t="str"/>
      <x:c r="N237" s="47" t="str"/>
      <x:c r="O237" s="50" t="str"/>
      <x:c r="P237" s="64" t="str">
        <x:f>IF(O237="","",O237*2)</x:f>
      </x:c>
      <x:c r="Q237" s="50" t="str"/>
      <x:c r="R237" s="47" t="str"/>
      <x:c r="S237" s="33" t="str">
        <x:v>Not Tested</x:v>
      </x:c>
      <x:c r="T237" s="64" t="str">
        <x:v>Eligible</x:v>
      </x:c>
      <x:c r="U237" s="47" t="str">
        <x:v>DHH W Series Bite-To-The-Wire</x:v>
      </x:c>
      <x:c r="V237" s="47" t="str">
        <x:v>R2-04</x:v>
      </x:c>
      <x:c r="W237" s="47" t="str">
        <x:v>Crimp full shell</x:v>
      </x:c>
      <x:c r="X237" s="50" t="n">
        <x:v>17.65</x:v>
      </x:c>
      <x:c r="Y237" s="50" t="n">
        <x:v>0.13</x:v>
      </x:c>
      <x:c r="Z237" s="47" t="str">
        <x:v>https://www.discounthydraulichose.com/v/vspfiles/downloadables/crimp.pdf (catalog p.99)</x:v>
      </x:c>
      <x:c r="AA237" s="47" t="str">
        <x:v>Published reference data; applicability is limited to the listed reference system and hose code.</x:v>
      </x:c>
      <x:c r="AB237" s="161" t="str">
        <x:v>Pending</x:v>
      </x:c>
    </x:row>
    <x:row r="238" ht="42" customHeight="1">
      <x:c r="A238" s="33" t="str">
        <x:v>Draft</x:v>
      </x:c>
      <x:c r="B238" s="47" t="str">
        <x:v>COMP_0234</x:v>
      </x:c>
      <x:c r="C238" s="47" t="str">
        <x:v>601R2_002</x:v>
      </x:c>
      <x:c r="D238" s="47" t="str">
        <x:v>ORFS_M_FX_06_04</x:v>
      </x:c>
      <x:c r="E238" s="47" t="str">
        <x:v>601R2_2WB_002</x:v>
      </x:c>
      <x:c r="F238" s="47" t="str"/>
      <x:c r="G238" s="33" t="str"/>
      <x:c r="H238" s="50" t="str"/>
      <x:c r="I238" s="50" t="str"/>
      <x:c r="J238" s="50" t="str"/>
      <x:c r="K238" s="47" t="str"/>
      <x:c r="L238" s="50" t="str"/>
      <x:c r="M238" s="50" t="str"/>
      <x:c r="N238" s="47" t="str"/>
      <x:c r="O238" s="50" t="str"/>
      <x:c r="P238" s="64" t="str">
        <x:f>IF(O238="","",O238*2)</x:f>
      </x:c>
      <x:c r="Q238" s="50" t="str"/>
      <x:c r="R238" s="47" t="str"/>
      <x:c r="S238" s="33" t="str">
        <x:v>Not Tested</x:v>
      </x:c>
      <x:c r="T238" s="64" t="str">
        <x:v>Eligible</x:v>
      </x:c>
      <x:c r="U238" s="47" t="str">
        <x:v>DHH W Series Bite-To-The-Wire</x:v>
      </x:c>
      <x:c r="V238" s="47" t="str">
        <x:v>R2-04</x:v>
      </x:c>
      <x:c r="W238" s="47" t="str">
        <x:v>Crimp full shell</x:v>
      </x:c>
      <x:c r="X238" s="50" t="n">
        <x:v>17.65</x:v>
      </x:c>
      <x:c r="Y238" s="50" t="n">
        <x:v>0.13</x:v>
      </x:c>
      <x:c r="Z238" s="47" t="str">
        <x:v>https://www.discounthydraulichose.com/v/vspfiles/downloadables/crimp.pdf (catalog p.99)</x:v>
      </x:c>
      <x:c r="AA238" s="47" t="str">
        <x:v>Published reference data; applicability is limited to the listed reference system and hose code.</x:v>
      </x:c>
      <x:c r="AB238" s="161" t="str">
        <x:v>Pending</x:v>
      </x:c>
    </x:row>
    <x:row r="239" ht="42" customHeight="1">
      <x:c r="A239" s="33" t="str">
        <x:v>Draft</x:v>
      </x:c>
      <x:c r="B239" s="47" t="str">
        <x:v>COMP_0235</x:v>
      </x:c>
      <x:c r="C239" s="47" t="str">
        <x:v>601R2_002</x:v>
      </x:c>
      <x:c r="D239" s="47" t="str">
        <x:v>ORFS45_F_SW_04_04</x:v>
      </x:c>
      <x:c r="E239" s="47" t="str">
        <x:v>601R2_2WB_002</x:v>
      </x:c>
      <x:c r="F239" s="47" t="str"/>
      <x:c r="G239" s="33" t="str"/>
      <x:c r="H239" s="50" t="str"/>
      <x:c r="I239" s="50" t="str"/>
      <x:c r="J239" s="50" t="str"/>
      <x:c r="K239" s="47" t="str"/>
      <x:c r="L239" s="50" t="str"/>
      <x:c r="M239" s="50" t="str"/>
      <x:c r="N239" s="47" t="str"/>
      <x:c r="O239" s="50" t="str"/>
      <x:c r="P239" s="64" t="str">
        <x:f>IF(O239="","",O239*2)</x:f>
      </x:c>
      <x:c r="Q239" s="50" t="str"/>
      <x:c r="R239" s="47" t="str"/>
      <x:c r="S239" s="33" t="str">
        <x:v>Not Tested</x:v>
      </x:c>
      <x:c r="T239" s="64" t="str">
        <x:v>Eligible</x:v>
      </x:c>
      <x:c r="U239" s="47" t="str">
        <x:v>DHH W Series Bite-To-The-Wire</x:v>
      </x:c>
      <x:c r="V239" s="47" t="str">
        <x:v>R2-04</x:v>
      </x:c>
      <x:c r="W239" s="47" t="str">
        <x:v>Crimp full shell</x:v>
      </x:c>
      <x:c r="X239" s="50" t="n">
        <x:v>17.65</x:v>
      </x:c>
      <x:c r="Y239" s="50" t="n">
        <x:v>0.13</x:v>
      </x:c>
      <x:c r="Z239" s="47" t="str">
        <x:v>https://www.discounthydraulichose.com/v/vspfiles/downloadables/crimp.pdf (catalog p.99)</x:v>
      </x:c>
      <x:c r="AA239" s="47" t="str">
        <x:v>Published reference data; applicability is limited to the listed reference system and hose code.</x:v>
      </x:c>
      <x:c r="AB239" s="161" t="str">
        <x:v>Pending</x:v>
      </x:c>
    </x:row>
    <x:row r="240" ht="42" customHeight="1">
      <x:c r="A240" s="33" t="str">
        <x:v>Draft</x:v>
      </x:c>
      <x:c r="B240" s="47" t="str">
        <x:v>COMP_0236</x:v>
      </x:c>
      <x:c r="C240" s="47" t="str">
        <x:v>601R2_002</x:v>
      </x:c>
      <x:c r="D240" s="47" t="str">
        <x:v>ORFS45_F_SW_06_04</x:v>
      </x:c>
      <x:c r="E240" s="47" t="str">
        <x:v>601R2_2WB_002</x:v>
      </x:c>
      <x:c r="F240" s="47" t="str"/>
      <x:c r="G240" s="33" t="str"/>
      <x:c r="H240" s="50" t="str"/>
      <x:c r="I240" s="50" t="str"/>
      <x:c r="J240" s="50" t="str"/>
      <x:c r="K240" s="47" t="str"/>
      <x:c r="L240" s="50" t="str"/>
      <x:c r="M240" s="50" t="str"/>
      <x:c r="N240" s="47" t="str"/>
      <x:c r="O240" s="50" t="str"/>
      <x:c r="P240" s="64" t="str">
        <x:f>IF(O240="","",O240*2)</x:f>
      </x:c>
      <x:c r="Q240" s="50" t="str"/>
      <x:c r="R240" s="47" t="str"/>
      <x:c r="S240" s="33" t="str">
        <x:v>Not Tested</x:v>
      </x:c>
      <x:c r="T240" s="64" t="str">
        <x:v>Eligible</x:v>
      </x:c>
      <x:c r="U240" s="47" t="str">
        <x:v>DHH W Series Bite-To-The-Wire</x:v>
      </x:c>
      <x:c r="V240" s="47" t="str">
        <x:v>R2-04</x:v>
      </x:c>
      <x:c r="W240" s="47" t="str">
        <x:v>Crimp full shell</x:v>
      </x:c>
      <x:c r="X240" s="50" t="n">
        <x:v>17.65</x:v>
      </x:c>
      <x:c r="Y240" s="50" t="n">
        <x:v>0.13</x:v>
      </x:c>
      <x:c r="Z240" s="47" t="str">
        <x:v>https://www.discounthydraulichose.com/v/vspfiles/downloadables/crimp.pdf (catalog p.99)</x:v>
      </x:c>
      <x:c r="AA240" s="47" t="str">
        <x:v>Published reference data; applicability is limited to the listed reference system and hose code.</x:v>
      </x:c>
      <x:c r="AB240" s="161" t="str">
        <x:v>Pending</x:v>
      </x:c>
    </x:row>
    <x:row r="241" ht="42" customHeight="1">
      <x:c r="A241" s="33" t="str">
        <x:v>Draft</x:v>
      </x:c>
      <x:c r="B241" s="47" t="str">
        <x:v>COMP_0237</x:v>
      </x:c>
      <x:c r="C241" s="47" t="str">
        <x:v>601R2_002</x:v>
      </x:c>
      <x:c r="D241" s="47" t="str">
        <x:v>ORFS90_F_SW_04_04</x:v>
      </x:c>
      <x:c r="E241" s="47" t="str">
        <x:v>601R2_2WB_002</x:v>
      </x:c>
      <x:c r="F241" s="47" t="str"/>
      <x:c r="G241" s="33" t="str"/>
      <x:c r="H241" s="50" t="str"/>
      <x:c r="I241" s="50" t="str"/>
      <x:c r="J241" s="50" t="str"/>
      <x:c r="K241" s="47" t="str"/>
      <x:c r="L241" s="50" t="str"/>
      <x:c r="M241" s="50" t="str"/>
      <x:c r="N241" s="47" t="str"/>
      <x:c r="O241" s="50" t="str"/>
      <x:c r="P241" s="64" t="str">
        <x:f>IF(O241="","",O241*2)</x:f>
      </x:c>
      <x:c r="Q241" s="50" t="str"/>
      <x:c r="R241" s="47" t="str"/>
      <x:c r="S241" s="33" t="str">
        <x:v>Not Tested</x:v>
      </x:c>
      <x:c r="T241" s="64" t="str">
        <x:v>Eligible</x:v>
      </x:c>
      <x:c r="U241" s="47" t="str">
        <x:v>DHH W Series Bite-To-The-Wire</x:v>
      </x:c>
      <x:c r="V241" s="47" t="str">
        <x:v>R2-04</x:v>
      </x:c>
      <x:c r="W241" s="47" t="str">
        <x:v>Crimp full shell</x:v>
      </x:c>
      <x:c r="X241" s="50" t="n">
        <x:v>17.65</x:v>
      </x:c>
      <x:c r="Y241" s="50" t="n">
        <x:v>0.13</x:v>
      </x:c>
      <x:c r="Z241" s="47" t="str">
        <x:v>https://www.discounthydraulichose.com/v/vspfiles/downloadables/crimp.pdf (catalog p.99)</x:v>
      </x:c>
      <x:c r="AA241" s="47" t="str">
        <x:v>Published reference data; applicability is limited to the listed reference system and hose code.</x:v>
      </x:c>
      <x:c r="AB241" s="161" t="str">
        <x:v>Pending</x:v>
      </x:c>
    </x:row>
    <x:row r="242" ht="42" customHeight="1">
      <x:c r="A242" s="33" t="str">
        <x:v>Draft</x:v>
      </x:c>
      <x:c r="B242" s="47" t="str">
        <x:v>COMP_0238</x:v>
      </x:c>
      <x:c r="C242" s="47" t="str">
        <x:v>601R2_002</x:v>
      </x:c>
      <x:c r="D242" s="47" t="str">
        <x:v>ORFS90_F_SW_06_04</x:v>
      </x:c>
      <x:c r="E242" s="47" t="str">
        <x:v>601R2_2WB_002</x:v>
      </x:c>
      <x:c r="F242" s="47" t="str"/>
      <x:c r="G242" s="33" t="str"/>
      <x:c r="H242" s="50" t="str"/>
      <x:c r="I242" s="50" t="str"/>
      <x:c r="J242" s="50" t="str"/>
      <x:c r="K242" s="47" t="str"/>
      <x:c r="L242" s="50" t="str"/>
      <x:c r="M242" s="50" t="str"/>
      <x:c r="N242" s="47" t="str"/>
      <x:c r="O242" s="50" t="str"/>
      <x:c r="P242" s="64" t="str">
        <x:f>IF(O242="","",O242*2)</x:f>
      </x:c>
      <x:c r="Q242" s="50" t="str"/>
      <x:c r="R242" s="47" t="str"/>
      <x:c r="S242" s="33" t="str">
        <x:v>Not Tested</x:v>
      </x:c>
      <x:c r="T242" s="64" t="str">
        <x:v>Eligible</x:v>
      </x:c>
      <x:c r="U242" s="47" t="str">
        <x:v>DHH W Series Bite-To-The-Wire</x:v>
      </x:c>
      <x:c r="V242" s="47" t="str">
        <x:v>R2-04</x:v>
      </x:c>
      <x:c r="W242" s="47" t="str">
        <x:v>Crimp full shell</x:v>
      </x:c>
      <x:c r="X242" s="50" t="n">
        <x:v>17.65</x:v>
      </x:c>
      <x:c r="Y242" s="50" t="n">
        <x:v>0.13</x:v>
      </x:c>
      <x:c r="Z242" s="47" t="str">
        <x:v>https://www.discounthydraulichose.com/v/vspfiles/downloadables/crimp.pdf (catalog p.99)</x:v>
      </x:c>
      <x:c r="AA242" s="47" t="str">
        <x:v>Published reference data; applicability is limited to the listed reference system and hose code.</x:v>
      </x:c>
      <x:c r="AB242" s="161" t="str">
        <x:v>Pending</x:v>
      </x:c>
    </x:row>
    <x:row r="243" ht="42" customHeight="1">
      <x:c r="A243" s="33" t="str">
        <x:v>Draft</x:v>
      </x:c>
      <x:c r="B243" s="47" t="str">
        <x:v>COMP_0239</x:v>
      </x:c>
      <x:c r="C243" s="47" t="str">
        <x:v>601R2_002</x:v>
      </x:c>
      <x:c r="D243" s="47" t="str">
        <x:v>ORFS90_F_SW_08_04</x:v>
      </x:c>
      <x:c r="E243" s="47" t="str">
        <x:v>601R2_2WB_002</x:v>
      </x:c>
      <x:c r="F243" s="47" t="str"/>
      <x:c r="G243" s="33" t="str"/>
      <x:c r="H243" s="50" t="str"/>
      <x:c r="I243" s="50" t="str"/>
      <x:c r="J243" s="50" t="str"/>
      <x:c r="K243" s="47" t="str"/>
      <x:c r="L243" s="50" t="str"/>
      <x:c r="M243" s="50" t="str"/>
      <x:c r="N243" s="47" t="str"/>
      <x:c r="O243" s="50" t="str"/>
      <x:c r="P243" s="64" t="str">
        <x:f>IF(O243="","",O243*2)</x:f>
      </x:c>
      <x:c r="Q243" s="50" t="str"/>
      <x:c r="R243" s="47" t="str"/>
      <x:c r="S243" s="33" t="str">
        <x:v>Not Tested</x:v>
      </x:c>
      <x:c r="T243" s="64" t="str">
        <x:v>Eligible</x:v>
      </x:c>
      <x:c r="U243" s="47" t="str">
        <x:v>DHH W Series Bite-To-The-Wire</x:v>
      </x:c>
      <x:c r="V243" s="47" t="str">
        <x:v>R2-04</x:v>
      </x:c>
      <x:c r="W243" s="47" t="str">
        <x:v>Crimp full shell</x:v>
      </x:c>
      <x:c r="X243" s="50" t="n">
        <x:v>17.65</x:v>
      </x:c>
      <x:c r="Y243" s="50" t="n">
        <x:v>0.13</x:v>
      </x:c>
      <x:c r="Z243" s="47" t="str">
        <x:v>https://www.discounthydraulichose.com/v/vspfiles/downloadables/crimp.pdf (catalog p.99)</x:v>
      </x:c>
      <x:c r="AA243" s="47" t="str">
        <x:v>Published reference data; applicability is limited to the listed reference system and hose code.</x:v>
      </x:c>
      <x:c r="AB243" s="161" t="str">
        <x:v>Pending</x:v>
      </x:c>
    </x:row>
    <x:row r="244" ht="42" customHeight="1">
      <x:c r="A244" s="33" t="str">
        <x:v>Draft</x:v>
      </x:c>
      <x:c r="B244" s="47" t="str">
        <x:v>COMP_0240</x:v>
      </x:c>
      <x:c r="C244" s="47" t="str">
        <x:v>601R2_004</x:v>
      </x:c>
      <x:c r="D244" s="47" t="str">
        <x:v>BSPP_F_SW_06_06</x:v>
      </x:c>
      <x:c r="E244" s="47" t="str">
        <x:v>601R2_2WB_004</x:v>
      </x:c>
      <x:c r="F244" s="47" t="str"/>
      <x:c r="G244" s="33" t="str"/>
      <x:c r="H244" s="50" t="str"/>
      <x:c r="I244" s="50" t="str"/>
      <x:c r="J244" s="50" t="str"/>
      <x:c r="K244" s="47" t="str"/>
      <x:c r="L244" s="50" t="str"/>
      <x:c r="M244" s="50" t="str"/>
      <x:c r="N244" s="47" t="str"/>
      <x:c r="O244" s="50" t="str"/>
      <x:c r="P244" s="64" t="str">
        <x:f>IF(O244="","",O244*2)</x:f>
      </x:c>
      <x:c r="Q244" s="50" t="str"/>
      <x:c r="R244" s="47" t="str"/>
      <x:c r="S244" s="33" t="str">
        <x:v>Not Tested</x:v>
      </x:c>
      <x:c r="T244" s="64" t="str">
        <x:v>Eligible</x:v>
      </x:c>
      <x:c r="U244" s="47" t="str">
        <x:v>DHH W Series Bite-To-The-Wire</x:v>
      </x:c>
      <x:c r="V244" s="47" t="str">
        <x:v>R2-06</x:v>
      </x:c>
      <x:c r="W244" s="47" t="str">
        <x:v>Crimp full shell</x:v>
      </x:c>
      <x:c r="X244" s="50" t="n">
        <x:v>21.46</x:v>
      </x:c>
      <x:c r="Y244" s="50" t="n">
        <x:v>0.13</x:v>
      </x:c>
      <x:c r="Z244" s="47" t="str">
        <x:v>https://www.discounthydraulichose.com/v/vspfiles/downloadables/crimp.pdf (catalog p.99)</x:v>
      </x:c>
      <x:c r="AA244" s="47" t="str">
        <x:v>Published reference data; applicability is limited to the listed reference system and hose code.</x:v>
      </x:c>
      <x:c r="AB244" s="161" t="str">
        <x:v>Pending</x:v>
      </x:c>
    </x:row>
    <x:row r="245" ht="42" customHeight="1">
      <x:c r="A245" s="33" t="str">
        <x:v>Draft</x:v>
      </x:c>
      <x:c r="B245" s="47" t="str">
        <x:v>COMP_0241</x:v>
      </x:c>
      <x:c r="C245" s="47" t="str">
        <x:v>601R2_004</x:v>
      </x:c>
      <x:c r="D245" s="47" t="str">
        <x:v>BSPP_F_SW_08_06</x:v>
      </x:c>
      <x:c r="E245" s="47" t="str">
        <x:v>601R2_2WB_004</x:v>
      </x:c>
      <x:c r="F245" s="47" t="str"/>
      <x:c r="G245" s="33" t="str"/>
      <x:c r="H245" s="50" t="str"/>
      <x:c r="I245" s="50" t="str"/>
      <x:c r="J245" s="50" t="str"/>
      <x:c r="K245" s="47" t="str"/>
      <x:c r="L245" s="50" t="str"/>
      <x:c r="M245" s="50" t="str"/>
      <x:c r="N245" s="47" t="str"/>
      <x:c r="O245" s="50" t="str"/>
      <x:c r="P245" s="64" t="str">
        <x:f>IF(O245="","",O245*2)</x:f>
      </x:c>
      <x:c r="Q245" s="50" t="str"/>
      <x:c r="R245" s="47" t="str"/>
      <x:c r="S245" s="33" t="str">
        <x:v>Not Tested</x:v>
      </x:c>
      <x:c r="T245" s="64" t="str">
        <x:v>Eligible</x:v>
      </x:c>
      <x:c r="U245" s="47" t="str">
        <x:v>DHH W Series Bite-To-The-Wire</x:v>
      </x:c>
      <x:c r="V245" s="47" t="str">
        <x:v>R2-06</x:v>
      </x:c>
      <x:c r="W245" s="47" t="str">
        <x:v>Crimp full shell</x:v>
      </x:c>
      <x:c r="X245" s="50" t="n">
        <x:v>21.46</x:v>
      </x:c>
      <x:c r="Y245" s="50" t="n">
        <x:v>0.13</x:v>
      </x:c>
      <x:c r="Z245" s="47" t="str">
        <x:v>https://www.discounthydraulichose.com/v/vspfiles/downloadables/crimp.pdf (catalog p.99)</x:v>
      </x:c>
      <x:c r="AA245" s="47" t="str">
        <x:v>Published reference data; applicability is limited to the listed reference system and hose code.</x:v>
      </x:c>
      <x:c r="AB245" s="161" t="str">
        <x:v>Pending</x:v>
      </x:c>
    </x:row>
    <x:row r="246" ht="42" customHeight="1">
      <x:c r="A246" s="33" t="str">
        <x:v>Draft</x:v>
      </x:c>
      <x:c r="B246" s="47" t="str">
        <x:v>COMP_0242</x:v>
      </x:c>
      <x:c r="C246" s="47" t="str">
        <x:v>601R2_004</x:v>
      </x:c>
      <x:c r="D246" s="47" t="str">
        <x:v>BSPP_M_FX_06_06</x:v>
      </x:c>
      <x:c r="E246" s="47" t="str">
        <x:v>601R2_2WB_004</x:v>
      </x:c>
      <x:c r="F246" s="47" t="str"/>
      <x:c r="G246" s="33" t="str"/>
      <x:c r="H246" s="50" t="str"/>
      <x:c r="I246" s="50" t="str"/>
      <x:c r="J246" s="50" t="str"/>
      <x:c r="K246" s="47" t="str"/>
      <x:c r="L246" s="50" t="str"/>
      <x:c r="M246" s="50" t="str"/>
      <x:c r="N246" s="47" t="str"/>
      <x:c r="O246" s="50" t="str"/>
      <x:c r="P246" s="64" t="str">
        <x:f>IF(O246="","",O246*2)</x:f>
      </x:c>
      <x:c r="Q246" s="50" t="str"/>
      <x:c r="R246" s="47" t="str"/>
      <x:c r="S246" s="33" t="str">
        <x:v>Not Tested</x:v>
      </x:c>
      <x:c r="T246" s="64" t="str">
        <x:v>Eligible</x:v>
      </x:c>
      <x:c r="U246" s="47" t="str">
        <x:v>DHH W Series Bite-To-The-Wire</x:v>
      </x:c>
      <x:c r="V246" s="47" t="str">
        <x:v>R2-06</x:v>
      </x:c>
      <x:c r="W246" s="47" t="str">
        <x:v>Crimp full shell</x:v>
      </x:c>
      <x:c r="X246" s="50" t="n">
        <x:v>21.46</x:v>
      </x:c>
      <x:c r="Y246" s="50" t="n">
        <x:v>0.13</x:v>
      </x:c>
      <x:c r="Z246" s="47" t="str">
        <x:v>https://www.discounthydraulichose.com/v/vspfiles/downloadables/crimp.pdf (catalog p.99)</x:v>
      </x:c>
      <x:c r="AA246" s="47" t="str">
        <x:v>Published reference data; applicability is limited to the listed reference system and hose code.</x:v>
      </x:c>
      <x:c r="AB246" s="161" t="str">
        <x:v>Pending</x:v>
      </x:c>
    </x:row>
    <x:row r="247" ht="42" customHeight="1">
      <x:c r="A247" s="33" t="str">
        <x:v>Draft</x:v>
      </x:c>
      <x:c r="B247" s="47" t="str">
        <x:v>COMP_0243</x:v>
      </x:c>
      <x:c r="C247" s="47" t="str">
        <x:v>601R2_004</x:v>
      </x:c>
      <x:c r="D247" s="47" t="str">
        <x:v>BSPP_M_FX_08_06</x:v>
      </x:c>
      <x:c r="E247" s="47" t="str">
        <x:v>601R2_2WB_004</x:v>
      </x:c>
      <x:c r="F247" s="47" t="str"/>
      <x:c r="G247" s="33" t="str"/>
      <x:c r="H247" s="50" t="str"/>
      <x:c r="I247" s="50" t="str"/>
      <x:c r="J247" s="50" t="str"/>
      <x:c r="K247" s="47" t="str"/>
      <x:c r="L247" s="50" t="str"/>
      <x:c r="M247" s="50" t="str"/>
      <x:c r="N247" s="47" t="str"/>
      <x:c r="O247" s="50" t="str"/>
      <x:c r="P247" s="64" t="str">
        <x:f>IF(O247="","",O247*2)</x:f>
      </x:c>
      <x:c r="Q247" s="50" t="str"/>
      <x:c r="R247" s="47" t="str"/>
      <x:c r="S247" s="33" t="str">
        <x:v>Not Tested</x:v>
      </x:c>
      <x:c r="T247" s="64" t="str">
        <x:v>Eligible</x:v>
      </x:c>
      <x:c r="U247" s="47" t="str">
        <x:v>DHH W Series Bite-To-The-Wire</x:v>
      </x:c>
      <x:c r="V247" s="47" t="str">
        <x:v>R2-06</x:v>
      </x:c>
      <x:c r="W247" s="47" t="str">
        <x:v>Crimp full shell</x:v>
      </x:c>
      <x:c r="X247" s="50" t="n">
        <x:v>21.46</x:v>
      </x:c>
      <x:c r="Y247" s="50" t="n">
        <x:v>0.13</x:v>
      </x:c>
      <x:c r="Z247" s="47" t="str">
        <x:v>https://www.discounthydraulichose.com/v/vspfiles/downloadables/crimp.pdf (catalog p.99)</x:v>
      </x:c>
      <x:c r="AA247" s="47" t="str">
        <x:v>Published reference data; applicability is limited to the listed reference system and hose code.</x:v>
      </x:c>
      <x:c r="AB247" s="161" t="str">
        <x:v>Pending</x:v>
      </x:c>
    </x:row>
    <x:row r="248" ht="42" customHeight="1">
      <x:c r="A248" s="33" t="str">
        <x:v>Draft</x:v>
      </x:c>
      <x:c r="B248" s="47" t="str">
        <x:v>COMP_0244</x:v>
      </x:c>
      <x:c r="C248" s="47" t="str">
        <x:v>601R2_004</x:v>
      </x:c>
      <x:c r="D248" s="47" t="str">
        <x:v>BSPP45_F_SW_06_06</x:v>
      </x:c>
      <x:c r="E248" s="47" t="str">
        <x:v>601R2_2WB_004</x:v>
      </x:c>
      <x:c r="F248" s="47" t="str"/>
      <x:c r="G248" s="33" t="str"/>
      <x:c r="H248" s="50" t="str"/>
      <x:c r="I248" s="50" t="str"/>
      <x:c r="J248" s="50" t="str"/>
      <x:c r="K248" s="47" t="str"/>
      <x:c r="L248" s="50" t="str"/>
      <x:c r="M248" s="50" t="str"/>
      <x:c r="N248" s="47" t="str"/>
      <x:c r="O248" s="50" t="str"/>
      <x:c r="P248" s="64" t="str">
        <x:f>IF(O248="","",O248*2)</x:f>
      </x:c>
      <x:c r="Q248" s="50" t="str"/>
      <x:c r="R248" s="47" t="str"/>
      <x:c r="S248" s="33" t="str">
        <x:v>Not Tested</x:v>
      </x:c>
      <x:c r="T248" s="64" t="str">
        <x:v>Eligible</x:v>
      </x:c>
      <x:c r="U248" s="47" t="str">
        <x:v>DHH W Series Bite-To-The-Wire</x:v>
      </x:c>
      <x:c r="V248" s="47" t="str">
        <x:v>R2-06</x:v>
      </x:c>
      <x:c r="W248" s="47" t="str">
        <x:v>Crimp full shell</x:v>
      </x:c>
      <x:c r="X248" s="50" t="n">
        <x:v>21.46</x:v>
      </x:c>
      <x:c r="Y248" s="50" t="n">
        <x:v>0.13</x:v>
      </x:c>
      <x:c r="Z248" s="47" t="str">
        <x:v>https://www.discounthydraulichose.com/v/vspfiles/downloadables/crimp.pdf (catalog p.99)</x:v>
      </x:c>
      <x:c r="AA248" s="47" t="str">
        <x:v>Published reference data; applicability is limited to the listed reference system and hose code.</x:v>
      </x:c>
      <x:c r="AB248" s="161" t="str">
        <x:v>Pending</x:v>
      </x:c>
    </x:row>
    <x:row r="249" ht="42" customHeight="1">
      <x:c r="A249" s="33" t="str">
        <x:v>Draft</x:v>
      </x:c>
      <x:c r="B249" s="47" t="str">
        <x:v>COMP_0245</x:v>
      </x:c>
      <x:c r="C249" s="47" t="str">
        <x:v>601R2_004</x:v>
      </x:c>
      <x:c r="D249" s="47" t="str">
        <x:v>BSPP90_F_SW_06_06</x:v>
      </x:c>
      <x:c r="E249" s="47" t="str">
        <x:v>601R2_2WB_004</x:v>
      </x:c>
      <x:c r="F249" s="47" t="str"/>
      <x:c r="G249" s="33" t="str"/>
      <x:c r="H249" s="50" t="str"/>
      <x:c r="I249" s="50" t="str"/>
      <x:c r="J249" s="50" t="str"/>
      <x:c r="K249" s="47" t="str"/>
      <x:c r="L249" s="50" t="str"/>
      <x:c r="M249" s="50" t="str"/>
      <x:c r="N249" s="47" t="str"/>
      <x:c r="O249" s="50" t="str"/>
      <x:c r="P249" s="64" t="str">
        <x:f>IF(O249="","",O249*2)</x:f>
      </x:c>
      <x:c r="Q249" s="50" t="str"/>
      <x:c r="R249" s="47" t="str"/>
      <x:c r="S249" s="33" t="str">
        <x:v>Not Tested</x:v>
      </x:c>
      <x:c r="T249" s="64" t="str">
        <x:v>Eligible</x:v>
      </x:c>
      <x:c r="U249" s="47" t="str">
        <x:v>DHH W Series Bite-To-The-Wire</x:v>
      </x:c>
      <x:c r="V249" s="47" t="str">
        <x:v>R2-06</x:v>
      </x:c>
      <x:c r="W249" s="47" t="str">
        <x:v>Crimp full shell</x:v>
      </x:c>
      <x:c r="X249" s="50" t="n">
        <x:v>21.46</x:v>
      </x:c>
      <x:c r="Y249" s="50" t="n">
        <x:v>0.13</x:v>
      </x:c>
      <x:c r="Z249" s="47" t="str">
        <x:v>https://www.discounthydraulichose.com/v/vspfiles/downloadables/crimp.pdf (catalog p.99)</x:v>
      </x:c>
      <x:c r="AA249" s="47" t="str">
        <x:v>Published reference data; applicability is limited to the listed reference system and hose code.</x:v>
      </x:c>
      <x:c r="AB249" s="161" t="str">
        <x:v>Pending</x:v>
      </x:c>
    </x:row>
    <x:row r="250" ht="42" customHeight="1">
      <x:c r="A250" s="33" t="str">
        <x:v>Draft</x:v>
      </x:c>
      <x:c r="B250" s="47" t="str">
        <x:v>COMP_0246</x:v>
      </x:c>
      <x:c r="C250" s="47" t="str">
        <x:v>601R2_004</x:v>
      </x:c>
      <x:c r="D250" s="47" t="str">
        <x:v>BSPP90_F_SW_08_06</x:v>
      </x:c>
      <x:c r="E250" s="47" t="str">
        <x:v>601R2_2WB_004</x:v>
      </x:c>
      <x:c r="F250" s="47" t="str"/>
      <x:c r="G250" s="33" t="str"/>
      <x:c r="H250" s="50" t="str"/>
      <x:c r="I250" s="50" t="str"/>
      <x:c r="J250" s="50" t="str"/>
      <x:c r="K250" s="47" t="str"/>
      <x:c r="L250" s="50" t="str"/>
      <x:c r="M250" s="50" t="str"/>
      <x:c r="N250" s="47" t="str"/>
      <x:c r="O250" s="50" t="str"/>
      <x:c r="P250" s="64" t="str">
        <x:f>IF(O250="","",O250*2)</x:f>
      </x:c>
      <x:c r="Q250" s="50" t="str"/>
      <x:c r="R250" s="47" t="str"/>
      <x:c r="S250" s="33" t="str">
        <x:v>Not Tested</x:v>
      </x:c>
      <x:c r="T250" s="64" t="str">
        <x:v>Eligible</x:v>
      </x:c>
      <x:c r="U250" s="47" t="str">
        <x:v>DHH W Series Bite-To-The-Wire</x:v>
      </x:c>
      <x:c r="V250" s="47" t="str">
        <x:v>R2-06</x:v>
      </x:c>
      <x:c r="W250" s="47" t="str">
        <x:v>Crimp full shell</x:v>
      </x:c>
      <x:c r="X250" s="50" t="n">
        <x:v>21.46</x:v>
      </x:c>
      <x:c r="Y250" s="50" t="n">
        <x:v>0.13</x:v>
      </x:c>
      <x:c r="Z250" s="47" t="str">
        <x:v>https://www.discounthydraulichose.com/v/vspfiles/downloadables/crimp.pdf (catalog p.99)</x:v>
      </x:c>
      <x:c r="AA250" s="47" t="str">
        <x:v>Published reference data; applicability is limited to the listed reference system and hose code.</x:v>
      </x:c>
      <x:c r="AB250" s="161" t="str">
        <x:v>Pending</x:v>
      </x:c>
    </x:row>
    <x:row r="251" ht="42" customHeight="1">
      <x:c r="A251" s="33" t="str">
        <x:v>Draft</x:v>
      </x:c>
      <x:c r="B251" s="47" t="str">
        <x:v>COMP_0247</x:v>
      </x:c>
      <x:c r="C251" s="47" t="str">
        <x:v>601R2_004</x:v>
      </x:c>
      <x:c r="D251" s="47" t="str">
        <x:v>BSPT_M_FX_06_06</x:v>
      </x:c>
      <x:c r="E251" s="47" t="str">
        <x:v>601R2_2WB_004</x:v>
      </x:c>
      <x:c r="F251" s="47" t="str"/>
      <x:c r="G251" s="33" t="str"/>
      <x:c r="H251" s="50" t="str"/>
      <x:c r="I251" s="50" t="str"/>
      <x:c r="J251" s="50" t="str"/>
      <x:c r="K251" s="47" t="str"/>
      <x:c r="L251" s="50" t="str"/>
      <x:c r="M251" s="50" t="str"/>
      <x:c r="N251" s="47" t="str"/>
      <x:c r="O251" s="50" t="str"/>
      <x:c r="P251" s="64" t="str">
        <x:f>IF(O251="","",O251*2)</x:f>
      </x:c>
      <x:c r="Q251" s="50" t="str"/>
      <x:c r="R251" s="47" t="str"/>
      <x:c r="S251" s="33" t="str">
        <x:v>Not Tested</x:v>
      </x:c>
      <x:c r="T251" s="64" t="str">
        <x:v>Eligible</x:v>
      </x:c>
      <x:c r="U251" s="47" t="str">
        <x:v>DHH W Series Bite-To-The-Wire</x:v>
      </x:c>
      <x:c r="V251" s="47" t="str">
        <x:v>R2-06</x:v>
      </x:c>
      <x:c r="W251" s="47" t="str">
        <x:v>Crimp full shell</x:v>
      </x:c>
      <x:c r="X251" s="50" t="n">
        <x:v>21.46</x:v>
      </x:c>
      <x:c r="Y251" s="50" t="n">
        <x:v>0.13</x:v>
      </x:c>
      <x:c r="Z251" s="47" t="str">
        <x:v>https://www.discounthydraulichose.com/v/vspfiles/downloadables/crimp.pdf (catalog p.99)</x:v>
      </x:c>
      <x:c r="AA251" s="47" t="str">
        <x:v>Published reference data; applicability is limited to the listed reference system and hose code.</x:v>
      </x:c>
      <x:c r="AB251" s="161" t="str">
        <x:v>Pending</x:v>
      </x:c>
    </x:row>
    <x:row r="252" ht="42" customHeight="1">
      <x:c r="A252" s="33" t="str">
        <x:v>Draft</x:v>
      </x:c>
      <x:c r="B252" s="47" t="str">
        <x:v>COMP_0248</x:v>
      </x:c>
      <x:c r="C252" s="47" t="str">
        <x:v>601R2_004</x:v>
      </x:c>
      <x:c r="D252" s="47" t="str">
        <x:v>BSPT_M_FX_08_06</x:v>
      </x:c>
      <x:c r="E252" s="47" t="str">
        <x:v>601R2_2WB_004</x:v>
      </x:c>
      <x:c r="F252" s="47" t="str"/>
      <x:c r="G252" s="33" t="str"/>
      <x:c r="H252" s="50" t="str"/>
      <x:c r="I252" s="50" t="str"/>
      <x:c r="J252" s="50" t="str"/>
      <x:c r="K252" s="47" t="str"/>
      <x:c r="L252" s="50" t="str"/>
      <x:c r="M252" s="50" t="str"/>
      <x:c r="N252" s="47" t="str"/>
      <x:c r="O252" s="50" t="str"/>
      <x:c r="P252" s="64" t="str">
        <x:f>IF(O252="","",O252*2)</x:f>
      </x:c>
      <x:c r="Q252" s="50" t="str"/>
      <x:c r="R252" s="47" t="str"/>
      <x:c r="S252" s="33" t="str">
        <x:v>Not Tested</x:v>
      </x:c>
      <x:c r="T252" s="64" t="str">
        <x:v>Eligible</x:v>
      </x:c>
      <x:c r="U252" s="47" t="str">
        <x:v>DHH W Series Bite-To-The-Wire</x:v>
      </x:c>
      <x:c r="V252" s="47" t="str">
        <x:v>R2-06</x:v>
      </x:c>
      <x:c r="W252" s="47" t="str">
        <x:v>Crimp full shell</x:v>
      </x:c>
      <x:c r="X252" s="50" t="n">
        <x:v>21.46</x:v>
      </x:c>
      <x:c r="Y252" s="50" t="n">
        <x:v>0.13</x:v>
      </x:c>
      <x:c r="Z252" s="47" t="str">
        <x:v>https://www.discounthydraulichose.com/v/vspfiles/downloadables/crimp.pdf (catalog p.99)</x:v>
      </x:c>
      <x:c r="AA252" s="47" t="str">
        <x:v>Published reference data; applicability is limited to the listed reference system and hose code.</x:v>
      </x:c>
      <x:c r="AB252" s="161" t="str">
        <x:v>Pending</x:v>
      </x:c>
    </x:row>
    <x:row r="253" ht="42" customHeight="1">
      <x:c r="A253" s="33" t="str">
        <x:v>Draft</x:v>
      </x:c>
      <x:c r="B253" s="47" t="str">
        <x:v>COMP_0249</x:v>
      </x:c>
      <x:c r="C253" s="47" t="str">
        <x:v>601R2_004</x:v>
      </x:c>
      <x:c r="D253" s="47" t="str">
        <x:v>JIC_F_SW_04_06</x:v>
      </x:c>
      <x:c r="E253" s="47" t="str">
        <x:v>601R2_2WB_004</x:v>
      </x:c>
      <x:c r="F253" s="47" t="str"/>
      <x:c r="G253" s="33" t="str"/>
      <x:c r="H253" s="50" t="str"/>
      <x:c r="I253" s="50" t="str"/>
      <x:c r="J253" s="50" t="str"/>
      <x:c r="K253" s="47" t="str"/>
      <x:c r="L253" s="50" t="str"/>
      <x:c r="M253" s="50" t="str"/>
      <x:c r="N253" s="47" t="str"/>
      <x:c r="O253" s="50" t="str"/>
      <x:c r="P253" s="64" t="str">
        <x:f>IF(O253="","",O253*2)</x:f>
      </x:c>
      <x:c r="Q253" s="50" t="str"/>
      <x:c r="R253" s="47" t="str"/>
      <x:c r="S253" s="33" t="str">
        <x:v>Not Tested</x:v>
      </x:c>
      <x:c r="T253" s="64" t="str">
        <x:v>Eligible</x:v>
      </x:c>
      <x:c r="U253" s="47" t="str">
        <x:v>DHH W Series Bite-To-The-Wire</x:v>
      </x:c>
      <x:c r="V253" s="47" t="str">
        <x:v>R2-06</x:v>
      </x:c>
      <x:c r="W253" s="47" t="str">
        <x:v>Crimp full shell</x:v>
      </x:c>
      <x:c r="X253" s="50" t="n">
        <x:v>21.46</x:v>
      </x:c>
      <x:c r="Y253" s="50" t="n">
        <x:v>0.13</x:v>
      </x:c>
      <x:c r="Z253" s="47" t="str">
        <x:v>https://www.discounthydraulichose.com/v/vspfiles/downloadables/crimp.pdf (catalog p.99)</x:v>
      </x:c>
      <x:c r="AA253" s="47" t="str">
        <x:v>Published reference data; applicability is limited to the listed reference system and hose code.</x:v>
      </x:c>
      <x:c r="AB253" s="161" t="str">
        <x:v>Pending</x:v>
      </x:c>
    </x:row>
    <x:row r="254" ht="42" customHeight="1">
      <x:c r="A254" s="33" t="str">
        <x:v>Draft</x:v>
      </x:c>
      <x:c r="B254" s="47" t="str">
        <x:v>COMP_0250</x:v>
      </x:c>
      <x:c r="C254" s="47" t="str">
        <x:v>601R2_004</x:v>
      </x:c>
      <x:c r="D254" s="47" t="str">
        <x:v>JIC_F_SW_05_06</x:v>
      </x:c>
      <x:c r="E254" s="47" t="str">
        <x:v>601R2_2WB_004</x:v>
      </x:c>
      <x:c r="F254" s="47" t="str"/>
      <x:c r="G254" s="33" t="str"/>
      <x:c r="H254" s="50" t="str"/>
      <x:c r="I254" s="50" t="str"/>
      <x:c r="J254" s="50" t="str"/>
      <x:c r="K254" s="47" t="str"/>
      <x:c r="L254" s="50" t="str"/>
      <x:c r="M254" s="50" t="str"/>
      <x:c r="N254" s="47" t="str"/>
      <x:c r="O254" s="50" t="str"/>
      <x:c r="P254" s="64" t="str">
        <x:f>IF(O254="","",O254*2)</x:f>
      </x:c>
      <x:c r="Q254" s="50" t="str"/>
      <x:c r="R254" s="47" t="str"/>
      <x:c r="S254" s="33" t="str">
        <x:v>Not Tested</x:v>
      </x:c>
      <x:c r="T254" s="64" t="str">
        <x:v>Eligible</x:v>
      </x:c>
      <x:c r="U254" s="47" t="str">
        <x:v>DHH W Series Bite-To-The-Wire</x:v>
      </x:c>
      <x:c r="V254" s="47" t="str">
        <x:v>R2-06</x:v>
      </x:c>
      <x:c r="W254" s="47" t="str">
        <x:v>Crimp full shell</x:v>
      </x:c>
      <x:c r="X254" s="50" t="n">
        <x:v>21.46</x:v>
      </x:c>
      <x:c r="Y254" s="50" t="n">
        <x:v>0.13</x:v>
      </x:c>
      <x:c r="Z254" s="47" t="str">
        <x:v>https://www.discounthydraulichose.com/v/vspfiles/downloadables/crimp.pdf (catalog p.99)</x:v>
      </x:c>
      <x:c r="AA254" s="47" t="str">
        <x:v>Published reference data; applicability is limited to the listed reference system and hose code.</x:v>
      </x:c>
      <x:c r="AB254" s="161" t="str">
        <x:v>Pending</x:v>
      </x:c>
    </x:row>
    <x:row r="255" ht="42" customHeight="1">
      <x:c r="A255" s="33" t="str">
        <x:v>Draft</x:v>
      </x:c>
      <x:c r="B255" s="47" t="str">
        <x:v>COMP_0251</x:v>
      </x:c>
      <x:c r="C255" s="47" t="str">
        <x:v>601R2_004</x:v>
      </x:c>
      <x:c r="D255" s="47" t="str">
        <x:v>JIC_F_SW_06_06</x:v>
      </x:c>
      <x:c r="E255" s="47" t="str">
        <x:v>601R2_2WB_004</x:v>
      </x:c>
      <x:c r="F255" s="47" t="str"/>
      <x:c r="G255" s="33" t="str"/>
      <x:c r="H255" s="50" t="str"/>
      <x:c r="I255" s="50" t="str"/>
      <x:c r="J255" s="50" t="str"/>
      <x:c r="K255" s="47" t="str"/>
      <x:c r="L255" s="50" t="str"/>
      <x:c r="M255" s="50" t="str"/>
      <x:c r="N255" s="47" t="str"/>
      <x:c r="O255" s="50" t="str"/>
      <x:c r="P255" s="64" t="str">
        <x:f>IF(O255="","",O255*2)</x:f>
      </x:c>
      <x:c r="Q255" s="50" t="str"/>
      <x:c r="R255" s="47" t="str"/>
      <x:c r="S255" s="33" t="str">
        <x:v>Not Tested</x:v>
      </x:c>
      <x:c r="T255" s="64" t="str">
        <x:v>Eligible</x:v>
      </x:c>
      <x:c r="U255" s="47" t="str">
        <x:v>DHH W Series Bite-To-The-Wire</x:v>
      </x:c>
      <x:c r="V255" s="47" t="str">
        <x:v>R2-06</x:v>
      </x:c>
      <x:c r="W255" s="47" t="str">
        <x:v>Crimp full shell</x:v>
      </x:c>
      <x:c r="X255" s="50" t="n">
        <x:v>21.46</x:v>
      </x:c>
      <x:c r="Y255" s="50" t="n">
        <x:v>0.13</x:v>
      </x:c>
      <x:c r="Z255" s="47" t="str">
        <x:v>https://www.discounthydraulichose.com/v/vspfiles/downloadables/crimp.pdf (catalog p.99)</x:v>
      </x:c>
      <x:c r="AA255" s="47" t="str">
        <x:v>Published reference data; applicability is limited to the listed reference system and hose code.</x:v>
      </x:c>
      <x:c r="AB255" s="161" t="str">
        <x:v>Pending</x:v>
      </x:c>
    </x:row>
    <x:row r="256" ht="42" customHeight="1">
      <x:c r="A256" s="33" t="str">
        <x:v>Draft</x:v>
      </x:c>
      <x:c r="B256" s="47" t="str">
        <x:v>COMP_0252</x:v>
      </x:c>
      <x:c r="C256" s="47" t="str">
        <x:v>601R2_004</x:v>
      </x:c>
      <x:c r="D256" s="47" t="str">
        <x:v>JIC_F_SW_08_06</x:v>
      </x:c>
      <x:c r="E256" s="47" t="str">
        <x:v>601R2_2WB_004</x:v>
      </x:c>
      <x:c r="F256" s="47" t="str"/>
      <x:c r="G256" s="33" t="str"/>
      <x:c r="H256" s="50" t="str"/>
      <x:c r="I256" s="50" t="str"/>
      <x:c r="J256" s="50" t="str"/>
      <x:c r="K256" s="47" t="str"/>
      <x:c r="L256" s="50" t="str"/>
      <x:c r="M256" s="50" t="str"/>
      <x:c r="N256" s="47" t="str"/>
      <x:c r="O256" s="50" t="str"/>
      <x:c r="P256" s="64" t="str">
        <x:f>IF(O256="","",O256*2)</x:f>
      </x:c>
      <x:c r="Q256" s="50" t="str"/>
      <x:c r="R256" s="47" t="str"/>
      <x:c r="S256" s="33" t="str">
        <x:v>Not Tested</x:v>
      </x:c>
      <x:c r="T256" s="64" t="str">
        <x:v>Eligible</x:v>
      </x:c>
      <x:c r="U256" s="47" t="str">
        <x:v>DHH W Series Bite-To-The-Wire</x:v>
      </x:c>
      <x:c r="V256" s="47" t="str">
        <x:v>R2-06</x:v>
      </x:c>
      <x:c r="W256" s="47" t="str">
        <x:v>Crimp full shell</x:v>
      </x:c>
      <x:c r="X256" s="50" t="n">
        <x:v>21.46</x:v>
      </x:c>
      <x:c r="Y256" s="50" t="n">
        <x:v>0.13</x:v>
      </x:c>
      <x:c r="Z256" s="47" t="str">
        <x:v>https://www.discounthydraulichose.com/v/vspfiles/downloadables/crimp.pdf (catalog p.99)</x:v>
      </x:c>
      <x:c r="AA256" s="47" t="str">
        <x:v>Published reference data; applicability is limited to the listed reference system and hose code.</x:v>
      </x:c>
      <x:c r="AB256" s="161" t="str">
        <x:v>Pending</x:v>
      </x:c>
    </x:row>
    <x:row r="257" ht="42" customHeight="1">
      <x:c r="A257" s="33" t="str">
        <x:v>Draft</x:v>
      </x:c>
      <x:c r="B257" s="47" t="str">
        <x:v>COMP_0253</x:v>
      </x:c>
      <x:c r="C257" s="47" t="str">
        <x:v>601R2_004</x:v>
      </x:c>
      <x:c r="D257" s="47" t="str">
        <x:v>JIC_F_SW_10_06</x:v>
      </x:c>
      <x:c r="E257" s="47" t="str">
        <x:v>601R2_2WB_004</x:v>
      </x:c>
      <x:c r="F257" s="47" t="str"/>
      <x:c r="G257" s="33" t="str"/>
      <x:c r="H257" s="50" t="str"/>
      <x:c r="I257" s="50" t="str"/>
      <x:c r="J257" s="50" t="str"/>
      <x:c r="K257" s="47" t="str"/>
      <x:c r="L257" s="50" t="str"/>
      <x:c r="M257" s="50" t="str"/>
      <x:c r="N257" s="47" t="str"/>
      <x:c r="O257" s="50" t="str"/>
      <x:c r="P257" s="64" t="str">
        <x:f>IF(O257="","",O257*2)</x:f>
      </x:c>
      <x:c r="Q257" s="50" t="str"/>
      <x:c r="R257" s="47" t="str"/>
      <x:c r="S257" s="33" t="str">
        <x:v>Not Tested</x:v>
      </x:c>
      <x:c r="T257" s="64" t="str">
        <x:v>Eligible</x:v>
      </x:c>
      <x:c r="U257" s="47" t="str">
        <x:v>DHH W Series Bite-To-The-Wire</x:v>
      </x:c>
      <x:c r="V257" s="47" t="str">
        <x:v>R2-06</x:v>
      </x:c>
      <x:c r="W257" s="47" t="str">
        <x:v>Crimp full shell</x:v>
      </x:c>
      <x:c r="X257" s="50" t="n">
        <x:v>21.46</x:v>
      </x:c>
      <x:c r="Y257" s="50" t="n">
        <x:v>0.13</x:v>
      </x:c>
      <x:c r="Z257" s="47" t="str">
        <x:v>https://www.discounthydraulichose.com/v/vspfiles/downloadables/crimp.pdf (catalog p.99)</x:v>
      </x:c>
      <x:c r="AA257" s="47" t="str">
        <x:v>Published reference data; applicability is limited to the listed reference system and hose code.</x:v>
      </x:c>
      <x:c r="AB257" s="161" t="str">
        <x:v>Pending</x:v>
      </x:c>
    </x:row>
    <x:row r="258" ht="42" customHeight="1">
      <x:c r="A258" s="33" t="str">
        <x:v>Draft</x:v>
      </x:c>
      <x:c r="B258" s="47" t="str">
        <x:v>COMP_0254</x:v>
      </x:c>
      <x:c r="C258" s="47" t="str">
        <x:v>601R2_004</x:v>
      </x:c>
      <x:c r="D258" s="47" t="str">
        <x:v>JIC_M_FX_05_06</x:v>
      </x:c>
      <x:c r="E258" s="47" t="str">
        <x:v>601R2_2WB_004</x:v>
      </x:c>
      <x:c r="F258" s="47" t="str"/>
      <x:c r="G258" s="33" t="str"/>
      <x:c r="H258" s="50" t="str"/>
      <x:c r="I258" s="50" t="str"/>
      <x:c r="J258" s="50" t="str"/>
      <x:c r="K258" s="47" t="str"/>
      <x:c r="L258" s="50" t="str"/>
      <x:c r="M258" s="50" t="str"/>
      <x:c r="N258" s="47" t="str"/>
      <x:c r="O258" s="50" t="str"/>
      <x:c r="P258" s="64" t="str">
        <x:f>IF(O258="","",O258*2)</x:f>
      </x:c>
      <x:c r="Q258" s="50" t="str"/>
      <x:c r="R258" s="47" t="str"/>
      <x:c r="S258" s="33" t="str">
        <x:v>Not Tested</x:v>
      </x:c>
      <x:c r="T258" s="64" t="str">
        <x:v>Eligible</x:v>
      </x:c>
      <x:c r="U258" s="47" t="str">
        <x:v>DHH W Series Bite-To-The-Wire</x:v>
      </x:c>
      <x:c r="V258" s="47" t="str">
        <x:v>R2-06</x:v>
      </x:c>
      <x:c r="W258" s="47" t="str">
        <x:v>Crimp full shell</x:v>
      </x:c>
      <x:c r="X258" s="50" t="n">
        <x:v>21.46</x:v>
      </x:c>
      <x:c r="Y258" s="50" t="n">
        <x:v>0.13</x:v>
      </x:c>
      <x:c r="Z258" s="47" t="str">
        <x:v>https://www.discounthydraulichose.com/v/vspfiles/downloadables/crimp.pdf (catalog p.99)</x:v>
      </x:c>
      <x:c r="AA258" s="47" t="str">
        <x:v>Published reference data; applicability is limited to the listed reference system and hose code.</x:v>
      </x:c>
      <x:c r="AB258" s="161" t="str">
        <x:v>Pending</x:v>
      </x:c>
    </x:row>
    <x:row r="259" ht="42" customHeight="1">
      <x:c r="A259" s="33" t="str">
        <x:v>Draft</x:v>
      </x:c>
      <x:c r="B259" s="47" t="str">
        <x:v>COMP_0255</x:v>
      </x:c>
      <x:c r="C259" s="47" t="str">
        <x:v>601R2_004</x:v>
      </x:c>
      <x:c r="D259" s="47" t="str">
        <x:v>JIC_M_FX_06_06</x:v>
      </x:c>
      <x:c r="E259" s="47" t="str">
        <x:v>601R2_2WB_004</x:v>
      </x:c>
      <x:c r="F259" s="47" t="str"/>
      <x:c r="G259" s="33" t="str"/>
      <x:c r="H259" s="50" t="str"/>
      <x:c r="I259" s="50" t="str"/>
      <x:c r="J259" s="50" t="str"/>
      <x:c r="K259" s="47" t="str"/>
      <x:c r="L259" s="50" t="str"/>
      <x:c r="M259" s="50" t="str"/>
      <x:c r="N259" s="47" t="str"/>
      <x:c r="O259" s="50" t="str"/>
      <x:c r="P259" s="64" t="str">
        <x:f>IF(O259="","",O259*2)</x:f>
      </x:c>
      <x:c r="Q259" s="50" t="str"/>
      <x:c r="R259" s="47" t="str"/>
      <x:c r="S259" s="33" t="str">
        <x:v>Not Tested</x:v>
      </x:c>
      <x:c r="T259" s="64" t="str">
        <x:v>Eligible</x:v>
      </x:c>
      <x:c r="U259" s="47" t="str">
        <x:v>DHH W Series Bite-To-The-Wire</x:v>
      </x:c>
      <x:c r="V259" s="47" t="str">
        <x:v>R2-06</x:v>
      </x:c>
      <x:c r="W259" s="47" t="str">
        <x:v>Crimp full shell</x:v>
      </x:c>
      <x:c r="X259" s="50" t="n">
        <x:v>21.46</x:v>
      </x:c>
      <x:c r="Y259" s="50" t="n">
        <x:v>0.13</x:v>
      </x:c>
      <x:c r="Z259" s="47" t="str">
        <x:v>https://www.discounthydraulichose.com/v/vspfiles/downloadables/crimp.pdf (catalog p.99)</x:v>
      </x:c>
      <x:c r="AA259" s="47" t="str">
        <x:v>Published reference data; applicability is limited to the listed reference system and hose code.</x:v>
      </x:c>
      <x:c r="AB259" s="161" t="str">
        <x:v>Pending</x:v>
      </x:c>
    </x:row>
    <x:row r="260" ht="42" customHeight="1">
      <x:c r="A260" s="33" t="str">
        <x:v>Draft</x:v>
      </x:c>
      <x:c r="B260" s="47" t="str">
        <x:v>COMP_0256</x:v>
      </x:c>
      <x:c r="C260" s="47" t="str">
        <x:v>601R2_004</x:v>
      </x:c>
      <x:c r="D260" s="47" t="str">
        <x:v>JIC_M_FX_08_06</x:v>
      </x:c>
      <x:c r="E260" s="47" t="str">
        <x:v>601R2_2WB_004</x:v>
      </x:c>
      <x:c r="F260" s="47" t="str"/>
      <x:c r="G260" s="33" t="str"/>
      <x:c r="H260" s="50" t="str"/>
      <x:c r="I260" s="50" t="str"/>
      <x:c r="J260" s="50" t="str"/>
      <x:c r="K260" s="47" t="str"/>
      <x:c r="L260" s="50" t="str"/>
      <x:c r="M260" s="50" t="str"/>
      <x:c r="N260" s="47" t="str"/>
      <x:c r="O260" s="50" t="str"/>
      <x:c r="P260" s="64" t="str">
        <x:f>IF(O260="","",O260*2)</x:f>
      </x:c>
      <x:c r="Q260" s="50" t="str"/>
      <x:c r="R260" s="47" t="str"/>
      <x:c r="S260" s="33" t="str">
        <x:v>Not Tested</x:v>
      </x:c>
      <x:c r="T260" s="64" t="str">
        <x:v>Eligible</x:v>
      </x:c>
      <x:c r="U260" s="47" t="str">
        <x:v>DHH W Series Bite-To-The-Wire</x:v>
      </x:c>
      <x:c r="V260" s="47" t="str">
        <x:v>R2-06</x:v>
      </x:c>
      <x:c r="W260" s="47" t="str">
        <x:v>Crimp full shell</x:v>
      </x:c>
      <x:c r="X260" s="50" t="n">
        <x:v>21.46</x:v>
      </x:c>
      <x:c r="Y260" s="50" t="n">
        <x:v>0.13</x:v>
      </x:c>
      <x:c r="Z260" s="47" t="str">
        <x:v>https://www.discounthydraulichose.com/v/vspfiles/downloadables/crimp.pdf (catalog p.99)</x:v>
      </x:c>
      <x:c r="AA260" s="47" t="str">
        <x:v>Published reference data; applicability is limited to the listed reference system and hose code.</x:v>
      </x:c>
      <x:c r="AB260" s="161" t="str">
        <x:v>Pending</x:v>
      </x:c>
    </x:row>
    <x:row r="261" ht="42" customHeight="1">
      <x:c r="A261" s="33" t="str">
        <x:v>Draft</x:v>
      </x:c>
      <x:c r="B261" s="47" t="str">
        <x:v>COMP_0257</x:v>
      </x:c>
      <x:c r="C261" s="47" t="str">
        <x:v>601R2_004</x:v>
      </x:c>
      <x:c r="D261" s="47" t="str">
        <x:v>JIC_M_FX_10_06</x:v>
      </x:c>
      <x:c r="E261" s="47" t="str">
        <x:v>601R2_2WB_004</x:v>
      </x:c>
      <x:c r="F261" s="47" t="str"/>
      <x:c r="G261" s="33" t="str"/>
      <x:c r="H261" s="50" t="str"/>
      <x:c r="I261" s="50" t="str"/>
      <x:c r="J261" s="50" t="str"/>
      <x:c r="K261" s="47" t="str"/>
      <x:c r="L261" s="50" t="str"/>
      <x:c r="M261" s="50" t="str"/>
      <x:c r="N261" s="47" t="str"/>
      <x:c r="O261" s="50" t="str"/>
      <x:c r="P261" s="64" t="str">
        <x:f>IF(O261="","",O261*2)</x:f>
      </x:c>
      <x:c r="Q261" s="50" t="str"/>
      <x:c r="R261" s="47" t="str"/>
      <x:c r="S261" s="33" t="str">
        <x:v>Not Tested</x:v>
      </x:c>
      <x:c r="T261" s="64" t="str">
        <x:v>Eligible</x:v>
      </x:c>
      <x:c r="U261" s="47" t="str">
        <x:v>DHH W Series Bite-To-The-Wire</x:v>
      </x:c>
      <x:c r="V261" s="47" t="str">
        <x:v>R2-06</x:v>
      </x:c>
      <x:c r="W261" s="47" t="str">
        <x:v>Crimp full shell</x:v>
      </x:c>
      <x:c r="X261" s="50" t="n">
        <x:v>21.46</x:v>
      </x:c>
      <x:c r="Y261" s="50" t="n">
        <x:v>0.13</x:v>
      </x:c>
      <x:c r="Z261" s="47" t="str">
        <x:v>https://www.discounthydraulichose.com/v/vspfiles/downloadables/crimp.pdf (catalog p.99)</x:v>
      </x:c>
      <x:c r="AA261" s="47" t="str">
        <x:v>Published reference data; applicability is limited to the listed reference system and hose code.</x:v>
      </x:c>
      <x:c r="AB261" s="161" t="str">
        <x:v>Pending</x:v>
      </x:c>
    </x:row>
    <x:row r="262" ht="42" customHeight="1">
      <x:c r="A262" s="33" t="str">
        <x:v>Draft</x:v>
      </x:c>
      <x:c r="B262" s="47" t="str">
        <x:v>COMP_0258</x:v>
      </x:c>
      <x:c r="C262" s="47" t="str">
        <x:v>601R2_004</x:v>
      </x:c>
      <x:c r="D262" s="47" t="str">
        <x:v>JIC45_F_SW_06_06</x:v>
      </x:c>
      <x:c r="E262" s="47" t="str">
        <x:v>601R2_2WB_004</x:v>
      </x:c>
      <x:c r="F262" s="47" t="str"/>
      <x:c r="G262" s="33" t="str"/>
      <x:c r="H262" s="50" t="str"/>
      <x:c r="I262" s="50" t="str"/>
      <x:c r="J262" s="50" t="str"/>
      <x:c r="K262" s="47" t="str"/>
      <x:c r="L262" s="50" t="str"/>
      <x:c r="M262" s="50" t="str"/>
      <x:c r="N262" s="47" t="str"/>
      <x:c r="O262" s="50" t="str"/>
      <x:c r="P262" s="64" t="str">
        <x:f>IF(O262="","",O262*2)</x:f>
      </x:c>
      <x:c r="Q262" s="50" t="str"/>
      <x:c r="R262" s="47" t="str"/>
      <x:c r="S262" s="33" t="str">
        <x:v>Not Tested</x:v>
      </x:c>
      <x:c r="T262" s="64" t="str">
        <x:v>Eligible</x:v>
      </x:c>
      <x:c r="U262" s="47" t="str">
        <x:v>DHH W Series Bite-To-The-Wire</x:v>
      </x:c>
      <x:c r="V262" s="47" t="str">
        <x:v>R2-06</x:v>
      </x:c>
      <x:c r="W262" s="47" t="str">
        <x:v>Crimp full shell</x:v>
      </x:c>
      <x:c r="X262" s="50" t="n">
        <x:v>21.46</x:v>
      </x:c>
      <x:c r="Y262" s="50" t="n">
        <x:v>0.13</x:v>
      </x:c>
      <x:c r="Z262" s="47" t="str">
        <x:v>https://www.discounthydraulichose.com/v/vspfiles/downloadables/crimp.pdf (catalog p.99)</x:v>
      </x:c>
      <x:c r="AA262" s="47" t="str">
        <x:v>Published reference data; applicability is limited to the listed reference system and hose code.</x:v>
      </x:c>
      <x:c r="AB262" s="161" t="str">
        <x:v>Pending</x:v>
      </x:c>
    </x:row>
    <x:row r="263" ht="42" customHeight="1">
      <x:c r="A263" s="33" t="str">
        <x:v>Draft</x:v>
      </x:c>
      <x:c r="B263" s="47" t="str">
        <x:v>COMP_0259</x:v>
      </x:c>
      <x:c r="C263" s="47" t="str">
        <x:v>601R2_004</x:v>
      </x:c>
      <x:c r="D263" s="47" t="str">
        <x:v>JIC45_F_SW_08_06</x:v>
      </x:c>
      <x:c r="E263" s="47" t="str">
        <x:v>601R2_2WB_004</x:v>
      </x:c>
      <x:c r="F263" s="47" t="str"/>
      <x:c r="G263" s="33" t="str"/>
      <x:c r="H263" s="50" t="str"/>
      <x:c r="I263" s="50" t="str"/>
      <x:c r="J263" s="50" t="str"/>
      <x:c r="K263" s="47" t="str"/>
      <x:c r="L263" s="50" t="str"/>
      <x:c r="M263" s="50" t="str"/>
      <x:c r="N263" s="47" t="str"/>
      <x:c r="O263" s="50" t="str"/>
      <x:c r="P263" s="64" t="str">
        <x:f>IF(O263="","",O263*2)</x:f>
      </x:c>
      <x:c r="Q263" s="50" t="str"/>
      <x:c r="R263" s="47" t="str"/>
      <x:c r="S263" s="33" t="str">
        <x:v>Not Tested</x:v>
      </x:c>
      <x:c r="T263" s="64" t="str">
        <x:v>Eligible</x:v>
      </x:c>
      <x:c r="U263" s="47" t="str">
        <x:v>DHH W Series Bite-To-The-Wire</x:v>
      </x:c>
      <x:c r="V263" s="47" t="str">
        <x:v>R2-06</x:v>
      </x:c>
      <x:c r="W263" s="47" t="str">
        <x:v>Crimp full shell</x:v>
      </x:c>
      <x:c r="X263" s="50" t="n">
        <x:v>21.46</x:v>
      </x:c>
      <x:c r="Y263" s="50" t="n">
        <x:v>0.13</x:v>
      </x:c>
      <x:c r="Z263" s="47" t="str">
        <x:v>https://www.discounthydraulichose.com/v/vspfiles/downloadables/crimp.pdf (catalog p.99)</x:v>
      </x:c>
      <x:c r="AA263" s="47" t="str">
        <x:v>Published reference data; applicability is limited to the listed reference system and hose code.</x:v>
      </x:c>
      <x:c r="AB263" s="161" t="str">
        <x:v>Pending</x:v>
      </x:c>
    </x:row>
    <x:row r="264" ht="42" customHeight="1">
      <x:c r="A264" s="33" t="str">
        <x:v>Draft</x:v>
      </x:c>
      <x:c r="B264" s="47" t="str">
        <x:v>COMP_0260</x:v>
      </x:c>
      <x:c r="C264" s="47" t="str">
        <x:v>601R2_004</x:v>
      </x:c>
      <x:c r="D264" s="47" t="str">
        <x:v>JIC90_F_SW_04_06</x:v>
      </x:c>
      <x:c r="E264" s="47" t="str">
        <x:v>601R2_2WB_004</x:v>
      </x:c>
      <x:c r="F264" s="47" t="str"/>
      <x:c r="G264" s="33" t="str"/>
      <x:c r="H264" s="50" t="str"/>
      <x:c r="I264" s="50" t="str"/>
      <x:c r="J264" s="50" t="str"/>
      <x:c r="K264" s="47" t="str"/>
      <x:c r="L264" s="50" t="str"/>
      <x:c r="M264" s="50" t="str"/>
      <x:c r="N264" s="47" t="str"/>
      <x:c r="O264" s="50" t="str"/>
      <x:c r="P264" s="64" t="str">
        <x:f>IF(O264="","",O264*2)</x:f>
      </x:c>
      <x:c r="Q264" s="50" t="str"/>
      <x:c r="R264" s="47" t="str"/>
      <x:c r="S264" s="33" t="str">
        <x:v>Not Tested</x:v>
      </x:c>
      <x:c r="T264" s="64" t="str">
        <x:v>Eligible</x:v>
      </x:c>
      <x:c r="U264" s="47" t="str">
        <x:v>DHH W Series Bite-To-The-Wire</x:v>
      </x:c>
      <x:c r="V264" s="47" t="str">
        <x:v>R2-06</x:v>
      </x:c>
      <x:c r="W264" s="47" t="str">
        <x:v>Crimp full shell</x:v>
      </x:c>
      <x:c r="X264" s="50" t="n">
        <x:v>21.46</x:v>
      </x:c>
      <x:c r="Y264" s="50" t="n">
        <x:v>0.13</x:v>
      </x:c>
      <x:c r="Z264" s="47" t="str">
        <x:v>https://www.discounthydraulichose.com/v/vspfiles/downloadables/crimp.pdf (catalog p.99)</x:v>
      </x:c>
      <x:c r="AA264" s="47" t="str">
        <x:v>Published reference data; applicability is limited to the listed reference system and hose code.</x:v>
      </x:c>
      <x:c r="AB264" s="161" t="str">
        <x:v>Pending</x:v>
      </x:c>
    </x:row>
    <x:row r="265" ht="42" customHeight="1">
      <x:c r="A265" s="33" t="str">
        <x:v>Draft</x:v>
      </x:c>
      <x:c r="B265" s="47" t="str">
        <x:v>COMP_0261</x:v>
      </x:c>
      <x:c r="C265" s="47" t="str">
        <x:v>601R2_004</x:v>
      </x:c>
      <x:c r="D265" s="47" t="str">
        <x:v>JIC90_F_SW_06_06</x:v>
      </x:c>
      <x:c r="E265" s="47" t="str">
        <x:v>601R2_2WB_004</x:v>
      </x:c>
      <x:c r="F265" s="47" t="str"/>
      <x:c r="G265" s="33" t="str"/>
      <x:c r="H265" s="50" t="str"/>
      <x:c r="I265" s="50" t="str"/>
      <x:c r="J265" s="50" t="str"/>
      <x:c r="K265" s="47" t="str"/>
      <x:c r="L265" s="50" t="str"/>
      <x:c r="M265" s="50" t="str"/>
      <x:c r="N265" s="47" t="str"/>
      <x:c r="O265" s="50" t="str"/>
      <x:c r="P265" s="64" t="str">
        <x:f>IF(O265="","",O265*2)</x:f>
      </x:c>
      <x:c r="Q265" s="50" t="str"/>
      <x:c r="R265" s="47" t="str"/>
      <x:c r="S265" s="33" t="str">
        <x:v>Not Tested</x:v>
      </x:c>
      <x:c r="T265" s="64" t="str">
        <x:v>Eligible</x:v>
      </x:c>
      <x:c r="U265" s="47" t="str">
        <x:v>DHH W Series Bite-To-The-Wire</x:v>
      </x:c>
      <x:c r="V265" s="47" t="str">
        <x:v>R2-06</x:v>
      </x:c>
      <x:c r="W265" s="47" t="str">
        <x:v>Crimp full shell</x:v>
      </x:c>
      <x:c r="X265" s="50" t="n">
        <x:v>21.46</x:v>
      </x:c>
      <x:c r="Y265" s="50" t="n">
        <x:v>0.13</x:v>
      </x:c>
      <x:c r="Z265" s="47" t="str">
        <x:v>https://www.discounthydraulichose.com/v/vspfiles/downloadables/crimp.pdf (catalog p.99)</x:v>
      </x:c>
      <x:c r="AA265" s="47" t="str">
        <x:v>Published reference data; applicability is limited to the listed reference system and hose code.</x:v>
      </x:c>
      <x:c r="AB265" s="161" t="str">
        <x:v>Pending</x:v>
      </x:c>
    </x:row>
    <x:row r="266" ht="42" customHeight="1">
      <x:c r="A266" s="33" t="str">
        <x:v>Draft</x:v>
      </x:c>
      <x:c r="B266" s="47" t="str">
        <x:v>COMP_0262</x:v>
      </x:c>
      <x:c r="C266" s="47" t="str">
        <x:v>601R2_004</x:v>
      </x:c>
      <x:c r="D266" s="47" t="str">
        <x:v>JIC90_F_SW_08_06</x:v>
      </x:c>
      <x:c r="E266" s="47" t="str">
        <x:v>601R2_2WB_004</x:v>
      </x:c>
      <x:c r="F266" s="47" t="str"/>
      <x:c r="G266" s="33" t="str"/>
      <x:c r="H266" s="50" t="str"/>
      <x:c r="I266" s="50" t="str"/>
      <x:c r="J266" s="50" t="str"/>
      <x:c r="K266" s="47" t="str"/>
      <x:c r="L266" s="50" t="str"/>
      <x:c r="M266" s="50" t="str"/>
      <x:c r="N266" s="47" t="str"/>
      <x:c r="O266" s="50" t="str"/>
      <x:c r="P266" s="64" t="str">
        <x:f>IF(O266="","",O266*2)</x:f>
      </x:c>
      <x:c r="Q266" s="50" t="str"/>
      <x:c r="R266" s="47" t="str"/>
      <x:c r="S266" s="33" t="str">
        <x:v>Not Tested</x:v>
      </x:c>
      <x:c r="T266" s="64" t="str">
        <x:v>Eligible</x:v>
      </x:c>
      <x:c r="U266" s="47" t="str">
        <x:v>DHH W Series Bite-To-The-Wire</x:v>
      </x:c>
      <x:c r="V266" s="47" t="str">
        <x:v>R2-06</x:v>
      </x:c>
      <x:c r="W266" s="47" t="str">
        <x:v>Crimp full shell</x:v>
      </x:c>
      <x:c r="X266" s="50" t="n">
        <x:v>21.46</x:v>
      </x:c>
      <x:c r="Y266" s="50" t="n">
        <x:v>0.13</x:v>
      </x:c>
      <x:c r="Z266" s="47" t="str">
        <x:v>https://www.discounthydraulichose.com/v/vspfiles/downloadables/crimp.pdf (catalog p.99)</x:v>
      </x:c>
      <x:c r="AA266" s="47" t="str">
        <x:v>Published reference data; applicability is limited to the listed reference system and hose code.</x:v>
      </x:c>
      <x:c r="AB266" s="161" t="str">
        <x:v>Pending</x:v>
      </x:c>
    </x:row>
    <x:row r="267" ht="42" customHeight="1">
      <x:c r="A267" s="33" t="str">
        <x:v>Draft</x:v>
      </x:c>
      <x:c r="B267" s="47" t="str">
        <x:v>COMP_0263</x:v>
      </x:c>
      <x:c r="C267" s="47" t="str">
        <x:v>601R2_004</x:v>
      </x:c>
      <x:c r="D267" s="47" t="str">
        <x:v>NPT_F_FX_04_06</x:v>
      </x:c>
      <x:c r="E267" s="47" t="str">
        <x:v>601R2_2WB_004</x:v>
      </x:c>
      <x:c r="F267" s="47" t="str"/>
      <x:c r="G267" s="33" t="str"/>
      <x:c r="H267" s="50" t="str"/>
      <x:c r="I267" s="50" t="str"/>
      <x:c r="J267" s="50" t="str"/>
      <x:c r="K267" s="47" t="str"/>
      <x:c r="L267" s="50" t="str"/>
      <x:c r="M267" s="50" t="str"/>
      <x:c r="N267" s="47" t="str"/>
      <x:c r="O267" s="50" t="str"/>
      <x:c r="P267" s="64" t="str">
        <x:f>IF(O267="","",O267*2)</x:f>
      </x:c>
      <x:c r="Q267" s="50" t="str"/>
      <x:c r="R267" s="47" t="str"/>
      <x:c r="S267" s="33" t="str">
        <x:v>Not Tested</x:v>
      </x:c>
      <x:c r="T267" s="64" t="str">
        <x:v>Eligible</x:v>
      </x:c>
      <x:c r="U267" s="47" t="str">
        <x:v>DHH W Series Bite-To-The-Wire</x:v>
      </x:c>
      <x:c r="V267" s="47" t="str">
        <x:v>R2-06</x:v>
      </x:c>
      <x:c r="W267" s="47" t="str">
        <x:v>Crimp full shell</x:v>
      </x:c>
      <x:c r="X267" s="50" t="n">
        <x:v>21.46</x:v>
      </x:c>
      <x:c r="Y267" s="50" t="n">
        <x:v>0.13</x:v>
      </x:c>
      <x:c r="Z267" s="47" t="str">
        <x:v>https://www.discounthydraulichose.com/v/vspfiles/downloadables/crimp.pdf (catalog p.99)</x:v>
      </x:c>
      <x:c r="AA267" s="47" t="str">
        <x:v>Published reference data; applicability is limited to the listed reference system and hose code.</x:v>
      </x:c>
      <x:c r="AB267" s="161" t="str">
        <x:v>Pending</x:v>
      </x:c>
    </x:row>
    <x:row r="268" ht="42" customHeight="1">
      <x:c r="A268" s="33" t="str">
        <x:v>Draft</x:v>
      </x:c>
      <x:c r="B268" s="47" t="str">
        <x:v>COMP_0264</x:v>
      </x:c>
      <x:c r="C268" s="47" t="str">
        <x:v>601R2_004</x:v>
      </x:c>
      <x:c r="D268" s="47" t="str">
        <x:v>NPT_F_FX_06_06</x:v>
      </x:c>
      <x:c r="E268" s="47" t="str">
        <x:v>601R2_2WB_004</x:v>
      </x:c>
      <x:c r="F268" s="47" t="str"/>
      <x:c r="G268" s="33" t="str"/>
      <x:c r="H268" s="50" t="str"/>
      <x:c r="I268" s="50" t="str"/>
      <x:c r="J268" s="50" t="str"/>
      <x:c r="K268" s="47" t="str"/>
      <x:c r="L268" s="50" t="str"/>
      <x:c r="M268" s="50" t="str"/>
      <x:c r="N268" s="47" t="str"/>
      <x:c r="O268" s="50" t="str"/>
      <x:c r="P268" s="64" t="str">
        <x:f>IF(O268="","",O268*2)</x:f>
      </x:c>
      <x:c r="Q268" s="50" t="str"/>
      <x:c r="R268" s="47" t="str"/>
      <x:c r="S268" s="33" t="str">
        <x:v>Not Tested</x:v>
      </x:c>
      <x:c r="T268" s="64" t="str">
        <x:v>Eligible</x:v>
      </x:c>
      <x:c r="U268" s="47" t="str">
        <x:v>DHH W Series Bite-To-The-Wire</x:v>
      </x:c>
      <x:c r="V268" s="47" t="str">
        <x:v>R2-06</x:v>
      </x:c>
      <x:c r="W268" s="47" t="str">
        <x:v>Crimp full shell</x:v>
      </x:c>
      <x:c r="X268" s="50" t="n">
        <x:v>21.46</x:v>
      </x:c>
      <x:c r="Y268" s="50" t="n">
        <x:v>0.13</x:v>
      </x:c>
      <x:c r="Z268" s="47" t="str">
        <x:v>https://www.discounthydraulichose.com/v/vspfiles/downloadables/crimp.pdf (catalog p.99)</x:v>
      </x:c>
      <x:c r="AA268" s="47" t="str">
        <x:v>Published reference data; applicability is limited to the listed reference system and hose code.</x:v>
      </x:c>
      <x:c r="AB268" s="161" t="str">
        <x:v>Pending</x:v>
      </x:c>
    </x:row>
    <x:row r="269" ht="42" customHeight="1">
      <x:c r="A269" s="33" t="str">
        <x:v>Draft</x:v>
      </x:c>
      <x:c r="B269" s="47" t="str">
        <x:v>COMP_0265</x:v>
      </x:c>
      <x:c r="C269" s="47" t="str">
        <x:v>601R2_004</x:v>
      </x:c>
      <x:c r="D269" s="47" t="str">
        <x:v>NPT_F_FX_08_06</x:v>
      </x:c>
      <x:c r="E269" s="47" t="str">
        <x:v>601R2_2WB_004</x:v>
      </x:c>
      <x:c r="F269" s="47" t="str"/>
      <x:c r="G269" s="33" t="str"/>
      <x:c r="H269" s="50" t="str"/>
      <x:c r="I269" s="50" t="str"/>
      <x:c r="J269" s="50" t="str"/>
      <x:c r="K269" s="47" t="str"/>
      <x:c r="L269" s="50" t="str"/>
      <x:c r="M269" s="50" t="str"/>
      <x:c r="N269" s="47" t="str"/>
      <x:c r="O269" s="50" t="str"/>
      <x:c r="P269" s="64" t="str">
        <x:f>IF(O269="","",O269*2)</x:f>
      </x:c>
      <x:c r="Q269" s="50" t="str"/>
      <x:c r="R269" s="47" t="str"/>
      <x:c r="S269" s="33" t="str">
        <x:v>Not Tested</x:v>
      </x:c>
      <x:c r="T269" s="64" t="str">
        <x:v>Eligible</x:v>
      </x:c>
      <x:c r="U269" s="47" t="str">
        <x:v>DHH W Series Bite-To-The-Wire</x:v>
      </x:c>
      <x:c r="V269" s="47" t="str">
        <x:v>R2-06</x:v>
      </x:c>
      <x:c r="W269" s="47" t="str">
        <x:v>Crimp full shell</x:v>
      </x:c>
      <x:c r="X269" s="50" t="n">
        <x:v>21.46</x:v>
      </x:c>
      <x:c r="Y269" s="50" t="n">
        <x:v>0.13</x:v>
      </x:c>
      <x:c r="Z269" s="47" t="str">
        <x:v>https://www.discounthydraulichose.com/v/vspfiles/downloadables/crimp.pdf (catalog p.99)</x:v>
      </x:c>
      <x:c r="AA269" s="47" t="str">
        <x:v>Published reference data; applicability is limited to the listed reference system and hose code.</x:v>
      </x:c>
      <x:c r="AB269" s="161" t="str">
        <x:v>Pending</x:v>
      </x:c>
    </x:row>
    <x:row r="270" ht="42" customHeight="1">
      <x:c r="A270" s="33" t="str">
        <x:v>Draft</x:v>
      </x:c>
      <x:c r="B270" s="47" t="str">
        <x:v>COMP_0266</x:v>
      </x:c>
      <x:c r="C270" s="47" t="str">
        <x:v>601R2_004</x:v>
      </x:c>
      <x:c r="D270" s="47" t="str">
        <x:v>NPT_M_FX_04_06</x:v>
      </x:c>
      <x:c r="E270" s="47" t="str">
        <x:v>601R2_2WB_004</x:v>
      </x:c>
      <x:c r="F270" s="47" t="str"/>
      <x:c r="G270" s="33" t="str"/>
      <x:c r="H270" s="50" t="str"/>
      <x:c r="I270" s="50" t="str"/>
      <x:c r="J270" s="50" t="str"/>
      <x:c r="K270" s="47" t="str"/>
      <x:c r="L270" s="50" t="str"/>
      <x:c r="M270" s="50" t="str"/>
      <x:c r="N270" s="47" t="str"/>
      <x:c r="O270" s="50" t="str"/>
      <x:c r="P270" s="64" t="str">
        <x:f>IF(O270="","",O270*2)</x:f>
      </x:c>
      <x:c r="Q270" s="50" t="str"/>
      <x:c r="R270" s="47" t="str"/>
      <x:c r="S270" s="33" t="str">
        <x:v>Not Tested</x:v>
      </x:c>
      <x:c r="T270" s="64" t="str">
        <x:v>Eligible</x:v>
      </x:c>
      <x:c r="U270" s="47" t="str">
        <x:v>DHH W Series Bite-To-The-Wire</x:v>
      </x:c>
      <x:c r="V270" s="47" t="str">
        <x:v>R2-06</x:v>
      </x:c>
      <x:c r="W270" s="47" t="str">
        <x:v>Crimp full shell</x:v>
      </x:c>
      <x:c r="X270" s="50" t="n">
        <x:v>21.46</x:v>
      </x:c>
      <x:c r="Y270" s="50" t="n">
        <x:v>0.13</x:v>
      </x:c>
      <x:c r="Z270" s="47" t="str">
        <x:v>https://www.discounthydraulichose.com/v/vspfiles/downloadables/crimp.pdf (catalog p.99)</x:v>
      </x:c>
      <x:c r="AA270" s="47" t="str">
        <x:v>Published reference data; applicability is limited to the listed reference system and hose code.</x:v>
      </x:c>
      <x:c r="AB270" s="161" t="str">
        <x:v>Pending</x:v>
      </x:c>
    </x:row>
    <x:row r="271" ht="42" customHeight="1">
      <x:c r="A271" s="33" t="str">
        <x:v>Draft</x:v>
      </x:c>
      <x:c r="B271" s="47" t="str">
        <x:v>COMP_0267</x:v>
      </x:c>
      <x:c r="C271" s="47" t="str">
        <x:v>601R2_004</x:v>
      </x:c>
      <x:c r="D271" s="47" t="str">
        <x:v>NPT_M_FX_06_06</x:v>
      </x:c>
      <x:c r="E271" s="47" t="str">
        <x:v>601R2_2WB_004</x:v>
      </x:c>
      <x:c r="F271" s="47" t="str"/>
      <x:c r="G271" s="33" t="str"/>
      <x:c r="H271" s="50" t="str"/>
      <x:c r="I271" s="50" t="str"/>
      <x:c r="J271" s="50" t="str"/>
      <x:c r="K271" s="47" t="str"/>
      <x:c r="L271" s="50" t="str"/>
      <x:c r="M271" s="50" t="str"/>
      <x:c r="N271" s="47" t="str"/>
      <x:c r="O271" s="50" t="str"/>
      <x:c r="P271" s="64" t="str">
        <x:f>IF(O271="","",O271*2)</x:f>
      </x:c>
      <x:c r="Q271" s="50" t="str"/>
      <x:c r="R271" s="47" t="str"/>
      <x:c r="S271" s="33" t="str">
        <x:v>Not Tested</x:v>
      </x:c>
      <x:c r="T271" s="64" t="str">
        <x:v>Eligible</x:v>
      </x:c>
      <x:c r="U271" s="47" t="str">
        <x:v>DHH W Series Bite-To-The-Wire</x:v>
      </x:c>
      <x:c r="V271" s="47" t="str">
        <x:v>R2-06</x:v>
      </x:c>
      <x:c r="W271" s="47" t="str">
        <x:v>Crimp full shell</x:v>
      </x:c>
      <x:c r="X271" s="50" t="n">
        <x:v>21.46</x:v>
      </x:c>
      <x:c r="Y271" s="50" t="n">
        <x:v>0.13</x:v>
      </x:c>
      <x:c r="Z271" s="47" t="str">
        <x:v>https://www.discounthydraulichose.com/v/vspfiles/downloadables/crimp.pdf (catalog p.99)</x:v>
      </x:c>
      <x:c r="AA271" s="47" t="str">
        <x:v>Published reference data; applicability is limited to the listed reference system and hose code.</x:v>
      </x:c>
      <x:c r="AB271" s="161" t="str">
        <x:v>Pending</x:v>
      </x:c>
    </x:row>
    <x:row r="272" ht="42" customHeight="1">
      <x:c r="A272" s="33" t="str">
        <x:v>Draft</x:v>
      </x:c>
      <x:c r="B272" s="47" t="str">
        <x:v>COMP_0268</x:v>
      </x:c>
      <x:c r="C272" s="47" t="str">
        <x:v>601R2_004</x:v>
      </x:c>
      <x:c r="D272" s="47" t="str">
        <x:v>NPT_M_FX_08_06</x:v>
      </x:c>
      <x:c r="E272" s="47" t="str">
        <x:v>601R2_2WB_004</x:v>
      </x:c>
      <x:c r="F272" s="47" t="str"/>
      <x:c r="G272" s="33" t="str"/>
      <x:c r="H272" s="50" t="str"/>
      <x:c r="I272" s="50" t="str"/>
      <x:c r="J272" s="50" t="str"/>
      <x:c r="K272" s="47" t="str"/>
      <x:c r="L272" s="50" t="str"/>
      <x:c r="M272" s="50" t="str"/>
      <x:c r="N272" s="47" t="str"/>
      <x:c r="O272" s="50" t="str"/>
      <x:c r="P272" s="64" t="str">
        <x:f>IF(O272="","",O272*2)</x:f>
      </x:c>
      <x:c r="Q272" s="50" t="str"/>
      <x:c r="R272" s="47" t="str"/>
      <x:c r="S272" s="33" t="str">
        <x:v>Not Tested</x:v>
      </x:c>
      <x:c r="T272" s="64" t="str">
        <x:v>Eligible</x:v>
      </x:c>
      <x:c r="U272" s="47" t="str">
        <x:v>DHH W Series Bite-To-The-Wire</x:v>
      </x:c>
      <x:c r="V272" s="47" t="str">
        <x:v>R2-06</x:v>
      </x:c>
      <x:c r="W272" s="47" t="str">
        <x:v>Crimp full shell</x:v>
      </x:c>
      <x:c r="X272" s="50" t="n">
        <x:v>21.46</x:v>
      </x:c>
      <x:c r="Y272" s="50" t="n">
        <x:v>0.13</x:v>
      </x:c>
      <x:c r="Z272" s="47" t="str">
        <x:v>https://www.discounthydraulichose.com/v/vspfiles/downloadables/crimp.pdf (catalog p.99)</x:v>
      </x:c>
      <x:c r="AA272" s="47" t="str">
        <x:v>Published reference data; applicability is limited to the listed reference system and hose code.</x:v>
      </x:c>
      <x:c r="AB272" s="161" t="str">
        <x:v>Pending</x:v>
      </x:c>
    </x:row>
    <x:row r="273" ht="42" customHeight="1">
      <x:c r="A273" s="33" t="str">
        <x:v>Draft</x:v>
      </x:c>
      <x:c r="B273" s="47" t="str">
        <x:v>COMP_0269</x:v>
      </x:c>
      <x:c r="C273" s="47" t="str">
        <x:v>601R2_004</x:v>
      </x:c>
      <x:c r="D273" s="47" t="str">
        <x:v>NPT90_M_SW_06_06</x:v>
      </x:c>
      <x:c r="E273" s="47" t="str">
        <x:v>601R2_2WB_004</x:v>
      </x:c>
      <x:c r="F273" s="47" t="str"/>
      <x:c r="G273" s="33" t="str"/>
      <x:c r="H273" s="50" t="str"/>
      <x:c r="I273" s="50" t="str"/>
      <x:c r="J273" s="50" t="str"/>
      <x:c r="K273" s="47" t="str"/>
      <x:c r="L273" s="50" t="str"/>
      <x:c r="M273" s="50" t="str"/>
      <x:c r="N273" s="47" t="str"/>
      <x:c r="O273" s="50" t="str"/>
      <x:c r="P273" s="64" t="str">
        <x:f>IF(O273="","",O273*2)</x:f>
      </x:c>
      <x:c r="Q273" s="50" t="str"/>
      <x:c r="R273" s="47" t="str"/>
      <x:c r="S273" s="33" t="str">
        <x:v>Not Tested</x:v>
      </x:c>
      <x:c r="T273" s="64" t="str">
        <x:v>Eligible</x:v>
      </x:c>
      <x:c r="U273" s="47" t="str">
        <x:v>DHH W Series Bite-To-The-Wire</x:v>
      </x:c>
      <x:c r="V273" s="47" t="str">
        <x:v>R2-06</x:v>
      </x:c>
      <x:c r="W273" s="47" t="str">
        <x:v>Crimp full shell</x:v>
      </x:c>
      <x:c r="X273" s="50" t="n">
        <x:v>21.46</x:v>
      </x:c>
      <x:c r="Y273" s="50" t="n">
        <x:v>0.13</x:v>
      </x:c>
      <x:c r="Z273" s="47" t="str">
        <x:v>https://www.discounthydraulichose.com/v/vspfiles/downloadables/crimp.pdf (catalog p.99)</x:v>
      </x:c>
      <x:c r="AA273" s="47" t="str">
        <x:v>Published reference data; applicability is limited to the listed reference system and hose code.</x:v>
      </x:c>
      <x:c r="AB273" s="161" t="str">
        <x:v>Pending</x:v>
      </x:c>
    </x:row>
    <x:row r="274" ht="42" customHeight="1">
      <x:c r="A274" s="33" t="str">
        <x:v>Draft</x:v>
      </x:c>
      <x:c r="B274" s="47" t="str">
        <x:v>COMP_0270</x:v>
      </x:c>
      <x:c r="C274" s="47" t="str">
        <x:v>601R2_004</x:v>
      </x:c>
      <x:c r="D274" s="47" t="str">
        <x:v>NPT90_M_SW_08_06</x:v>
      </x:c>
      <x:c r="E274" s="47" t="str">
        <x:v>601R2_2WB_004</x:v>
      </x:c>
      <x:c r="F274" s="47" t="str"/>
      <x:c r="G274" s="33" t="str"/>
      <x:c r="H274" s="50" t="str"/>
      <x:c r="I274" s="50" t="str"/>
      <x:c r="J274" s="50" t="str"/>
      <x:c r="K274" s="47" t="str"/>
      <x:c r="L274" s="50" t="str"/>
      <x:c r="M274" s="50" t="str"/>
      <x:c r="N274" s="47" t="str"/>
      <x:c r="O274" s="50" t="str"/>
      <x:c r="P274" s="64" t="str">
        <x:f>IF(O274="","",O274*2)</x:f>
      </x:c>
      <x:c r="Q274" s="50" t="str"/>
      <x:c r="R274" s="47" t="str"/>
      <x:c r="S274" s="33" t="str">
        <x:v>Not Tested</x:v>
      </x:c>
      <x:c r="T274" s="64" t="str">
        <x:v>Eligible</x:v>
      </x:c>
      <x:c r="U274" s="47" t="str">
        <x:v>DHH W Series Bite-To-The-Wire</x:v>
      </x:c>
      <x:c r="V274" s="47" t="str">
        <x:v>R2-06</x:v>
      </x:c>
      <x:c r="W274" s="47" t="str">
        <x:v>Crimp full shell</x:v>
      </x:c>
      <x:c r="X274" s="50" t="n">
        <x:v>21.46</x:v>
      </x:c>
      <x:c r="Y274" s="50" t="n">
        <x:v>0.13</x:v>
      </x:c>
      <x:c r="Z274" s="47" t="str">
        <x:v>https://www.discounthydraulichose.com/v/vspfiles/downloadables/crimp.pdf (catalog p.99)</x:v>
      </x:c>
      <x:c r="AA274" s="47" t="str">
        <x:v>Published reference data; applicability is limited to the listed reference system and hose code.</x:v>
      </x:c>
      <x:c r="AB274" s="161" t="str">
        <x:v>Pending</x:v>
      </x:c>
    </x:row>
    <x:row r="275" ht="42" customHeight="1">
      <x:c r="A275" s="33" t="str">
        <x:v>Draft</x:v>
      </x:c>
      <x:c r="B275" s="47" t="str">
        <x:v>COMP_0271</x:v>
      </x:c>
      <x:c r="C275" s="47" t="str">
        <x:v>601R2_004</x:v>
      </x:c>
      <x:c r="D275" s="47" t="str">
        <x:v>ORFS_F_SW_06_06</x:v>
      </x:c>
      <x:c r="E275" s="47" t="str">
        <x:v>601R2_2WB_004</x:v>
      </x:c>
      <x:c r="F275" s="47" t="str"/>
      <x:c r="G275" s="33" t="str"/>
      <x:c r="H275" s="50" t="str"/>
      <x:c r="I275" s="50" t="str"/>
      <x:c r="J275" s="50" t="str"/>
      <x:c r="K275" s="47" t="str"/>
      <x:c r="L275" s="50" t="str"/>
      <x:c r="M275" s="50" t="str"/>
      <x:c r="N275" s="47" t="str"/>
      <x:c r="O275" s="50" t="str"/>
      <x:c r="P275" s="64" t="str">
        <x:f>IF(O275="","",O275*2)</x:f>
      </x:c>
      <x:c r="Q275" s="50" t="str"/>
      <x:c r="R275" s="47" t="str"/>
      <x:c r="S275" s="33" t="str">
        <x:v>Not Tested</x:v>
      </x:c>
      <x:c r="T275" s="64" t="str">
        <x:v>Eligible</x:v>
      </x:c>
      <x:c r="U275" s="47" t="str">
        <x:v>DHH W Series Bite-To-The-Wire</x:v>
      </x:c>
      <x:c r="V275" s="47" t="str">
        <x:v>R2-06</x:v>
      </x:c>
      <x:c r="W275" s="47" t="str">
        <x:v>Crimp full shell</x:v>
      </x:c>
      <x:c r="X275" s="50" t="n">
        <x:v>21.46</x:v>
      </x:c>
      <x:c r="Y275" s="50" t="n">
        <x:v>0.13</x:v>
      </x:c>
      <x:c r="Z275" s="47" t="str">
        <x:v>https://www.discounthydraulichose.com/v/vspfiles/downloadables/crimp.pdf (catalog p.99)</x:v>
      </x:c>
      <x:c r="AA275" s="47" t="str">
        <x:v>Published reference data; applicability is limited to the listed reference system and hose code.</x:v>
      </x:c>
      <x:c r="AB275" s="161" t="str">
        <x:v>Pending</x:v>
      </x:c>
    </x:row>
    <x:row r="276" ht="42" customHeight="1">
      <x:c r="A276" s="33" t="str">
        <x:v>Draft</x:v>
      </x:c>
      <x:c r="B276" s="47" t="str">
        <x:v>COMP_0272</x:v>
      </x:c>
      <x:c r="C276" s="47" t="str">
        <x:v>601R2_004</x:v>
      </x:c>
      <x:c r="D276" s="47" t="str">
        <x:v>ORFS_F_SW_08_06</x:v>
      </x:c>
      <x:c r="E276" s="47" t="str">
        <x:v>601R2_2WB_004</x:v>
      </x:c>
      <x:c r="F276" s="47" t="str"/>
      <x:c r="G276" s="33" t="str"/>
      <x:c r="H276" s="50" t="str"/>
      <x:c r="I276" s="50" t="str"/>
      <x:c r="J276" s="50" t="str"/>
      <x:c r="K276" s="47" t="str"/>
      <x:c r="L276" s="50" t="str"/>
      <x:c r="M276" s="50" t="str"/>
      <x:c r="N276" s="47" t="str"/>
      <x:c r="O276" s="50" t="str"/>
      <x:c r="P276" s="64" t="str">
        <x:f>IF(O276="","",O276*2)</x:f>
      </x:c>
      <x:c r="Q276" s="50" t="str"/>
      <x:c r="R276" s="47" t="str"/>
      <x:c r="S276" s="33" t="str">
        <x:v>Not Tested</x:v>
      </x:c>
      <x:c r="T276" s="64" t="str">
        <x:v>Eligible</x:v>
      </x:c>
      <x:c r="U276" s="47" t="str">
        <x:v>DHH W Series Bite-To-The-Wire</x:v>
      </x:c>
      <x:c r="V276" s="47" t="str">
        <x:v>R2-06</x:v>
      </x:c>
      <x:c r="W276" s="47" t="str">
        <x:v>Crimp full shell</x:v>
      </x:c>
      <x:c r="X276" s="50" t="n">
        <x:v>21.46</x:v>
      </x:c>
      <x:c r="Y276" s="50" t="n">
        <x:v>0.13</x:v>
      </x:c>
      <x:c r="Z276" s="47" t="str">
        <x:v>https://www.discounthydraulichose.com/v/vspfiles/downloadables/crimp.pdf (catalog p.99)</x:v>
      </x:c>
      <x:c r="AA276" s="47" t="str">
        <x:v>Published reference data; applicability is limited to the listed reference system and hose code.</x:v>
      </x:c>
      <x:c r="AB276" s="161" t="str">
        <x:v>Pending</x:v>
      </x:c>
    </x:row>
    <x:row r="277" ht="42" customHeight="1">
      <x:c r="A277" s="33" t="str">
        <x:v>Draft</x:v>
      </x:c>
      <x:c r="B277" s="47" t="str">
        <x:v>COMP_0273</x:v>
      </x:c>
      <x:c r="C277" s="47" t="str">
        <x:v>601R2_004</x:v>
      </x:c>
      <x:c r="D277" s="47" t="str">
        <x:v>ORFS_M_FX_06_06</x:v>
      </x:c>
      <x:c r="E277" s="47" t="str">
        <x:v>601R2_2WB_004</x:v>
      </x:c>
      <x:c r="F277" s="47" t="str"/>
      <x:c r="G277" s="33" t="str"/>
      <x:c r="H277" s="50" t="str"/>
      <x:c r="I277" s="50" t="str"/>
      <x:c r="J277" s="50" t="str"/>
      <x:c r="K277" s="47" t="str"/>
      <x:c r="L277" s="50" t="str"/>
      <x:c r="M277" s="50" t="str"/>
      <x:c r="N277" s="47" t="str"/>
      <x:c r="O277" s="50" t="str"/>
      <x:c r="P277" s="64" t="str">
        <x:f>IF(O277="","",O277*2)</x:f>
      </x:c>
      <x:c r="Q277" s="50" t="str"/>
      <x:c r="R277" s="47" t="str"/>
      <x:c r="S277" s="33" t="str">
        <x:v>Not Tested</x:v>
      </x:c>
      <x:c r="T277" s="64" t="str">
        <x:v>Eligible</x:v>
      </x:c>
      <x:c r="U277" s="47" t="str">
        <x:v>DHH W Series Bite-To-The-Wire</x:v>
      </x:c>
      <x:c r="V277" s="47" t="str">
        <x:v>R2-06</x:v>
      </x:c>
      <x:c r="W277" s="47" t="str">
        <x:v>Crimp full shell</x:v>
      </x:c>
      <x:c r="X277" s="50" t="n">
        <x:v>21.46</x:v>
      </x:c>
      <x:c r="Y277" s="50" t="n">
        <x:v>0.13</x:v>
      </x:c>
      <x:c r="Z277" s="47" t="str">
        <x:v>https://www.discounthydraulichose.com/v/vspfiles/downloadables/crimp.pdf (catalog p.99)</x:v>
      </x:c>
      <x:c r="AA277" s="47" t="str">
        <x:v>Published reference data; applicability is limited to the listed reference system and hose code.</x:v>
      </x:c>
      <x:c r="AB277" s="161" t="str">
        <x:v>Pending</x:v>
      </x:c>
    </x:row>
    <x:row r="278" ht="42" customHeight="1">
      <x:c r="A278" s="33" t="str">
        <x:v>Draft</x:v>
      </x:c>
      <x:c r="B278" s="47" t="str">
        <x:v>COMP_0274</x:v>
      </x:c>
      <x:c r="C278" s="47" t="str">
        <x:v>601R2_004</x:v>
      </x:c>
      <x:c r="D278" s="47" t="str">
        <x:v>ORFS_M_FX_08_06</x:v>
      </x:c>
      <x:c r="E278" s="47" t="str">
        <x:v>601R2_2WB_004</x:v>
      </x:c>
      <x:c r="F278" s="47" t="str"/>
      <x:c r="G278" s="33" t="str"/>
      <x:c r="H278" s="50" t="str"/>
      <x:c r="I278" s="50" t="str"/>
      <x:c r="J278" s="50" t="str"/>
      <x:c r="K278" s="47" t="str"/>
      <x:c r="L278" s="50" t="str"/>
      <x:c r="M278" s="50" t="str"/>
      <x:c r="N278" s="47" t="str"/>
      <x:c r="O278" s="50" t="str"/>
      <x:c r="P278" s="64" t="str">
        <x:f>IF(O278="","",O278*2)</x:f>
      </x:c>
      <x:c r="Q278" s="50" t="str"/>
      <x:c r="R278" s="47" t="str"/>
      <x:c r="S278" s="33" t="str">
        <x:v>Not Tested</x:v>
      </x:c>
      <x:c r="T278" s="64" t="str">
        <x:v>Eligible</x:v>
      </x:c>
      <x:c r="U278" s="47" t="str">
        <x:v>DHH W Series Bite-To-The-Wire</x:v>
      </x:c>
      <x:c r="V278" s="47" t="str">
        <x:v>R2-06</x:v>
      </x:c>
      <x:c r="W278" s="47" t="str">
        <x:v>Crimp full shell</x:v>
      </x:c>
      <x:c r="X278" s="50" t="n">
        <x:v>21.46</x:v>
      </x:c>
      <x:c r="Y278" s="50" t="n">
        <x:v>0.13</x:v>
      </x:c>
      <x:c r="Z278" s="47" t="str">
        <x:v>https://www.discounthydraulichose.com/v/vspfiles/downloadables/crimp.pdf (catalog p.99)</x:v>
      </x:c>
      <x:c r="AA278" s="47" t="str">
        <x:v>Published reference data; applicability is limited to the listed reference system and hose code.</x:v>
      </x:c>
      <x:c r="AB278" s="161" t="str">
        <x:v>Pending</x:v>
      </x:c>
    </x:row>
    <x:row r="279" ht="42" customHeight="1">
      <x:c r="A279" s="33" t="str">
        <x:v>Draft</x:v>
      </x:c>
      <x:c r="B279" s="47" t="str">
        <x:v>COMP_0275</x:v>
      </x:c>
      <x:c r="C279" s="47" t="str">
        <x:v>601R2_004</x:v>
      </x:c>
      <x:c r="D279" s="47" t="str">
        <x:v>ORFS45_F_SW_06_06</x:v>
      </x:c>
      <x:c r="E279" s="47" t="str">
        <x:v>601R2_2WB_004</x:v>
      </x:c>
      <x:c r="F279" s="47" t="str"/>
      <x:c r="G279" s="33" t="str"/>
      <x:c r="H279" s="50" t="str"/>
      <x:c r="I279" s="50" t="str"/>
      <x:c r="J279" s="50" t="str"/>
      <x:c r="K279" s="47" t="str"/>
      <x:c r="L279" s="50" t="str"/>
      <x:c r="M279" s="50" t="str"/>
      <x:c r="N279" s="47" t="str"/>
      <x:c r="O279" s="50" t="str"/>
      <x:c r="P279" s="64" t="str">
        <x:f>IF(O279="","",O279*2)</x:f>
      </x:c>
      <x:c r="Q279" s="50" t="str"/>
      <x:c r="R279" s="47" t="str"/>
      <x:c r="S279" s="33" t="str">
        <x:v>Not Tested</x:v>
      </x:c>
      <x:c r="T279" s="64" t="str">
        <x:v>Eligible</x:v>
      </x:c>
      <x:c r="U279" s="47" t="str">
        <x:v>DHH W Series Bite-To-The-Wire</x:v>
      </x:c>
      <x:c r="V279" s="47" t="str">
        <x:v>R2-06</x:v>
      </x:c>
      <x:c r="W279" s="47" t="str">
        <x:v>Crimp full shell</x:v>
      </x:c>
      <x:c r="X279" s="50" t="n">
        <x:v>21.46</x:v>
      </x:c>
      <x:c r="Y279" s="50" t="n">
        <x:v>0.13</x:v>
      </x:c>
      <x:c r="Z279" s="47" t="str">
        <x:v>https://www.discounthydraulichose.com/v/vspfiles/downloadables/crimp.pdf (catalog p.99)</x:v>
      </x:c>
      <x:c r="AA279" s="47" t="str">
        <x:v>Published reference data; applicability is limited to the listed reference system and hose code.</x:v>
      </x:c>
      <x:c r="AB279" s="161" t="str">
        <x:v>Pending</x:v>
      </x:c>
    </x:row>
    <x:row r="280" ht="42" customHeight="1">
      <x:c r="A280" s="33" t="str">
        <x:v>Draft</x:v>
      </x:c>
      <x:c r="B280" s="47" t="str">
        <x:v>COMP_0276</x:v>
      </x:c>
      <x:c r="C280" s="47" t="str">
        <x:v>601R2_004</x:v>
      </x:c>
      <x:c r="D280" s="47" t="str">
        <x:v>ORFS45_F_SW_08_06</x:v>
      </x:c>
      <x:c r="E280" s="47" t="str">
        <x:v>601R2_2WB_004</x:v>
      </x:c>
      <x:c r="F280" s="47" t="str"/>
      <x:c r="G280" s="33" t="str"/>
      <x:c r="H280" s="50" t="str"/>
      <x:c r="I280" s="50" t="str"/>
      <x:c r="J280" s="50" t="str"/>
      <x:c r="K280" s="47" t="str"/>
      <x:c r="L280" s="50" t="str"/>
      <x:c r="M280" s="50" t="str"/>
      <x:c r="N280" s="47" t="str"/>
      <x:c r="O280" s="50" t="str"/>
      <x:c r="P280" s="64" t="str">
        <x:f>IF(O280="","",O280*2)</x:f>
      </x:c>
      <x:c r="Q280" s="50" t="str"/>
      <x:c r="R280" s="47" t="str"/>
      <x:c r="S280" s="33" t="str">
        <x:v>Not Tested</x:v>
      </x:c>
      <x:c r="T280" s="64" t="str">
        <x:v>Eligible</x:v>
      </x:c>
      <x:c r="U280" s="47" t="str">
        <x:v>DHH W Series Bite-To-The-Wire</x:v>
      </x:c>
      <x:c r="V280" s="47" t="str">
        <x:v>R2-06</x:v>
      </x:c>
      <x:c r="W280" s="47" t="str">
        <x:v>Crimp full shell</x:v>
      </x:c>
      <x:c r="X280" s="50" t="n">
        <x:v>21.46</x:v>
      </x:c>
      <x:c r="Y280" s="50" t="n">
        <x:v>0.13</x:v>
      </x:c>
      <x:c r="Z280" s="47" t="str">
        <x:v>https://www.discounthydraulichose.com/v/vspfiles/downloadables/crimp.pdf (catalog p.99)</x:v>
      </x:c>
      <x:c r="AA280" s="47" t="str">
        <x:v>Published reference data; applicability is limited to the listed reference system and hose code.</x:v>
      </x:c>
      <x:c r="AB280" s="161" t="str">
        <x:v>Pending</x:v>
      </x:c>
    </x:row>
    <x:row r="281" ht="42" customHeight="1">
      <x:c r="A281" s="33" t="str">
        <x:v>Draft</x:v>
      </x:c>
      <x:c r="B281" s="47" t="str">
        <x:v>COMP_0277</x:v>
      </x:c>
      <x:c r="C281" s="47" t="str">
        <x:v>601R2_004</x:v>
      </x:c>
      <x:c r="D281" s="47" t="str">
        <x:v>ORFS90_F_SW_04_06</x:v>
      </x:c>
      <x:c r="E281" s="47" t="str">
        <x:v>601R2_2WB_004</x:v>
      </x:c>
      <x:c r="F281" s="47" t="str"/>
      <x:c r="G281" s="33" t="str"/>
      <x:c r="H281" s="50" t="str"/>
      <x:c r="I281" s="50" t="str"/>
      <x:c r="J281" s="50" t="str"/>
      <x:c r="K281" s="47" t="str"/>
      <x:c r="L281" s="50" t="str"/>
      <x:c r="M281" s="50" t="str"/>
      <x:c r="N281" s="47" t="str"/>
      <x:c r="O281" s="50" t="str"/>
      <x:c r="P281" s="64" t="str">
        <x:f>IF(O281="","",O281*2)</x:f>
      </x:c>
      <x:c r="Q281" s="50" t="str"/>
      <x:c r="R281" s="47" t="str"/>
      <x:c r="S281" s="33" t="str">
        <x:v>Not Tested</x:v>
      </x:c>
      <x:c r="T281" s="64" t="str">
        <x:v>Eligible</x:v>
      </x:c>
      <x:c r="U281" s="47" t="str">
        <x:v>DHH W Series Bite-To-The-Wire</x:v>
      </x:c>
      <x:c r="V281" s="47" t="str">
        <x:v>R2-06</x:v>
      </x:c>
      <x:c r="W281" s="47" t="str">
        <x:v>Crimp full shell</x:v>
      </x:c>
      <x:c r="X281" s="50" t="n">
        <x:v>21.46</x:v>
      </x:c>
      <x:c r="Y281" s="50" t="n">
        <x:v>0.13</x:v>
      </x:c>
      <x:c r="Z281" s="47" t="str">
        <x:v>https://www.discounthydraulichose.com/v/vspfiles/downloadables/crimp.pdf (catalog p.99)</x:v>
      </x:c>
      <x:c r="AA281" s="47" t="str">
        <x:v>Published reference data; applicability is limited to the listed reference system and hose code.</x:v>
      </x:c>
      <x:c r="AB281" s="161" t="str">
        <x:v>Pending</x:v>
      </x:c>
    </x:row>
    <x:row r="282" ht="42" customHeight="1">
      <x:c r="A282" s="33" t="str">
        <x:v>Draft</x:v>
      </x:c>
      <x:c r="B282" s="47" t="str">
        <x:v>COMP_0278</x:v>
      </x:c>
      <x:c r="C282" s="47" t="str">
        <x:v>601R2_004</x:v>
      </x:c>
      <x:c r="D282" s="47" t="str">
        <x:v>ORFS90_F_SW_06_06</x:v>
      </x:c>
      <x:c r="E282" s="47" t="str">
        <x:v>601R2_2WB_004</x:v>
      </x:c>
      <x:c r="F282" s="47" t="str"/>
      <x:c r="G282" s="33" t="str"/>
      <x:c r="H282" s="50" t="str"/>
      <x:c r="I282" s="50" t="str"/>
      <x:c r="J282" s="50" t="str"/>
      <x:c r="K282" s="47" t="str"/>
      <x:c r="L282" s="50" t="str"/>
      <x:c r="M282" s="50" t="str"/>
      <x:c r="N282" s="47" t="str"/>
      <x:c r="O282" s="50" t="str"/>
      <x:c r="P282" s="64" t="str">
        <x:f>IF(O282="","",O282*2)</x:f>
      </x:c>
      <x:c r="Q282" s="50" t="str"/>
      <x:c r="R282" s="47" t="str"/>
      <x:c r="S282" s="33" t="str">
        <x:v>Not Tested</x:v>
      </x:c>
      <x:c r="T282" s="64" t="str">
        <x:v>Eligible</x:v>
      </x:c>
      <x:c r="U282" s="47" t="str">
        <x:v>DHH W Series Bite-To-The-Wire</x:v>
      </x:c>
      <x:c r="V282" s="47" t="str">
        <x:v>R2-06</x:v>
      </x:c>
      <x:c r="W282" s="47" t="str">
        <x:v>Crimp full shell</x:v>
      </x:c>
      <x:c r="X282" s="50" t="n">
        <x:v>21.46</x:v>
      </x:c>
      <x:c r="Y282" s="50" t="n">
        <x:v>0.13</x:v>
      </x:c>
      <x:c r="Z282" s="47" t="str">
        <x:v>https://www.discounthydraulichose.com/v/vspfiles/downloadables/crimp.pdf (catalog p.99)</x:v>
      </x:c>
      <x:c r="AA282" s="47" t="str">
        <x:v>Published reference data; applicability is limited to the listed reference system and hose code.</x:v>
      </x:c>
      <x:c r="AB282" s="161" t="str">
        <x:v>Pending</x:v>
      </x:c>
    </x:row>
    <x:row r="283" ht="42" customHeight="1">
      <x:c r="A283" s="33" t="str">
        <x:v>Draft</x:v>
      </x:c>
      <x:c r="B283" s="47" t="str">
        <x:v>COMP_0279</x:v>
      </x:c>
      <x:c r="C283" s="47" t="str">
        <x:v>601R2_004</x:v>
      </x:c>
      <x:c r="D283" s="47" t="str">
        <x:v>ORFS90_F_SW_08_06</x:v>
      </x:c>
      <x:c r="E283" s="47" t="str">
        <x:v>601R2_2WB_004</x:v>
      </x:c>
      <x:c r="F283" s="47" t="str"/>
      <x:c r="G283" s="33" t="str"/>
      <x:c r="H283" s="50" t="str"/>
      <x:c r="I283" s="50" t="str"/>
      <x:c r="J283" s="50" t="str"/>
      <x:c r="K283" s="47" t="str"/>
      <x:c r="L283" s="50" t="str"/>
      <x:c r="M283" s="50" t="str"/>
      <x:c r="N283" s="47" t="str"/>
      <x:c r="O283" s="50" t="str"/>
      <x:c r="P283" s="64" t="str">
        <x:f>IF(O283="","",O283*2)</x:f>
      </x:c>
      <x:c r="Q283" s="50" t="str"/>
      <x:c r="R283" s="47" t="str"/>
      <x:c r="S283" s="33" t="str">
        <x:v>Not Tested</x:v>
      </x:c>
      <x:c r="T283" s="64" t="str">
        <x:v>Eligible</x:v>
      </x:c>
      <x:c r="U283" s="47" t="str">
        <x:v>DHH W Series Bite-To-The-Wire</x:v>
      </x:c>
      <x:c r="V283" s="47" t="str">
        <x:v>R2-06</x:v>
      </x:c>
      <x:c r="W283" s="47" t="str">
        <x:v>Crimp full shell</x:v>
      </x:c>
      <x:c r="X283" s="50" t="n">
        <x:v>21.46</x:v>
      </x:c>
      <x:c r="Y283" s="50" t="n">
        <x:v>0.13</x:v>
      </x:c>
      <x:c r="Z283" s="47" t="str">
        <x:v>https://www.discounthydraulichose.com/v/vspfiles/downloadables/crimp.pdf (catalog p.99)</x:v>
      </x:c>
      <x:c r="AA283" s="47" t="str">
        <x:v>Published reference data; applicability is limited to the listed reference system and hose code.</x:v>
      </x:c>
      <x:c r="AB283" s="161" t="str">
        <x:v>Pending</x:v>
      </x:c>
    </x:row>
    <x:row r="284" ht="42" customHeight="1">
      <x:c r="A284" s="33" t="str">
        <x:v>Draft</x:v>
      </x:c>
      <x:c r="B284" s="47" t="str">
        <x:v>COMP_0280</x:v>
      </x:c>
      <x:c r="C284" s="47" t="str">
        <x:v>601R2_005</x:v>
      </x:c>
      <x:c r="D284" s="47" t="str">
        <x:v>BSPP_F_SW_08_08</x:v>
      </x:c>
      <x:c r="E284" s="47" t="str">
        <x:v>601R2_2WB_005</x:v>
      </x:c>
      <x:c r="F284" s="47" t="str"/>
      <x:c r="G284" s="33" t="str"/>
      <x:c r="H284" s="50" t="str"/>
      <x:c r="I284" s="50" t="str"/>
      <x:c r="J284" s="50" t="str"/>
      <x:c r="K284" s="47" t="str"/>
      <x:c r="L284" s="50" t="str"/>
      <x:c r="M284" s="50" t="str"/>
      <x:c r="N284" s="47" t="str"/>
      <x:c r="O284" s="50" t="str"/>
      <x:c r="P284" s="64" t="str">
        <x:f>IF(O284="","",O284*2)</x:f>
      </x:c>
      <x:c r="Q284" s="50" t="str"/>
      <x:c r="R284" s="47" t="str"/>
      <x:c r="S284" s="33" t="str">
        <x:v>Not Tested</x:v>
      </x:c>
      <x:c r="T284" s="64" t="str">
        <x:v>Eligible</x:v>
      </x:c>
      <x:c r="U284" s="47" t="str">
        <x:v>DHH W Series Bite-To-The-Wire</x:v>
      </x:c>
      <x:c r="V284" s="47" t="str">
        <x:v>R2-08</x:v>
      </x:c>
      <x:c r="W284" s="47" t="str">
        <x:v>Crimp full shell</x:v>
      </x:c>
      <x:c r="X284" s="50" t="n">
        <x:v>24.63</x:v>
      </x:c>
      <x:c r="Y284" s="50" t="n">
        <x:v>0.13</x:v>
      </x:c>
      <x:c r="Z284" s="47" t="str">
        <x:v>https://www.discounthydraulichose.com/v/vspfiles/downloadables/crimp.pdf (catalog p.99)</x:v>
      </x:c>
      <x:c r="AA284" s="47" t="str">
        <x:v>Published reference data; applicability is limited to the listed reference system and hose code.</x:v>
      </x:c>
      <x:c r="AB284" s="161" t="str">
        <x:v>Pending</x:v>
      </x:c>
    </x:row>
    <x:row r="285" ht="42" customHeight="1">
      <x:c r="A285" s="33" t="str">
        <x:v>Draft</x:v>
      </x:c>
      <x:c r="B285" s="47" t="str">
        <x:v>COMP_0281</x:v>
      </x:c>
      <x:c r="C285" s="47" t="str">
        <x:v>601R2_005</x:v>
      </x:c>
      <x:c r="D285" s="47" t="str">
        <x:v>BSPP_F_SW_10_08</x:v>
      </x:c>
      <x:c r="E285" s="47" t="str">
        <x:v>601R2_2WB_005</x:v>
      </x:c>
      <x:c r="F285" s="47" t="str"/>
      <x:c r="G285" s="33" t="str"/>
      <x:c r="H285" s="50" t="str"/>
      <x:c r="I285" s="50" t="str"/>
      <x:c r="J285" s="50" t="str"/>
      <x:c r="K285" s="47" t="str"/>
      <x:c r="L285" s="50" t="str"/>
      <x:c r="M285" s="50" t="str"/>
      <x:c r="N285" s="47" t="str"/>
      <x:c r="O285" s="50" t="str"/>
      <x:c r="P285" s="64" t="str">
        <x:f>IF(O285="","",O285*2)</x:f>
      </x:c>
      <x:c r="Q285" s="50" t="str"/>
      <x:c r="R285" s="47" t="str"/>
      <x:c r="S285" s="33" t="str">
        <x:v>Not Tested</x:v>
      </x:c>
      <x:c r="T285" s="64" t="str">
        <x:v>Eligible</x:v>
      </x:c>
      <x:c r="U285" s="47" t="str">
        <x:v>DHH W Series Bite-To-The-Wire</x:v>
      </x:c>
      <x:c r="V285" s="47" t="str">
        <x:v>R2-08</x:v>
      </x:c>
      <x:c r="W285" s="47" t="str">
        <x:v>Crimp full shell</x:v>
      </x:c>
      <x:c r="X285" s="50" t="n">
        <x:v>24.63</x:v>
      </x:c>
      <x:c r="Y285" s="50" t="n">
        <x:v>0.13</x:v>
      </x:c>
      <x:c r="Z285" s="47" t="str">
        <x:v>https://www.discounthydraulichose.com/v/vspfiles/downloadables/crimp.pdf (catalog p.99)</x:v>
      </x:c>
      <x:c r="AA285" s="47" t="str">
        <x:v>Published reference data; applicability is limited to the listed reference system and hose code.</x:v>
      </x:c>
      <x:c r="AB285" s="161" t="str">
        <x:v>Pending</x:v>
      </x:c>
    </x:row>
    <x:row r="286" ht="42" customHeight="1">
      <x:c r="A286" s="33" t="str">
        <x:v>Draft</x:v>
      </x:c>
      <x:c r="B286" s="47" t="str">
        <x:v>COMP_0282</x:v>
      </x:c>
      <x:c r="C286" s="47" t="str">
        <x:v>601R2_005</x:v>
      </x:c>
      <x:c r="D286" s="47" t="str">
        <x:v>BSPP_M_FX_08_08</x:v>
      </x:c>
      <x:c r="E286" s="47" t="str">
        <x:v>601R2_2WB_005</x:v>
      </x:c>
      <x:c r="F286" s="47" t="str"/>
      <x:c r="G286" s="33" t="str"/>
      <x:c r="H286" s="50" t="str"/>
      <x:c r="I286" s="50" t="str"/>
      <x:c r="J286" s="50" t="str"/>
      <x:c r="K286" s="47" t="str"/>
      <x:c r="L286" s="50" t="str"/>
      <x:c r="M286" s="50" t="str"/>
      <x:c r="N286" s="47" t="str"/>
      <x:c r="O286" s="50" t="str"/>
      <x:c r="P286" s="64" t="str">
        <x:f>IF(O286="","",O286*2)</x:f>
      </x:c>
      <x:c r="Q286" s="50" t="str"/>
      <x:c r="R286" s="47" t="str"/>
      <x:c r="S286" s="33" t="str">
        <x:v>Not Tested</x:v>
      </x:c>
      <x:c r="T286" s="64" t="str">
        <x:v>Eligible</x:v>
      </x:c>
      <x:c r="U286" s="47" t="str">
        <x:v>DHH W Series Bite-To-The-Wire</x:v>
      </x:c>
      <x:c r="V286" s="47" t="str">
        <x:v>R2-08</x:v>
      </x:c>
      <x:c r="W286" s="47" t="str">
        <x:v>Crimp full shell</x:v>
      </x:c>
      <x:c r="X286" s="50" t="n">
        <x:v>24.63</x:v>
      </x:c>
      <x:c r="Y286" s="50" t="n">
        <x:v>0.13</x:v>
      </x:c>
      <x:c r="Z286" s="47" t="str">
        <x:v>https://www.discounthydraulichose.com/v/vspfiles/downloadables/crimp.pdf (catalog p.99)</x:v>
      </x:c>
      <x:c r="AA286" s="47" t="str">
        <x:v>Published reference data; applicability is limited to the listed reference system and hose code.</x:v>
      </x:c>
      <x:c r="AB286" s="161" t="str">
        <x:v>Pending</x:v>
      </x:c>
    </x:row>
    <x:row r="287" ht="42" customHeight="1">
      <x:c r="A287" s="33" t="str">
        <x:v>Draft</x:v>
      </x:c>
      <x:c r="B287" s="47" t="str">
        <x:v>COMP_0283</x:v>
      </x:c>
      <x:c r="C287" s="47" t="str">
        <x:v>601R2_005</x:v>
      </x:c>
      <x:c r="D287" s="47" t="str">
        <x:v>BSPP_M_FX_10_08</x:v>
      </x:c>
      <x:c r="E287" s="47" t="str">
        <x:v>601R2_2WB_005</x:v>
      </x:c>
      <x:c r="F287" s="47" t="str"/>
      <x:c r="G287" s="33" t="str"/>
      <x:c r="H287" s="50" t="str"/>
      <x:c r="I287" s="50" t="str"/>
      <x:c r="J287" s="50" t="str"/>
      <x:c r="K287" s="47" t="str"/>
      <x:c r="L287" s="50" t="str"/>
      <x:c r="M287" s="50" t="str"/>
      <x:c r="N287" s="47" t="str"/>
      <x:c r="O287" s="50" t="str"/>
      <x:c r="P287" s="64" t="str">
        <x:f>IF(O287="","",O287*2)</x:f>
      </x:c>
      <x:c r="Q287" s="50" t="str"/>
      <x:c r="R287" s="47" t="str"/>
      <x:c r="S287" s="33" t="str">
        <x:v>Not Tested</x:v>
      </x:c>
      <x:c r="T287" s="64" t="str">
        <x:v>Eligible</x:v>
      </x:c>
      <x:c r="U287" s="47" t="str">
        <x:v>DHH W Series Bite-To-The-Wire</x:v>
      </x:c>
      <x:c r="V287" s="47" t="str">
        <x:v>R2-08</x:v>
      </x:c>
      <x:c r="W287" s="47" t="str">
        <x:v>Crimp full shell</x:v>
      </x:c>
      <x:c r="X287" s="50" t="n">
        <x:v>24.63</x:v>
      </x:c>
      <x:c r="Y287" s="50" t="n">
        <x:v>0.13</x:v>
      </x:c>
      <x:c r="Z287" s="47" t="str">
        <x:v>https://www.discounthydraulichose.com/v/vspfiles/downloadables/crimp.pdf (catalog p.99)</x:v>
      </x:c>
      <x:c r="AA287" s="47" t="str">
        <x:v>Published reference data; applicability is limited to the listed reference system and hose code.</x:v>
      </x:c>
      <x:c r="AB287" s="161" t="str">
        <x:v>Pending</x:v>
      </x:c>
    </x:row>
    <x:row r="288" ht="42" customHeight="1">
      <x:c r="A288" s="33" t="str">
        <x:v>Draft</x:v>
      </x:c>
      <x:c r="B288" s="47" t="str">
        <x:v>COMP_0284</x:v>
      </x:c>
      <x:c r="C288" s="47" t="str">
        <x:v>601R2_005</x:v>
      </x:c>
      <x:c r="D288" s="47" t="str">
        <x:v>BSPP45_F_SW_08_08</x:v>
      </x:c>
      <x:c r="E288" s="47" t="str">
        <x:v>601R2_2WB_005</x:v>
      </x:c>
      <x:c r="F288" s="47" t="str"/>
      <x:c r="G288" s="33" t="str"/>
      <x:c r="H288" s="50" t="str"/>
      <x:c r="I288" s="50" t="str"/>
      <x:c r="J288" s="50" t="str"/>
      <x:c r="K288" s="47" t="str"/>
      <x:c r="L288" s="50" t="str"/>
      <x:c r="M288" s="50" t="str"/>
      <x:c r="N288" s="47" t="str"/>
      <x:c r="O288" s="50" t="str"/>
      <x:c r="P288" s="64" t="str">
        <x:f>IF(O288="","",O288*2)</x:f>
      </x:c>
      <x:c r="Q288" s="50" t="str"/>
      <x:c r="R288" s="47" t="str"/>
      <x:c r="S288" s="33" t="str">
        <x:v>Not Tested</x:v>
      </x:c>
      <x:c r="T288" s="64" t="str">
        <x:v>Eligible</x:v>
      </x:c>
      <x:c r="U288" s="47" t="str">
        <x:v>DHH W Series Bite-To-The-Wire</x:v>
      </x:c>
      <x:c r="V288" s="47" t="str">
        <x:v>R2-08</x:v>
      </x:c>
      <x:c r="W288" s="47" t="str">
        <x:v>Crimp full shell</x:v>
      </x:c>
      <x:c r="X288" s="50" t="n">
        <x:v>24.63</x:v>
      </x:c>
      <x:c r="Y288" s="50" t="n">
        <x:v>0.13</x:v>
      </x:c>
      <x:c r="Z288" s="47" t="str">
        <x:v>https://www.discounthydraulichose.com/v/vspfiles/downloadables/crimp.pdf (catalog p.99)</x:v>
      </x:c>
      <x:c r="AA288" s="47" t="str">
        <x:v>Published reference data; applicability is limited to the listed reference system and hose code.</x:v>
      </x:c>
      <x:c r="AB288" s="161" t="str">
        <x:v>Pending</x:v>
      </x:c>
    </x:row>
    <x:row r="289" ht="42" customHeight="1">
      <x:c r="A289" s="33" t="str">
        <x:v>Draft</x:v>
      </x:c>
      <x:c r="B289" s="47" t="str">
        <x:v>COMP_0285</x:v>
      </x:c>
      <x:c r="C289" s="47" t="str">
        <x:v>601R2_005</x:v>
      </x:c>
      <x:c r="D289" s="47" t="str">
        <x:v>BSPP90_F_SW_08_08</x:v>
      </x:c>
      <x:c r="E289" s="47" t="str">
        <x:v>601R2_2WB_005</x:v>
      </x:c>
      <x:c r="F289" s="47" t="str"/>
      <x:c r="G289" s="33" t="str"/>
      <x:c r="H289" s="50" t="str"/>
      <x:c r="I289" s="50" t="str"/>
      <x:c r="J289" s="50" t="str"/>
      <x:c r="K289" s="47" t="str"/>
      <x:c r="L289" s="50" t="str"/>
      <x:c r="M289" s="50" t="str"/>
      <x:c r="N289" s="47" t="str"/>
      <x:c r="O289" s="50" t="str"/>
      <x:c r="P289" s="64" t="str">
        <x:f>IF(O289="","",O289*2)</x:f>
      </x:c>
      <x:c r="Q289" s="50" t="str"/>
      <x:c r="R289" s="47" t="str"/>
      <x:c r="S289" s="33" t="str">
        <x:v>Not Tested</x:v>
      </x:c>
      <x:c r="T289" s="64" t="str">
        <x:v>Eligible</x:v>
      </x:c>
      <x:c r="U289" s="47" t="str">
        <x:v>DHH W Series Bite-To-The-Wire</x:v>
      </x:c>
      <x:c r="V289" s="47" t="str">
        <x:v>R2-08</x:v>
      </x:c>
      <x:c r="W289" s="47" t="str">
        <x:v>Crimp full shell</x:v>
      </x:c>
      <x:c r="X289" s="50" t="n">
        <x:v>24.63</x:v>
      </x:c>
      <x:c r="Y289" s="50" t="n">
        <x:v>0.13</x:v>
      </x:c>
      <x:c r="Z289" s="47" t="str">
        <x:v>https://www.discounthydraulichose.com/v/vspfiles/downloadables/crimp.pdf (catalog p.99)</x:v>
      </x:c>
      <x:c r="AA289" s="47" t="str">
        <x:v>Published reference data; applicability is limited to the listed reference system and hose code.</x:v>
      </x:c>
      <x:c r="AB289" s="161" t="str">
        <x:v>Pending</x:v>
      </x:c>
    </x:row>
    <x:row r="290" ht="42" customHeight="1">
      <x:c r="A290" s="33" t="str">
        <x:v>Draft</x:v>
      </x:c>
      <x:c r="B290" s="47" t="str">
        <x:v>COMP_0286</x:v>
      </x:c>
      <x:c r="C290" s="47" t="str">
        <x:v>601R2_005</x:v>
      </x:c>
      <x:c r="D290" s="47" t="str">
        <x:v>BSPT_M_FX_06_08</x:v>
      </x:c>
      <x:c r="E290" s="47" t="str">
        <x:v>601R2_2WB_005</x:v>
      </x:c>
      <x:c r="F290" s="47" t="str"/>
      <x:c r="G290" s="33" t="str"/>
      <x:c r="H290" s="50" t="str"/>
      <x:c r="I290" s="50" t="str"/>
      <x:c r="J290" s="50" t="str"/>
      <x:c r="K290" s="47" t="str"/>
      <x:c r="L290" s="50" t="str"/>
      <x:c r="M290" s="50" t="str"/>
      <x:c r="N290" s="47" t="str"/>
      <x:c r="O290" s="50" t="str"/>
      <x:c r="P290" s="64" t="str">
        <x:f>IF(O290="","",O290*2)</x:f>
      </x:c>
      <x:c r="Q290" s="50" t="str"/>
      <x:c r="R290" s="47" t="str"/>
      <x:c r="S290" s="33" t="str">
        <x:v>Not Tested</x:v>
      </x:c>
      <x:c r="T290" s="64" t="str">
        <x:v>Eligible</x:v>
      </x:c>
      <x:c r="U290" s="47" t="str">
        <x:v>DHH W Series Bite-To-The-Wire</x:v>
      </x:c>
      <x:c r="V290" s="47" t="str">
        <x:v>R2-08</x:v>
      </x:c>
      <x:c r="W290" s="47" t="str">
        <x:v>Crimp full shell</x:v>
      </x:c>
      <x:c r="X290" s="50" t="n">
        <x:v>24.63</x:v>
      </x:c>
      <x:c r="Y290" s="50" t="n">
        <x:v>0.13</x:v>
      </x:c>
      <x:c r="Z290" s="47" t="str">
        <x:v>https://www.discounthydraulichose.com/v/vspfiles/downloadables/crimp.pdf (catalog p.99)</x:v>
      </x:c>
      <x:c r="AA290" s="47" t="str">
        <x:v>Published reference data; applicability is limited to the listed reference system and hose code.</x:v>
      </x:c>
      <x:c r="AB290" s="161" t="str">
        <x:v>Pending</x:v>
      </x:c>
    </x:row>
    <x:row r="291" ht="42" customHeight="1">
      <x:c r="A291" s="33" t="str">
        <x:v>Draft</x:v>
      </x:c>
      <x:c r="B291" s="47" t="str">
        <x:v>COMP_0287</x:v>
      </x:c>
      <x:c r="C291" s="47" t="str">
        <x:v>601R2_005</x:v>
      </x:c>
      <x:c r="D291" s="47" t="str">
        <x:v>BSPT_M_FX_08_08</x:v>
      </x:c>
      <x:c r="E291" s="47" t="str">
        <x:v>601R2_2WB_005</x:v>
      </x:c>
      <x:c r="F291" s="47" t="str"/>
      <x:c r="G291" s="33" t="str"/>
      <x:c r="H291" s="50" t="str"/>
      <x:c r="I291" s="50" t="str"/>
      <x:c r="J291" s="50" t="str"/>
      <x:c r="K291" s="47" t="str"/>
      <x:c r="L291" s="50" t="str"/>
      <x:c r="M291" s="50" t="str"/>
      <x:c r="N291" s="47" t="str"/>
      <x:c r="O291" s="50" t="str"/>
      <x:c r="P291" s="64" t="str">
        <x:f>IF(O291="","",O291*2)</x:f>
      </x:c>
      <x:c r="Q291" s="50" t="str"/>
      <x:c r="R291" s="47" t="str"/>
      <x:c r="S291" s="33" t="str">
        <x:v>Not Tested</x:v>
      </x:c>
      <x:c r="T291" s="64" t="str">
        <x:v>Eligible</x:v>
      </x:c>
      <x:c r="U291" s="47" t="str">
        <x:v>DHH W Series Bite-To-The-Wire</x:v>
      </x:c>
      <x:c r="V291" s="47" t="str">
        <x:v>R2-08</x:v>
      </x:c>
      <x:c r="W291" s="47" t="str">
        <x:v>Crimp full shell</x:v>
      </x:c>
      <x:c r="X291" s="50" t="n">
        <x:v>24.63</x:v>
      </x:c>
      <x:c r="Y291" s="50" t="n">
        <x:v>0.13</x:v>
      </x:c>
      <x:c r="Z291" s="47" t="str">
        <x:v>https://www.discounthydraulichose.com/v/vspfiles/downloadables/crimp.pdf (catalog p.99)</x:v>
      </x:c>
      <x:c r="AA291" s="47" t="str">
        <x:v>Published reference data; applicability is limited to the listed reference system and hose code.</x:v>
      </x:c>
      <x:c r="AB291" s="161" t="str">
        <x:v>Pending</x:v>
      </x:c>
    </x:row>
    <x:row r="292" ht="42" customHeight="1">
      <x:c r="A292" s="33" t="str">
        <x:v>Draft</x:v>
      </x:c>
      <x:c r="B292" s="47" t="str">
        <x:v>COMP_0288</x:v>
      </x:c>
      <x:c r="C292" s="47" t="str">
        <x:v>601R2_005</x:v>
      </x:c>
      <x:c r="D292" s="47" t="str">
        <x:v>JIC_F_SW_06_08</x:v>
      </x:c>
      <x:c r="E292" s="47" t="str">
        <x:v>601R2_2WB_005</x:v>
      </x:c>
      <x:c r="F292" s="47" t="str"/>
      <x:c r="G292" s="33" t="str"/>
      <x:c r="H292" s="50" t="str"/>
      <x:c r="I292" s="50" t="str"/>
      <x:c r="J292" s="50" t="str"/>
      <x:c r="K292" s="47" t="str"/>
      <x:c r="L292" s="50" t="str"/>
      <x:c r="M292" s="50" t="str"/>
      <x:c r="N292" s="47" t="str"/>
      <x:c r="O292" s="50" t="str"/>
      <x:c r="P292" s="64" t="str">
        <x:f>IF(O292="","",O292*2)</x:f>
      </x:c>
      <x:c r="Q292" s="50" t="str"/>
      <x:c r="R292" s="47" t="str"/>
      <x:c r="S292" s="33" t="str">
        <x:v>Not Tested</x:v>
      </x:c>
      <x:c r="T292" s="64" t="str">
        <x:v>Eligible</x:v>
      </x:c>
      <x:c r="U292" s="47" t="str">
        <x:v>DHH W Series Bite-To-The-Wire</x:v>
      </x:c>
      <x:c r="V292" s="47" t="str">
        <x:v>R2-08</x:v>
      </x:c>
      <x:c r="W292" s="47" t="str">
        <x:v>Crimp full shell</x:v>
      </x:c>
      <x:c r="X292" s="50" t="n">
        <x:v>24.63</x:v>
      </x:c>
      <x:c r="Y292" s="50" t="n">
        <x:v>0.13</x:v>
      </x:c>
      <x:c r="Z292" s="47" t="str">
        <x:v>https://www.discounthydraulichose.com/v/vspfiles/downloadables/crimp.pdf (catalog p.99)</x:v>
      </x:c>
      <x:c r="AA292" s="47" t="str">
        <x:v>Published reference data; applicability is limited to the listed reference system and hose code.</x:v>
      </x:c>
      <x:c r="AB292" s="161" t="str">
        <x:v>Pending</x:v>
      </x:c>
    </x:row>
    <x:row r="293" ht="42" customHeight="1">
      <x:c r="A293" s="33" t="str">
        <x:v>Draft</x:v>
      </x:c>
      <x:c r="B293" s="47" t="str">
        <x:v>COMP_0289</x:v>
      </x:c>
      <x:c r="C293" s="47" t="str">
        <x:v>601R2_005</x:v>
      </x:c>
      <x:c r="D293" s="47" t="str">
        <x:v>JIC_F_SW_08_08</x:v>
      </x:c>
      <x:c r="E293" s="47" t="str">
        <x:v>601R2_2WB_005</x:v>
      </x:c>
      <x:c r="F293" s="47" t="str"/>
      <x:c r="G293" s="33" t="str"/>
      <x:c r="H293" s="50" t="str"/>
      <x:c r="I293" s="50" t="str"/>
      <x:c r="J293" s="50" t="str"/>
      <x:c r="K293" s="47" t="str"/>
      <x:c r="L293" s="50" t="str"/>
      <x:c r="M293" s="50" t="str"/>
      <x:c r="N293" s="47" t="str"/>
      <x:c r="O293" s="50" t="str"/>
      <x:c r="P293" s="64" t="str">
        <x:f>IF(O293="","",O293*2)</x:f>
      </x:c>
      <x:c r="Q293" s="50" t="str"/>
      <x:c r="R293" s="47" t="str"/>
      <x:c r="S293" s="33" t="str">
        <x:v>Not Tested</x:v>
      </x:c>
      <x:c r="T293" s="64" t="str">
        <x:v>Eligible</x:v>
      </x:c>
      <x:c r="U293" s="47" t="str">
        <x:v>DHH W Series Bite-To-The-Wire</x:v>
      </x:c>
      <x:c r="V293" s="47" t="str">
        <x:v>R2-08</x:v>
      </x:c>
      <x:c r="W293" s="47" t="str">
        <x:v>Crimp full shell</x:v>
      </x:c>
      <x:c r="X293" s="50" t="n">
        <x:v>24.63</x:v>
      </x:c>
      <x:c r="Y293" s="50" t="n">
        <x:v>0.13</x:v>
      </x:c>
      <x:c r="Z293" s="47" t="str">
        <x:v>https://www.discounthydraulichose.com/v/vspfiles/downloadables/crimp.pdf (catalog p.99)</x:v>
      </x:c>
      <x:c r="AA293" s="47" t="str">
        <x:v>Published reference data; applicability is limited to the listed reference system and hose code.</x:v>
      </x:c>
      <x:c r="AB293" s="161" t="str">
        <x:v>Pending</x:v>
      </x:c>
    </x:row>
    <x:row r="294" ht="42" customHeight="1">
      <x:c r="A294" s="33" t="str">
        <x:v>Draft</x:v>
      </x:c>
      <x:c r="B294" s="47" t="str">
        <x:v>COMP_0290</x:v>
      </x:c>
      <x:c r="C294" s="47" t="str">
        <x:v>601R2_005</x:v>
      </x:c>
      <x:c r="D294" s="47" t="str">
        <x:v>JIC_F_SW_10_08</x:v>
      </x:c>
      <x:c r="E294" s="47" t="str">
        <x:v>601R2_2WB_005</x:v>
      </x:c>
      <x:c r="F294" s="47" t="str"/>
      <x:c r="G294" s="33" t="str"/>
      <x:c r="H294" s="50" t="str"/>
      <x:c r="I294" s="50" t="str"/>
      <x:c r="J294" s="50" t="str"/>
      <x:c r="K294" s="47" t="str"/>
      <x:c r="L294" s="50" t="str"/>
      <x:c r="M294" s="50" t="str"/>
      <x:c r="N294" s="47" t="str"/>
      <x:c r="O294" s="50" t="str"/>
      <x:c r="P294" s="64" t="str">
        <x:f>IF(O294="","",O294*2)</x:f>
      </x:c>
      <x:c r="Q294" s="50" t="str"/>
      <x:c r="R294" s="47" t="str"/>
      <x:c r="S294" s="33" t="str">
        <x:v>Not Tested</x:v>
      </x:c>
      <x:c r="T294" s="64" t="str">
        <x:v>Eligible</x:v>
      </x:c>
      <x:c r="U294" s="47" t="str">
        <x:v>DHH W Series Bite-To-The-Wire</x:v>
      </x:c>
      <x:c r="V294" s="47" t="str">
        <x:v>R2-08</x:v>
      </x:c>
      <x:c r="W294" s="47" t="str">
        <x:v>Crimp full shell</x:v>
      </x:c>
      <x:c r="X294" s="50" t="n">
        <x:v>24.63</x:v>
      </x:c>
      <x:c r="Y294" s="50" t="n">
        <x:v>0.13</x:v>
      </x:c>
      <x:c r="Z294" s="47" t="str">
        <x:v>https://www.discounthydraulichose.com/v/vspfiles/downloadables/crimp.pdf (catalog p.99)</x:v>
      </x:c>
      <x:c r="AA294" s="47" t="str">
        <x:v>Published reference data; applicability is limited to the listed reference system and hose code.</x:v>
      </x:c>
      <x:c r="AB294" s="161" t="str">
        <x:v>Pending</x:v>
      </x:c>
    </x:row>
    <x:row r="295" ht="42" customHeight="1">
      <x:c r="A295" s="33" t="str">
        <x:v>Draft</x:v>
      </x:c>
      <x:c r="B295" s="47" t="str">
        <x:v>COMP_0291</x:v>
      </x:c>
      <x:c r="C295" s="47" t="str">
        <x:v>601R2_005</x:v>
      </x:c>
      <x:c r="D295" s="47" t="str">
        <x:v>JIC_F_SW_12_08</x:v>
      </x:c>
      <x:c r="E295" s="47" t="str">
        <x:v>601R2_2WB_005</x:v>
      </x:c>
      <x:c r="F295" s="47" t="str"/>
      <x:c r="G295" s="33" t="str"/>
      <x:c r="H295" s="50" t="str"/>
      <x:c r="I295" s="50" t="str"/>
      <x:c r="J295" s="50" t="str"/>
      <x:c r="K295" s="47" t="str"/>
      <x:c r="L295" s="50" t="str"/>
      <x:c r="M295" s="50" t="str"/>
      <x:c r="N295" s="47" t="str"/>
      <x:c r="O295" s="50" t="str"/>
      <x:c r="P295" s="64" t="str">
        <x:f>IF(O295="","",O295*2)</x:f>
      </x:c>
      <x:c r="Q295" s="50" t="str"/>
      <x:c r="R295" s="47" t="str"/>
      <x:c r="S295" s="33" t="str">
        <x:v>Not Tested</x:v>
      </x:c>
      <x:c r="T295" s="64" t="str">
        <x:v>Eligible</x:v>
      </x:c>
      <x:c r="U295" s="47" t="str">
        <x:v>DHH W Series Bite-To-The-Wire</x:v>
      </x:c>
      <x:c r="V295" s="47" t="str">
        <x:v>R2-08</x:v>
      </x:c>
      <x:c r="W295" s="47" t="str">
        <x:v>Crimp full shell</x:v>
      </x:c>
      <x:c r="X295" s="50" t="n">
        <x:v>24.63</x:v>
      </x:c>
      <x:c r="Y295" s="50" t="n">
        <x:v>0.13</x:v>
      </x:c>
      <x:c r="Z295" s="47" t="str">
        <x:v>https://www.discounthydraulichose.com/v/vspfiles/downloadables/crimp.pdf (catalog p.99)</x:v>
      </x:c>
      <x:c r="AA295" s="47" t="str">
        <x:v>Published reference data; applicability is limited to the listed reference system and hose code.</x:v>
      </x:c>
      <x:c r="AB295" s="161" t="str">
        <x:v>Pending</x:v>
      </x:c>
    </x:row>
    <x:row r="296" ht="42" customHeight="1">
      <x:c r="A296" s="33" t="str">
        <x:v>Draft</x:v>
      </x:c>
      <x:c r="B296" s="47" t="str">
        <x:v>COMP_0292</x:v>
      </x:c>
      <x:c r="C296" s="47" t="str">
        <x:v>601R2_005</x:v>
      </x:c>
      <x:c r="D296" s="47" t="str">
        <x:v>JIC_M_FX_06_08</x:v>
      </x:c>
      <x:c r="E296" s="47" t="str">
        <x:v>601R2_2WB_005</x:v>
      </x:c>
      <x:c r="F296" s="47" t="str"/>
      <x:c r="G296" s="33" t="str"/>
      <x:c r="H296" s="50" t="str"/>
      <x:c r="I296" s="50" t="str"/>
      <x:c r="J296" s="50" t="str"/>
      <x:c r="K296" s="47" t="str"/>
      <x:c r="L296" s="50" t="str"/>
      <x:c r="M296" s="50" t="str"/>
      <x:c r="N296" s="47" t="str"/>
      <x:c r="O296" s="50" t="str"/>
      <x:c r="P296" s="64" t="str">
        <x:f>IF(O296="","",O296*2)</x:f>
      </x:c>
      <x:c r="Q296" s="50" t="str"/>
      <x:c r="R296" s="47" t="str"/>
      <x:c r="S296" s="33" t="str">
        <x:v>Not Tested</x:v>
      </x:c>
      <x:c r="T296" s="64" t="str">
        <x:v>Eligible</x:v>
      </x:c>
      <x:c r="U296" s="47" t="str">
        <x:v>DHH W Series Bite-To-The-Wire</x:v>
      </x:c>
      <x:c r="V296" s="47" t="str">
        <x:v>R2-08</x:v>
      </x:c>
      <x:c r="W296" s="47" t="str">
        <x:v>Crimp full shell</x:v>
      </x:c>
      <x:c r="X296" s="50" t="n">
        <x:v>24.63</x:v>
      </x:c>
      <x:c r="Y296" s="50" t="n">
        <x:v>0.13</x:v>
      </x:c>
      <x:c r="Z296" s="47" t="str">
        <x:v>https://www.discounthydraulichose.com/v/vspfiles/downloadables/crimp.pdf (catalog p.99)</x:v>
      </x:c>
      <x:c r="AA296" s="47" t="str">
        <x:v>Published reference data; applicability is limited to the listed reference system and hose code.</x:v>
      </x:c>
      <x:c r="AB296" s="161" t="str">
        <x:v>Pending</x:v>
      </x:c>
    </x:row>
    <x:row r="297" ht="42" customHeight="1">
      <x:c r="A297" s="33" t="str">
        <x:v>Draft</x:v>
      </x:c>
      <x:c r="B297" s="47" t="str">
        <x:v>COMP_0293</x:v>
      </x:c>
      <x:c r="C297" s="47" t="str">
        <x:v>601R2_005</x:v>
      </x:c>
      <x:c r="D297" s="47" t="str">
        <x:v>JIC_M_FX_08_08</x:v>
      </x:c>
      <x:c r="E297" s="47" t="str">
        <x:v>601R2_2WB_005</x:v>
      </x:c>
      <x:c r="F297" s="47" t="str"/>
      <x:c r="G297" s="33" t="str"/>
      <x:c r="H297" s="50" t="str"/>
      <x:c r="I297" s="50" t="str"/>
      <x:c r="J297" s="50" t="str"/>
      <x:c r="K297" s="47" t="str"/>
      <x:c r="L297" s="50" t="str"/>
      <x:c r="M297" s="50" t="str"/>
      <x:c r="N297" s="47" t="str"/>
      <x:c r="O297" s="50" t="str"/>
      <x:c r="P297" s="64" t="str">
        <x:f>IF(O297="","",O297*2)</x:f>
      </x:c>
      <x:c r="Q297" s="50" t="str"/>
      <x:c r="R297" s="47" t="str"/>
      <x:c r="S297" s="33" t="str">
        <x:v>Not Tested</x:v>
      </x:c>
      <x:c r="T297" s="64" t="str">
        <x:v>Eligible</x:v>
      </x:c>
      <x:c r="U297" s="47" t="str">
        <x:v>DHH W Series Bite-To-The-Wire</x:v>
      </x:c>
      <x:c r="V297" s="47" t="str">
        <x:v>R2-08</x:v>
      </x:c>
      <x:c r="W297" s="47" t="str">
        <x:v>Crimp full shell</x:v>
      </x:c>
      <x:c r="X297" s="50" t="n">
        <x:v>24.63</x:v>
      </x:c>
      <x:c r="Y297" s="50" t="n">
        <x:v>0.13</x:v>
      </x:c>
      <x:c r="Z297" s="47" t="str">
        <x:v>https://www.discounthydraulichose.com/v/vspfiles/downloadables/crimp.pdf (catalog p.99)</x:v>
      </x:c>
      <x:c r="AA297" s="47" t="str">
        <x:v>Published reference data; applicability is limited to the listed reference system and hose code.</x:v>
      </x:c>
      <x:c r="AB297" s="161" t="str">
        <x:v>Pending</x:v>
      </x:c>
    </x:row>
    <x:row r="298" ht="42" customHeight="1">
      <x:c r="A298" s="33" t="str">
        <x:v>Draft</x:v>
      </x:c>
      <x:c r="B298" s="47" t="str">
        <x:v>COMP_0294</x:v>
      </x:c>
      <x:c r="C298" s="47" t="str">
        <x:v>601R2_005</x:v>
      </x:c>
      <x:c r="D298" s="47" t="str">
        <x:v>JIC_M_FX_10_08</x:v>
      </x:c>
      <x:c r="E298" s="47" t="str">
        <x:v>601R2_2WB_005</x:v>
      </x:c>
      <x:c r="F298" s="47" t="str"/>
      <x:c r="G298" s="33" t="str"/>
      <x:c r="H298" s="50" t="str"/>
      <x:c r="I298" s="50" t="str"/>
      <x:c r="J298" s="50" t="str"/>
      <x:c r="K298" s="47" t="str"/>
      <x:c r="L298" s="50" t="str"/>
      <x:c r="M298" s="50" t="str"/>
      <x:c r="N298" s="47" t="str"/>
      <x:c r="O298" s="50" t="str"/>
      <x:c r="P298" s="64" t="str">
        <x:f>IF(O298="","",O298*2)</x:f>
      </x:c>
      <x:c r="Q298" s="50" t="str"/>
      <x:c r="R298" s="47" t="str"/>
      <x:c r="S298" s="33" t="str">
        <x:v>Not Tested</x:v>
      </x:c>
      <x:c r="T298" s="64" t="str">
        <x:v>Eligible</x:v>
      </x:c>
      <x:c r="U298" s="47" t="str">
        <x:v>DHH W Series Bite-To-The-Wire</x:v>
      </x:c>
      <x:c r="V298" s="47" t="str">
        <x:v>R2-08</x:v>
      </x:c>
      <x:c r="W298" s="47" t="str">
        <x:v>Crimp full shell</x:v>
      </x:c>
      <x:c r="X298" s="50" t="n">
        <x:v>24.63</x:v>
      </x:c>
      <x:c r="Y298" s="50" t="n">
        <x:v>0.13</x:v>
      </x:c>
      <x:c r="Z298" s="47" t="str">
        <x:v>https://www.discounthydraulichose.com/v/vspfiles/downloadables/crimp.pdf (catalog p.99)</x:v>
      </x:c>
      <x:c r="AA298" s="47" t="str">
        <x:v>Published reference data; applicability is limited to the listed reference system and hose code.</x:v>
      </x:c>
      <x:c r="AB298" s="161" t="str">
        <x:v>Pending</x:v>
      </x:c>
    </x:row>
    <x:row r="299" ht="42" customHeight="1">
      <x:c r="A299" s="33" t="str">
        <x:v>Draft</x:v>
      </x:c>
      <x:c r="B299" s="47" t="str">
        <x:v>COMP_0295</x:v>
      </x:c>
      <x:c r="C299" s="47" t="str">
        <x:v>601R2_005</x:v>
      </x:c>
      <x:c r="D299" s="47" t="str">
        <x:v>JIC_M_FX_12_08</x:v>
      </x:c>
      <x:c r="E299" s="47" t="str">
        <x:v>601R2_2WB_005</x:v>
      </x:c>
      <x:c r="F299" s="47" t="str"/>
      <x:c r="G299" s="33" t="str"/>
      <x:c r="H299" s="50" t="str"/>
      <x:c r="I299" s="50" t="str"/>
      <x:c r="J299" s="50" t="str"/>
      <x:c r="K299" s="47" t="str"/>
      <x:c r="L299" s="50" t="str"/>
      <x:c r="M299" s="50" t="str"/>
      <x:c r="N299" s="47" t="str"/>
      <x:c r="O299" s="50" t="str"/>
      <x:c r="P299" s="64" t="str">
        <x:f>IF(O299="","",O299*2)</x:f>
      </x:c>
      <x:c r="Q299" s="50" t="str"/>
      <x:c r="R299" s="47" t="str"/>
      <x:c r="S299" s="33" t="str">
        <x:v>Not Tested</x:v>
      </x:c>
      <x:c r="T299" s="64" t="str">
        <x:v>Eligible</x:v>
      </x:c>
      <x:c r="U299" s="47" t="str">
        <x:v>DHH W Series Bite-To-The-Wire</x:v>
      </x:c>
      <x:c r="V299" s="47" t="str">
        <x:v>R2-08</x:v>
      </x:c>
      <x:c r="W299" s="47" t="str">
        <x:v>Crimp full shell</x:v>
      </x:c>
      <x:c r="X299" s="50" t="n">
        <x:v>24.63</x:v>
      </x:c>
      <x:c r="Y299" s="50" t="n">
        <x:v>0.13</x:v>
      </x:c>
      <x:c r="Z299" s="47" t="str">
        <x:v>https://www.discounthydraulichose.com/v/vspfiles/downloadables/crimp.pdf (catalog p.99)</x:v>
      </x:c>
      <x:c r="AA299" s="47" t="str">
        <x:v>Published reference data; applicability is limited to the listed reference system and hose code.</x:v>
      </x:c>
      <x:c r="AB299" s="161" t="str">
        <x:v>Pending</x:v>
      </x:c>
    </x:row>
    <x:row r="300" ht="42" customHeight="1">
      <x:c r="A300" s="33" t="str">
        <x:v>Draft</x:v>
      </x:c>
      <x:c r="B300" s="47" t="str">
        <x:v>COMP_0296</x:v>
      </x:c>
      <x:c r="C300" s="47" t="str">
        <x:v>601R2_005</x:v>
      </x:c>
      <x:c r="D300" s="47" t="str">
        <x:v>JIC45_F_SW_08_08</x:v>
      </x:c>
      <x:c r="E300" s="47" t="str">
        <x:v>601R2_2WB_005</x:v>
      </x:c>
      <x:c r="F300" s="47" t="str"/>
      <x:c r="G300" s="33" t="str"/>
      <x:c r="H300" s="50" t="str"/>
      <x:c r="I300" s="50" t="str"/>
      <x:c r="J300" s="50" t="str"/>
      <x:c r="K300" s="47" t="str"/>
      <x:c r="L300" s="50" t="str"/>
      <x:c r="M300" s="50" t="str"/>
      <x:c r="N300" s="47" t="str"/>
      <x:c r="O300" s="50" t="str"/>
      <x:c r="P300" s="64" t="str">
        <x:f>IF(O300="","",O300*2)</x:f>
      </x:c>
      <x:c r="Q300" s="50" t="str"/>
      <x:c r="R300" s="47" t="str"/>
      <x:c r="S300" s="33" t="str">
        <x:v>Not Tested</x:v>
      </x:c>
      <x:c r="T300" s="64" t="str">
        <x:v>Eligible</x:v>
      </x:c>
      <x:c r="U300" s="47" t="str">
        <x:v>DHH W Series Bite-To-The-Wire</x:v>
      </x:c>
      <x:c r="V300" s="47" t="str">
        <x:v>R2-08</x:v>
      </x:c>
      <x:c r="W300" s="47" t="str">
        <x:v>Crimp full shell</x:v>
      </x:c>
      <x:c r="X300" s="50" t="n">
        <x:v>24.63</x:v>
      </x:c>
      <x:c r="Y300" s="50" t="n">
        <x:v>0.13</x:v>
      </x:c>
      <x:c r="Z300" s="47" t="str">
        <x:v>https://www.discounthydraulichose.com/v/vspfiles/downloadables/crimp.pdf (catalog p.99)</x:v>
      </x:c>
      <x:c r="AA300" s="47" t="str">
        <x:v>Published reference data; applicability is limited to the listed reference system and hose code.</x:v>
      </x:c>
      <x:c r="AB300" s="161" t="str">
        <x:v>Pending</x:v>
      </x:c>
    </x:row>
    <x:row r="301" ht="42" customHeight="1">
      <x:c r="A301" s="33" t="str">
        <x:v>Draft</x:v>
      </x:c>
      <x:c r="B301" s="47" t="str">
        <x:v>COMP_0297</x:v>
      </x:c>
      <x:c r="C301" s="47" t="str">
        <x:v>601R2_005</x:v>
      </x:c>
      <x:c r="D301" s="47" t="str">
        <x:v>JIC45_F_SW_10_08</x:v>
      </x:c>
      <x:c r="E301" s="47" t="str">
        <x:v>601R2_2WB_005</x:v>
      </x:c>
      <x:c r="F301" s="47" t="str"/>
      <x:c r="G301" s="33" t="str"/>
      <x:c r="H301" s="50" t="str"/>
      <x:c r="I301" s="50" t="str"/>
      <x:c r="J301" s="50" t="str"/>
      <x:c r="K301" s="47" t="str"/>
      <x:c r="L301" s="50" t="str"/>
      <x:c r="M301" s="50" t="str"/>
      <x:c r="N301" s="47" t="str"/>
      <x:c r="O301" s="50" t="str"/>
      <x:c r="P301" s="64" t="str">
        <x:f>IF(O301="","",O301*2)</x:f>
      </x:c>
      <x:c r="Q301" s="50" t="str"/>
      <x:c r="R301" s="47" t="str"/>
      <x:c r="S301" s="33" t="str">
        <x:v>Not Tested</x:v>
      </x:c>
      <x:c r="T301" s="64" t="str">
        <x:v>Eligible</x:v>
      </x:c>
      <x:c r="U301" s="47" t="str">
        <x:v>DHH W Series Bite-To-The-Wire</x:v>
      </x:c>
      <x:c r="V301" s="47" t="str">
        <x:v>R2-08</x:v>
      </x:c>
      <x:c r="W301" s="47" t="str">
        <x:v>Crimp full shell</x:v>
      </x:c>
      <x:c r="X301" s="50" t="n">
        <x:v>24.63</x:v>
      </x:c>
      <x:c r="Y301" s="50" t="n">
        <x:v>0.13</x:v>
      </x:c>
      <x:c r="Z301" s="47" t="str">
        <x:v>https://www.discounthydraulichose.com/v/vspfiles/downloadables/crimp.pdf (catalog p.99)</x:v>
      </x:c>
      <x:c r="AA301" s="47" t="str">
        <x:v>Published reference data; applicability is limited to the listed reference system and hose code.</x:v>
      </x:c>
      <x:c r="AB301" s="161" t="str">
        <x:v>Pending</x:v>
      </x:c>
    </x:row>
    <x:row r="302" ht="42" customHeight="1">
      <x:c r="A302" s="33" t="str">
        <x:v>Draft</x:v>
      </x:c>
      <x:c r="B302" s="47" t="str">
        <x:v>COMP_0298</x:v>
      </x:c>
      <x:c r="C302" s="47" t="str">
        <x:v>601R2_005</x:v>
      </x:c>
      <x:c r="D302" s="47" t="str">
        <x:v>JIC90_F_SW_06_08</x:v>
      </x:c>
      <x:c r="E302" s="47" t="str">
        <x:v>601R2_2WB_005</x:v>
      </x:c>
      <x:c r="F302" s="47" t="str"/>
      <x:c r="G302" s="33" t="str"/>
      <x:c r="H302" s="50" t="str"/>
      <x:c r="I302" s="50" t="str"/>
      <x:c r="J302" s="50" t="str"/>
      <x:c r="K302" s="47" t="str"/>
      <x:c r="L302" s="50" t="str"/>
      <x:c r="M302" s="50" t="str"/>
      <x:c r="N302" s="47" t="str"/>
      <x:c r="O302" s="50" t="str"/>
      <x:c r="P302" s="64" t="str">
        <x:f>IF(O302="","",O302*2)</x:f>
      </x:c>
      <x:c r="Q302" s="50" t="str"/>
      <x:c r="R302" s="47" t="str"/>
      <x:c r="S302" s="33" t="str">
        <x:v>Not Tested</x:v>
      </x:c>
      <x:c r="T302" s="64" t="str">
        <x:v>Eligible</x:v>
      </x:c>
      <x:c r="U302" s="47" t="str">
        <x:v>DHH W Series Bite-To-The-Wire</x:v>
      </x:c>
      <x:c r="V302" s="47" t="str">
        <x:v>R2-08</x:v>
      </x:c>
      <x:c r="W302" s="47" t="str">
        <x:v>Crimp full shell</x:v>
      </x:c>
      <x:c r="X302" s="50" t="n">
        <x:v>24.63</x:v>
      </x:c>
      <x:c r="Y302" s="50" t="n">
        <x:v>0.13</x:v>
      </x:c>
      <x:c r="Z302" s="47" t="str">
        <x:v>https://www.discounthydraulichose.com/v/vspfiles/downloadables/crimp.pdf (catalog p.99)</x:v>
      </x:c>
      <x:c r="AA302" s="47" t="str">
        <x:v>Published reference data; applicability is limited to the listed reference system and hose code.</x:v>
      </x:c>
      <x:c r="AB302" s="161" t="str">
        <x:v>Pending</x:v>
      </x:c>
    </x:row>
    <x:row r="303" ht="42" customHeight="1">
      <x:c r="A303" s="33" t="str">
        <x:v>Draft</x:v>
      </x:c>
      <x:c r="B303" s="47" t="str">
        <x:v>COMP_0299</x:v>
      </x:c>
      <x:c r="C303" s="47" t="str">
        <x:v>601R2_005</x:v>
      </x:c>
      <x:c r="D303" s="47" t="str">
        <x:v>JIC90_F_SW_08_08</x:v>
      </x:c>
      <x:c r="E303" s="47" t="str">
        <x:v>601R2_2WB_005</x:v>
      </x:c>
      <x:c r="F303" s="47" t="str"/>
      <x:c r="G303" s="33" t="str"/>
      <x:c r="H303" s="50" t="str"/>
      <x:c r="I303" s="50" t="str"/>
      <x:c r="J303" s="50" t="str"/>
      <x:c r="K303" s="47" t="str"/>
      <x:c r="L303" s="50" t="str"/>
      <x:c r="M303" s="50" t="str"/>
      <x:c r="N303" s="47" t="str"/>
      <x:c r="O303" s="50" t="str"/>
      <x:c r="P303" s="64" t="str">
        <x:f>IF(O303="","",O303*2)</x:f>
      </x:c>
      <x:c r="Q303" s="50" t="str"/>
      <x:c r="R303" s="47" t="str"/>
      <x:c r="S303" s="33" t="str">
        <x:v>Not Tested</x:v>
      </x:c>
      <x:c r="T303" s="64" t="str">
        <x:v>Eligible</x:v>
      </x:c>
      <x:c r="U303" s="47" t="str">
        <x:v>DHH W Series Bite-To-The-Wire</x:v>
      </x:c>
      <x:c r="V303" s="47" t="str">
        <x:v>R2-08</x:v>
      </x:c>
      <x:c r="W303" s="47" t="str">
        <x:v>Crimp full shell</x:v>
      </x:c>
      <x:c r="X303" s="50" t="n">
        <x:v>24.63</x:v>
      </x:c>
      <x:c r="Y303" s="50" t="n">
        <x:v>0.13</x:v>
      </x:c>
      <x:c r="Z303" s="47" t="str">
        <x:v>https://www.discounthydraulichose.com/v/vspfiles/downloadables/crimp.pdf (catalog p.99)</x:v>
      </x:c>
      <x:c r="AA303" s="47" t="str">
        <x:v>Published reference data; applicability is limited to the listed reference system and hose code.</x:v>
      </x:c>
      <x:c r="AB303" s="161" t="str">
        <x:v>Pending</x:v>
      </x:c>
    </x:row>
    <x:row r="304" ht="42" customHeight="1">
      <x:c r="A304" s="33" t="str">
        <x:v>Draft</x:v>
      </x:c>
      <x:c r="B304" s="47" t="str">
        <x:v>COMP_0300</x:v>
      </x:c>
      <x:c r="C304" s="47" t="str">
        <x:v>601R2_005</x:v>
      </x:c>
      <x:c r="D304" s="47" t="str">
        <x:v>JIC90_F_SW_10_08</x:v>
      </x:c>
      <x:c r="E304" s="47" t="str">
        <x:v>601R2_2WB_005</x:v>
      </x:c>
      <x:c r="F304" s="47" t="str"/>
      <x:c r="G304" s="33" t="str"/>
      <x:c r="H304" s="50" t="str"/>
      <x:c r="I304" s="50" t="str"/>
      <x:c r="J304" s="50" t="str"/>
      <x:c r="K304" s="47" t="str"/>
      <x:c r="L304" s="50" t="str"/>
      <x:c r="M304" s="50" t="str"/>
      <x:c r="N304" s="47" t="str"/>
      <x:c r="O304" s="50" t="str"/>
      <x:c r="P304" s="64" t="str">
        <x:f>IF(O304="","",O304*2)</x:f>
      </x:c>
      <x:c r="Q304" s="50" t="str"/>
      <x:c r="R304" s="47" t="str"/>
      <x:c r="S304" s="33" t="str">
        <x:v>Not Tested</x:v>
      </x:c>
      <x:c r="T304" s="64" t="str">
        <x:v>Eligible</x:v>
      </x:c>
      <x:c r="U304" s="47" t="str">
        <x:v>DHH W Series Bite-To-The-Wire</x:v>
      </x:c>
      <x:c r="V304" s="47" t="str">
        <x:v>R2-08</x:v>
      </x:c>
      <x:c r="W304" s="47" t="str">
        <x:v>Crimp full shell</x:v>
      </x:c>
      <x:c r="X304" s="50" t="n">
        <x:v>24.63</x:v>
      </x:c>
      <x:c r="Y304" s="50" t="n">
        <x:v>0.13</x:v>
      </x:c>
      <x:c r="Z304" s="47" t="str">
        <x:v>https://www.discounthydraulichose.com/v/vspfiles/downloadables/crimp.pdf (catalog p.99)</x:v>
      </x:c>
      <x:c r="AA304" s="47" t="str">
        <x:v>Published reference data; applicability is limited to the listed reference system and hose code.</x:v>
      </x:c>
      <x:c r="AB304" s="161" t="str">
        <x:v>Pending</x:v>
      </x:c>
    </x:row>
    <x:row r="305" ht="42" customHeight="1">
      <x:c r="A305" s="33" t="str">
        <x:v>Draft</x:v>
      </x:c>
      <x:c r="B305" s="47" t="str">
        <x:v>COMP_0301</x:v>
      </x:c>
      <x:c r="C305" s="47" t="str">
        <x:v>601R2_005</x:v>
      </x:c>
      <x:c r="D305" s="47" t="str">
        <x:v>JIC90_F_SW_12_08</x:v>
      </x:c>
      <x:c r="E305" s="47" t="str">
        <x:v>601R2_2WB_005</x:v>
      </x:c>
      <x:c r="F305" s="47" t="str"/>
      <x:c r="G305" s="33" t="str"/>
      <x:c r="H305" s="50" t="str"/>
      <x:c r="I305" s="50" t="str"/>
      <x:c r="J305" s="50" t="str"/>
      <x:c r="K305" s="47" t="str"/>
      <x:c r="L305" s="50" t="str"/>
      <x:c r="M305" s="50" t="str"/>
      <x:c r="N305" s="47" t="str"/>
      <x:c r="O305" s="50" t="str"/>
      <x:c r="P305" s="64" t="str">
        <x:f>IF(O305="","",O305*2)</x:f>
      </x:c>
      <x:c r="Q305" s="50" t="str"/>
      <x:c r="R305" s="47" t="str"/>
      <x:c r="S305" s="33" t="str">
        <x:v>Not Tested</x:v>
      </x:c>
      <x:c r="T305" s="64" t="str">
        <x:v>Eligible</x:v>
      </x:c>
      <x:c r="U305" s="47" t="str">
        <x:v>DHH W Series Bite-To-The-Wire</x:v>
      </x:c>
      <x:c r="V305" s="47" t="str">
        <x:v>R2-08</x:v>
      </x:c>
      <x:c r="W305" s="47" t="str">
        <x:v>Crimp full shell</x:v>
      </x:c>
      <x:c r="X305" s="50" t="n">
        <x:v>24.63</x:v>
      </x:c>
      <x:c r="Y305" s="50" t="n">
        <x:v>0.13</x:v>
      </x:c>
      <x:c r="Z305" s="47" t="str">
        <x:v>https://www.discounthydraulichose.com/v/vspfiles/downloadables/crimp.pdf (catalog p.99)</x:v>
      </x:c>
      <x:c r="AA305" s="47" t="str">
        <x:v>Published reference data; applicability is limited to the listed reference system and hose code.</x:v>
      </x:c>
      <x:c r="AB305" s="161" t="str">
        <x:v>Pending</x:v>
      </x:c>
    </x:row>
    <x:row r="306" ht="42" customHeight="1">
      <x:c r="A306" s="33" t="str">
        <x:v>Draft</x:v>
      </x:c>
      <x:c r="B306" s="47" t="str">
        <x:v>COMP_0302</x:v>
      </x:c>
      <x:c r="C306" s="47" t="str">
        <x:v>601R2_005</x:v>
      </x:c>
      <x:c r="D306" s="47" t="str">
        <x:v>NPT_F_FX_08_08</x:v>
      </x:c>
      <x:c r="E306" s="47" t="str">
        <x:v>601R2_2WB_005</x:v>
      </x:c>
      <x:c r="F306" s="47" t="str"/>
      <x:c r="G306" s="33" t="str"/>
      <x:c r="H306" s="50" t="str"/>
      <x:c r="I306" s="50" t="str"/>
      <x:c r="J306" s="50" t="str"/>
      <x:c r="K306" s="47" t="str"/>
      <x:c r="L306" s="50" t="str"/>
      <x:c r="M306" s="50" t="str"/>
      <x:c r="N306" s="47" t="str"/>
      <x:c r="O306" s="50" t="str"/>
      <x:c r="P306" s="64" t="str">
        <x:f>IF(O306="","",O306*2)</x:f>
      </x:c>
      <x:c r="Q306" s="50" t="str"/>
      <x:c r="R306" s="47" t="str"/>
      <x:c r="S306" s="33" t="str">
        <x:v>Not Tested</x:v>
      </x:c>
      <x:c r="T306" s="64" t="str">
        <x:v>Eligible</x:v>
      </x:c>
      <x:c r="U306" s="47" t="str">
        <x:v>DHH W Series Bite-To-The-Wire</x:v>
      </x:c>
      <x:c r="V306" s="47" t="str">
        <x:v>R2-08</x:v>
      </x:c>
      <x:c r="W306" s="47" t="str">
        <x:v>Crimp full shell</x:v>
      </x:c>
      <x:c r="X306" s="50" t="n">
        <x:v>24.63</x:v>
      </x:c>
      <x:c r="Y306" s="50" t="n">
        <x:v>0.13</x:v>
      </x:c>
      <x:c r="Z306" s="47" t="str">
        <x:v>https://www.discounthydraulichose.com/v/vspfiles/downloadables/crimp.pdf (catalog p.99)</x:v>
      </x:c>
      <x:c r="AA306" s="47" t="str">
        <x:v>Published reference data; applicability is limited to the listed reference system and hose code.</x:v>
      </x:c>
      <x:c r="AB306" s="161" t="str">
        <x:v>Pending</x:v>
      </x:c>
    </x:row>
    <x:row r="307" ht="42" customHeight="1">
      <x:c r="A307" s="33" t="str">
        <x:v>Draft</x:v>
      </x:c>
      <x:c r="B307" s="47" t="str">
        <x:v>COMP_0303</x:v>
      </x:c>
      <x:c r="C307" s="47" t="str">
        <x:v>601R2_005</x:v>
      </x:c>
      <x:c r="D307" s="47" t="str">
        <x:v>NPT_M_FX_06_08</x:v>
      </x:c>
      <x:c r="E307" s="47" t="str">
        <x:v>601R2_2WB_005</x:v>
      </x:c>
      <x:c r="F307" s="47" t="str"/>
      <x:c r="G307" s="33" t="str"/>
      <x:c r="H307" s="50" t="str"/>
      <x:c r="I307" s="50" t="str"/>
      <x:c r="J307" s="50" t="str"/>
      <x:c r="K307" s="47" t="str"/>
      <x:c r="L307" s="50" t="str"/>
      <x:c r="M307" s="50" t="str"/>
      <x:c r="N307" s="47" t="str"/>
      <x:c r="O307" s="50" t="str"/>
      <x:c r="P307" s="64" t="str">
        <x:f>IF(O307="","",O307*2)</x:f>
      </x:c>
      <x:c r="Q307" s="50" t="str"/>
      <x:c r="R307" s="47" t="str"/>
      <x:c r="S307" s="33" t="str">
        <x:v>Not Tested</x:v>
      </x:c>
      <x:c r="T307" s="64" t="str">
        <x:v>Eligible</x:v>
      </x:c>
      <x:c r="U307" s="47" t="str">
        <x:v>DHH W Series Bite-To-The-Wire</x:v>
      </x:c>
      <x:c r="V307" s="47" t="str">
        <x:v>R2-08</x:v>
      </x:c>
      <x:c r="W307" s="47" t="str">
        <x:v>Crimp full shell</x:v>
      </x:c>
      <x:c r="X307" s="50" t="n">
        <x:v>24.63</x:v>
      </x:c>
      <x:c r="Y307" s="50" t="n">
        <x:v>0.13</x:v>
      </x:c>
      <x:c r="Z307" s="47" t="str">
        <x:v>https://www.discounthydraulichose.com/v/vspfiles/downloadables/crimp.pdf (catalog p.99)</x:v>
      </x:c>
      <x:c r="AA307" s="47" t="str">
        <x:v>Published reference data; applicability is limited to the listed reference system and hose code.</x:v>
      </x:c>
      <x:c r="AB307" s="161" t="str">
        <x:v>Pending</x:v>
      </x:c>
    </x:row>
    <x:row r="308" ht="42" customHeight="1">
      <x:c r="A308" s="33" t="str">
        <x:v>Draft</x:v>
      </x:c>
      <x:c r="B308" s="47" t="str">
        <x:v>COMP_0304</x:v>
      </x:c>
      <x:c r="C308" s="47" t="str">
        <x:v>601R2_005</x:v>
      </x:c>
      <x:c r="D308" s="47" t="str">
        <x:v>NPT_M_FX_08_08</x:v>
      </x:c>
      <x:c r="E308" s="47" t="str">
        <x:v>601R2_2WB_005</x:v>
      </x:c>
      <x:c r="F308" s="47" t="str"/>
      <x:c r="G308" s="33" t="str"/>
      <x:c r="H308" s="50" t="str"/>
      <x:c r="I308" s="50" t="str"/>
      <x:c r="J308" s="50" t="str"/>
      <x:c r="K308" s="47" t="str"/>
      <x:c r="L308" s="50" t="str"/>
      <x:c r="M308" s="50" t="str"/>
      <x:c r="N308" s="47" t="str"/>
      <x:c r="O308" s="50" t="str"/>
      <x:c r="P308" s="64" t="str">
        <x:f>IF(O308="","",O308*2)</x:f>
      </x:c>
      <x:c r="Q308" s="50" t="str"/>
      <x:c r="R308" s="47" t="str"/>
      <x:c r="S308" s="33" t="str">
        <x:v>Not Tested</x:v>
      </x:c>
      <x:c r="T308" s="64" t="str">
        <x:v>Eligible</x:v>
      </x:c>
      <x:c r="U308" s="47" t="str">
        <x:v>DHH W Series Bite-To-The-Wire</x:v>
      </x:c>
      <x:c r="V308" s="47" t="str">
        <x:v>R2-08</x:v>
      </x:c>
      <x:c r="W308" s="47" t="str">
        <x:v>Crimp full shell</x:v>
      </x:c>
      <x:c r="X308" s="50" t="n">
        <x:v>24.63</x:v>
      </x:c>
      <x:c r="Y308" s="50" t="n">
        <x:v>0.13</x:v>
      </x:c>
      <x:c r="Z308" s="47" t="str">
        <x:v>https://www.discounthydraulichose.com/v/vspfiles/downloadables/crimp.pdf (catalog p.99)</x:v>
      </x:c>
      <x:c r="AA308" s="47" t="str">
        <x:v>Published reference data; applicability is limited to the listed reference system and hose code.</x:v>
      </x:c>
      <x:c r="AB308" s="161" t="str">
        <x:v>Pending</x:v>
      </x:c>
    </x:row>
    <x:row r="309" ht="42" customHeight="1">
      <x:c r="A309" s="33" t="str">
        <x:v>Draft</x:v>
      </x:c>
      <x:c r="B309" s="47" t="str">
        <x:v>COMP_0305</x:v>
      </x:c>
      <x:c r="C309" s="47" t="str">
        <x:v>601R2_005</x:v>
      </x:c>
      <x:c r="D309" s="47" t="str">
        <x:v>NPT_M_FX_12_08</x:v>
      </x:c>
      <x:c r="E309" s="47" t="str">
        <x:v>601R2_2WB_005</x:v>
      </x:c>
      <x:c r="F309" s="47" t="str"/>
      <x:c r="G309" s="33" t="str"/>
      <x:c r="H309" s="50" t="str"/>
      <x:c r="I309" s="50" t="str"/>
      <x:c r="J309" s="50" t="str"/>
      <x:c r="K309" s="47" t="str"/>
      <x:c r="L309" s="50" t="str"/>
      <x:c r="M309" s="50" t="str"/>
      <x:c r="N309" s="47" t="str"/>
      <x:c r="O309" s="50" t="str"/>
      <x:c r="P309" s="64" t="str">
        <x:f>IF(O309="","",O309*2)</x:f>
      </x:c>
      <x:c r="Q309" s="50" t="str"/>
      <x:c r="R309" s="47" t="str"/>
      <x:c r="S309" s="33" t="str">
        <x:v>Not Tested</x:v>
      </x:c>
      <x:c r="T309" s="64" t="str">
        <x:v>Eligible</x:v>
      </x:c>
      <x:c r="U309" s="47" t="str">
        <x:v>DHH W Series Bite-To-The-Wire</x:v>
      </x:c>
      <x:c r="V309" s="47" t="str">
        <x:v>R2-08</x:v>
      </x:c>
      <x:c r="W309" s="47" t="str">
        <x:v>Crimp full shell</x:v>
      </x:c>
      <x:c r="X309" s="50" t="n">
        <x:v>24.63</x:v>
      </x:c>
      <x:c r="Y309" s="50" t="n">
        <x:v>0.13</x:v>
      </x:c>
      <x:c r="Z309" s="47" t="str">
        <x:v>https://www.discounthydraulichose.com/v/vspfiles/downloadables/crimp.pdf (catalog p.99)</x:v>
      </x:c>
      <x:c r="AA309" s="47" t="str">
        <x:v>Published reference data; applicability is limited to the listed reference system and hose code.</x:v>
      </x:c>
      <x:c r="AB309" s="161" t="str">
        <x:v>Pending</x:v>
      </x:c>
    </x:row>
    <x:row r="310" ht="42" customHeight="1">
      <x:c r="A310" s="33" t="str">
        <x:v>Draft</x:v>
      </x:c>
      <x:c r="B310" s="47" t="str">
        <x:v>COMP_0306</x:v>
      </x:c>
      <x:c r="C310" s="47" t="str">
        <x:v>601R2_005</x:v>
      </x:c>
      <x:c r="D310" s="47" t="str">
        <x:v>NPT90_M_SW_08_08</x:v>
      </x:c>
      <x:c r="E310" s="47" t="str">
        <x:v>601R2_2WB_005</x:v>
      </x:c>
      <x:c r="F310" s="47" t="str"/>
      <x:c r="G310" s="33" t="str"/>
      <x:c r="H310" s="50" t="str"/>
      <x:c r="I310" s="50" t="str"/>
      <x:c r="J310" s="50" t="str"/>
      <x:c r="K310" s="47" t="str"/>
      <x:c r="L310" s="50" t="str"/>
      <x:c r="M310" s="50" t="str"/>
      <x:c r="N310" s="47" t="str"/>
      <x:c r="O310" s="50" t="str"/>
      <x:c r="P310" s="64" t="str">
        <x:f>IF(O310="","",O310*2)</x:f>
      </x:c>
      <x:c r="Q310" s="50" t="str"/>
      <x:c r="R310" s="47" t="str"/>
      <x:c r="S310" s="33" t="str">
        <x:v>Not Tested</x:v>
      </x:c>
      <x:c r="T310" s="64" t="str">
        <x:v>Eligible</x:v>
      </x:c>
      <x:c r="U310" s="47" t="str">
        <x:v>DHH W Series Bite-To-The-Wire</x:v>
      </x:c>
      <x:c r="V310" s="47" t="str">
        <x:v>R2-08</x:v>
      </x:c>
      <x:c r="W310" s="47" t="str">
        <x:v>Crimp full shell</x:v>
      </x:c>
      <x:c r="X310" s="50" t="n">
        <x:v>24.63</x:v>
      </x:c>
      <x:c r="Y310" s="50" t="n">
        <x:v>0.13</x:v>
      </x:c>
      <x:c r="Z310" s="47" t="str">
        <x:v>https://www.discounthydraulichose.com/v/vspfiles/downloadables/crimp.pdf (catalog p.99)</x:v>
      </x:c>
      <x:c r="AA310" s="47" t="str">
        <x:v>Published reference data; applicability is limited to the listed reference system and hose code.</x:v>
      </x:c>
      <x:c r="AB310" s="161" t="str">
        <x:v>Pending</x:v>
      </x:c>
    </x:row>
    <x:row r="311" ht="42" customHeight="1">
      <x:c r="A311" s="33" t="str">
        <x:v>Draft</x:v>
      </x:c>
      <x:c r="B311" s="47" t="str">
        <x:v>COMP_0307</x:v>
      </x:c>
      <x:c r="C311" s="47" t="str">
        <x:v>601R2_005</x:v>
      </x:c>
      <x:c r="D311" s="47" t="str">
        <x:v>ORFS_F_SW_06_08</x:v>
      </x:c>
      <x:c r="E311" s="47" t="str">
        <x:v>601R2_2WB_005</x:v>
      </x:c>
      <x:c r="F311" s="47" t="str"/>
      <x:c r="G311" s="33" t="str"/>
      <x:c r="H311" s="50" t="str"/>
      <x:c r="I311" s="50" t="str"/>
      <x:c r="J311" s="50" t="str"/>
      <x:c r="K311" s="47" t="str"/>
      <x:c r="L311" s="50" t="str"/>
      <x:c r="M311" s="50" t="str"/>
      <x:c r="N311" s="47" t="str"/>
      <x:c r="O311" s="50" t="str"/>
      <x:c r="P311" s="64" t="str">
        <x:f>IF(O311="","",O311*2)</x:f>
      </x:c>
      <x:c r="Q311" s="50" t="str"/>
      <x:c r="R311" s="47" t="str"/>
      <x:c r="S311" s="33" t="str">
        <x:v>Not Tested</x:v>
      </x:c>
      <x:c r="T311" s="64" t="str">
        <x:v>Eligible</x:v>
      </x:c>
      <x:c r="U311" s="47" t="str">
        <x:v>DHH W Series Bite-To-The-Wire</x:v>
      </x:c>
      <x:c r="V311" s="47" t="str">
        <x:v>R2-08</x:v>
      </x:c>
      <x:c r="W311" s="47" t="str">
        <x:v>Crimp full shell</x:v>
      </x:c>
      <x:c r="X311" s="50" t="n">
        <x:v>24.63</x:v>
      </x:c>
      <x:c r="Y311" s="50" t="n">
        <x:v>0.13</x:v>
      </x:c>
      <x:c r="Z311" s="47" t="str">
        <x:v>https://www.discounthydraulichose.com/v/vspfiles/downloadables/crimp.pdf (catalog p.99)</x:v>
      </x:c>
      <x:c r="AA311" s="47" t="str">
        <x:v>Published reference data; applicability is limited to the listed reference system and hose code.</x:v>
      </x:c>
      <x:c r="AB311" s="161" t="str">
        <x:v>Pending</x:v>
      </x:c>
    </x:row>
    <x:row r="312" ht="42" customHeight="1">
      <x:c r="A312" s="33" t="str">
        <x:v>Draft</x:v>
      </x:c>
      <x:c r="B312" s="47" t="str">
        <x:v>COMP_0308</x:v>
      </x:c>
      <x:c r="C312" s="47" t="str">
        <x:v>601R2_005</x:v>
      </x:c>
      <x:c r="D312" s="47" t="str">
        <x:v>ORFS_F_SW_08_08</x:v>
      </x:c>
      <x:c r="E312" s="47" t="str">
        <x:v>601R2_2WB_005</x:v>
      </x:c>
      <x:c r="F312" s="47" t="str"/>
      <x:c r="G312" s="33" t="str"/>
      <x:c r="H312" s="50" t="str"/>
      <x:c r="I312" s="50" t="str"/>
      <x:c r="J312" s="50" t="str"/>
      <x:c r="K312" s="47" t="str"/>
      <x:c r="L312" s="50" t="str"/>
      <x:c r="M312" s="50" t="str"/>
      <x:c r="N312" s="47" t="str"/>
      <x:c r="O312" s="50" t="str"/>
      <x:c r="P312" s="64" t="str">
        <x:f>IF(O312="","",O312*2)</x:f>
      </x:c>
      <x:c r="Q312" s="50" t="str"/>
      <x:c r="R312" s="47" t="str"/>
      <x:c r="S312" s="33" t="str">
        <x:v>Not Tested</x:v>
      </x:c>
      <x:c r="T312" s="64" t="str">
        <x:v>Eligible</x:v>
      </x:c>
      <x:c r="U312" s="47" t="str">
        <x:v>DHH W Series Bite-To-The-Wire</x:v>
      </x:c>
      <x:c r="V312" s="47" t="str">
        <x:v>R2-08</x:v>
      </x:c>
      <x:c r="W312" s="47" t="str">
        <x:v>Crimp full shell</x:v>
      </x:c>
      <x:c r="X312" s="50" t="n">
        <x:v>24.63</x:v>
      </x:c>
      <x:c r="Y312" s="50" t="n">
        <x:v>0.13</x:v>
      </x:c>
      <x:c r="Z312" s="47" t="str">
        <x:v>https://www.discounthydraulichose.com/v/vspfiles/downloadables/crimp.pdf (catalog p.99)</x:v>
      </x:c>
      <x:c r="AA312" s="47" t="str">
        <x:v>Published reference data; applicability is limited to the listed reference system and hose code.</x:v>
      </x:c>
      <x:c r="AB312" s="161" t="str">
        <x:v>Pending</x:v>
      </x:c>
    </x:row>
    <x:row r="313" ht="42" customHeight="1">
      <x:c r="A313" s="33" t="str">
        <x:v>Draft</x:v>
      </x:c>
      <x:c r="B313" s="47" t="str">
        <x:v>COMP_0309</x:v>
      </x:c>
      <x:c r="C313" s="47" t="str">
        <x:v>601R2_005</x:v>
      </x:c>
      <x:c r="D313" s="47" t="str">
        <x:v>ORFS_F_SW_10_08</x:v>
      </x:c>
      <x:c r="E313" s="47" t="str">
        <x:v>601R2_2WB_005</x:v>
      </x:c>
      <x:c r="F313" s="47" t="str"/>
      <x:c r="G313" s="33" t="str"/>
      <x:c r="H313" s="50" t="str"/>
      <x:c r="I313" s="50" t="str"/>
      <x:c r="J313" s="50" t="str"/>
      <x:c r="K313" s="47" t="str"/>
      <x:c r="L313" s="50" t="str"/>
      <x:c r="M313" s="50" t="str"/>
      <x:c r="N313" s="47" t="str"/>
      <x:c r="O313" s="50" t="str"/>
      <x:c r="P313" s="64" t="str">
        <x:f>IF(O313="","",O313*2)</x:f>
      </x:c>
      <x:c r="Q313" s="50" t="str"/>
      <x:c r="R313" s="47" t="str"/>
      <x:c r="S313" s="33" t="str">
        <x:v>Not Tested</x:v>
      </x:c>
      <x:c r="T313" s="64" t="str">
        <x:v>Eligible</x:v>
      </x:c>
      <x:c r="U313" s="47" t="str">
        <x:v>DHH W Series Bite-To-The-Wire</x:v>
      </x:c>
      <x:c r="V313" s="47" t="str">
        <x:v>R2-08</x:v>
      </x:c>
      <x:c r="W313" s="47" t="str">
        <x:v>Crimp full shell</x:v>
      </x:c>
      <x:c r="X313" s="50" t="n">
        <x:v>24.63</x:v>
      </x:c>
      <x:c r="Y313" s="50" t="n">
        <x:v>0.13</x:v>
      </x:c>
      <x:c r="Z313" s="47" t="str">
        <x:v>https://www.discounthydraulichose.com/v/vspfiles/downloadables/crimp.pdf (catalog p.99)</x:v>
      </x:c>
      <x:c r="AA313" s="47" t="str">
        <x:v>Published reference data; applicability is limited to the listed reference system and hose code.</x:v>
      </x:c>
      <x:c r="AB313" s="161" t="str">
        <x:v>Pending</x:v>
      </x:c>
    </x:row>
    <x:row r="314" ht="42" customHeight="1">
      <x:c r="A314" s="33" t="str">
        <x:v>Draft</x:v>
      </x:c>
      <x:c r="B314" s="47" t="str">
        <x:v>COMP_0310</x:v>
      </x:c>
      <x:c r="C314" s="47" t="str">
        <x:v>601R2_005</x:v>
      </x:c>
      <x:c r="D314" s="47" t="str">
        <x:v>ORFS_F_SW_12_08</x:v>
      </x:c>
      <x:c r="E314" s="47" t="str">
        <x:v>601R2_2WB_005</x:v>
      </x:c>
      <x:c r="F314" s="47" t="str"/>
      <x:c r="G314" s="33" t="str"/>
      <x:c r="H314" s="50" t="str"/>
      <x:c r="I314" s="50" t="str"/>
      <x:c r="J314" s="50" t="str"/>
      <x:c r="K314" s="47" t="str"/>
      <x:c r="L314" s="50" t="str"/>
      <x:c r="M314" s="50" t="str"/>
      <x:c r="N314" s="47" t="str"/>
      <x:c r="O314" s="50" t="str"/>
      <x:c r="P314" s="64" t="str">
        <x:f>IF(O314="","",O314*2)</x:f>
      </x:c>
      <x:c r="Q314" s="50" t="str"/>
      <x:c r="R314" s="47" t="str"/>
      <x:c r="S314" s="33" t="str">
        <x:v>Not Tested</x:v>
      </x:c>
      <x:c r="T314" s="64" t="str">
        <x:v>Eligible</x:v>
      </x:c>
      <x:c r="U314" s="47" t="str">
        <x:v>DHH W Series Bite-To-The-Wire</x:v>
      </x:c>
      <x:c r="V314" s="47" t="str">
        <x:v>R2-08</x:v>
      </x:c>
      <x:c r="W314" s="47" t="str">
        <x:v>Crimp full shell</x:v>
      </x:c>
      <x:c r="X314" s="50" t="n">
        <x:v>24.63</x:v>
      </x:c>
      <x:c r="Y314" s="50" t="n">
        <x:v>0.13</x:v>
      </x:c>
      <x:c r="Z314" s="47" t="str">
        <x:v>https://www.discounthydraulichose.com/v/vspfiles/downloadables/crimp.pdf (catalog p.99)</x:v>
      </x:c>
      <x:c r="AA314" s="47" t="str">
        <x:v>Published reference data; applicability is limited to the listed reference system and hose code.</x:v>
      </x:c>
      <x:c r="AB314" s="161" t="str">
        <x:v>Pending</x:v>
      </x:c>
    </x:row>
    <x:row r="315" ht="42" customHeight="1">
      <x:c r="A315" s="33" t="str">
        <x:v>Draft</x:v>
      </x:c>
      <x:c r="B315" s="47" t="str">
        <x:v>COMP_0311</x:v>
      </x:c>
      <x:c r="C315" s="47" t="str">
        <x:v>601R2_005</x:v>
      </x:c>
      <x:c r="D315" s="47" t="str">
        <x:v>ORFS_M_FX_08_08</x:v>
      </x:c>
      <x:c r="E315" s="47" t="str">
        <x:v>601R2_2WB_005</x:v>
      </x:c>
      <x:c r="F315" s="47" t="str"/>
      <x:c r="G315" s="33" t="str"/>
      <x:c r="H315" s="50" t="str"/>
      <x:c r="I315" s="50" t="str"/>
      <x:c r="J315" s="50" t="str"/>
      <x:c r="K315" s="47" t="str"/>
      <x:c r="L315" s="50" t="str"/>
      <x:c r="M315" s="50" t="str"/>
      <x:c r="N315" s="47" t="str"/>
      <x:c r="O315" s="50" t="str"/>
      <x:c r="P315" s="64" t="str">
        <x:f>IF(O315="","",O315*2)</x:f>
      </x:c>
      <x:c r="Q315" s="50" t="str"/>
      <x:c r="R315" s="47" t="str"/>
      <x:c r="S315" s="33" t="str">
        <x:v>Not Tested</x:v>
      </x:c>
      <x:c r="T315" s="64" t="str">
        <x:v>Eligible</x:v>
      </x:c>
      <x:c r="U315" s="47" t="str">
        <x:v>DHH W Series Bite-To-The-Wire</x:v>
      </x:c>
      <x:c r="V315" s="47" t="str">
        <x:v>R2-08</x:v>
      </x:c>
      <x:c r="W315" s="47" t="str">
        <x:v>Crimp full shell</x:v>
      </x:c>
      <x:c r="X315" s="50" t="n">
        <x:v>24.63</x:v>
      </x:c>
      <x:c r="Y315" s="50" t="n">
        <x:v>0.13</x:v>
      </x:c>
      <x:c r="Z315" s="47" t="str">
        <x:v>https://www.discounthydraulichose.com/v/vspfiles/downloadables/crimp.pdf (catalog p.99)</x:v>
      </x:c>
      <x:c r="AA315" s="47" t="str">
        <x:v>Published reference data; applicability is limited to the listed reference system and hose code.</x:v>
      </x:c>
      <x:c r="AB315" s="161" t="str">
        <x:v>Pending</x:v>
      </x:c>
    </x:row>
    <x:row r="316" ht="42" customHeight="1">
      <x:c r="A316" s="33" t="str">
        <x:v>Draft</x:v>
      </x:c>
      <x:c r="B316" s="47" t="str">
        <x:v>COMP_0312</x:v>
      </x:c>
      <x:c r="C316" s="47" t="str">
        <x:v>601R2_005</x:v>
      </x:c>
      <x:c r="D316" s="47" t="str">
        <x:v>ORFS_M_FX_10_08</x:v>
      </x:c>
      <x:c r="E316" s="47" t="str">
        <x:v>601R2_2WB_005</x:v>
      </x:c>
      <x:c r="F316" s="47" t="str"/>
      <x:c r="G316" s="33" t="str"/>
      <x:c r="H316" s="50" t="str"/>
      <x:c r="I316" s="50" t="str"/>
      <x:c r="J316" s="50" t="str"/>
      <x:c r="K316" s="47" t="str"/>
      <x:c r="L316" s="50" t="str"/>
      <x:c r="M316" s="50" t="str"/>
      <x:c r="N316" s="47" t="str"/>
      <x:c r="O316" s="50" t="str"/>
      <x:c r="P316" s="64" t="str">
        <x:f>IF(O316="","",O316*2)</x:f>
      </x:c>
      <x:c r="Q316" s="50" t="str"/>
      <x:c r="R316" s="47" t="str"/>
      <x:c r="S316" s="33" t="str">
        <x:v>Not Tested</x:v>
      </x:c>
      <x:c r="T316" s="64" t="str">
        <x:v>Eligible</x:v>
      </x:c>
      <x:c r="U316" s="47" t="str">
        <x:v>DHH W Series Bite-To-The-Wire</x:v>
      </x:c>
      <x:c r="V316" s="47" t="str">
        <x:v>R2-08</x:v>
      </x:c>
      <x:c r="W316" s="47" t="str">
        <x:v>Crimp full shell</x:v>
      </x:c>
      <x:c r="X316" s="50" t="n">
        <x:v>24.63</x:v>
      </x:c>
      <x:c r="Y316" s="50" t="n">
        <x:v>0.13</x:v>
      </x:c>
      <x:c r="Z316" s="47" t="str">
        <x:v>https://www.discounthydraulichose.com/v/vspfiles/downloadables/crimp.pdf (catalog p.99)</x:v>
      </x:c>
      <x:c r="AA316" s="47" t="str">
        <x:v>Published reference data; applicability is limited to the listed reference system and hose code.</x:v>
      </x:c>
      <x:c r="AB316" s="161" t="str">
        <x:v>Pending</x:v>
      </x:c>
    </x:row>
    <x:row r="317" ht="42" customHeight="1">
      <x:c r="A317" s="33" t="str">
        <x:v>Draft</x:v>
      </x:c>
      <x:c r="B317" s="47" t="str">
        <x:v>COMP_0313</x:v>
      </x:c>
      <x:c r="C317" s="47" t="str">
        <x:v>601R2_005</x:v>
      </x:c>
      <x:c r="D317" s="47" t="str">
        <x:v>ORFS_M_FX_12_08</x:v>
      </x:c>
      <x:c r="E317" s="47" t="str">
        <x:v>601R2_2WB_005</x:v>
      </x:c>
      <x:c r="F317" s="47" t="str"/>
      <x:c r="G317" s="33" t="str"/>
      <x:c r="H317" s="50" t="str"/>
      <x:c r="I317" s="50" t="str"/>
      <x:c r="J317" s="50" t="str"/>
      <x:c r="K317" s="47" t="str"/>
      <x:c r="L317" s="50" t="str"/>
      <x:c r="M317" s="50" t="str"/>
      <x:c r="N317" s="47" t="str"/>
      <x:c r="O317" s="50" t="str"/>
      <x:c r="P317" s="64" t="str">
        <x:f>IF(O317="","",O317*2)</x:f>
      </x:c>
      <x:c r="Q317" s="50" t="str"/>
      <x:c r="R317" s="47" t="str"/>
      <x:c r="S317" s="33" t="str">
        <x:v>Not Tested</x:v>
      </x:c>
      <x:c r="T317" s="64" t="str">
        <x:v>Eligible</x:v>
      </x:c>
      <x:c r="U317" s="47" t="str">
        <x:v>DHH W Series Bite-To-The-Wire</x:v>
      </x:c>
      <x:c r="V317" s="47" t="str">
        <x:v>R2-08</x:v>
      </x:c>
      <x:c r="W317" s="47" t="str">
        <x:v>Crimp full shell</x:v>
      </x:c>
      <x:c r="X317" s="50" t="n">
        <x:v>24.63</x:v>
      </x:c>
      <x:c r="Y317" s="50" t="n">
        <x:v>0.13</x:v>
      </x:c>
      <x:c r="Z317" s="47" t="str">
        <x:v>https://www.discounthydraulichose.com/v/vspfiles/downloadables/crimp.pdf (catalog p.99)</x:v>
      </x:c>
      <x:c r="AA317" s="47" t="str">
        <x:v>Published reference data; applicability is limited to the listed reference system and hose code.</x:v>
      </x:c>
      <x:c r="AB317" s="161" t="str">
        <x:v>Pending</x:v>
      </x:c>
    </x:row>
    <x:row r="318" ht="42" customHeight="1">
      <x:c r="A318" s="33" t="str">
        <x:v>Draft</x:v>
      </x:c>
      <x:c r="B318" s="47" t="str">
        <x:v>COMP_0314</x:v>
      </x:c>
      <x:c r="C318" s="47" t="str">
        <x:v>601R2_005</x:v>
      </x:c>
      <x:c r="D318" s="47" t="str">
        <x:v>ORFS45_F_SW_08_08</x:v>
      </x:c>
      <x:c r="E318" s="47" t="str">
        <x:v>601R2_2WB_005</x:v>
      </x:c>
      <x:c r="F318" s="47" t="str"/>
      <x:c r="G318" s="33" t="str"/>
      <x:c r="H318" s="50" t="str"/>
      <x:c r="I318" s="50" t="str"/>
      <x:c r="J318" s="50" t="str"/>
      <x:c r="K318" s="47" t="str"/>
      <x:c r="L318" s="50" t="str"/>
      <x:c r="M318" s="50" t="str"/>
      <x:c r="N318" s="47" t="str"/>
      <x:c r="O318" s="50" t="str"/>
      <x:c r="P318" s="64" t="str">
        <x:f>IF(O318="","",O318*2)</x:f>
      </x:c>
      <x:c r="Q318" s="50" t="str"/>
      <x:c r="R318" s="47" t="str"/>
      <x:c r="S318" s="33" t="str">
        <x:v>Not Tested</x:v>
      </x:c>
      <x:c r="T318" s="64" t="str">
        <x:v>Eligible</x:v>
      </x:c>
      <x:c r="U318" s="47" t="str">
        <x:v>DHH W Series Bite-To-The-Wire</x:v>
      </x:c>
      <x:c r="V318" s="47" t="str">
        <x:v>R2-08</x:v>
      </x:c>
      <x:c r="W318" s="47" t="str">
        <x:v>Crimp full shell</x:v>
      </x:c>
      <x:c r="X318" s="50" t="n">
        <x:v>24.63</x:v>
      </x:c>
      <x:c r="Y318" s="50" t="n">
        <x:v>0.13</x:v>
      </x:c>
      <x:c r="Z318" s="47" t="str">
        <x:v>https://www.discounthydraulichose.com/v/vspfiles/downloadables/crimp.pdf (catalog p.99)</x:v>
      </x:c>
      <x:c r="AA318" s="47" t="str">
        <x:v>Published reference data; applicability is limited to the listed reference system and hose code.</x:v>
      </x:c>
      <x:c r="AB318" s="161" t="str">
        <x:v>Pending</x:v>
      </x:c>
    </x:row>
    <x:row r="319" ht="42" customHeight="1">
      <x:c r="A319" s="33" t="str">
        <x:v>Draft</x:v>
      </x:c>
      <x:c r="B319" s="47" t="str">
        <x:v>COMP_0315</x:v>
      </x:c>
      <x:c r="C319" s="47" t="str">
        <x:v>601R2_005</x:v>
      </x:c>
      <x:c r="D319" s="47" t="str">
        <x:v>ORFS45_F_SW_10_08</x:v>
      </x:c>
      <x:c r="E319" s="47" t="str">
        <x:v>601R2_2WB_005</x:v>
      </x:c>
      <x:c r="F319" s="47" t="str"/>
      <x:c r="G319" s="33" t="str"/>
      <x:c r="H319" s="50" t="str"/>
      <x:c r="I319" s="50" t="str"/>
      <x:c r="J319" s="50" t="str"/>
      <x:c r="K319" s="47" t="str"/>
      <x:c r="L319" s="50" t="str"/>
      <x:c r="M319" s="50" t="str"/>
      <x:c r="N319" s="47" t="str"/>
      <x:c r="O319" s="50" t="str"/>
      <x:c r="P319" s="64" t="str">
        <x:f>IF(O319="","",O319*2)</x:f>
      </x:c>
      <x:c r="Q319" s="50" t="str"/>
      <x:c r="R319" s="47" t="str"/>
      <x:c r="S319" s="33" t="str">
        <x:v>Not Tested</x:v>
      </x:c>
      <x:c r="T319" s="64" t="str">
        <x:v>Eligible</x:v>
      </x:c>
      <x:c r="U319" s="47" t="str">
        <x:v>DHH W Series Bite-To-The-Wire</x:v>
      </x:c>
      <x:c r="V319" s="47" t="str">
        <x:v>R2-08</x:v>
      </x:c>
      <x:c r="W319" s="47" t="str">
        <x:v>Crimp full shell</x:v>
      </x:c>
      <x:c r="X319" s="50" t="n">
        <x:v>24.63</x:v>
      </x:c>
      <x:c r="Y319" s="50" t="n">
        <x:v>0.13</x:v>
      </x:c>
      <x:c r="Z319" s="47" t="str">
        <x:v>https://www.discounthydraulichose.com/v/vspfiles/downloadables/crimp.pdf (catalog p.99)</x:v>
      </x:c>
      <x:c r="AA319" s="47" t="str">
        <x:v>Published reference data; applicability is limited to the listed reference system and hose code.</x:v>
      </x:c>
      <x:c r="AB319" s="161" t="str">
        <x:v>Pending</x:v>
      </x:c>
    </x:row>
    <x:row r="320" ht="42" customHeight="1">
      <x:c r="A320" s="33" t="str">
        <x:v>Draft</x:v>
      </x:c>
      <x:c r="B320" s="47" t="str">
        <x:v>COMP_0316</x:v>
      </x:c>
      <x:c r="C320" s="47" t="str">
        <x:v>601R2_005</x:v>
      </x:c>
      <x:c r="D320" s="47" t="str">
        <x:v>ORFS45_F_SW_12_08</x:v>
      </x:c>
      <x:c r="E320" s="47" t="str">
        <x:v>601R2_2WB_005</x:v>
      </x:c>
      <x:c r="F320" s="47" t="str"/>
      <x:c r="G320" s="33" t="str"/>
      <x:c r="H320" s="50" t="str"/>
      <x:c r="I320" s="50" t="str"/>
      <x:c r="J320" s="50" t="str"/>
      <x:c r="K320" s="47" t="str"/>
      <x:c r="L320" s="50" t="str"/>
      <x:c r="M320" s="50" t="str"/>
      <x:c r="N320" s="47" t="str"/>
      <x:c r="O320" s="50" t="str"/>
      <x:c r="P320" s="64" t="str">
        <x:f>IF(O320="","",O320*2)</x:f>
      </x:c>
      <x:c r="Q320" s="50" t="str"/>
      <x:c r="R320" s="47" t="str"/>
      <x:c r="S320" s="33" t="str">
        <x:v>Not Tested</x:v>
      </x:c>
      <x:c r="T320" s="64" t="str">
        <x:v>Eligible</x:v>
      </x:c>
      <x:c r="U320" s="47" t="str">
        <x:v>DHH W Series Bite-To-The-Wire</x:v>
      </x:c>
      <x:c r="V320" s="47" t="str">
        <x:v>R2-08</x:v>
      </x:c>
      <x:c r="W320" s="47" t="str">
        <x:v>Crimp full shell</x:v>
      </x:c>
      <x:c r="X320" s="50" t="n">
        <x:v>24.63</x:v>
      </x:c>
      <x:c r="Y320" s="50" t="n">
        <x:v>0.13</x:v>
      </x:c>
      <x:c r="Z320" s="47" t="str">
        <x:v>https://www.discounthydraulichose.com/v/vspfiles/downloadables/crimp.pdf (catalog p.99)</x:v>
      </x:c>
      <x:c r="AA320" s="47" t="str">
        <x:v>Published reference data; applicability is limited to the listed reference system and hose code.</x:v>
      </x:c>
      <x:c r="AB320" s="161" t="str">
        <x:v>Pending</x:v>
      </x:c>
    </x:row>
    <x:row r="321" ht="42" customHeight="1">
      <x:c r="A321" s="33" t="str">
        <x:v>Draft</x:v>
      </x:c>
      <x:c r="B321" s="47" t="str">
        <x:v>COMP_0317</x:v>
      </x:c>
      <x:c r="C321" s="47" t="str">
        <x:v>601R2_005</x:v>
      </x:c>
      <x:c r="D321" s="47" t="str">
        <x:v>ORFS90_F_SW_08_08</x:v>
      </x:c>
      <x:c r="E321" s="47" t="str">
        <x:v>601R2_2WB_005</x:v>
      </x:c>
      <x:c r="F321" s="47" t="str"/>
      <x:c r="G321" s="33" t="str"/>
      <x:c r="H321" s="50" t="str"/>
      <x:c r="I321" s="50" t="str"/>
      <x:c r="J321" s="50" t="str"/>
      <x:c r="K321" s="47" t="str"/>
      <x:c r="L321" s="50" t="str"/>
      <x:c r="M321" s="50" t="str"/>
      <x:c r="N321" s="47" t="str"/>
      <x:c r="O321" s="50" t="str"/>
      <x:c r="P321" s="64" t="str">
        <x:f>IF(O321="","",O321*2)</x:f>
      </x:c>
      <x:c r="Q321" s="50" t="str"/>
      <x:c r="R321" s="47" t="str"/>
      <x:c r="S321" s="33" t="str">
        <x:v>Not Tested</x:v>
      </x:c>
      <x:c r="T321" s="64" t="str">
        <x:v>Eligible</x:v>
      </x:c>
      <x:c r="U321" s="47" t="str">
        <x:v>DHH W Series Bite-To-The-Wire</x:v>
      </x:c>
      <x:c r="V321" s="47" t="str">
        <x:v>R2-08</x:v>
      </x:c>
      <x:c r="W321" s="47" t="str">
        <x:v>Crimp full shell</x:v>
      </x:c>
      <x:c r="X321" s="50" t="n">
        <x:v>24.63</x:v>
      </x:c>
      <x:c r="Y321" s="50" t="n">
        <x:v>0.13</x:v>
      </x:c>
      <x:c r="Z321" s="47" t="str">
        <x:v>https://www.discounthydraulichose.com/v/vspfiles/downloadables/crimp.pdf (catalog p.99)</x:v>
      </x:c>
      <x:c r="AA321" s="47" t="str">
        <x:v>Published reference data; applicability is limited to the listed reference system and hose code.</x:v>
      </x:c>
      <x:c r="AB321" s="161" t="str">
        <x:v>Pending</x:v>
      </x:c>
    </x:row>
    <x:row r="322" ht="42" customHeight="1">
      <x:c r="A322" s="33" t="str">
        <x:v>Draft</x:v>
      </x:c>
      <x:c r="B322" s="47" t="str">
        <x:v>COMP_0318</x:v>
      </x:c>
      <x:c r="C322" s="47" t="str">
        <x:v>601R2_005</x:v>
      </x:c>
      <x:c r="D322" s="47" t="str">
        <x:v>ORFS90_F_SW_10_08</x:v>
      </x:c>
      <x:c r="E322" s="47" t="str">
        <x:v>601R2_2WB_005</x:v>
      </x:c>
      <x:c r="F322" s="47" t="str"/>
      <x:c r="G322" s="33" t="str"/>
      <x:c r="H322" s="50" t="str"/>
      <x:c r="I322" s="50" t="str"/>
      <x:c r="J322" s="50" t="str"/>
      <x:c r="K322" s="47" t="str"/>
      <x:c r="L322" s="50" t="str"/>
      <x:c r="M322" s="50" t="str"/>
      <x:c r="N322" s="47" t="str"/>
      <x:c r="O322" s="50" t="str"/>
      <x:c r="P322" s="64" t="str">
        <x:f>IF(O322="","",O322*2)</x:f>
      </x:c>
      <x:c r="Q322" s="50" t="str"/>
      <x:c r="R322" s="47" t="str"/>
      <x:c r="S322" s="33" t="str">
        <x:v>Not Tested</x:v>
      </x:c>
      <x:c r="T322" s="64" t="str">
        <x:v>Eligible</x:v>
      </x:c>
      <x:c r="U322" s="47" t="str">
        <x:v>DHH W Series Bite-To-The-Wire</x:v>
      </x:c>
      <x:c r="V322" s="47" t="str">
        <x:v>R2-08</x:v>
      </x:c>
      <x:c r="W322" s="47" t="str">
        <x:v>Crimp full shell</x:v>
      </x:c>
      <x:c r="X322" s="50" t="n">
        <x:v>24.63</x:v>
      </x:c>
      <x:c r="Y322" s="50" t="n">
        <x:v>0.13</x:v>
      </x:c>
      <x:c r="Z322" s="47" t="str">
        <x:v>https://www.discounthydraulichose.com/v/vspfiles/downloadables/crimp.pdf (catalog p.99)</x:v>
      </x:c>
      <x:c r="AA322" s="47" t="str">
        <x:v>Published reference data; applicability is limited to the listed reference system and hose code.</x:v>
      </x:c>
      <x:c r="AB322" s="161" t="str">
        <x:v>Pending</x:v>
      </x:c>
    </x:row>
    <x:row r="323" ht="42" customHeight="1">
      <x:c r="A323" s="33" t="str">
        <x:v>Draft</x:v>
      </x:c>
      <x:c r="B323" s="47" t="str">
        <x:v>COMP_0319</x:v>
      </x:c>
      <x:c r="C323" s="47" t="str">
        <x:v>601R2_005</x:v>
      </x:c>
      <x:c r="D323" s="47" t="str">
        <x:v>ORFS90_F_SW_12_08</x:v>
      </x:c>
      <x:c r="E323" s="47" t="str">
        <x:v>601R2_2WB_005</x:v>
      </x:c>
      <x:c r="F323" s="47" t="str"/>
      <x:c r="G323" s="33" t="str"/>
      <x:c r="H323" s="50" t="str"/>
      <x:c r="I323" s="50" t="str"/>
      <x:c r="J323" s="50" t="str"/>
      <x:c r="K323" s="47" t="str"/>
      <x:c r="L323" s="50" t="str"/>
      <x:c r="M323" s="50" t="str"/>
      <x:c r="N323" s="47" t="str"/>
      <x:c r="O323" s="50" t="str"/>
      <x:c r="P323" s="64" t="str">
        <x:f>IF(O323="","",O323*2)</x:f>
      </x:c>
      <x:c r="Q323" s="50" t="str"/>
      <x:c r="R323" s="47" t="str"/>
      <x:c r="S323" s="33" t="str">
        <x:v>Not Tested</x:v>
      </x:c>
      <x:c r="T323" s="64" t="str">
        <x:v>Eligible</x:v>
      </x:c>
      <x:c r="U323" s="47" t="str">
        <x:v>DHH W Series Bite-To-The-Wire</x:v>
      </x:c>
      <x:c r="V323" s="47" t="str">
        <x:v>R2-08</x:v>
      </x:c>
      <x:c r="W323" s="47" t="str">
        <x:v>Crimp full shell</x:v>
      </x:c>
      <x:c r="X323" s="50" t="n">
        <x:v>24.63</x:v>
      </x:c>
      <x:c r="Y323" s="50" t="n">
        <x:v>0.13</x:v>
      </x:c>
      <x:c r="Z323" s="47" t="str">
        <x:v>https://www.discounthydraulichose.com/v/vspfiles/downloadables/crimp.pdf (catalog p.99)</x:v>
      </x:c>
      <x:c r="AA323" s="47" t="str">
        <x:v>Published reference data; applicability is limited to the listed reference system and hose code.</x:v>
      </x:c>
      <x:c r="AB323" s="161" t="str">
        <x:v>Pending</x:v>
      </x:c>
    </x:row>
    <x:row r="324" ht="42" customHeight="1">
      <x:c r="A324" s="33" t="str">
        <x:v>Draft</x:v>
      </x:c>
      <x:c r="B324" s="47" t="str">
        <x:v>COMP_0320</x:v>
      </x:c>
      <x:c r="C324" s="47" t="str">
        <x:v>601R2_006</x:v>
      </x:c>
      <x:c r="D324" s="47" t="str">
        <x:v>BSPP_F_SW_10_10</x:v>
      </x:c>
      <x:c r="E324" s="47" t="str">
        <x:v>601R2_2WB_006</x:v>
      </x:c>
      <x:c r="F324" s="47" t="str"/>
      <x:c r="G324" s="33" t="str"/>
      <x:c r="H324" s="50" t="str"/>
      <x:c r="I324" s="50" t="str"/>
      <x:c r="J324" s="50" t="str"/>
      <x:c r="K324" s="47" t="str"/>
      <x:c r="L324" s="50" t="str"/>
      <x:c r="M324" s="50" t="str"/>
      <x:c r="N324" s="47" t="str"/>
      <x:c r="O324" s="50" t="str"/>
      <x:c r="P324" s="64" t="str">
        <x:f>IF(O324="","",O324*2)</x:f>
      </x:c>
      <x:c r="Q324" s="50" t="str"/>
      <x:c r="R324" s="47" t="str"/>
      <x:c r="S324" s="33" t="str">
        <x:v>Not Tested</x:v>
      </x:c>
      <x:c r="T324" s="64" t="str">
        <x:v>Eligible</x:v>
      </x:c>
      <x:c r="U324" s="47" t="str">
        <x:v>DHH W Series Bite-To-The-Wire</x:v>
      </x:c>
      <x:c r="V324" s="47" t="str">
        <x:v>R2-10</x:v>
      </x:c>
      <x:c r="W324" s="47" t="str">
        <x:v>Crimp full shell</x:v>
      </x:c>
      <x:c r="X324" s="50" t="n">
        <x:v>30.48</x:v>
      </x:c>
      <x:c r="Y324" s="50" t="n">
        <x:v>0.13</x:v>
      </x:c>
      <x:c r="Z324" s="47" t="str">
        <x:v>https://www.discounthydraulichose.com/v/vspfiles/downloadables/crimp.pdf (catalog p.99)</x:v>
      </x:c>
      <x:c r="AA324" s="47" t="str">
        <x:v>Published reference data; applicability is limited to the listed reference system and hose code.</x:v>
      </x:c>
      <x:c r="AB324" s="161" t="str">
        <x:v>Pending</x:v>
      </x:c>
    </x:row>
    <x:row r="325" ht="42" customHeight="1">
      <x:c r="A325" s="33" t="str">
        <x:v>Draft</x:v>
      </x:c>
      <x:c r="B325" s="47" t="str">
        <x:v>COMP_0321</x:v>
      </x:c>
      <x:c r="C325" s="47" t="str">
        <x:v>601R2_006</x:v>
      </x:c>
      <x:c r="D325" s="47" t="str">
        <x:v>BSPP45_F_SW_10_10</x:v>
      </x:c>
      <x:c r="E325" s="47" t="str">
        <x:v>601R2_2WB_006</x:v>
      </x:c>
      <x:c r="F325" s="47" t="str"/>
      <x:c r="G325" s="33" t="str"/>
      <x:c r="H325" s="50" t="str"/>
      <x:c r="I325" s="50" t="str"/>
      <x:c r="J325" s="50" t="str"/>
      <x:c r="K325" s="47" t="str"/>
      <x:c r="L325" s="50" t="str"/>
      <x:c r="M325" s="50" t="str"/>
      <x:c r="N325" s="47" t="str"/>
      <x:c r="O325" s="50" t="str"/>
      <x:c r="P325" s="64" t="str">
        <x:f>IF(O325="","",O325*2)</x:f>
      </x:c>
      <x:c r="Q325" s="50" t="str"/>
      <x:c r="R325" s="47" t="str"/>
      <x:c r="S325" s="33" t="str">
        <x:v>Not Tested</x:v>
      </x:c>
      <x:c r="T325" s="64" t="str">
        <x:v>Eligible</x:v>
      </x:c>
      <x:c r="U325" s="47" t="str">
        <x:v>DHH W Series Bite-To-The-Wire</x:v>
      </x:c>
      <x:c r="V325" s="47" t="str">
        <x:v>R2-10</x:v>
      </x:c>
      <x:c r="W325" s="47" t="str">
        <x:v>Crimp full shell</x:v>
      </x:c>
      <x:c r="X325" s="50" t="n">
        <x:v>30.48</x:v>
      </x:c>
      <x:c r="Y325" s="50" t="n">
        <x:v>0.13</x:v>
      </x:c>
      <x:c r="Z325" s="47" t="str">
        <x:v>https://www.discounthydraulichose.com/v/vspfiles/downloadables/crimp.pdf (catalog p.99)</x:v>
      </x:c>
      <x:c r="AA325" s="47" t="str">
        <x:v>Published reference data; applicability is limited to the listed reference system and hose code.</x:v>
      </x:c>
      <x:c r="AB325" s="161" t="str">
        <x:v>Pending</x:v>
      </x:c>
    </x:row>
    <x:row r="326" ht="42" customHeight="1">
      <x:c r="A326" s="33" t="str">
        <x:v>Draft</x:v>
      </x:c>
      <x:c r="B326" s="47" t="str">
        <x:v>COMP_0322</x:v>
      </x:c>
      <x:c r="C326" s="47" t="str">
        <x:v>601R2_006</x:v>
      </x:c>
      <x:c r="D326" s="47" t="str">
        <x:v>BSPP90_F_SW_10_10</x:v>
      </x:c>
      <x:c r="E326" s="47" t="str">
        <x:v>601R2_2WB_006</x:v>
      </x:c>
      <x:c r="F326" s="47" t="str"/>
      <x:c r="G326" s="33" t="str"/>
      <x:c r="H326" s="50" t="str"/>
      <x:c r="I326" s="50" t="str"/>
      <x:c r="J326" s="50" t="str"/>
      <x:c r="K326" s="47" t="str"/>
      <x:c r="L326" s="50" t="str"/>
      <x:c r="M326" s="50" t="str"/>
      <x:c r="N326" s="47" t="str"/>
      <x:c r="O326" s="50" t="str"/>
      <x:c r="P326" s="64" t="str">
        <x:f>IF(O326="","",O326*2)</x:f>
      </x:c>
      <x:c r="Q326" s="50" t="str"/>
      <x:c r="R326" s="47" t="str"/>
      <x:c r="S326" s="33" t="str">
        <x:v>Not Tested</x:v>
      </x:c>
      <x:c r="T326" s="64" t="str">
        <x:v>Eligible</x:v>
      </x:c>
      <x:c r="U326" s="47" t="str">
        <x:v>DHH W Series Bite-To-The-Wire</x:v>
      </x:c>
      <x:c r="V326" s="47" t="str">
        <x:v>R2-10</x:v>
      </x:c>
      <x:c r="W326" s="47" t="str">
        <x:v>Crimp full shell</x:v>
      </x:c>
      <x:c r="X326" s="50" t="n">
        <x:v>30.48</x:v>
      </x:c>
      <x:c r="Y326" s="50" t="n">
        <x:v>0.13</x:v>
      </x:c>
      <x:c r="Z326" s="47" t="str">
        <x:v>https://www.discounthydraulichose.com/v/vspfiles/downloadables/crimp.pdf (catalog p.99)</x:v>
      </x:c>
      <x:c r="AA326" s="47" t="str">
        <x:v>Published reference data; applicability is limited to the listed reference system and hose code.</x:v>
      </x:c>
      <x:c r="AB326" s="161" t="str">
        <x:v>Pending</x:v>
      </x:c>
    </x:row>
    <x:row r="327" ht="42" customHeight="1">
      <x:c r="A327" s="33" t="str">
        <x:v>Draft</x:v>
      </x:c>
      <x:c r="B327" s="47" t="str">
        <x:v>COMP_0323</x:v>
      </x:c>
      <x:c r="C327" s="47" t="str">
        <x:v>601R2_006</x:v>
      </x:c>
      <x:c r="D327" s="47" t="str">
        <x:v>JIC_F_SW_08_10</x:v>
      </x:c>
      <x:c r="E327" s="47" t="str">
        <x:v>601R2_2WB_006</x:v>
      </x:c>
      <x:c r="F327" s="47" t="str"/>
      <x:c r="G327" s="33" t="str"/>
      <x:c r="H327" s="50" t="str"/>
      <x:c r="I327" s="50" t="str"/>
      <x:c r="J327" s="50" t="str"/>
      <x:c r="K327" s="47" t="str"/>
      <x:c r="L327" s="50" t="str"/>
      <x:c r="M327" s="50" t="str"/>
      <x:c r="N327" s="47" t="str"/>
      <x:c r="O327" s="50" t="str"/>
      <x:c r="P327" s="64" t="str">
        <x:f>IF(O327="","",O327*2)</x:f>
      </x:c>
      <x:c r="Q327" s="50" t="str"/>
      <x:c r="R327" s="47" t="str"/>
      <x:c r="S327" s="33" t="str">
        <x:v>Not Tested</x:v>
      </x:c>
      <x:c r="T327" s="64" t="str">
        <x:v>Eligible</x:v>
      </x:c>
      <x:c r="U327" s="47" t="str">
        <x:v>DHH W Series Bite-To-The-Wire</x:v>
      </x:c>
      <x:c r="V327" s="47" t="str">
        <x:v>R2-10</x:v>
      </x:c>
      <x:c r="W327" s="47" t="str">
        <x:v>Crimp full shell</x:v>
      </x:c>
      <x:c r="X327" s="50" t="n">
        <x:v>30.48</x:v>
      </x:c>
      <x:c r="Y327" s="50" t="n">
        <x:v>0.13</x:v>
      </x:c>
      <x:c r="Z327" s="47" t="str">
        <x:v>https://www.discounthydraulichose.com/v/vspfiles/downloadables/crimp.pdf (catalog p.99)</x:v>
      </x:c>
      <x:c r="AA327" s="47" t="str">
        <x:v>Published reference data; applicability is limited to the listed reference system and hose code.</x:v>
      </x:c>
      <x:c r="AB327" s="161" t="str">
        <x:v>Pending</x:v>
      </x:c>
    </x:row>
    <x:row r="328" ht="42" customHeight="1">
      <x:c r="A328" s="33" t="str">
        <x:v>Draft</x:v>
      </x:c>
      <x:c r="B328" s="47" t="str">
        <x:v>COMP_0324</x:v>
      </x:c>
      <x:c r="C328" s="47" t="str">
        <x:v>601R2_006</x:v>
      </x:c>
      <x:c r="D328" s="47" t="str">
        <x:v>JIC_F_SW_10_10</x:v>
      </x:c>
      <x:c r="E328" s="47" t="str">
        <x:v>601R2_2WB_006</x:v>
      </x:c>
      <x:c r="F328" s="47" t="str"/>
      <x:c r="G328" s="33" t="str"/>
      <x:c r="H328" s="50" t="str"/>
      <x:c r="I328" s="50" t="str"/>
      <x:c r="J328" s="50" t="str"/>
      <x:c r="K328" s="47" t="str"/>
      <x:c r="L328" s="50" t="str"/>
      <x:c r="M328" s="50" t="str"/>
      <x:c r="N328" s="47" t="str"/>
      <x:c r="O328" s="50" t="str"/>
      <x:c r="P328" s="64" t="str">
        <x:f>IF(O328="","",O328*2)</x:f>
      </x:c>
      <x:c r="Q328" s="50" t="str"/>
      <x:c r="R328" s="47" t="str"/>
      <x:c r="S328" s="33" t="str">
        <x:v>Not Tested</x:v>
      </x:c>
      <x:c r="T328" s="64" t="str">
        <x:v>Eligible</x:v>
      </x:c>
      <x:c r="U328" s="47" t="str">
        <x:v>DHH W Series Bite-To-The-Wire</x:v>
      </x:c>
      <x:c r="V328" s="47" t="str">
        <x:v>R2-10</x:v>
      </x:c>
      <x:c r="W328" s="47" t="str">
        <x:v>Crimp full shell</x:v>
      </x:c>
      <x:c r="X328" s="50" t="n">
        <x:v>30.48</x:v>
      </x:c>
      <x:c r="Y328" s="50" t="n">
        <x:v>0.13</x:v>
      </x:c>
      <x:c r="Z328" s="47" t="str">
        <x:v>https://www.discounthydraulichose.com/v/vspfiles/downloadables/crimp.pdf (catalog p.99)</x:v>
      </x:c>
      <x:c r="AA328" s="47" t="str">
        <x:v>Published reference data; applicability is limited to the listed reference system and hose code.</x:v>
      </x:c>
      <x:c r="AB328" s="161" t="str">
        <x:v>Pending</x:v>
      </x:c>
    </x:row>
    <x:row r="329" ht="42" customHeight="1">
      <x:c r="A329" s="33" t="str">
        <x:v>Draft</x:v>
      </x:c>
      <x:c r="B329" s="47" t="str">
        <x:v>COMP_0325</x:v>
      </x:c>
      <x:c r="C329" s="47" t="str">
        <x:v>601R2_006</x:v>
      </x:c>
      <x:c r="D329" s="47" t="str">
        <x:v>JIC_F_SW_12_10</x:v>
      </x:c>
      <x:c r="E329" s="47" t="str">
        <x:v>601R2_2WB_006</x:v>
      </x:c>
      <x:c r="F329" s="47" t="str"/>
      <x:c r="G329" s="33" t="str"/>
      <x:c r="H329" s="50" t="str"/>
      <x:c r="I329" s="50" t="str"/>
      <x:c r="J329" s="50" t="str"/>
      <x:c r="K329" s="47" t="str"/>
      <x:c r="L329" s="50" t="str"/>
      <x:c r="M329" s="50" t="str"/>
      <x:c r="N329" s="47" t="str"/>
      <x:c r="O329" s="50" t="str"/>
      <x:c r="P329" s="64" t="str">
        <x:f>IF(O329="","",O329*2)</x:f>
      </x:c>
      <x:c r="Q329" s="50" t="str"/>
      <x:c r="R329" s="47" t="str"/>
      <x:c r="S329" s="33" t="str">
        <x:v>Not Tested</x:v>
      </x:c>
      <x:c r="T329" s="64" t="str">
        <x:v>Eligible</x:v>
      </x:c>
      <x:c r="U329" s="47" t="str">
        <x:v>DHH W Series Bite-To-The-Wire</x:v>
      </x:c>
      <x:c r="V329" s="47" t="str">
        <x:v>R2-10</x:v>
      </x:c>
      <x:c r="W329" s="47" t="str">
        <x:v>Crimp full shell</x:v>
      </x:c>
      <x:c r="X329" s="50" t="n">
        <x:v>30.48</x:v>
      </x:c>
      <x:c r="Y329" s="50" t="n">
        <x:v>0.13</x:v>
      </x:c>
      <x:c r="Z329" s="47" t="str">
        <x:v>https://www.discounthydraulichose.com/v/vspfiles/downloadables/crimp.pdf (catalog p.99)</x:v>
      </x:c>
      <x:c r="AA329" s="47" t="str">
        <x:v>Published reference data; applicability is limited to the listed reference system and hose code.</x:v>
      </x:c>
      <x:c r="AB329" s="161" t="str">
        <x:v>Pending</x:v>
      </x:c>
    </x:row>
    <x:row r="330" ht="42" customHeight="1">
      <x:c r="A330" s="33" t="str">
        <x:v>Draft</x:v>
      </x:c>
      <x:c r="B330" s="47" t="str">
        <x:v>COMP_0326</x:v>
      </x:c>
      <x:c r="C330" s="47" t="str">
        <x:v>601R2_006</x:v>
      </x:c>
      <x:c r="D330" s="47" t="str">
        <x:v>JIC_M_FX_10_10</x:v>
      </x:c>
      <x:c r="E330" s="47" t="str">
        <x:v>601R2_2WB_006</x:v>
      </x:c>
      <x:c r="F330" s="47" t="str"/>
      <x:c r="G330" s="33" t="str"/>
      <x:c r="H330" s="50" t="str"/>
      <x:c r="I330" s="50" t="str"/>
      <x:c r="J330" s="50" t="str"/>
      <x:c r="K330" s="47" t="str"/>
      <x:c r="L330" s="50" t="str"/>
      <x:c r="M330" s="50" t="str"/>
      <x:c r="N330" s="47" t="str"/>
      <x:c r="O330" s="50" t="str"/>
      <x:c r="P330" s="64" t="str">
        <x:f>IF(O330="","",O330*2)</x:f>
      </x:c>
      <x:c r="Q330" s="50" t="str"/>
      <x:c r="R330" s="47" t="str"/>
      <x:c r="S330" s="33" t="str">
        <x:v>Not Tested</x:v>
      </x:c>
      <x:c r="T330" s="64" t="str">
        <x:v>Eligible</x:v>
      </x:c>
      <x:c r="U330" s="47" t="str">
        <x:v>DHH W Series Bite-To-The-Wire</x:v>
      </x:c>
      <x:c r="V330" s="47" t="str">
        <x:v>R2-10</x:v>
      </x:c>
      <x:c r="W330" s="47" t="str">
        <x:v>Crimp full shell</x:v>
      </x:c>
      <x:c r="X330" s="50" t="n">
        <x:v>30.48</x:v>
      </x:c>
      <x:c r="Y330" s="50" t="n">
        <x:v>0.13</x:v>
      </x:c>
      <x:c r="Z330" s="47" t="str">
        <x:v>https://www.discounthydraulichose.com/v/vspfiles/downloadables/crimp.pdf (catalog p.99)</x:v>
      </x:c>
      <x:c r="AA330" s="47" t="str">
        <x:v>Published reference data; applicability is limited to the listed reference system and hose code.</x:v>
      </x:c>
      <x:c r="AB330" s="161" t="str">
        <x:v>Pending</x:v>
      </x:c>
    </x:row>
    <x:row r="331" ht="42" customHeight="1">
      <x:c r="A331" s="33" t="str">
        <x:v>Draft</x:v>
      </x:c>
      <x:c r="B331" s="47" t="str">
        <x:v>COMP_0327</x:v>
      </x:c>
      <x:c r="C331" s="47" t="str">
        <x:v>601R2_006</x:v>
      </x:c>
      <x:c r="D331" s="47" t="str">
        <x:v>JIC45_F_SW_10_10</x:v>
      </x:c>
      <x:c r="E331" s="47" t="str">
        <x:v>601R2_2WB_006</x:v>
      </x:c>
      <x:c r="F331" s="47" t="str"/>
      <x:c r="G331" s="33" t="str"/>
      <x:c r="H331" s="50" t="str"/>
      <x:c r="I331" s="50" t="str"/>
      <x:c r="J331" s="50" t="str"/>
      <x:c r="K331" s="47" t="str"/>
      <x:c r="L331" s="50" t="str"/>
      <x:c r="M331" s="50" t="str"/>
      <x:c r="N331" s="47" t="str"/>
      <x:c r="O331" s="50" t="str"/>
      <x:c r="P331" s="64" t="str">
        <x:f>IF(O331="","",O331*2)</x:f>
      </x:c>
      <x:c r="Q331" s="50" t="str"/>
      <x:c r="R331" s="47" t="str"/>
      <x:c r="S331" s="33" t="str">
        <x:v>Not Tested</x:v>
      </x:c>
      <x:c r="T331" s="64" t="str">
        <x:v>Eligible</x:v>
      </x:c>
      <x:c r="U331" s="47" t="str">
        <x:v>DHH W Series Bite-To-The-Wire</x:v>
      </x:c>
      <x:c r="V331" s="47" t="str">
        <x:v>R2-10</x:v>
      </x:c>
      <x:c r="W331" s="47" t="str">
        <x:v>Crimp full shell</x:v>
      </x:c>
      <x:c r="X331" s="50" t="n">
        <x:v>30.48</x:v>
      </x:c>
      <x:c r="Y331" s="50" t="n">
        <x:v>0.13</x:v>
      </x:c>
      <x:c r="Z331" s="47" t="str">
        <x:v>https://www.discounthydraulichose.com/v/vspfiles/downloadables/crimp.pdf (catalog p.99)</x:v>
      </x:c>
      <x:c r="AA331" s="47" t="str">
        <x:v>Published reference data; applicability is limited to the listed reference system and hose code.</x:v>
      </x:c>
      <x:c r="AB331" s="161" t="str">
        <x:v>Pending</x:v>
      </x:c>
    </x:row>
    <x:row r="332" ht="42" customHeight="1">
      <x:c r="A332" s="33" t="str">
        <x:v>Draft</x:v>
      </x:c>
      <x:c r="B332" s="47" t="str">
        <x:v>COMP_0328</x:v>
      </x:c>
      <x:c r="C332" s="47" t="str">
        <x:v>601R2_006</x:v>
      </x:c>
      <x:c r="D332" s="47" t="str">
        <x:v>JIC45_F_SW_12_10</x:v>
      </x:c>
      <x:c r="E332" s="47" t="str">
        <x:v>601R2_2WB_006</x:v>
      </x:c>
      <x:c r="F332" s="47" t="str"/>
      <x:c r="G332" s="33" t="str"/>
      <x:c r="H332" s="50" t="str"/>
      <x:c r="I332" s="50" t="str"/>
      <x:c r="J332" s="50" t="str"/>
      <x:c r="K332" s="47" t="str"/>
      <x:c r="L332" s="50" t="str"/>
      <x:c r="M332" s="50" t="str"/>
      <x:c r="N332" s="47" t="str"/>
      <x:c r="O332" s="50" t="str"/>
      <x:c r="P332" s="64" t="str">
        <x:f>IF(O332="","",O332*2)</x:f>
      </x:c>
      <x:c r="Q332" s="50" t="str"/>
      <x:c r="R332" s="47" t="str"/>
      <x:c r="S332" s="33" t="str">
        <x:v>Not Tested</x:v>
      </x:c>
      <x:c r="T332" s="64" t="str">
        <x:v>Eligible</x:v>
      </x:c>
      <x:c r="U332" s="47" t="str">
        <x:v>DHH W Series Bite-To-The-Wire</x:v>
      </x:c>
      <x:c r="V332" s="47" t="str">
        <x:v>R2-10</x:v>
      </x:c>
      <x:c r="W332" s="47" t="str">
        <x:v>Crimp full shell</x:v>
      </x:c>
      <x:c r="X332" s="50" t="n">
        <x:v>30.48</x:v>
      </x:c>
      <x:c r="Y332" s="50" t="n">
        <x:v>0.13</x:v>
      </x:c>
      <x:c r="Z332" s="47" t="str">
        <x:v>https://www.discounthydraulichose.com/v/vspfiles/downloadables/crimp.pdf (catalog p.99)</x:v>
      </x:c>
      <x:c r="AA332" s="47" t="str">
        <x:v>Published reference data; applicability is limited to the listed reference system and hose code.</x:v>
      </x:c>
      <x:c r="AB332" s="161" t="str">
        <x:v>Pending</x:v>
      </x:c>
    </x:row>
    <x:row r="333" ht="42" customHeight="1">
      <x:c r="A333" s="33" t="str">
        <x:v>Draft</x:v>
      </x:c>
      <x:c r="B333" s="47" t="str">
        <x:v>COMP_0329</x:v>
      </x:c>
      <x:c r="C333" s="47" t="str">
        <x:v>601R2_006</x:v>
      </x:c>
      <x:c r="D333" s="47" t="str">
        <x:v>JIC90_F_SW_10_10</x:v>
      </x:c>
      <x:c r="E333" s="47" t="str">
        <x:v>601R2_2WB_006</x:v>
      </x:c>
      <x:c r="F333" s="47" t="str"/>
      <x:c r="G333" s="33" t="str"/>
      <x:c r="H333" s="50" t="str"/>
      <x:c r="I333" s="50" t="str"/>
      <x:c r="J333" s="50" t="str"/>
      <x:c r="K333" s="47" t="str"/>
      <x:c r="L333" s="50" t="str"/>
      <x:c r="M333" s="50" t="str"/>
      <x:c r="N333" s="47" t="str"/>
      <x:c r="O333" s="50" t="str"/>
      <x:c r="P333" s="64" t="str">
        <x:f>IF(O333="","",O333*2)</x:f>
      </x:c>
      <x:c r="Q333" s="50" t="str"/>
      <x:c r="R333" s="47" t="str"/>
      <x:c r="S333" s="33" t="str">
        <x:v>Not Tested</x:v>
      </x:c>
      <x:c r="T333" s="64" t="str">
        <x:v>Eligible</x:v>
      </x:c>
      <x:c r="U333" s="47" t="str">
        <x:v>DHH W Series Bite-To-The-Wire</x:v>
      </x:c>
      <x:c r="V333" s="47" t="str">
        <x:v>R2-10</x:v>
      </x:c>
      <x:c r="W333" s="47" t="str">
        <x:v>Crimp full shell</x:v>
      </x:c>
      <x:c r="X333" s="50" t="n">
        <x:v>30.48</x:v>
      </x:c>
      <x:c r="Y333" s="50" t="n">
        <x:v>0.13</x:v>
      </x:c>
      <x:c r="Z333" s="47" t="str">
        <x:v>https://www.discounthydraulichose.com/v/vspfiles/downloadables/crimp.pdf (catalog p.99)</x:v>
      </x:c>
      <x:c r="AA333" s="47" t="str">
        <x:v>Published reference data; applicability is limited to the listed reference system and hose code.</x:v>
      </x:c>
      <x:c r="AB333" s="161" t="str">
        <x:v>Pending</x:v>
      </x:c>
    </x:row>
    <x:row r="334" ht="42" customHeight="1">
      <x:c r="A334" s="33" t="str">
        <x:v>Draft</x:v>
      </x:c>
      <x:c r="B334" s="47" t="str">
        <x:v>COMP_0330</x:v>
      </x:c>
      <x:c r="C334" s="47" t="str">
        <x:v>601R2_006</x:v>
      </x:c>
      <x:c r="D334" s="47" t="str">
        <x:v>JIC90_F_SW_12_10</x:v>
      </x:c>
      <x:c r="E334" s="47" t="str">
        <x:v>601R2_2WB_006</x:v>
      </x:c>
      <x:c r="F334" s="47" t="str"/>
      <x:c r="G334" s="33" t="str"/>
      <x:c r="H334" s="50" t="str"/>
      <x:c r="I334" s="50" t="str"/>
      <x:c r="J334" s="50" t="str"/>
      <x:c r="K334" s="47" t="str"/>
      <x:c r="L334" s="50" t="str"/>
      <x:c r="M334" s="50" t="str"/>
      <x:c r="N334" s="47" t="str"/>
      <x:c r="O334" s="50" t="str"/>
      <x:c r="P334" s="64" t="str">
        <x:f>IF(O334="","",O334*2)</x:f>
      </x:c>
      <x:c r="Q334" s="50" t="str"/>
      <x:c r="R334" s="47" t="str"/>
      <x:c r="S334" s="33" t="str">
        <x:v>Not Tested</x:v>
      </x:c>
      <x:c r="T334" s="64" t="str">
        <x:v>Eligible</x:v>
      </x:c>
      <x:c r="U334" s="47" t="str">
        <x:v>DHH W Series Bite-To-The-Wire</x:v>
      </x:c>
      <x:c r="V334" s="47" t="str">
        <x:v>R2-10</x:v>
      </x:c>
      <x:c r="W334" s="47" t="str">
        <x:v>Crimp full shell</x:v>
      </x:c>
      <x:c r="X334" s="50" t="n">
        <x:v>30.48</x:v>
      </x:c>
      <x:c r="Y334" s="50" t="n">
        <x:v>0.13</x:v>
      </x:c>
      <x:c r="Z334" s="47" t="str">
        <x:v>https://www.discounthydraulichose.com/v/vspfiles/downloadables/crimp.pdf (catalog p.99)</x:v>
      </x:c>
      <x:c r="AA334" s="47" t="str">
        <x:v>Published reference data; applicability is limited to the listed reference system and hose code.</x:v>
      </x:c>
      <x:c r="AB334" s="161" t="str">
        <x:v>Pending</x:v>
      </x:c>
    </x:row>
    <x:row r="335" ht="42" customHeight="1">
      <x:c r="A335" s="33" t="str">
        <x:v>Draft</x:v>
      </x:c>
      <x:c r="B335" s="47" t="str">
        <x:v>COMP_0331</x:v>
      </x:c>
      <x:c r="C335" s="47" t="str">
        <x:v>601R2_006</x:v>
      </x:c>
      <x:c r="D335" s="47" t="str">
        <x:v>NPT_M_FX_06_10</x:v>
      </x:c>
      <x:c r="E335" s="47" t="str">
        <x:v>601R2_2WB_006</x:v>
      </x:c>
      <x:c r="F335" s="47" t="str"/>
      <x:c r="G335" s="33" t="str"/>
      <x:c r="H335" s="50" t="str"/>
      <x:c r="I335" s="50" t="str"/>
      <x:c r="J335" s="50" t="str"/>
      <x:c r="K335" s="47" t="str"/>
      <x:c r="L335" s="50" t="str"/>
      <x:c r="M335" s="50" t="str"/>
      <x:c r="N335" s="47" t="str"/>
      <x:c r="O335" s="50" t="str"/>
      <x:c r="P335" s="64" t="str">
        <x:f>IF(O335="","",O335*2)</x:f>
      </x:c>
      <x:c r="Q335" s="50" t="str"/>
      <x:c r="R335" s="47" t="str"/>
      <x:c r="S335" s="33" t="str">
        <x:v>Not Tested</x:v>
      </x:c>
      <x:c r="T335" s="64" t="str">
        <x:v>Eligible</x:v>
      </x:c>
      <x:c r="U335" s="47" t="str">
        <x:v>DHH W Series Bite-To-The-Wire</x:v>
      </x:c>
      <x:c r="V335" s="47" t="str">
        <x:v>R2-10</x:v>
      </x:c>
      <x:c r="W335" s="47" t="str">
        <x:v>Crimp full shell</x:v>
      </x:c>
      <x:c r="X335" s="50" t="n">
        <x:v>30.48</x:v>
      </x:c>
      <x:c r="Y335" s="50" t="n">
        <x:v>0.13</x:v>
      </x:c>
      <x:c r="Z335" s="47" t="str">
        <x:v>https://www.discounthydraulichose.com/v/vspfiles/downloadables/crimp.pdf (catalog p.99)</x:v>
      </x:c>
      <x:c r="AA335" s="47" t="str">
        <x:v>Published reference data; applicability is limited to the listed reference system and hose code.</x:v>
      </x:c>
      <x:c r="AB335" s="161" t="str">
        <x:v>Pending</x:v>
      </x:c>
    </x:row>
    <x:row r="336" ht="42" customHeight="1">
      <x:c r="A336" s="33" t="str">
        <x:v>Draft</x:v>
      </x:c>
      <x:c r="B336" s="47" t="str">
        <x:v>COMP_0332</x:v>
      </x:c>
      <x:c r="C336" s="47" t="str">
        <x:v>601R2_006</x:v>
      </x:c>
      <x:c r="D336" s="47" t="str">
        <x:v>NPT_M_FX_08_10</x:v>
      </x:c>
      <x:c r="E336" s="47" t="str">
        <x:v>601R2_2WB_006</x:v>
      </x:c>
      <x:c r="F336" s="47" t="str"/>
      <x:c r="G336" s="33" t="str"/>
      <x:c r="H336" s="50" t="str"/>
      <x:c r="I336" s="50" t="str"/>
      <x:c r="J336" s="50" t="str"/>
      <x:c r="K336" s="47" t="str"/>
      <x:c r="L336" s="50" t="str"/>
      <x:c r="M336" s="50" t="str"/>
      <x:c r="N336" s="47" t="str"/>
      <x:c r="O336" s="50" t="str"/>
      <x:c r="P336" s="64" t="str">
        <x:f>IF(O336="","",O336*2)</x:f>
      </x:c>
      <x:c r="Q336" s="50" t="str"/>
      <x:c r="R336" s="47" t="str"/>
      <x:c r="S336" s="33" t="str">
        <x:v>Not Tested</x:v>
      </x:c>
      <x:c r="T336" s="64" t="str">
        <x:v>Eligible</x:v>
      </x:c>
      <x:c r="U336" s="47" t="str">
        <x:v>DHH W Series Bite-To-The-Wire</x:v>
      </x:c>
      <x:c r="V336" s="47" t="str">
        <x:v>R2-10</x:v>
      </x:c>
      <x:c r="W336" s="47" t="str">
        <x:v>Crimp full shell</x:v>
      </x:c>
      <x:c r="X336" s="50" t="n">
        <x:v>30.48</x:v>
      </x:c>
      <x:c r="Y336" s="50" t="n">
        <x:v>0.13</x:v>
      </x:c>
      <x:c r="Z336" s="47" t="str">
        <x:v>https://www.discounthydraulichose.com/v/vspfiles/downloadables/crimp.pdf (catalog p.99)</x:v>
      </x:c>
      <x:c r="AA336" s="47" t="str">
        <x:v>Published reference data; applicability is limited to the listed reference system and hose code.</x:v>
      </x:c>
      <x:c r="AB336" s="161" t="str">
        <x:v>Pending</x:v>
      </x:c>
    </x:row>
    <x:row r="337" ht="42" customHeight="1">
      <x:c r="A337" s="33" t="str">
        <x:v>Draft</x:v>
      </x:c>
      <x:c r="B337" s="47" t="str">
        <x:v>COMP_0333</x:v>
      </x:c>
      <x:c r="C337" s="47" t="str">
        <x:v>601R2_006</x:v>
      </x:c>
      <x:c r="D337" s="47" t="str">
        <x:v>NPT_M_FX_12_10</x:v>
      </x:c>
      <x:c r="E337" s="47" t="str">
        <x:v>601R2_2WB_006</x:v>
      </x:c>
      <x:c r="F337" s="47" t="str"/>
      <x:c r="G337" s="33" t="str"/>
      <x:c r="H337" s="50" t="str"/>
      <x:c r="I337" s="50" t="str"/>
      <x:c r="J337" s="50" t="str"/>
      <x:c r="K337" s="47" t="str"/>
      <x:c r="L337" s="50" t="str"/>
      <x:c r="M337" s="50" t="str"/>
      <x:c r="N337" s="47" t="str"/>
      <x:c r="O337" s="50" t="str"/>
      <x:c r="P337" s="64" t="str">
        <x:f>IF(O337="","",O337*2)</x:f>
      </x:c>
      <x:c r="Q337" s="50" t="str"/>
      <x:c r="R337" s="47" t="str"/>
      <x:c r="S337" s="33" t="str">
        <x:v>Not Tested</x:v>
      </x:c>
      <x:c r="T337" s="64" t="str">
        <x:v>Eligible</x:v>
      </x:c>
      <x:c r="U337" s="47" t="str">
        <x:v>DHH W Series Bite-To-The-Wire</x:v>
      </x:c>
      <x:c r="V337" s="47" t="str">
        <x:v>R2-10</x:v>
      </x:c>
      <x:c r="W337" s="47" t="str">
        <x:v>Crimp full shell</x:v>
      </x:c>
      <x:c r="X337" s="50" t="n">
        <x:v>30.48</x:v>
      </x:c>
      <x:c r="Y337" s="50" t="n">
        <x:v>0.13</x:v>
      </x:c>
      <x:c r="Z337" s="47" t="str">
        <x:v>https://www.discounthydraulichose.com/v/vspfiles/downloadables/crimp.pdf (catalog p.99)</x:v>
      </x:c>
      <x:c r="AA337" s="47" t="str">
        <x:v>Published reference data; applicability is limited to the listed reference system and hose code.</x:v>
      </x:c>
      <x:c r="AB337" s="161" t="str">
        <x:v>Pending</x:v>
      </x:c>
    </x:row>
    <x:row r="338" ht="42" customHeight="1">
      <x:c r="A338" s="33" t="str">
        <x:v>Draft</x:v>
      </x:c>
      <x:c r="B338" s="47" t="str">
        <x:v>COMP_0334</x:v>
      </x:c>
      <x:c r="C338" s="47" t="str">
        <x:v>601R2_006</x:v>
      </x:c>
      <x:c r="D338" s="47" t="str">
        <x:v>ORFS_F_SW_08_10</x:v>
      </x:c>
      <x:c r="E338" s="47" t="str">
        <x:v>601R2_2WB_006</x:v>
      </x:c>
      <x:c r="F338" s="47" t="str"/>
      <x:c r="G338" s="33" t="str"/>
      <x:c r="H338" s="50" t="str"/>
      <x:c r="I338" s="50" t="str"/>
      <x:c r="J338" s="50" t="str"/>
      <x:c r="K338" s="47" t="str"/>
      <x:c r="L338" s="50" t="str"/>
      <x:c r="M338" s="50" t="str"/>
      <x:c r="N338" s="47" t="str"/>
      <x:c r="O338" s="50" t="str"/>
      <x:c r="P338" s="64" t="str">
        <x:f>IF(O338="","",O338*2)</x:f>
      </x:c>
      <x:c r="Q338" s="50" t="str"/>
      <x:c r="R338" s="47" t="str"/>
      <x:c r="S338" s="33" t="str">
        <x:v>Not Tested</x:v>
      </x:c>
      <x:c r="T338" s="64" t="str">
        <x:v>Eligible</x:v>
      </x:c>
      <x:c r="U338" s="47" t="str">
        <x:v>DHH W Series Bite-To-The-Wire</x:v>
      </x:c>
      <x:c r="V338" s="47" t="str">
        <x:v>R2-10</x:v>
      </x:c>
      <x:c r="W338" s="47" t="str">
        <x:v>Crimp full shell</x:v>
      </x:c>
      <x:c r="X338" s="50" t="n">
        <x:v>30.48</x:v>
      </x:c>
      <x:c r="Y338" s="50" t="n">
        <x:v>0.13</x:v>
      </x:c>
      <x:c r="Z338" s="47" t="str">
        <x:v>https://www.discounthydraulichose.com/v/vspfiles/downloadables/crimp.pdf (catalog p.99)</x:v>
      </x:c>
      <x:c r="AA338" s="47" t="str">
        <x:v>Published reference data; applicability is limited to the listed reference system and hose code.</x:v>
      </x:c>
      <x:c r="AB338" s="161" t="str">
        <x:v>Pending</x:v>
      </x:c>
    </x:row>
    <x:row r="339" ht="42" customHeight="1">
      <x:c r="A339" s="33" t="str">
        <x:v>Draft</x:v>
      </x:c>
      <x:c r="B339" s="47" t="str">
        <x:v>COMP_0335</x:v>
      </x:c>
      <x:c r="C339" s="47" t="str">
        <x:v>601R2_006</x:v>
      </x:c>
      <x:c r="D339" s="47" t="str">
        <x:v>ORFS_F_SW_10_10</x:v>
      </x:c>
      <x:c r="E339" s="47" t="str">
        <x:v>601R2_2WB_006</x:v>
      </x:c>
      <x:c r="F339" s="47" t="str"/>
      <x:c r="G339" s="33" t="str"/>
      <x:c r="H339" s="50" t="str"/>
      <x:c r="I339" s="50" t="str"/>
      <x:c r="J339" s="50" t="str"/>
      <x:c r="K339" s="47" t="str"/>
      <x:c r="L339" s="50" t="str"/>
      <x:c r="M339" s="50" t="str"/>
      <x:c r="N339" s="47" t="str"/>
      <x:c r="O339" s="50" t="str"/>
      <x:c r="P339" s="64" t="str">
        <x:f>IF(O339="","",O339*2)</x:f>
      </x:c>
      <x:c r="Q339" s="50" t="str"/>
      <x:c r="R339" s="47" t="str"/>
      <x:c r="S339" s="33" t="str">
        <x:v>Not Tested</x:v>
      </x:c>
      <x:c r="T339" s="64" t="str">
        <x:v>Eligible</x:v>
      </x:c>
      <x:c r="U339" s="47" t="str">
        <x:v>DHH W Series Bite-To-The-Wire</x:v>
      </x:c>
      <x:c r="V339" s="47" t="str">
        <x:v>R2-10</x:v>
      </x:c>
      <x:c r="W339" s="47" t="str">
        <x:v>Crimp full shell</x:v>
      </x:c>
      <x:c r="X339" s="50" t="n">
        <x:v>30.48</x:v>
      </x:c>
      <x:c r="Y339" s="50" t="n">
        <x:v>0.13</x:v>
      </x:c>
      <x:c r="Z339" s="47" t="str">
        <x:v>https://www.discounthydraulichose.com/v/vspfiles/downloadables/crimp.pdf (catalog p.99)</x:v>
      </x:c>
      <x:c r="AA339" s="47" t="str">
        <x:v>Published reference data; applicability is limited to the listed reference system and hose code.</x:v>
      </x:c>
      <x:c r="AB339" s="161" t="str">
        <x:v>Pending</x:v>
      </x:c>
    </x:row>
    <x:row r="340" ht="42" customHeight="1">
      <x:c r="A340" s="33" t="str">
        <x:v>Draft</x:v>
      </x:c>
      <x:c r="B340" s="47" t="str">
        <x:v>COMP_0336</x:v>
      </x:c>
      <x:c r="C340" s="47" t="str">
        <x:v>601R2_006</x:v>
      </x:c>
      <x:c r="D340" s="47" t="str">
        <x:v>ORFS_F_SW_12_10</x:v>
      </x:c>
      <x:c r="E340" s="47" t="str">
        <x:v>601R2_2WB_006</x:v>
      </x:c>
      <x:c r="F340" s="47" t="str"/>
      <x:c r="G340" s="33" t="str"/>
      <x:c r="H340" s="50" t="str"/>
      <x:c r="I340" s="50" t="str"/>
      <x:c r="J340" s="50" t="str"/>
      <x:c r="K340" s="47" t="str"/>
      <x:c r="L340" s="50" t="str"/>
      <x:c r="M340" s="50" t="str"/>
      <x:c r="N340" s="47" t="str"/>
      <x:c r="O340" s="50" t="str"/>
      <x:c r="P340" s="64" t="str">
        <x:f>IF(O340="","",O340*2)</x:f>
      </x:c>
      <x:c r="Q340" s="50" t="str"/>
      <x:c r="R340" s="47" t="str"/>
      <x:c r="S340" s="33" t="str">
        <x:v>Not Tested</x:v>
      </x:c>
      <x:c r="T340" s="64" t="str">
        <x:v>Eligible</x:v>
      </x:c>
      <x:c r="U340" s="47" t="str">
        <x:v>DHH W Series Bite-To-The-Wire</x:v>
      </x:c>
      <x:c r="V340" s="47" t="str">
        <x:v>R2-10</x:v>
      </x:c>
      <x:c r="W340" s="47" t="str">
        <x:v>Crimp full shell</x:v>
      </x:c>
      <x:c r="X340" s="50" t="n">
        <x:v>30.48</x:v>
      </x:c>
      <x:c r="Y340" s="50" t="n">
        <x:v>0.13</x:v>
      </x:c>
      <x:c r="Z340" s="47" t="str">
        <x:v>https://www.discounthydraulichose.com/v/vspfiles/downloadables/crimp.pdf (catalog p.99)</x:v>
      </x:c>
      <x:c r="AA340" s="47" t="str">
        <x:v>Published reference data; applicability is limited to the listed reference system and hose code.</x:v>
      </x:c>
      <x:c r="AB340" s="161" t="str">
        <x:v>Pending</x:v>
      </x:c>
    </x:row>
    <x:row r="341" ht="42" customHeight="1">
      <x:c r="A341" s="33" t="str">
        <x:v>Draft</x:v>
      </x:c>
      <x:c r="B341" s="47" t="str">
        <x:v>COMP_0337</x:v>
      </x:c>
      <x:c r="C341" s="47" t="str">
        <x:v>601R2_006</x:v>
      </x:c>
      <x:c r="D341" s="47" t="str">
        <x:v>ORFS_M_FX_10_10</x:v>
      </x:c>
      <x:c r="E341" s="47" t="str">
        <x:v>601R2_2WB_006</x:v>
      </x:c>
      <x:c r="F341" s="47" t="str"/>
      <x:c r="G341" s="33" t="str"/>
      <x:c r="H341" s="50" t="str"/>
      <x:c r="I341" s="50" t="str"/>
      <x:c r="J341" s="50" t="str"/>
      <x:c r="K341" s="47" t="str"/>
      <x:c r="L341" s="50" t="str"/>
      <x:c r="M341" s="50" t="str"/>
      <x:c r="N341" s="47" t="str"/>
      <x:c r="O341" s="50" t="str"/>
      <x:c r="P341" s="64" t="str">
        <x:f>IF(O341="","",O341*2)</x:f>
      </x:c>
      <x:c r="Q341" s="50" t="str"/>
      <x:c r="R341" s="47" t="str"/>
      <x:c r="S341" s="33" t="str">
        <x:v>Not Tested</x:v>
      </x:c>
      <x:c r="T341" s="64" t="str">
        <x:v>Eligible</x:v>
      </x:c>
      <x:c r="U341" s="47" t="str">
        <x:v>DHH W Series Bite-To-The-Wire</x:v>
      </x:c>
      <x:c r="V341" s="47" t="str">
        <x:v>R2-10</x:v>
      </x:c>
      <x:c r="W341" s="47" t="str">
        <x:v>Crimp full shell</x:v>
      </x:c>
      <x:c r="X341" s="50" t="n">
        <x:v>30.48</x:v>
      </x:c>
      <x:c r="Y341" s="50" t="n">
        <x:v>0.13</x:v>
      </x:c>
      <x:c r="Z341" s="47" t="str">
        <x:v>https://www.discounthydraulichose.com/v/vspfiles/downloadables/crimp.pdf (catalog p.99)</x:v>
      </x:c>
      <x:c r="AA341" s="47" t="str">
        <x:v>Published reference data; applicability is limited to the listed reference system and hose code.</x:v>
      </x:c>
      <x:c r="AB341" s="161" t="str">
        <x:v>Pending</x:v>
      </x:c>
    </x:row>
    <x:row r="342" ht="42" customHeight="1">
      <x:c r="A342" s="33" t="str">
        <x:v>Draft</x:v>
      </x:c>
      <x:c r="B342" s="47" t="str">
        <x:v>COMP_0338</x:v>
      </x:c>
      <x:c r="C342" s="47" t="str">
        <x:v>601R2_006</x:v>
      </x:c>
      <x:c r="D342" s="47" t="str">
        <x:v>ORFS_M_FX_12_10</x:v>
      </x:c>
      <x:c r="E342" s="47" t="str">
        <x:v>601R2_2WB_006</x:v>
      </x:c>
      <x:c r="F342" s="47" t="str"/>
      <x:c r="G342" s="33" t="str"/>
      <x:c r="H342" s="50" t="str"/>
      <x:c r="I342" s="50" t="str"/>
      <x:c r="J342" s="50" t="str"/>
      <x:c r="K342" s="47" t="str"/>
      <x:c r="L342" s="50" t="str"/>
      <x:c r="M342" s="50" t="str"/>
      <x:c r="N342" s="47" t="str"/>
      <x:c r="O342" s="50" t="str"/>
      <x:c r="P342" s="64" t="str">
        <x:f>IF(O342="","",O342*2)</x:f>
      </x:c>
      <x:c r="Q342" s="50" t="str"/>
      <x:c r="R342" s="47" t="str"/>
      <x:c r="S342" s="33" t="str">
        <x:v>Not Tested</x:v>
      </x:c>
      <x:c r="T342" s="64" t="str">
        <x:v>Eligible</x:v>
      </x:c>
      <x:c r="U342" s="47" t="str">
        <x:v>DHH W Series Bite-To-The-Wire</x:v>
      </x:c>
      <x:c r="V342" s="47" t="str">
        <x:v>R2-10</x:v>
      </x:c>
      <x:c r="W342" s="47" t="str">
        <x:v>Crimp full shell</x:v>
      </x:c>
      <x:c r="X342" s="50" t="n">
        <x:v>30.48</x:v>
      </x:c>
      <x:c r="Y342" s="50" t="n">
        <x:v>0.13</x:v>
      </x:c>
      <x:c r="Z342" s="47" t="str">
        <x:v>https://www.discounthydraulichose.com/v/vspfiles/downloadables/crimp.pdf (catalog p.99)</x:v>
      </x:c>
      <x:c r="AA342" s="47" t="str">
        <x:v>Published reference data; applicability is limited to the listed reference system and hose code.</x:v>
      </x:c>
      <x:c r="AB342" s="161" t="str">
        <x:v>Pending</x:v>
      </x:c>
    </x:row>
    <x:row r="343" ht="42" customHeight="1">
      <x:c r="A343" s="33" t="str">
        <x:v>Draft</x:v>
      </x:c>
      <x:c r="B343" s="47" t="str">
        <x:v>COMP_0339</x:v>
      </x:c>
      <x:c r="C343" s="47" t="str">
        <x:v>601R2_006</x:v>
      </x:c>
      <x:c r="D343" s="47" t="str">
        <x:v>ORFS45_F_SW_10_10</x:v>
      </x:c>
      <x:c r="E343" s="47" t="str">
        <x:v>601R2_2WB_006</x:v>
      </x:c>
      <x:c r="F343" s="47" t="str"/>
      <x:c r="G343" s="33" t="str"/>
      <x:c r="H343" s="50" t="str"/>
      <x:c r="I343" s="50" t="str"/>
      <x:c r="J343" s="50" t="str"/>
      <x:c r="K343" s="47" t="str"/>
      <x:c r="L343" s="50" t="str"/>
      <x:c r="M343" s="50" t="str"/>
      <x:c r="N343" s="47" t="str"/>
      <x:c r="O343" s="50" t="str"/>
      <x:c r="P343" s="64" t="str">
        <x:f>IF(O343="","",O343*2)</x:f>
      </x:c>
      <x:c r="Q343" s="50" t="str"/>
      <x:c r="R343" s="47" t="str"/>
      <x:c r="S343" s="33" t="str">
        <x:v>Not Tested</x:v>
      </x:c>
      <x:c r="T343" s="64" t="str">
        <x:v>Eligible</x:v>
      </x:c>
      <x:c r="U343" s="47" t="str">
        <x:v>DHH W Series Bite-To-The-Wire</x:v>
      </x:c>
      <x:c r="V343" s="47" t="str">
        <x:v>R2-10</x:v>
      </x:c>
      <x:c r="W343" s="47" t="str">
        <x:v>Crimp full shell</x:v>
      </x:c>
      <x:c r="X343" s="50" t="n">
        <x:v>30.48</x:v>
      </x:c>
      <x:c r="Y343" s="50" t="n">
        <x:v>0.13</x:v>
      </x:c>
      <x:c r="Z343" s="47" t="str">
        <x:v>https://www.discounthydraulichose.com/v/vspfiles/downloadables/crimp.pdf (catalog p.99)</x:v>
      </x:c>
      <x:c r="AA343" s="47" t="str">
        <x:v>Published reference data; applicability is limited to the listed reference system and hose code.</x:v>
      </x:c>
      <x:c r="AB343" s="161" t="str">
        <x:v>Pending</x:v>
      </x:c>
    </x:row>
    <x:row r="344" ht="42" customHeight="1">
      <x:c r="A344" s="33" t="str">
        <x:v>Draft</x:v>
      </x:c>
      <x:c r="B344" s="47" t="str">
        <x:v>COMP_0340</x:v>
      </x:c>
      <x:c r="C344" s="47" t="str">
        <x:v>601R2_006</x:v>
      </x:c>
      <x:c r="D344" s="47" t="str">
        <x:v>ORFS45_F_SW_12_10</x:v>
      </x:c>
      <x:c r="E344" s="47" t="str">
        <x:v>601R2_2WB_006</x:v>
      </x:c>
      <x:c r="F344" s="47" t="str"/>
      <x:c r="G344" s="33" t="str"/>
      <x:c r="H344" s="50" t="str"/>
      <x:c r="I344" s="50" t="str"/>
      <x:c r="J344" s="50" t="str"/>
      <x:c r="K344" s="47" t="str"/>
      <x:c r="L344" s="50" t="str"/>
      <x:c r="M344" s="50" t="str"/>
      <x:c r="N344" s="47" t="str"/>
      <x:c r="O344" s="50" t="str"/>
      <x:c r="P344" s="64" t="str">
        <x:f>IF(O344="","",O344*2)</x:f>
      </x:c>
      <x:c r="Q344" s="50" t="str"/>
      <x:c r="R344" s="47" t="str"/>
      <x:c r="S344" s="33" t="str">
        <x:v>Not Tested</x:v>
      </x:c>
      <x:c r="T344" s="64" t="str">
        <x:v>Eligible</x:v>
      </x:c>
      <x:c r="U344" s="47" t="str">
        <x:v>DHH W Series Bite-To-The-Wire</x:v>
      </x:c>
      <x:c r="V344" s="47" t="str">
        <x:v>R2-10</x:v>
      </x:c>
      <x:c r="W344" s="47" t="str">
        <x:v>Crimp full shell</x:v>
      </x:c>
      <x:c r="X344" s="50" t="n">
        <x:v>30.48</x:v>
      </x:c>
      <x:c r="Y344" s="50" t="n">
        <x:v>0.13</x:v>
      </x:c>
      <x:c r="Z344" s="47" t="str">
        <x:v>https://www.discounthydraulichose.com/v/vspfiles/downloadables/crimp.pdf (catalog p.99)</x:v>
      </x:c>
      <x:c r="AA344" s="47" t="str">
        <x:v>Published reference data; applicability is limited to the listed reference system and hose code.</x:v>
      </x:c>
      <x:c r="AB344" s="161" t="str">
        <x:v>Pending</x:v>
      </x:c>
    </x:row>
    <x:row r="345" ht="42" customHeight="1">
      <x:c r="A345" s="33" t="str">
        <x:v>Draft</x:v>
      </x:c>
      <x:c r="B345" s="47" t="str">
        <x:v>COMP_0341</x:v>
      </x:c>
      <x:c r="C345" s="47" t="str">
        <x:v>601R2_006</x:v>
      </x:c>
      <x:c r="D345" s="47" t="str">
        <x:v>ORFS90_F_SW_08_10</x:v>
      </x:c>
      <x:c r="E345" s="47" t="str">
        <x:v>601R2_2WB_006</x:v>
      </x:c>
      <x:c r="F345" s="47" t="str"/>
      <x:c r="G345" s="33" t="str"/>
      <x:c r="H345" s="50" t="str"/>
      <x:c r="I345" s="50" t="str"/>
      <x:c r="J345" s="50" t="str"/>
      <x:c r="K345" s="47" t="str"/>
      <x:c r="L345" s="50" t="str"/>
      <x:c r="M345" s="50" t="str"/>
      <x:c r="N345" s="47" t="str"/>
      <x:c r="O345" s="50" t="str"/>
      <x:c r="P345" s="64" t="str">
        <x:f>IF(O345="","",O345*2)</x:f>
      </x:c>
      <x:c r="Q345" s="50" t="str"/>
      <x:c r="R345" s="47" t="str"/>
      <x:c r="S345" s="33" t="str">
        <x:v>Not Tested</x:v>
      </x:c>
      <x:c r="T345" s="64" t="str">
        <x:v>Eligible</x:v>
      </x:c>
      <x:c r="U345" s="47" t="str">
        <x:v>DHH W Series Bite-To-The-Wire</x:v>
      </x:c>
      <x:c r="V345" s="47" t="str">
        <x:v>R2-10</x:v>
      </x:c>
      <x:c r="W345" s="47" t="str">
        <x:v>Crimp full shell</x:v>
      </x:c>
      <x:c r="X345" s="50" t="n">
        <x:v>30.48</x:v>
      </x:c>
      <x:c r="Y345" s="50" t="n">
        <x:v>0.13</x:v>
      </x:c>
      <x:c r="Z345" s="47" t="str">
        <x:v>https://www.discounthydraulichose.com/v/vspfiles/downloadables/crimp.pdf (catalog p.99)</x:v>
      </x:c>
      <x:c r="AA345" s="47" t="str">
        <x:v>Published reference data; applicability is limited to the listed reference system and hose code.</x:v>
      </x:c>
      <x:c r="AB345" s="161" t="str">
        <x:v>Pending</x:v>
      </x:c>
    </x:row>
    <x:row r="346" ht="42" customHeight="1">
      <x:c r="A346" s="33" t="str">
        <x:v>Draft</x:v>
      </x:c>
      <x:c r="B346" s="47" t="str">
        <x:v>COMP_0342</x:v>
      </x:c>
      <x:c r="C346" s="47" t="str">
        <x:v>601R2_006</x:v>
      </x:c>
      <x:c r="D346" s="47" t="str">
        <x:v>ORFS90_F_SW_10_10</x:v>
      </x:c>
      <x:c r="E346" s="47" t="str">
        <x:v>601R2_2WB_006</x:v>
      </x:c>
      <x:c r="F346" s="47" t="str"/>
      <x:c r="G346" s="33" t="str"/>
      <x:c r="H346" s="50" t="str"/>
      <x:c r="I346" s="50" t="str"/>
      <x:c r="J346" s="50" t="str"/>
      <x:c r="K346" s="47" t="str"/>
      <x:c r="L346" s="50" t="str"/>
      <x:c r="M346" s="50" t="str"/>
      <x:c r="N346" s="47" t="str"/>
      <x:c r="O346" s="50" t="str"/>
      <x:c r="P346" s="64" t="str">
        <x:f>IF(O346="","",O346*2)</x:f>
      </x:c>
      <x:c r="Q346" s="50" t="str"/>
      <x:c r="R346" s="47" t="str"/>
      <x:c r="S346" s="33" t="str">
        <x:v>Not Tested</x:v>
      </x:c>
      <x:c r="T346" s="64" t="str">
        <x:v>Eligible</x:v>
      </x:c>
      <x:c r="U346" s="47" t="str">
        <x:v>DHH W Series Bite-To-The-Wire</x:v>
      </x:c>
      <x:c r="V346" s="47" t="str">
        <x:v>R2-10</x:v>
      </x:c>
      <x:c r="W346" s="47" t="str">
        <x:v>Crimp full shell</x:v>
      </x:c>
      <x:c r="X346" s="50" t="n">
        <x:v>30.48</x:v>
      </x:c>
      <x:c r="Y346" s="50" t="n">
        <x:v>0.13</x:v>
      </x:c>
      <x:c r="Z346" s="47" t="str">
        <x:v>https://www.discounthydraulichose.com/v/vspfiles/downloadables/crimp.pdf (catalog p.99)</x:v>
      </x:c>
      <x:c r="AA346" s="47" t="str">
        <x:v>Published reference data; applicability is limited to the listed reference system and hose code.</x:v>
      </x:c>
      <x:c r="AB346" s="161" t="str">
        <x:v>Pending</x:v>
      </x:c>
    </x:row>
    <x:row r="347" ht="42" customHeight="1">
      <x:c r="A347" s="33" t="str">
        <x:v>Draft</x:v>
      </x:c>
      <x:c r="B347" s="47" t="str">
        <x:v>COMP_0343</x:v>
      </x:c>
      <x:c r="C347" s="47" t="str">
        <x:v>601R2_007</x:v>
      </x:c>
      <x:c r="D347" s="47" t="str">
        <x:v>BSPP_F_SW_12_12</x:v>
      </x:c>
      <x:c r="E347" s="47" t="str">
        <x:v>601R2_2WB_007</x:v>
      </x:c>
      <x:c r="F347" s="47" t="str"/>
      <x:c r="G347" s="33" t="str"/>
      <x:c r="H347" s="50" t="str"/>
      <x:c r="I347" s="50" t="str"/>
      <x:c r="J347" s="50" t="str"/>
      <x:c r="K347" s="47" t="str"/>
      <x:c r="L347" s="50" t="str"/>
      <x:c r="M347" s="50" t="str"/>
      <x:c r="N347" s="47" t="str"/>
      <x:c r="O347" s="50" t="str"/>
      <x:c r="P347" s="64" t="str">
        <x:f>IF(O347="","",O347*2)</x:f>
      </x:c>
      <x:c r="Q347" s="50" t="str"/>
      <x:c r="R347" s="47" t="str"/>
      <x:c r="S347" s="33" t="str">
        <x:v>Not Tested</x:v>
      </x:c>
      <x:c r="T347" s="64" t="str">
        <x:v>Eligible</x:v>
      </x:c>
      <x:c r="U347" s="47" t="str">
        <x:v>DHH W Series Bite-To-The-Wire</x:v>
      </x:c>
      <x:c r="V347" s="47" t="str">
        <x:v>R2-12</x:v>
      </x:c>
      <x:c r="W347" s="47" t="str">
        <x:v>Crimp full shell</x:v>
      </x:c>
      <x:c r="X347" s="50" t="n">
        <x:v>32.65</x:v>
      </x:c>
      <x:c r="Y347" s="50" t="n">
        <x:v>0.13</x:v>
      </x:c>
      <x:c r="Z347" s="47" t="str">
        <x:v>https://www.discounthydraulichose.com/v/vspfiles/downloadables/crimp.pdf (catalog p.99)</x:v>
      </x:c>
      <x:c r="AA347" s="47" t="str">
        <x:v>Published reference data; applicability is limited to the listed reference system and hose code.</x:v>
      </x:c>
      <x:c r="AB347" s="161" t="str">
        <x:v>Pending</x:v>
      </x:c>
    </x:row>
    <x:row r="348" ht="42" customHeight="1">
      <x:c r="A348" s="33" t="str">
        <x:v>Draft</x:v>
      </x:c>
      <x:c r="B348" s="47" t="str">
        <x:v>COMP_0344</x:v>
      </x:c>
      <x:c r="C348" s="47" t="str">
        <x:v>601R2_007</x:v>
      </x:c>
      <x:c r="D348" s="47" t="str">
        <x:v>BSPP_M_FX_12_12</x:v>
      </x:c>
      <x:c r="E348" s="47" t="str">
        <x:v>601R2_2WB_007</x:v>
      </x:c>
      <x:c r="F348" s="47" t="str"/>
      <x:c r="G348" s="33" t="str"/>
      <x:c r="H348" s="50" t="str"/>
      <x:c r="I348" s="50" t="str"/>
      <x:c r="J348" s="50" t="str"/>
      <x:c r="K348" s="47" t="str"/>
      <x:c r="L348" s="50" t="str"/>
      <x:c r="M348" s="50" t="str"/>
      <x:c r="N348" s="47" t="str"/>
      <x:c r="O348" s="50" t="str"/>
      <x:c r="P348" s="64" t="str">
        <x:f>IF(O348="","",O348*2)</x:f>
      </x:c>
      <x:c r="Q348" s="50" t="str"/>
      <x:c r="R348" s="47" t="str"/>
      <x:c r="S348" s="33" t="str">
        <x:v>Not Tested</x:v>
      </x:c>
      <x:c r="T348" s="64" t="str">
        <x:v>Eligible</x:v>
      </x:c>
      <x:c r="U348" s="47" t="str">
        <x:v>DHH W Series Bite-To-The-Wire</x:v>
      </x:c>
      <x:c r="V348" s="47" t="str">
        <x:v>R2-12</x:v>
      </x:c>
      <x:c r="W348" s="47" t="str">
        <x:v>Crimp full shell</x:v>
      </x:c>
      <x:c r="X348" s="50" t="n">
        <x:v>32.65</x:v>
      </x:c>
      <x:c r="Y348" s="50" t="n">
        <x:v>0.13</x:v>
      </x:c>
      <x:c r="Z348" s="47" t="str">
        <x:v>https://www.discounthydraulichose.com/v/vspfiles/downloadables/crimp.pdf (catalog p.99)</x:v>
      </x:c>
      <x:c r="AA348" s="47" t="str">
        <x:v>Published reference data; applicability is limited to the listed reference system and hose code.</x:v>
      </x:c>
      <x:c r="AB348" s="161" t="str">
        <x:v>Pending</x:v>
      </x:c>
    </x:row>
    <x:row r="349" ht="42" customHeight="1">
      <x:c r="A349" s="33" t="str">
        <x:v>Draft</x:v>
      </x:c>
      <x:c r="B349" s="47" t="str">
        <x:v>COMP_0345</x:v>
      </x:c>
      <x:c r="C349" s="47" t="str">
        <x:v>601R2_007</x:v>
      </x:c>
      <x:c r="D349" s="47" t="str">
        <x:v>BSPP45_F_SW_12_12</x:v>
      </x:c>
      <x:c r="E349" s="47" t="str">
        <x:v>601R2_2WB_007</x:v>
      </x:c>
      <x:c r="F349" s="47" t="str"/>
      <x:c r="G349" s="33" t="str"/>
      <x:c r="H349" s="50" t="str"/>
      <x:c r="I349" s="50" t="str"/>
      <x:c r="J349" s="50" t="str"/>
      <x:c r="K349" s="47" t="str"/>
      <x:c r="L349" s="50" t="str"/>
      <x:c r="M349" s="50" t="str"/>
      <x:c r="N349" s="47" t="str"/>
      <x:c r="O349" s="50" t="str"/>
      <x:c r="P349" s="64" t="str">
        <x:f>IF(O349="","",O349*2)</x:f>
      </x:c>
      <x:c r="Q349" s="50" t="str"/>
      <x:c r="R349" s="47" t="str"/>
      <x:c r="S349" s="33" t="str">
        <x:v>Not Tested</x:v>
      </x:c>
      <x:c r="T349" s="64" t="str">
        <x:v>Eligible</x:v>
      </x:c>
      <x:c r="U349" s="47" t="str">
        <x:v>DHH W Series Bite-To-The-Wire</x:v>
      </x:c>
      <x:c r="V349" s="47" t="str">
        <x:v>R2-12</x:v>
      </x:c>
      <x:c r="W349" s="47" t="str">
        <x:v>Crimp full shell</x:v>
      </x:c>
      <x:c r="X349" s="50" t="n">
        <x:v>32.65</x:v>
      </x:c>
      <x:c r="Y349" s="50" t="n">
        <x:v>0.13</x:v>
      </x:c>
      <x:c r="Z349" s="47" t="str">
        <x:v>https://www.discounthydraulichose.com/v/vspfiles/downloadables/crimp.pdf (catalog p.99)</x:v>
      </x:c>
      <x:c r="AA349" s="47" t="str">
        <x:v>Published reference data; applicability is limited to the listed reference system and hose code.</x:v>
      </x:c>
      <x:c r="AB349" s="161" t="str">
        <x:v>Pending</x:v>
      </x:c>
    </x:row>
    <x:row r="350" ht="42" customHeight="1">
      <x:c r="A350" s="33" t="str">
        <x:v>Draft</x:v>
      </x:c>
      <x:c r="B350" s="47" t="str">
        <x:v>COMP_0346</x:v>
      </x:c>
      <x:c r="C350" s="47" t="str">
        <x:v>601R2_007</x:v>
      </x:c>
      <x:c r="D350" s="47" t="str">
        <x:v>BSPP90_F_SW_12_12</x:v>
      </x:c>
      <x:c r="E350" s="47" t="str">
        <x:v>601R2_2WB_007</x:v>
      </x:c>
      <x:c r="F350" s="47" t="str"/>
      <x:c r="G350" s="33" t="str"/>
      <x:c r="H350" s="50" t="str"/>
      <x:c r="I350" s="50" t="str"/>
      <x:c r="J350" s="50" t="str"/>
      <x:c r="K350" s="47" t="str"/>
      <x:c r="L350" s="50" t="str"/>
      <x:c r="M350" s="50" t="str"/>
      <x:c r="N350" s="47" t="str"/>
      <x:c r="O350" s="50" t="str"/>
      <x:c r="P350" s="64" t="str">
        <x:f>IF(O350="","",O350*2)</x:f>
      </x:c>
      <x:c r="Q350" s="50" t="str"/>
      <x:c r="R350" s="47" t="str"/>
      <x:c r="S350" s="33" t="str">
        <x:v>Not Tested</x:v>
      </x:c>
      <x:c r="T350" s="64" t="str">
        <x:v>Eligible</x:v>
      </x:c>
      <x:c r="U350" s="47" t="str">
        <x:v>DHH W Series Bite-To-The-Wire</x:v>
      </x:c>
      <x:c r="V350" s="47" t="str">
        <x:v>R2-12</x:v>
      </x:c>
      <x:c r="W350" s="47" t="str">
        <x:v>Crimp full shell</x:v>
      </x:c>
      <x:c r="X350" s="50" t="n">
        <x:v>32.65</x:v>
      </x:c>
      <x:c r="Y350" s="50" t="n">
        <x:v>0.13</x:v>
      </x:c>
      <x:c r="Z350" s="47" t="str">
        <x:v>https://www.discounthydraulichose.com/v/vspfiles/downloadables/crimp.pdf (catalog p.99)</x:v>
      </x:c>
      <x:c r="AA350" s="47" t="str">
        <x:v>Published reference data; applicability is limited to the listed reference system and hose code.</x:v>
      </x:c>
      <x:c r="AB350" s="161" t="str">
        <x:v>Pending</x:v>
      </x:c>
    </x:row>
    <x:row r="351" ht="42" customHeight="1">
      <x:c r="A351" s="33" t="str">
        <x:v>Draft</x:v>
      </x:c>
      <x:c r="B351" s="47" t="str">
        <x:v>COMP_0347</x:v>
      </x:c>
      <x:c r="C351" s="47" t="str">
        <x:v>601R2_007</x:v>
      </x:c>
      <x:c r="D351" s="47" t="str">
        <x:v>BSPT_M_FX_12_12</x:v>
      </x:c>
      <x:c r="E351" s="47" t="str">
        <x:v>601R2_2WB_007</x:v>
      </x:c>
      <x:c r="F351" s="47" t="str"/>
      <x:c r="G351" s="33" t="str"/>
      <x:c r="H351" s="50" t="str"/>
      <x:c r="I351" s="50" t="str"/>
      <x:c r="J351" s="50" t="str"/>
      <x:c r="K351" s="47" t="str"/>
      <x:c r="L351" s="50" t="str"/>
      <x:c r="M351" s="50" t="str"/>
      <x:c r="N351" s="47" t="str"/>
      <x:c r="O351" s="50" t="str"/>
      <x:c r="P351" s="64" t="str">
        <x:f>IF(O351="","",O351*2)</x:f>
      </x:c>
      <x:c r="Q351" s="50" t="str"/>
      <x:c r="R351" s="47" t="str"/>
      <x:c r="S351" s="33" t="str">
        <x:v>Not Tested</x:v>
      </x:c>
      <x:c r="T351" s="64" t="str">
        <x:v>Eligible</x:v>
      </x:c>
      <x:c r="U351" s="47" t="str">
        <x:v>DHH W Series Bite-To-The-Wire</x:v>
      </x:c>
      <x:c r="V351" s="47" t="str">
        <x:v>R2-12</x:v>
      </x:c>
      <x:c r="W351" s="47" t="str">
        <x:v>Crimp full shell</x:v>
      </x:c>
      <x:c r="X351" s="50" t="n">
        <x:v>32.65</x:v>
      </x:c>
      <x:c r="Y351" s="50" t="n">
        <x:v>0.13</x:v>
      </x:c>
      <x:c r="Z351" s="47" t="str">
        <x:v>https://www.discounthydraulichose.com/v/vspfiles/downloadables/crimp.pdf (catalog p.99)</x:v>
      </x:c>
      <x:c r="AA351" s="47" t="str">
        <x:v>Published reference data; applicability is limited to the listed reference system and hose code.</x:v>
      </x:c>
      <x:c r="AB351" s="161" t="str">
        <x:v>Pending</x:v>
      </x:c>
    </x:row>
    <x:row r="352" ht="42" customHeight="1">
      <x:c r="A352" s="33" t="str">
        <x:v>Draft</x:v>
      </x:c>
      <x:c r="B352" s="47" t="str">
        <x:v>COMP_0348</x:v>
      </x:c>
      <x:c r="C352" s="47" t="str">
        <x:v>601R2_007</x:v>
      </x:c>
      <x:c r="D352" s="47" t="str">
        <x:v>JIC_F_SW_08_12</x:v>
      </x:c>
      <x:c r="E352" s="47" t="str">
        <x:v>601R2_2WB_007</x:v>
      </x:c>
      <x:c r="F352" s="47" t="str"/>
      <x:c r="G352" s="33" t="str"/>
      <x:c r="H352" s="50" t="str"/>
      <x:c r="I352" s="50" t="str"/>
      <x:c r="J352" s="50" t="str"/>
      <x:c r="K352" s="47" t="str"/>
      <x:c r="L352" s="50" t="str"/>
      <x:c r="M352" s="50" t="str"/>
      <x:c r="N352" s="47" t="str"/>
      <x:c r="O352" s="50" t="str"/>
      <x:c r="P352" s="64" t="str">
        <x:f>IF(O352="","",O352*2)</x:f>
      </x:c>
      <x:c r="Q352" s="50" t="str"/>
      <x:c r="R352" s="47" t="str"/>
      <x:c r="S352" s="33" t="str">
        <x:v>Not Tested</x:v>
      </x:c>
      <x:c r="T352" s="64" t="str">
        <x:v>Eligible</x:v>
      </x:c>
      <x:c r="U352" s="47" t="str">
        <x:v>DHH W Series Bite-To-The-Wire</x:v>
      </x:c>
      <x:c r="V352" s="47" t="str">
        <x:v>R2-12</x:v>
      </x:c>
      <x:c r="W352" s="47" t="str">
        <x:v>Crimp full shell</x:v>
      </x:c>
      <x:c r="X352" s="50" t="n">
        <x:v>32.65</x:v>
      </x:c>
      <x:c r="Y352" s="50" t="n">
        <x:v>0.13</x:v>
      </x:c>
      <x:c r="Z352" s="47" t="str">
        <x:v>https://www.discounthydraulichose.com/v/vspfiles/downloadables/crimp.pdf (catalog p.99)</x:v>
      </x:c>
      <x:c r="AA352" s="47" t="str">
        <x:v>Published reference data; applicability is limited to the listed reference system and hose code.</x:v>
      </x:c>
      <x:c r="AB352" s="161" t="str">
        <x:v>Pending</x:v>
      </x:c>
    </x:row>
    <x:row r="353" ht="42" customHeight="1">
      <x:c r="A353" s="33" t="str">
        <x:v>Draft</x:v>
      </x:c>
      <x:c r="B353" s="47" t="str">
        <x:v>COMP_0349</x:v>
      </x:c>
      <x:c r="C353" s="47" t="str">
        <x:v>601R2_007</x:v>
      </x:c>
      <x:c r="D353" s="47" t="str">
        <x:v>JIC_F_SW_10_12</x:v>
      </x:c>
      <x:c r="E353" s="47" t="str">
        <x:v>601R2_2WB_007</x:v>
      </x:c>
      <x:c r="F353" s="47" t="str"/>
      <x:c r="G353" s="33" t="str"/>
      <x:c r="H353" s="50" t="str"/>
      <x:c r="I353" s="50" t="str"/>
      <x:c r="J353" s="50" t="str"/>
      <x:c r="K353" s="47" t="str"/>
      <x:c r="L353" s="50" t="str"/>
      <x:c r="M353" s="50" t="str"/>
      <x:c r="N353" s="47" t="str"/>
      <x:c r="O353" s="50" t="str"/>
      <x:c r="P353" s="64" t="str">
        <x:f>IF(O353="","",O353*2)</x:f>
      </x:c>
      <x:c r="Q353" s="50" t="str"/>
      <x:c r="R353" s="47" t="str"/>
      <x:c r="S353" s="33" t="str">
        <x:v>Not Tested</x:v>
      </x:c>
      <x:c r="T353" s="64" t="str">
        <x:v>Eligible</x:v>
      </x:c>
      <x:c r="U353" s="47" t="str">
        <x:v>DHH W Series Bite-To-The-Wire</x:v>
      </x:c>
      <x:c r="V353" s="47" t="str">
        <x:v>R2-12</x:v>
      </x:c>
      <x:c r="W353" s="47" t="str">
        <x:v>Crimp full shell</x:v>
      </x:c>
      <x:c r="X353" s="50" t="n">
        <x:v>32.65</x:v>
      </x:c>
      <x:c r="Y353" s="50" t="n">
        <x:v>0.13</x:v>
      </x:c>
      <x:c r="Z353" s="47" t="str">
        <x:v>https://www.discounthydraulichose.com/v/vspfiles/downloadables/crimp.pdf (catalog p.99)</x:v>
      </x:c>
      <x:c r="AA353" s="47" t="str">
        <x:v>Published reference data; applicability is limited to the listed reference system and hose code.</x:v>
      </x:c>
      <x:c r="AB353" s="161" t="str">
        <x:v>Pending</x:v>
      </x:c>
    </x:row>
    <x:row r="354" ht="42" customHeight="1">
      <x:c r="A354" s="33" t="str">
        <x:v>Draft</x:v>
      </x:c>
      <x:c r="B354" s="47" t="str">
        <x:v>COMP_0350</x:v>
      </x:c>
      <x:c r="C354" s="47" t="str">
        <x:v>601R2_007</x:v>
      </x:c>
      <x:c r="D354" s="47" t="str">
        <x:v>JIC_F_SW_12_12</x:v>
      </x:c>
      <x:c r="E354" s="47" t="str">
        <x:v>601R2_2WB_007</x:v>
      </x:c>
      <x:c r="F354" s="47" t="str"/>
      <x:c r="G354" s="33" t="str"/>
      <x:c r="H354" s="50" t="str"/>
      <x:c r="I354" s="50" t="str"/>
      <x:c r="J354" s="50" t="str"/>
      <x:c r="K354" s="47" t="str"/>
      <x:c r="L354" s="50" t="str"/>
      <x:c r="M354" s="50" t="str"/>
      <x:c r="N354" s="47" t="str"/>
      <x:c r="O354" s="50" t="str"/>
      <x:c r="P354" s="64" t="str">
        <x:f>IF(O354="","",O354*2)</x:f>
      </x:c>
      <x:c r="Q354" s="50" t="str"/>
      <x:c r="R354" s="47" t="str"/>
      <x:c r="S354" s="33" t="str">
        <x:v>Not Tested</x:v>
      </x:c>
      <x:c r="T354" s="64" t="str">
        <x:v>Eligible</x:v>
      </x:c>
      <x:c r="U354" s="47" t="str">
        <x:v>DHH W Series Bite-To-The-Wire</x:v>
      </x:c>
      <x:c r="V354" s="47" t="str">
        <x:v>R2-12</x:v>
      </x:c>
      <x:c r="W354" s="47" t="str">
        <x:v>Crimp full shell</x:v>
      </x:c>
      <x:c r="X354" s="50" t="n">
        <x:v>32.65</x:v>
      </x:c>
      <x:c r="Y354" s="50" t="n">
        <x:v>0.13</x:v>
      </x:c>
      <x:c r="Z354" s="47" t="str">
        <x:v>https://www.discounthydraulichose.com/v/vspfiles/downloadables/crimp.pdf (catalog p.99)</x:v>
      </x:c>
      <x:c r="AA354" s="47" t="str">
        <x:v>Published reference data; applicability is limited to the listed reference system and hose code.</x:v>
      </x:c>
      <x:c r="AB354" s="161" t="str">
        <x:v>Pending</x:v>
      </x:c>
    </x:row>
    <x:row r="355" ht="42" customHeight="1">
      <x:c r="A355" s="33" t="str">
        <x:v>Draft</x:v>
      </x:c>
      <x:c r="B355" s="47" t="str">
        <x:v>COMP_0351</x:v>
      </x:c>
      <x:c r="C355" s="47" t="str">
        <x:v>601R2_007</x:v>
      </x:c>
      <x:c r="D355" s="47" t="str">
        <x:v>JIC_F_SW_14_12</x:v>
      </x:c>
      <x:c r="E355" s="47" t="str">
        <x:v>601R2_2WB_007</x:v>
      </x:c>
      <x:c r="F355" s="47" t="str"/>
      <x:c r="G355" s="33" t="str"/>
      <x:c r="H355" s="50" t="str"/>
      <x:c r="I355" s="50" t="str"/>
      <x:c r="J355" s="50" t="str"/>
      <x:c r="K355" s="47" t="str"/>
      <x:c r="L355" s="50" t="str"/>
      <x:c r="M355" s="50" t="str"/>
      <x:c r="N355" s="47" t="str"/>
      <x:c r="O355" s="50" t="str"/>
      <x:c r="P355" s="64" t="str">
        <x:f>IF(O355="","",O355*2)</x:f>
      </x:c>
      <x:c r="Q355" s="50" t="str"/>
      <x:c r="R355" s="47" t="str"/>
      <x:c r="S355" s="33" t="str">
        <x:v>Not Tested</x:v>
      </x:c>
      <x:c r="T355" s="64" t="str">
        <x:v>Eligible</x:v>
      </x:c>
      <x:c r="U355" s="47" t="str">
        <x:v>DHH W Series Bite-To-The-Wire</x:v>
      </x:c>
      <x:c r="V355" s="47" t="str">
        <x:v>R2-12</x:v>
      </x:c>
      <x:c r="W355" s="47" t="str">
        <x:v>Crimp full shell</x:v>
      </x:c>
      <x:c r="X355" s="50" t="n">
        <x:v>32.65</x:v>
      </x:c>
      <x:c r="Y355" s="50" t="n">
        <x:v>0.13</x:v>
      </x:c>
      <x:c r="Z355" s="47" t="str">
        <x:v>https://www.discounthydraulichose.com/v/vspfiles/downloadables/crimp.pdf (catalog p.99)</x:v>
      </x:c>
      <x:c r="AA355" s="47" t="str">
        <x:v>Published reference data; applicability is limited to the listed reference system and hose code.</x:v>
      </x:c>
      <x:c r="AB355" s="161" t="str">
        <x:v>Pending</x:v>
      </x:c>
    </x:row>
    <x:row r="356" ht="42" customHeight="1">
      <x:c r="A356" s="33" t="str">
        <x:v>Draft</x:v>
      </x:c>
      <x:c r="B356" s="47" t="str">
        <x:v>COMP_0352</x:v>
      </x:c>
      <x:c r="C356" s="47" t="str">
        <x:v>601R2_007</x:v>
      </x:c>
      <x:c r="D356" s="47" t="str">
        <x:v>JIC_F_SW_16_12</x:v>
      </x:c>
      <x:c r="E356" s="47" t="str">
        <x:v>601R2_2WB_007</x:v>
      </x:c>
      <x:c r="F356" s="47" t="str"/>
      <x:c r="G356" s="33" t="str"/>
      <x:c r="H356" s="50" t="str"/>
      <x:c r="I356" s="50" t="str"/>
      <x:c r="J356" s="50" t="str"/>
      <x:c r="K356" s="47" t="str"/>
      <x:c r="L356" s="50" t="str"/>
      <x:c r="M356" s="50" t="str"/>
      <x:c r="N356" s="47" t="str"/>
      <x:c r="O356" s="50" t="str"/>
      <x:c r="P356" s="64" t="str">
        <x:f>IF(O356="","",O356*2)</x:f>
      </x:c>
      <x:c r="Q356" s="50" t="str"/>
      <x:c r="R356" s="47" t="str"/>
      <x:c r="S356" s="33" t="str">
        <x:v>Not Tested</x:v>
      </x:c>
      <x:c r="T356" s="64" t="str">
        <x:v>Eligible</x:v>
      </x:c>
      <x:c r="U356" s="47" t="str">
        <x:v>DHH W Series Bite-To-The-Wire</x:v>
      </x:c>
      <x:c r="V356" s="47" t="str">
        <x:v>R2-12</x:v>
      </x:c>
      <x:c r="W356" s="47" t="str">
        <x:v>Crimp full shell</x:v>
      </x:c>
      <x:c r="X356" s="50" t="n">
        <x:v>32.65</x:v>
      </x:c>
      <x:c r="Y356" s="50" t="n">
        <x:v>0.13</x:v>
      </x:c>
      <x:c r="Z356" s="47" t="str">
        <x:v>https://www.discounthydraulichose.com/v/vspfiles/downloadables/crimp.pdf (catalog p.99)</x:v>
      </x:c>
      <x:c r="AA356" s="47" t="str">
        <x:v>Published reference data; applicability is limited to the listed reference system and hose code.</x:v>
      </x:c>
      <x:c r="AB356" s="161" t="str">
        <x:v>Pending</x:v>
      </x:c>
    </x:row>
    <x:row r="357" ht="42" customHeight="1">
      <x:c r="A357" s="33" t="str">
        <x:v>Draft</x:v>
      </x:c>
      <x:c r="B357" s="47" t="str">
        <x:v>COMP_0353</x:v>
      </x:c>
      <x:c r="C357" s="47" t="str">
        <x:v>601R2_007</x:v>
      </x:c>
      <x:c r="D357" s="47" t="str">
        <x:v>JIC_M_FX_12_12</x:v>
      </x:c>
      <x:c r="E357" s="47" t="str">
        <x:v>601R2_2WB_007</x:v>
      </x:c>
      <x:c r="F357" s="47" t="str"/>
      <x:c r="G357" s="33" t="str"/>
      <x:c r="H357" s="50" t="str"/>
      <x:c r="I357" s="50" t="str"/>
      <x:c r="J357" s="50" t="str"/>
      <x:c r="K357" s="47" t="str"/>
      <x:c r="L357" s="50" t="str"/>
      <x:c r="M357" s="50" t="str"/>
      <x:c r="N357" s="47" t="str"/>
      <x:c r="O357" s="50" t="str"/>
      <x:c r="P357" s="64" t="str">
        <x:f>IF(O357="","",O357*2)</x:f>
      </x:c>
      <x:c r="Q357" s="50" t="str"/>
      <x:c r="R357" s="47" t="str"/>
      <x:c r="S357" s="33" t="str">
        <x:v>Not Tested</x:v>
      </x:c>
      <x:c r="T357" s="64" t="str">
        <x:v>Eligible</x:v>
      </x:c>
      <x:c r="U357" s="47" t="str">
        <x:v>DHH W Series Bite-To-The-Wire</x:v>
      </x:c>
      <x:c r="V357" s="47" t="str">
        <x:v>R2-12</x:v>
      </x:c>
      <x:c r="W357" s="47" t="str">
        <x:v>Crimp full shell</x:v>
      </x:c>
      <x:c r="X357" s="50" t="n">
        <x:v>32.65</x:v>
      </x:c>
      <x:c r="Y357" s="50" t="n">
        <x:v>0.13</x:v>
      </x:c>
      <x:c r="Z357" s="47" t="str">
        <x:v>https://www.discounthydraulichose.com/v/vspfiles/downloadables/crimp.pdf (catalog p.99)</x:v>
      </x:c>
      <x:c r="AA357" s="47" t="str">
        <x:v>Published reference data; applicability is limited to the listed reference system and hose code.</x:v>
      </x:c>
      <x:c r="AB357" s="161" t="str">
        <x:v>Pending</x:v>
      </x:c>
    </x:row>
    <x:row r="358" ht="42" customHeight="1">
      <x:c r="A358" s="33" t="str">
        <x:v>Draft</x:v>
      </x:c>
      <x:c r="B358" s="47" t="str">
        <x:v>COMP_0354</x:v>
      </x:c>
      <x:c r="C358" s="47" t="str">
        <x:v>601R2_007</x:v>
      </x:c>
      <x:c r="D358" s="47" t="str">
        <x:v>JIC_M_FX_14_12</x:v>
      </x:c>
      <x:c r="E358" s="47" t="str">
        <x:v>601R2_2WB_007</x:v>
      </x:c>
      <x:c r="F358" s="47" t="str"/>
      <x:c r="G358" s="33" t="str"/>
      <x:c r="H358" s="50" t="str"/>
      <x:c r="I358" s="50" t="str"/>
      <x:c r="J358" s="50" t="str"/>
      <x:c r="K358" s="47" t="str"/>
      <x:c r="L358" s="50" t="str"/>
      <x:c r="M358" s="50" t="str"/>
      <x:c r="N358" s="47" t="str"/>
      <x:c r="O358" s="50" t="str"/>
      <x:c r="P358" s="64" t="str">
        <x:f>IF(O358="","",O358*2)</x:f>
      </x:c>
      <x:c r="Q358" s="50" t="str"/>
      <x:c r="R358" s="47" t="str"/>
      <x:c r="S358" s="33" t="str">
        <x:v>Not Tested</x:v>
      </x:c>
      <x:c r="T358" s="64" t="str">
        <x:v>Eligible</x:v>
      </x:c>
      <x:c r="U358" s="47" t="str">
        <x:v>DHH W Series Bite-To-The-Wire</x:v>
      </x:c>
      <x:c r="V358" s="47" t="str">
        <x:v>R2-12</x:v>
      </x:c>
      <x:c r="W358" s="47" t="str">
        <x:v>Crimp full shell</x:v>
      </x:c>
      <x:c r="X358" s="50" t="n">
        <x:v>32.65</x:v>
      </x:c>
      <x:c r="Y358" s="50" t="n">
        <x:v>0.13</x:v>
      </x:c>
      <x:c r="Z358" s="47" t="str">
        <x:v>https://www.discounthydraulichose.com/v/vspfiles/downloadables/crimp.pdf (catalog p.99)</x:v>
      </x:c>
      <x:c r="AA358" s="47" t="str">
        <x:v>Published reference data; applicability is limited to the listed reference system and hose code.</x:v>
      </x:c>
      <x:c r="AB358" s="161" t="str">
        <x:v>Pending</x:v>
      </x:c>
    </x:row>
    <x:row r="359" ht="42" customHeight="1">
      <x:c r="A359" s="33" t="str">
        <x:v>Draft</x:v>
      </x:c>
      <x:c r="B359" s="47" t="str">
        <x:v>COMP_0355</x:v>
      </x:c>
      <x:c r="C359" s="47" t="str">
        <x:v>601R2_007</x:v>
      </x:c>
      <x:c r="D359" s="47" t="str">
        <x:v>JIC_M_FX_16_12</x:v>
      </x:c>
      <x:c r="E359" s="47" t="str">
        <x:v>601R2_2WB_007</x:v>
      </x:c>
      <x:c r="F359" s="47" t="str"/>
      <x:c r="G359" s="33" t="str"/>
      <x:c r="H359" s="50" t="str"/>
      <x:c r="I359" s="50" t="str"/>
      <x:c r="J359" s="50" t="str"/>
      <x:c r="K359" s="47" t="str"/>
      <x:c r="L359" s="50" t="str"/>
      <x:c r="M359" s="50" t="str"/>
      <x:c r="N359" s="47" t="str"/>
      <x:c r="O359" s="50" t="str"/>
      <x:c r="P359" s="64" t="str">
        <x:f>IF(O359="","",O359*2)</x:f>
      </x:c>
      <x:c r="Q359" s="50" t="str"/>
      <x:c r="R359" s="47" t="str"/>
      <x:c r="S359" s="33" t="str">
        <x:v>Not Tested</x:v>
      </x:c>
      <x:c r="T359" s="64" t="str">
        <x:v>Eligible</x:v>
      </x:c>
      <x:c r="U359" s="47" t="str">
        <x:v>DHH W Series Bite-To-The-Wire</x:v>
      </x:c>
      <x:c r="V359" s="47" t="str">
        <x:v>R2-12</x:v>
      </x:c>
      <x:c r="W359" s="47" t="str">
        <x:v>Crimp full shell</x:v>
      </x:c>
      <x:c r="X359" s="50" t="n">
        <x:v>32.65</x:v>
      </x:c>
      <x:c r="Y359" s="50" t="n">
        <x:v>0.13</x:v>
      </x:c>
      <x:c r="Z359" s="47" t="str">
        <x:v>https://www.discounthydraulichose.com/v/vspfiles/downloadables/crimp.pdf (catalog p.99)</x:v>
      </x:c>
      <x:c r="AA359" s="47" t="str">
        <x:v>Published reference data; applicability is limited to the listed reference system and hose code.</x:v>
      </x:c>
      <x:c r="AB359" s="161" t="str">
        <x:v>Pending</x:v>
      </x:c>
    </x:row>
    <x:row r="360" ht="42" customHeight="1">
      <x:c r="A360" s="33" t="str">
        <x:v>Draft</x:v>
      </x:c>
      <x:c r="B360" s="47" t="str">
        <x:v>COMP_0356</x:v>
      </x:c>
      <x:c r="C360" s="47" t="str">
        <x:v>601R2_007</x:v>
      </x:c>
      <x:c r="D360" s="47" t="str">
        <x:v>JIC45_F_SW_12_12</x:v>
      </x:c>
      <x:c r="E360" s="47" t="str">
        <x:v>601R2_2WB_007</x:v>
      </x:c>
      <x:c r="F360" s="47" t="str"/>
      <x:c r="G360" s="33" t="str"/>
      <x:c r="H360" s="50" t="str"/>
      <x:c r="I360" s="50" t="str"/>
      <x:c r="J360" s="50" t="str"/>
      <x:c r="K360" s="47" t="str"/>
      <x:c r="L360" s="50" t="str"/>
      <x:c r="M360" s="50" t="str"/>
      <x:c r="N360" s="47" t="str"/>
      <x:c r="O360" s="50" t="str"/>
      <x:c r="P360" s="64" t="str">
        <x:f>IF(O360="","",O360*2)</x:f>
      </x:c>
      <x:c r="Q360" s="50" t="str"/>
      <x:c r="R360" s="47" t="str"/>
      <x:c r="S360" s="33" t="str">
        <x:v>Not Tested</x:v>
      </x:c>
      <x:c r="T360" s="64" t="str">
        <x:v>Eligible</x:v>
      </x:c>
      <x:c r="U360" s="47" t="str">
        <x:v>DHH W Series Bite-To-The-Wire</x:v>
      </x:c>
      <x:c r="V360" s="47" t="str">
        <x:v>R2-12</x:v>
      </x:c>
      <x:c r="W360" s="47" t="str">
        <x:v>Crimp full shell</x:v>
      </x:c>
      <x:c r="X360" s="50" t="n">
        <x:v>32.65</x:v>
      </x:c>
      <x:c r="Y360" s="50" t="n">
        <x:v>0.13</x:v>
      </x:c>
      <x:c r="Z360" s="47" t="str">
        <x:v>https://www.discounthydraulichose.com/v/vspfiles/downloadables/crimp.pdf (catalog p.99)</x:v>
      </x:c>
      <x:c r="AA360" s="47" t="str">
        <x:v>Published reference data; applicability is limited to the listed reference system and hose code.</x:v>
      </x:c>
      <x:c r="AB360" s="161" t="str">
        <x:v>Pending</x:v>
      </x:c>
    </x:row>
    <x:row r="361" ht="42" customHeight="1">
      <x:c r="A361" s="33" t="str">
        <x:v>Draft</x:v>
      </x:c>
      <x:c r="B361" s="47" t="str">
        <x:v>COMP_0357</x:v>
      </x:c>
      <x:c r="C361" s="47" t="str">
        <x:v>601R2_007</x:v>
      </x:c>
      <x:c r="D361" s="47" t="str">
        <x:v>JIC45_F_SW_16_12</x:v>
      </x:c>
      <x:c r="E361" s="47" t="str">
        <x:v>601R2_2WB_007</x:v>
      </x:c>
      <x:c r="F361" s="47" t="str"/>
      <x:c r="G361" s="33" t="str"/>
      <x:c r="H361" s="50" t="str"/>
      <x:c r="I361" s="50" t="str"/>
      <x:c r="J361" s="50" t="str"/>
      <x:c r="K361" s="47" t="str"/>
      <x:c r="L361" s="50" t="str"/>
      <x:c r="M361" s="50" t="str"/>
      <x:c r="N361" s="47" t="str"/>
      <x:c r="O361" s="50" t="str"/>
      <x:c r="P361" s="64" t="str">
        <x:f>IF(O361="","",O361*2)</x:f>
      </x:c>
      <x:c r="Q361" s="50" t="str"/>
      <x:c r="R361" s="47" t="str"/>
      <x:c r="S361" s="33" t="str">
        <x:v>Not Tested</x:v>
      </x:c>
      <x:c r="T361" s="64" t="str">
        <x:v>Eligible</x:v>
      </x:c>
      <x:c r="U361" s="47" t="str">
        <x:v>DHH W Series Bite-To-The-Wire</x:v>
      </x:c>
      <x:c r="V361" s="47" t="str">
        <x:v>R2-12</x:v>
      </x:c>
      <x:c r="W361" s="47" t="str">
        <x:v>Crimp full shell</x:v>
      </x:c>
      <x:c r="X361" s="50" t="n">
        <x:v>32.65</x:v>
      </x:c>
      <x:c r="Y361" s="50" t="n">
        <x:v>0.13</x:v>
      </x:c>
      <x:c r="Z361" s="47" t="str">
        <x:v>https://www.discounthydraulichose.com/v/vspfiles/downloadables/crimp.pdf (catalog p.99)</x:v>
      </x:c>
      <x:c r="AA361" s="47" t="str">
        <x:v>Published reference data; applicability is limited to the listed reference system and hose code.</x:v>
      </x:c>
      <x:c r="AB361" s="161" t="str">
        <x:v>Pending</x:v>
      </x:c>
    </x:row>
    <x:row r="362" ht="42" customHeight="1">
      <x:c r="A362" s="33" t="str">
        <x:v>Draft</x:v>
      </x:c>
      <x:c r="B362" s="47" t="str">
        <x:v>COMP_0358</x:v>
      </x:c>
      <x:c r="C362" s="47" t="str">
        <x:v>601R2_007</x:v>
      </x:c>
      <x:c r="D362" s="47" t="str">
        <x:v>JIC90_F_SW_12_12</x:v>
      </x:c>
      <x:c r="E362" s="47" t="str">
        <x:v>601R2_2WB_007</x:v>
      </x:c>
      <x:c r="F362" s="47" t="str"/>
      <x:c r="G362" s="33" t="str"/>
      <x:c r="H362" s="50" t="str"/>
      <x:c r="I362" s="50" t="str"/>
      <x:c r="J362" s="50" t="str"/>
      <x:c r="K362" s="47" t="str"/>
      <x:c r="L362" s="50" t="str"/>
      <x:c r="M362" s="50" t="str"/>
      <x:c r="N362" s="47" t="str"/>
      <x:c r="O362" s="50" t="str"/>
      <x:c r="P362" s="64" t="str">
        <x:f>IF(O362="","",O362*2)</x:f>
      </x:c>
      <x:c r="Q362" s="50" t="str"/>
      <x:c r="R362" s="47" t="str"/>
      <x:c r="S362" s="33" t="str">
        <x:v>Not Tested</x:v>
      </x:c>
      <x:c r="T362" s="64" t="str">
        <x:v>Eligible</x:v>
      </x:c>
      <x:c r="U362" s="47" t="str">
        <x:v>DHH W Series Bite-To-The-Wire</x:v>
      </x:c>
      <x:c r="V362" s="47" t="str">
        <x:v>R2-12</x:v>
      </x:c>
      <x:c r="W362" s="47" t="str">
        <x:v>Crimp full shell</x:v>
      </x:c>
      <x:c r="X362" s="50" t="n">
        <x:v>32.65</x:v>
      </x:c>
      <x:c r="Y362" s="50" t="n">
        <x:v>0.13</x:v>
      </x:c>
      <x:c r="Z362" s="47" t="str">
        <x:v>https://www.discounthydraulichose.com/v/vspfiles/downloadables/crimp.pdf (catalog p.99)</x:v>
      </x:c>
      <x:c r="AA362" s="47" t="str">
        <x:v>Published reference data; applicability is limited to the listed reference system and hose code.</x:v>
      </x:c>
      <x:c r="AB362" s="161" t="str">
        <x:v>Pending</x:v>
      </x:c>
    </x:row>
    <x:row r="363" ht="42" customHeight="1">
      <x:c r="A363" s="33" t="str">
        <x:v>Draft</x:v>
      </x:c>
      <x:c r="B363" s="47" t="str">
        <x:v>COMP_0359</x:v>
      </x:c>
      <x:c r="C363" s="47" t="str">
        <x:v>601R2_007</x:v>
      </x:c>
      <x:c r="D363" s="47" t="str">
        <x:v>JIC90_F_SW_16_12</x:v>
      </x:c>
      <x:c r="E363" s="47" t="str">
        <x:v>601R2_2WB_007</x:v>
      </x:c>
      <x:c r="F363" s="47" t="str"/>
      <x:c r="G363" s="33" t="str"/>
      <x:c r="H363" s="50" t="str"/>
      <x:c r="I363" s="50" t="str"/>
      <x:c r="J363" s="50" t="str"/>
      <x:c r="K363" s="47" t="str"/>
      <x:c r="L363" s="50" t="str"/>
      <x:c r="M363" s="50" t="str"/>
      <x:c r="N363" s="47" t="str"/>
      <x:c r="O363" s="50" t="str"/>
      <x:c r="P363" s="64" t="str">
        <x:f>IF(O363="","",O363*2)</x:f>
      </x:c>
      <x:c r="Q363" s="50" t="str"/>
      <x:c r="R363" s="47" t="str"/>
      <x:c r="S363" s="33" t="str">
        <x:v>Not Tested</x:v>
      </x:c>
      <x:c r="T363" s="64" t="str">
        <x:v>Eligible</x:v>
      </x:c>
      <x:c r="U363" s="47" t="str">
        <x:v>DHH W Series Bite-To-The-Wire</x:v>
      </x:c>
      <x:c r="V363" s="47" t="str">
        <x:v>R2-12</x:v>
      </x:c>
      <x:c r="W363" s="47" t="str">
        <x:v>Crimp full shell</x:v>
      </x:c>
      <x:c r="X363" s="50" t="n">
        <x:v>32.65</x:v>
      </x:c>
      <x:c r="Y363" s="50" t="n">
        <x:v>0.13</x:v>
      </x:c>
      <x:c r="Z363" s="47" t="str">
        <x:v>https://www.discounthydraulichose.com/v/vspfiles/downloadables/crimp.pdf (catalog p.99)</x:v>
      </x:c>
      <x:c r="AA363" s="47" t="str">
        <x:v>Published reference data; applicability is limited to the listed reference system and hose code.</x:v>
      </x:c>
      <x:c r="AB363" s="161" t="str">
        <x:v>Pending</x:v>
      </x:c>
    </x:row>
    <x:row r="364" ht="42" customHeight="1">
      <x:c r="A364" s="33" t="str">
        <x:v>Draft</x:v>
      </x:c>
      <x:c r="B364" s="47" t="str">
        <x:v>COMP_0360</x:v>
      </x:c>
      <x:c r="C364" s="47" t="str">
        <x:v>601R2_007</x:v>
      </x:c>
      <x:c r="D364" s="47" t="str">
        <x:v>NPT_F_FX_12_12</x:v>
      </x:c>
      <x:c r="E364" s="47" t="str">
        <x:v>601R2_2WB_007</x:v>
      </x:c>
      <x:c r="F364" s="47" t="str"/>
      <x:c r="G364" s="33" t="str"/>
      <x:c r="H364" s="50" t="str"/>
      <x:c r="I364" s="50" t="str"/>
      <x:c r="J364" s="50" t="str"/>
      <x:c r="K364" s="47" t="str"/>
      <x:c r="L364" s="50" t="str"/>
      <x:c r="M364" s="50" t="str"/>
      <x:c r="N364" s="47" t="str"/>
      <x:c r="O364" s="50" t="str"/>
      <x:c r="P364" s="64" t="str">
        <x:f>IF(O364="","",O364*2)</x:f>
      </x:c>
      <x:c r="Q364" s="50" t="str"/>
      <x:c r="R364" s="47" t="str"/>
      <x:c r="S364" s="33" t="str">
        <x:v>Not Tested</x:v>
      </x:c>
      <x:c r="T364" s="64" t="str">
        <x:v>Eligible</x:v>
      </x:c>
      <x:c r="U364" s="47" t="str">
        <x:v>DHH W Series Bite-To-The-Wire</x:v>
      </x:c>
      <x:c r="V364" s="47" t="str">
        <x:v>R2-12</x:v>
      </x:c>
      <x:c r="W364" s="47" t="str">
        <x:v>Crimp full shell</x:v>
      </x:c>
      <x:c r="X364" s="50" t="n">
        <x:v>32.65</x:v>
      </x:c>
      <x:c r="Y364" s="50" t="n">
        <x:v>0.13</x:v>
      </x:c>
      <x:c r="Z364" s="47" t="str">
        <x:v>https://www.discounthydraulichose.com/v/vspfiles/downloadables/crimp.pdf (catalog p.99)</x:v>
      </x:c>
      <x:c r="AA364" s="47" t="str">
        <x:v>Published reference data; applicability is limited to the listed reference system and hose code.</x:v>
      </x:c>
      <x:c r="AB364" s="161" t="str">
        <x:v>Pending</x:v>
      </x:c>
    </x:row>
    <x:row r="365" ht="42" customHeight="1">
      <x:c r="A365" s="33" t="str">
        <x:v>Draft</x:v>
      </x:c>
      <x:c r="B365" s="47" t="str">
        <x:v>COMP_0361</x:v>
      </x:c>
      <x:c r="C365" s="47" t="str">
        <x:v>601R2_007</x:v>
      </x:c>
      <x:c r="D365" s="47" t="str">
        <x:v>NPT_M_FX_08_12</x:v>
      </x:c>
      <x:c r="E365" s="47" t="str">
        <x:v>601R2_2WB_007</x:v>
      </x:c>
      <x:c r="F365" s="47" t="str"/>
      <x:c r="G365" s="33" t="str"/>
      <x:c r="H365" s="50" t="str"/>
      <x:c r="I365" s="50" t="str"/>
      <x:c r="J365" s="50" t="str"/>
      <x:c r="K365" s="47" t="str"/>
      <x:c r="L365" s="50" t="str"/>
      <x:c r="M365" s="50" t="str"/>
      <x:c r="N365" s="47" t="str"/>
      <x:c r="O365" s="50" t="str"/>
      <x:c r="P365" s="64" t="str">
        <x:f>IF(O365="","",O365*2)</x:f>
      </x:c>
      <x:c r="Q365" s="50" t="str"/>
      <x:c r="R365" s="47" t="str"/>
      <x:c r="S365" s="33" t="str">
        <x:v>Not Tested</x:v>
      </x:c>
      <x:c r="T365" s="64" t="str">
        <x:v>Eligible</x:v>
      </x:c>
      <x:c r="U365" s="47" t="str">
        <x:v>DHH W Series Bite-To-The-Wire</x:v>
      </x:c>
      <x:c r="V365" s="47" t="str">
        <x:v>R2-12</x:v>
      </x:c>
      <x:c r="W365" s="47" t="str">
        <x:v>Crimp full shell</x:v>
      </x:c>
      <x:c r="X365" s="50" t="n">
        <x:v>32.65</x:v>
      </x:c>
      <x:c r="Y365" s="50" t="n">
        <x:v>0.13</x:v>
      </x:c>
      <x:c r="Z365" s="47" t="str">
        <x:v>https://www.discounthydraulichose.com/v/vspfiles/downloadables/crimp.pdf (catalog p.99)</x:v>
      </x:c>
      <x:c r="AA365" s="47" t="str">
        <x:v>Published reference data; applicability is limited to the listed reference system and hose code.</x:v>
      </x:c>
      <x:c r="AB365" s="161" t="str">
        <x:v>Pending</x:v>
      </x:c>
    </x:row>
    <x:row r="366" ht="42" customHeight="1">
      <x:c r="A366" s="33" t="str">
        <x:v>Draft</x:v>
      </x:c>
      <x:c r="B366" s="47" t="str">
        <x:v>COMP_0362</x:v>
      </x:c>
      <x:c r="C366" s="47" t="str">
        <x:v>601R2_007</x:v>
      </x:c>
      <x:c r="D366" s="47" t="str">
        <x:v>NPT_M_FX_12_12</x:v>
      </x:c>
      <x:c r="E366" s="47" t="str">
        <x:v>601R2_2WB_007</x:v>
      </x:c>
      <x:c r="F366" s="47" t="str"/>
      <x:c r="G366" s="33" t="str"/>
      <x:c r="H366" s="50" t="str"/>
      <x:c r="I366" s="50" t="str"/>
      <x:c r="J366" s="50" t="str"/>
      <x:c r="K366" s="47" t="str"/>
      <x:c r="L366" s="50" t="str"/>
      <x:c r="M366" s="50" t="str"/>
      <x:c r="N366" s="47" t="str"/>
      <x:c r="O366" s="50" t="str"/>
      <x:c r="P366" s="64" t="str">
        <x:f>IF(O366="","",O366*2)</x:f>
      </x:c>
      <x:c r="Q366" s="50" t="str"/>
      <x:c r="R366" s="47" t="str"/>
      <x:c r="S366" s="33" t="str">
        <x:v>Not Tested</x:v>
      </x:c>
      <x:c r="T366" s="64" t="str">
        <x:v>Eligible</x:v>
      </x:c>
      <x:c r="U366" s="47" t="str">
        <x:v>DHH W Series Bite-To-The-Wire</x:v>
      </x:c>
      <x:c r="V366" s="47" t="str">
        <x:v>R2-12</x:v>
      </x:c>
      <x:c r="W366" s="47" t="str">
        <x:v>Crimp full shell</x:v>
      </x:c>
      <x:c r="X366" s="50" t="n">
        <x:v>32.65</x:v>
      </x:c>
      <x:c r="Y366" s="50" t="n">
        <x:v>0.13</x:v>
      </x:c>
      <x:c r="Z366" s="47" t="str">
        <x:v>https://www.discounthydraulichose.com/v/vspfiles/downloadables/crimp.pdf (catalog p.99)</x:v>
      </x:c>
      <x:c r="AA366" s="47" t="str">
        <x:v>Published reference data; applicability is limited to the listed reference system and hose code.</x:v>
      </x:c>
      <x:c r="AB366" s="161" t="str">
        <x:v>Pending</x:v>
      </x:c>
    </x:row>
    <x:row r="367" ht="42" customHeight="1">
      <x:c r="A367" s="33" t="str">
        <x:v>Draft</x:v>
      </x:c>
      <x:c r="B367" s="47" t="str">
        <x:v>COMP_0363</x:v>
      </x:c>
      <x:c r="C367" s="47" t="str">
        <x:v>601R2_007</x:v>
      </x:c>
      <x:c r="D367" s="47" t="str">
        <x:v>NPT_M_FX_16_12</x:v>
      </x:c>
      <x:c r="E367" s="47" t="str">
        <x:v>601R2_2WB_007</x:v>
      </x:c>
      <x:c r="F367" s="47" t="str"/>
      <x:c r="G367" s="33" t="str"/>
      <x:c r="H367" s="50" t="str"/>
      <x:c r="I367" s="50" t="str"/>
      <x:c r="J367" s="50" t="str"/>
      <x:c r="K367" s="47" t="str"/>
      <x:c r="L367" s="50" t="str"/>
      <x:c r="M367" s="50" t="str"/>
      <x:c r="N367" s="47" t="str"/>
      <x:c r="O367" s="50" t="str"/>
      <x:c r="P367" s="64" t="str">
        <x:f>IF(O367="","",O367*2)</x:f>
      </x:c>
      <x:c r="Q367" s="50" t="str"/>
      <x:c r="R367" s="47" t="str"/>
      <x:c r="S367" s="33" t="str">
        <x:v>Not Tested</x:v>
      </x:c>
      <x:c r="T367" s="64" t="str">
        <x:v>Eligible</x:v>
      </x:c>
      <x:c r="U367" s="47" t="str">
        <x:v>DHH W Series Bite-To-The-Wire</x:v>
      </x:c>
      <x:c r="V367" s="47" t="str">
        <x:v>R2-12</x:v>
      </x:c>
      <x:c r="W367" s="47" t="str">
        <x:v>Crimp full shell</x:v>
      </x:c>
      <x:c r="X367" s="50" t="n">
        <x:v>32.65</x:v>
      </x:c>
      <x:c r="Y367" s="50" t="n">
        <x:v>0.13</x:v>
      </x:c>
      <x:c r="Z367" s="47" t="str">
        <x:v>https://www.discounthydraulichose.com/v/vspfiles/downloadables/crimp.pdf (catalog p.99)</x:v>
      </x:c>
      <x:c r="AA367" s="47" t="str">
        <x:v>Published reference data; applicability is limited to the listed reference system and hose code.</x:v>
      </x:c>
      <x:c r="AB367" s="161" t="str">
        <x:v>Pending</x:v>
      </x:c>
    </x:row>
    <x:row r="368" ht="42" customHeight="1">
      <x:c r="A368" s="33" t="str">
        <x:v>Draft</x:v>
      </x:c>
      <x:c r="B368" s="47" t="str">
        <x:v>COMP_0364</x:v>
      </x:c>
      <x:c r="C368" s="47" t="str">
        <x:v>601R2_007</x:v>
      </x:c>
      <x:c r="D368" s="47" t="str">
        <x:v>NPT90_M_SW_12_12</x:v>
      </x:c>
      <x:c r="E368" s="47" t="str">
        <x:v>601R2_2WB_007</x:v>
      </x:c>
      <x:c r="F368" s="47" t="str"/>
      <x:c r="G368" s="33" t="str"/>
      <x:c r="H368" s="50" t="str"/>
      <x:c r="I368" s="50" t="str"/>
      <x:c r="J368" s="50" t="str"/>
      <x:c r="K368" s="47" t="str"/>
      <x:c r="L368" s="50" t="str"/>
      <x:c r="M368" s="50" t="str"/>
      <x:c r="N368" s="47" t="str"/>
      <x:c r="O368" s="50" t="str"/>
      <x:c r="P368" s="64" t="str">
        <x:f>IF(O368="","",O368*2)</x:f>
      </x:c>
      <x:c r="Q368" s="50" t="str"/>
      <x:c r="R368" s="47" t="str"/>
      <x:c r="S368" s="33" t="str">
        <x:v>Not Tested</x:v>
      </x:c>
      <x:c r="T368" s="64" t="str">
        <x:v>Eligible</x:v>
      </x:c>
      <x:c r="U368" s="47" t="str">
        <x:v>DHH W Series Bite-To-The-Wire</x:v>
      </x:c>
      <x:c r="V368" s="47" t="str">
        <x:v>R2-12</x:v>
      </x:c>
      <x:c r="W368" s="47" t="str">
        <x:v>Crimp full shell</x:v>
      </x:c>
      <x:c r="X368" s="50" t="n">
        <x:v>32.65</x:v>
      </x:c>
      <x:c r="Y368" s="50" t="n">
        <x:v>0.13</x:v>
      </x:c>
      <x:c r="Z368" s="47" t="str">
        <x:v>https://www.discounthydraulichose.com/v/vspfiles/downloadables/crimp.pdf (catalog p.99)</x:v>
      </x:c>
      <x:c r="AA368" s="47" t="str">
        <x:v>Published reference data; applicability is limited to the listed reference system and hose code.</x:v>
      </x:c>
      <x:c r="AB368" s="161" t="str">
        <x:v>Pending</x:v>
      </x:c>
    </x:row>
    <x:row r="369" ht="42" customHeight="1">
      <x:c r="A369" s="33" t="str">
        <x:v>Draft</x:v>
      </x:c>
      <x:c r="B369" s="47" t="str">
        <x:v>COMP_0365</x:v>
      </x:c>
      <x:c r="C369" s="47" t="str">
        <x:v>601R2_007</x:v>
      </x:c>
      <x:c r="D369" s="47" t="str">
        <x:v>ORFS_F_SW_10_12</x:v>
      </x:c>
      <x:c r="E369" s="47" t="str">
        <x:v>601R2_2WB_007</x:v>
      </x:c>
      <x:c r="F369" s="47" t="str"/>
      <x:c r="G369" s="33" t="str"/>
      <x:c r="H369" s="50" t="str"/>
      <x:c r="I369" s="50" t="str"/>
      <x:c r="J369" s="50" t="str"/>
      <x:c r="K369" s="47" t="str"/>
      <x:c r="L369" s="50" t="str"/>
      <x:c r="M369" s="50" t="str"/>
      <x:c r="N369" s="47" t="str"/>
      <x:c r="O369" s="50" t="str"/>
      <x:c r="P369" s="64" t="str">
        <x:f>IF(O369="","",O369*2)</x:f>
      </x:c>
      <x:c r="Q369" s="50" t="str"/>
      <x:c r="R369" s="47" t="str"/>
      <x:c r="S369" s="33" t="str">
        <x:v>Not Tested</x:v>
      </x:c>
      <x:c r="T369" s="64" t="str">
        <x:v>Eligible</x:v>
      </x:c>
      <x:c r="U369" s="47" t="str">
        <x:v>DHH W Series Bite-To-The-Wire</x:v>
      </x:c>
      <x:c r="V369" s="47" t="str">
        <x:v>R2-12</x:v>
      </x:c>
      <x:c r="W369" s="47" t="str">
        <x:v>Crimp full shell</x:v>
      </x:c>
      <x:c r="X369" s="50" t="n">
        <x:v>32.65</x:v>
      </x:c>
      <x:c r="Y369" s="50" t="n">
        <x:v>0.13</x:v>
      </x:c>
      <x:c r="Z369" s="47" t="str">
        <x:v>https://www.discounthydraulichose.com/v/vspfiles/downloadables/crimp.pdf (catalog p.99)</x:v>
      </x:c>
      <x:c r="AA369" s="47" t="str">
        <x:v>Published reference data; applicability is limited to the listed reference system and hose code.</x:v>
      </x:c>
      <x:c r="AB369" s="161" t="str">
        <x:v>Pending</x:v>
      </x:c>
    </x:row>
    <x:row r="370" ht="42" customHeight="1">
      <x:c r="A370" s="33" t="str">
        <x:v>Draft</x:v>
      </x:c>
      <x:c r="B370" s="47" t="str">
        <x:v>COMP_0366</x:v>
      </x:c>
      <x:c r="C370" s="47" t="str">
        <x:v>601R2_007</x:v>
      </x:c>
      <x:c r="D370" s="47" t="str">
        <x:v>ORFS_F_SW_12_12</x:v>
      </x:c>
      <x:c r="E370" s="47" t="str">
        <x:v>601R2_2WB_007</x:v>
      </x:c>
      <x:c r="F370" s="47" t="str"/>
      <x:c r="G370" s="33" t="str"/>
      <x:c r="H370" s="50" t="str"/>
      <x:c r="I370" s="50" t="str"/>
      <x:c r="J370" s="50" t="str"/>
      <x:c r="K370" s="47" t="str"/>
      <x:c r="L370" s="50" t="str"/>
      <x:c r="M370" s="50" t="str"/>
      <x:c r="N370" s="47" t="str"/>
      <x:c r="O370" s="50" t="str"/>
      <x:c r="P370" s="64" t="str">
        <x:f>IF(O370="","",O370*2)</x:f>
      </x:c>
      <x:c r="Q370" s="50" t="str"/>
      <x:c r="R370" s="47" t="str"/>
      <x:c r="S370" s="33" t="str">
        <x:v>Not Tested</x:v>
      </x:c>
      <x:c r="T370" s="64" t="str">
        <x:v>Eligible</x:v>
      </x:c>
      <x:c r="U370" s="47" t="str">
        <x:v>DHH W Series Bite-To-The-Wire</x:v>
      </x:c>
      <x:c r="V370" s="47" t="str">
        <x:v>R2-12</x:v>
      </x:c>
      <x:c r="W370" s="47" t="str">
        <x:v>Crimp full shell</x:v>
      </x:c>
      <x:c r="X370" s="50" t="n">
        <x:v>32.65</x:v>
      </x:c>
      <x:c r="Y370" s="50" t="n">
        <x:v>0.13</x:v>
      </x:c>
      <x:c r="Z370" s="47" t="str">
        <x:v>https://www.discounthydraulichose.com/v/vspfiles/downloadables/crimp.pdf (catalog p.99)</x:v>
      </x:c>
      <x:c r="AA370" s="47" t="str">
        <x:v>Published reference data; applicability is limited to the listed reference system and hose code.</x:v>
      </x:c>
      <x:c r="AB370" s="161" t="str">
        <x:v>Pending</x:v>
      </x:c>
    </x:row>
    <x:row r="371" ht="42" customHeight="1">
      <x:c r="A371" s="33" t="str">
        <x:v>Draft</x:v>
      </x:c>
      <x:c r="B371" s="47" t="str">
        <x:v>COMP_0367</x:v>
      </x:c>
      <x:c r="C371" s="47" t="str">
        <x:v>601R2_007</x:v>
      </x:c>
      <x:c r="D371" s="47" t="str">
        <x:v>ORFS_F_SW_16_12</x:v>
      </x:c>
      <x:c r="E371" s="47" t="str">
        <x:v>601R2_2WB_007</x:v>
      </x:c>
      <x:c r="F371" s="47" t="str"/>
      <x:c r="G371" s="33" t="str"/>
      <x:c r="H371" s="50" t="str"/>
      <x:c r="I371" s="50" t="str"/>
      <x:c r="J371" s="50" t="str"/>
      <x:c r="K371" s="47" t="str"/>
      <x:c r="L371" s="50" t="str"/>
      <x:c r="M371" s="50" t="str"/>
      <x:c r="N371" s="47" t="str"/>
      <x:c r="O371" s="50" t="str"/>
      <x:c r="P371" s="64" t="str">
        <x:f>IF(O371="","",O371*2)</x:f>
      </x:c>
      <x:c r="Q371" s="50" t="str"/>
      <x:c r="R371" s="47" t="str"/>
      <x:c r="S371" s="33" t="str">
        <x:v>Not Tested</x:v>
      </x:c>
      <x:c r="T371" s="64" t="str">
        <x:v>Eligible</x:v>
      </x:c>
      <x:c r="U371" s="47" t="str">
        <x:v>DHH W Series Bite-To-The-Wire</x:v>
      </x:c>
      <x:c r="V371" s="47" t="str">
        <x:v>R2-12</x:v>
      </x:c>
      <x:c r="W371" s="47" t="str">
        <x:v>Crimp full shell</x:v>
      </x:c>
      <x:c r="X371" s="50" t="n">
        <x:v>32.65</x:v>
      </x:c>
      <x:c r="Y371" s="50" t="n">
        <x:v>0.13</x:v>
      </x:c>
      <x:c r="Z371" s="47" t="str">
        <x:v>https://www.discounthydraulichose.com/v/vspfiles/downloadables/crimp.pdf (catalog p.99)</x:v>
      </x:c>
      <x:c r="AA371" s="47" t="str">
        <x:v>Published reference data; applicability is limited to the listed reference system and hose code.</x:v>
      </x:c>
      <x:c r="AB371" s="161" t="str">
        <x:v>Pending</x:v>
      </x:c>
    </x:row>
    <x:row r="372" ht="42" customHeight="1">
      <x:c r="A372" s="33" t="str">
        <x:v>Draft</x:v>
      </x:c>
      <x:c r="B372" s="47" t="str">
        <x:v>COMP_0368</x:v>
      </x:c>
      <x:c r="C372" s="47" t="str">
        <x:v>601R2_007</x:v>
      </x:c>
      <x:c r="D372" s="47" t="str">
        <x:v>ORFS_M_FX_12_12</x:v>
      </x:c>
      <x:c r="E372" s="47" t="str">
        <x:v>601R2_2WB_007</x:v>
      </x:c>
      <x:c r="F372" s="47" t="str"/>
      <x:c r="G372" s="33" t="str"/>
      <x:c r="H372" s="50" t="str"/>
      <x:c r="I372" s="50" t="str"/>
      <x:c r="J372" s="50" t="str"/>
      <x:c r="K372" s="47" t="str"/>
      <x:c r="L372" s="50" t="str"/>
      <x:c r="M372" s="50" t="str"/>
      <x:c r="N372" s="47" t="str"/>
      <x:c r="O372" s="50" t="str"/>
      <x:c r="P372" s="64" t="str">
        <x:f>IF(O372="","",O372*2)</x:f>
      </x:c>
      <x:c r="Q372" s="50" t="str"/>
      <x:c r="R372" s="47" t="str"/>
      <x:c r="S372" s="33" t="str">
        <x:v>Not Tested</x:v>
      </x:c>
      <x:c r="T372" s="64" t="str">
        <x:v>Eligible</x:v>
      </x:c>
      <x:c r="U372" s="47" t="str">
        <x:v>DHH W Series Bite-To-The-Wire</x:v>
      </x:c>
      <x:c r="V372" s="47" t="str">
        <x:v>R2-12</x:v>
      </x:c>
      <x:c r="W372" s="47" t="str">
        <x:v>Crimp full shell</x:v>
      </x:c>
      <x:c r="X372" s="50" t="n">
        <x:v>32.65</x:v>
      </x:c>
      <x:c r="Y372" s="50" t="n">
        <x:v>0.13</x:v>
      </x:c>
      <x:c r="Z372" s="47" t="str">
        <x:v>https://www.discounthydraulichose.com/v/vspfiles/downloadables/crimp.pdf (catalog p.99)</x:v>
      </x:c>
      <x:c r="AA372" s="47" t="str">
        <x:v>Published reference data; applicability is limited to the listed reference system and hose code.</x:v>
      </x:c>
      <x:c r="AB372" s="161" t="str">
        <x:v>Pending</x:v>
      </x:c>
    </x:row>
    <x:row r="373" ht="42" customHeight="1">
      <x:c r="A373" s="33" t="str">
        <x:v>Draft</x:v>
      </x:c>
      <x:c r="B373" s="47" t="str">
        <x:v>COMP_0369</x:v>
      </x:c>
      <x:c r="C373" s="47" t="str">
        <x:v>601R2_007</x:v>
      </x:c>
      <x:c r="D373" s="47" t="str">
        <x:v>ORFS_M_FX_16_12</x:v>
      </x:c>
      <x:c r="E373" s="47" t="str">
        <x:v>601R2_2WB_007</x:v>
      </x:c>
      <x:c r="F373" s="47" t="str"/>
      <x:c r="G373" s="33" t="str"/>
      <x:c r="H373" s="50" t="str"/>
      <x:c r="I373" s="50" t="str"/>
      <x:c r="J373" s="50" t="str"/>
      <x:c r="K373" s="47" t="str"/>
      <x:c r="L373" s="50" t="str"/>
      <x:c r="M373" s="50" t="str"/>
      <x:c r="N373" s="47" t="str"/>
      <x:c r="O373" s="50" t="str"/>
      <x:c r="P373" s="64" t="str">
        <x:f>IF(O373="","",O373*2)</x:f>
      </x:c>
      <x:c r="Q373" s="50" t="str"/>
      <x:c r="R373" s="47" t="str"/>
      <x:c r="S373" s="33" t="str">
        <x:v>Not Tested</x:v>
      </x:c>
      <x:c r="T373" s="64" t="str">
        <x:v>Eligible</x:v>
      </x:c>
      <x:c r="U373" s="47" t="str">
        <x:v>DHH W Series Bite-To-The-Wire</x:v>
      </x:c>
      <x:c r="V373" s="47" t="str">
        <x:v>R2-12</x:v>
      </x:c>
      <x:c r="W373" s="47" t="str">
        <x:v>Crimp full shell</x:v>
      </x:c>
      <x:c r="X373" s="50" t="n">
        <x:v>32.65</x:v>
      </x:c>
      <x:c r="Y373" s="50" t="n">
        <x:v>0.13</x:v>
      </x:c>
      <x:c r="Z373" s="47" t="str">
        <x:v>https://www.discounthydraulichose.com/v/vspfiles/downloadables/crimp.pdf (catalog p.99)</x:v>
      </x:c>
      <x:c r="AA373" s="47" t="str">
        <x:v>Published reference data; applicability is limited to the listed reference system and hose code.</x:v>
      </x:c>
      <x:c r="AB373" s="161" t="str">
        <x:v>Pending</x:v>
      </x:c>
    </x:row>
    <x:row r="374" ht="42" customHeight="1">
      <x:c r="A374" s="33" t="str">
        <x:v>Draft</x:v>
      </x:c>
      <x:c r="B374" s="47" t="str">
        <x:v>COMP_0370</x:v>
      </x:c>
      <x:c r="C374" s="47" t="str">
        <x:v>601R2_007</x:v>
      </x:c>
      <x:c r="D374" s="47" t="str">
        <x:v>ORFS45_F_SW_10_12</x:v>
      </x:c>
      <x:c r="E374" s="47" t="str">
        <x:v>601R2_2WB_007</x:v>
      </x:c>
      <x:c r="F374" s="47" t="str"/>
      <x:c r="G374" s="33" t="str"/>
      <x:c r="H374" s="50" t="str"/>
      <x:c r="I374" s="50" t="str"/>
      <x:c r="J374" s="50" t="str"/>
      <x:c r="K374" s="47" t="str"/>
      <x:c r="L374" s="50" t="str"/>
      <x:c r="M374" s="50" t="str"/>
      <x:c r="N374" s="47" t="str"/>
      <x:c r="O374" s="50" t="str"/>
      <x:c r="P374" s="64" t="str">
        <x:f>IF(O374="","",O374*2)</x:f>
      </x:c>
      <x:c r="Q374" s="50" t="str"/>
      <x:c r="R374" s="47" t="str"/>
      <x:c r="S374" s="33" t="str">
        <x:v>Not Tested</x:v>
      </x:c>
      <x:c r="T374" s="64" t="str">
        <x:v>Eligible</x:v>
      </x:c>
      <x:c r="U374" s="47" t="str">
        <x:v>DHH W Series Bite-To-The-Wire</x:v>
      </x:c>
      <x:c r="V374" s="47" t="str">
        <x:v>R2-12</x:v>
      </x:c>
      <x:c r="W374" s="47" t="str">
        <x:v>Crimp full shell</x:v>
      </x:c>
      <x:c r="X374" s="50" t="n">
        <x:v>32.65</x:v>
      </x:c>
      <x:c r="Y374" s="50" t="n">
        <x:v>0.13</x:v>
      </x:c>
      <x:c r="Z374" s="47" t="str">
        <x:v>https://www.discounthydraulichose.com/v/vspfiles/downloadables/crimp.pdf (catalog p.99)</x:v>
      </x:c>
      <x:c r="AA374" s="47" t="str">
        <x:v>Published reference data; applicability is limited to the listed reference system and hose code.</x:v>
      </x:c>
      <x:c r="AB374" s="161" t="str">
        <x:v>Pending</x:v>
      </x:c>
    </x:row>
    <x:row r="375" ht="42" customHeight="1">
      <x:c r="A375" s="33" t="str">
        <x:v>Draft</x:v>
      </x:c>
      <x:c r="B375" s="47" t="str">
        <x:v>COMP_0371</x:v>
      </x:c>
      <x:c r="C375" s="47" t="str">
        <x:v>601R2_007</x:v>
      </x:c>
      <x:c r="D375" s="47" t="str">
        <x:v>ORFS45_F_SW_12_12</x:v>
      </x:c>
      <x:c r="E375" s="47" t="str">
        <x:v>601R2_2WB_007</x:v>
      </x:c>
      <x:c r="F375" s="47" t="str"/>
      <x:c r="G375" s="33" t="str"/>
      <x:c r="H375" s="50" t="str"/>
      <x:c r="I375" s="50" t="str"/>
      <x:c r="J375" s="50" t="str"/>
      <x:c r="K375" s="47" t="str"/>
      <x:c r="L375" s="50" t="str"/>
      <x:c r="M375" s="50" t="str"/>
      <x:c r="N375" s="47" t="str"/>
      <x:c r="O375" s="50" t="str"/>
      <x:c r="P375" s="64" t="str">
        <x:f>IF(O375="","",O375*2)</x:f>
      </x:c>
      <x:c r="Q375" s="50" t="str"/>
      <x:c r="R375" s="47" t="str"/>
      <x:c r="S375" s="33" t="str">
        <x:v>Not Tested</x:v>
      </x:c>
      <x:c r="T375" s="64" t="str">
        <x:v>Eligible</x:v>
      </x:c>
      <x:c r="U375" s="47" t="str">
        <x:v>DHH W Series Bite-To-The-Wire</x:v>
      </x:c>
      <x:c r="V375" s="47" t="str">
        <x:v>R2-12</x:v>
      </x:c>
      <x:c r="W375" s="47" t="str">
        <x:v>Crimp full shell</x:v>
      </x:c>
      <x:c r="X375" s="50" t="n">
        <x:v>32.65</x:v>
      </x:c>
      <x:c r="Y375" s="50" t="n">
        <x:v>0.13</x:v>
      </x:c>
      <x:c r="Z375" s="47" t="str">
        <x:v>https://www.discounthydraulichose.com/v/vspfiles/downloadables/crimp.pdf (catalog p.99)</x:v>
      </x:c>
      <x:c r="AA375" s="47" t="str">
        <x:v>Published reference data; applicability is limited to the listed reference system and hose code.</x:v>
      </x:c>
      <x:c r="AB375" s="161" t="str">
        <x:v>Pending</x:v>
      </x:c>
    </x:row>
    <x:row r="376" ht="42" customHeight="1">
      <x:c r="A376" s="33" t="str">
        <x:v>Draft</x:v>
      </x:c>
      <x:c r="B376" s="47" t="str">
        <x:v>COMP_0372</x:v>
      </x:c>
      <x:c r="C376" s="47" t="str">
        <x:v>601R2_007</x:v>
      </x:c>
      <x:c r="D376" s="47" t="str">
        <x:v>ORFS45_F_SW_16_12</x:v>
      </x:c>
      <x:c r="E376" s="47" t="str">
        <x:v>601R2_2WB_007</x:v>
      </x:c>
      <x:c r="F376" s="47" t="str"/>
      <x:c r="G376" s="33" t="str"/>
      <x:c r="H376" s="50" t="str"/>
      <x:c r="I376" s="50" t="str"/>
      <x:c r="J376" s="50" t="str"/>
      <x:c r="K376" s="47" t="str"/>
      <x:c r="L376" s="50" t="str"/>
      <x:c r="M376" s="50" t="str"/>
      <x:c r="N376" s="47" t="str"/>
      <x:c r="O376" s="50" t="str"/>
      <x:c r="P376" s="64" t="str">
        <x:f>IF(O376="","",O376*2)</x:f>
      </x:c>
      <x:c r="Q376" s="50" t="str"/>
      <x:c r="R376" s="47" t="str"/>
      <x:c r="S376" s="33" t="str">
        <x:v>Not Tested</x:v>
      </x:c>
      <x:c r="T376" s="64" t="str">
        <x:v>Eligible</x:v>
      </x:c>
      <x:c r="U376" s="47" t="str">
        <x:v>DHH W Series Bite-To-The-Wire</x:v>
      </x:c>
      <x:c r="V376" s="47" t="str">
        <x:v>R2-12</x:v>
      </x:c>
      <x:c r="W376" s="47" t="str">
        <x:v>Crimp full shell</x:v>
      </x:c>
      <x:c r="X376" s="50" t="n">
        <x:v>32.65</x:v>
      </x:c>
      <x:c r="Y376" s="50" t="n">
        <x:v>0.13</x:v>
      </x:c>
      <x:c r="Z376" s="47" t="str">
        <x:v>https://www.discounthydraulichose.com/v/vspfiles/downloadables/crimp.pdf (catalog p.99)</x:v>
      </x:c>
      <x:c r="AA376" s="47" t="str">
        <x:v>Published reference data; applicability is limited to the listed reference system and hose code.</x:v>
      </x:c>
      <x:c r="AB376" s="161" t="str">
        <x:v>Pending</x:v>
      </x:c>
    </x:row>
    <x:row r="377" ht="42" customHeight="1">
      <x:c r="A377" s="33" t="str">
        <x:v>Draft</x:v>
      </x:c>
      <x:c r="B377" s="47" t="str">
        <x:v>COMP_0373</x:v>
      </x:c>
      <x:c r="C377" s="47" t="str">
        <x:v>601R2_007</x:v>
      </x:c>
      <x:c r="D377" s="47" t="str">
        <x:v>ORFS90_F_SW_10_12</x:v>
      </x:c>
      <x:c r="E377" s="47" t="str">
        <x:v>601R2_2WB_007</x:v>
      </x:c>
      <x:c r="F377" s="47" t="str"/>
      <x:c r="G377" s="33" t="str"/>
      <x:c r="H377" s="50" t="str"/>
      <x:c r="I377" s="50" t="str"/>
      <x:c r="J377" s="50" t="str"/>
      <x:c r="K377" s="47" t="str"/>
      <x:c r="L377" s="50" t="str"/>
      <x:c r="M377" s="50" t="str"/>
      <x:c r="N377" s="47" t="str"/>
      <x:c r="O377" s="50" t="str"/>
      <x:c r="P377" s="64" t="str">
        <x:f>IF(O377="","",O377*2)</x:f>
      </x:c>
      <x:c r="Q377" s="50" t="str"/>
      <x:c r="R377" s="47" t="str"/>
      <x:c r="S377" s="33" t="str">
        <x:v>Not Tested</x:v>
      </x:c>
      <x:c r="T377" s="64" t="str">
        <x:v>Eligible</x:v>
      </x:c>
      <x:c r="U377" s="47" t="str">
        <x:v>DHH W Series Bite-To-The-Wire</x:v>
      </x:c>
      <x:c r="V377" s="47" t="str">
        <x:v>R2-12</x:v>
      </x:c>
      <x:c r="W377" s="47" t="str">
        <x:v>Crimp full shell</x:v>
      </x:c>
      <x:c r="X377" s="50" t="n">
        <x:v>32.65</x:v>
      </x:c>
      <x:c r="Y377" s="50" t="n">
        <x:v>0.13</x:v>
      </x:c>
      <x:c r="Z377" s="47" t="str">
        <x:v>https://www.discounthydraulichose.com/v/vspfiles/downloadables/crimp.pdf (catalog p.99)</x:v>
      </x:c>
      <x:c r="AA377" s="47" t="str">
        <x:v>Published reference data; applicability is limited to the listed reference system and hose code.</x:v>
      </x:c>
      <x:c r="AB377" s="161" t="str">
        <x:v>Pending</x:v>
      </x:c>
    </x:row>
    <x:row r="378" ht="42" customHeight="1">
      <x:c r="A378" s="33" t="str">
        <x:v>Draft</x:v>
      </x:c>
      <x:c r="B378" s="47" t="str">
        <x:v>COMP_0374</x:v>
      </x:c>
      <x:c r="C378" s="47" t="str">
        <x:v>601R2_007</x:v>
      </x:c>
      <x:c r="D378" s="47" t="str">
        <x:v>ORFS90_F_SW_12_12</x:v>
      </x:c>
      <x:c r="E378" s="47" t="str">
        <x:v>601R2_2WB_007</x:v>
      </x:c>
      <x:c r="F378" s="47" t="str"/>
      <x:c r="G378" s="33" t="str"/>
      <x:c r="H378" s="50" t="str"/>
      <x:c r="I378" s="50" t="str"/>
      <x:c r="J378" s="50" t="str"/>
      <x:c r="K378" s="47" t="str"/>
      <x:c r="L378" s="50" t="str"/>
      <x:c r="M378" s="50" t="str"/>
      <x:c r="N378" s="47" t="str"/>
      <x:c r="O378" s="50" t="str"/>
      <x:c r="P378" s="64" t="str">
        <x:f>IF(O378="","",O378*2)</x:f>
      </x:c>
      <x:c r="Q378" s="50" t="str"/>
      <x:c r="R378" s="47" t="str"/>
      <x:c r="S378" s="33" t="str">
        <x:v>Not Tested</x:v>
      </x:c>
      <x:c r="T378" s="64" t="str">
        <x:v>Eligible</x:v>
      </x:c>
      <x:c r="U378" s="47" t="str">
        <x:v>DHH W Series Bite-To-The-Wire</x:v>
      </x:c>
      <x:c r="V378" s="47" t="str">
        <x:v>R2-12</x:v>
      </x:c>
      <x:c r="W378" s="47" t="str">
        <x:v>Crimp full shell</x:v>
      </x:c>
      <x:c r="X378" s="50" t="n">
        <x:v>32.65</x:v>
      </x:c>
      <x:c r="Y378" s="50" t="n">
        <x:v>0.13</x:v>
      </x:c>
      <x:c r="Z378" s="47" t="str">
        <x:v>https://www.discounthydraulichose.com/v/vspfiles/downloadables/crimp.pdf (catalog p.99)</x:v>
      </x:c>
      <x:c r="AA378" s="47" t="str">
        <x:v>Published reference data; applicability is limited to the listed reference system and hose code.</x:v>
      </x:c>
      <x:c r="AB378" s="161" t="str">
        <x:v>Pending</x:v>
      </x:c>
    </x:row>
    <x:row r="379" ht="42" customHeight="1">
      <x:c r="A379" s="33" t="str">
        <x:v>Draft</x:v>
      </x:c>
      <x:c r="B379" s="47" t="str">
        <x:v>COMP_0375</x:v>
      </x:c>
      <x:c r="C379" s="47" t="str">
        <x:v>601R2_007</x:v>
      </x:c>
      <x:c r="D379" s="47" t="str">
        <x:v>ORFS90_F_SW_16_12</x:v>
      </x:c>
      <x:c r="E379" s="47" t="str">
        <x:v>601R2_2WB_007</x:v>
      </x:c>
      <x:c r="F379" s="47" t="str"/>
      <x:c r="G379" s="33" t="str"/>
      <x:c r="H379" s="50" t="str"/>
      <x:c r="I379" s="50" t="str"/>
      <x:c r="J379" s="50" t="str"/>
      <x:c r="K379" s="47" t="str"/>
      <x:c r="L379" s="50" t="str"/>
      <x:c r="M379" s="50" t="str"/>
      <x:c r="N379" s="47" t="str"/>
      <x:c r="O379" s="50" t="str"/>
      <x:c r="P379" s="64" t="str">
        <x:f>IF(O379="","",O379*2)</x:f>
      </x:c>
      <x:c r="Q379" s="50" t="str"/>
      <x:c r="R379" s="47" t="str"/>
      <x:c r="S379" s="33" t="str">
        <x:v>Not Tested</x:v>
      </x:c>
      <x:c r="T379" s="64" t="str">
        <x:v>Eligible</x:v>
      </x:c>
      <x:c r="U379" s="47" t="str">
        <x:v>DHH W Series Bite-To-The-Wire</x:v>
      </x:c>
      <x:c r="V379" s="47" t="str">
        <x:v>R2-12</x:v>
      </x:c>
      <x:c r="W379" s="47" t="str">
        <x:v>Crimp full shell</x:v>
      </x:c>
      <x:c r="X379" s="50" t="n">
        <x:v>32.65</x:v>
      </x:c>
      <x:c r="Y379" s="50" t="n">
        <x:v>0.13</x:v>
      </x:c>
      <x:c r="Z379" s="47" t="str">
        <x:v>https://www.discounthydraulichose.com/v/vspfiles/downloadables/crimp.pdf (catalog p.99)</x:v>
      </x:c>
      <x:c r="AA379" s="47" t="str">
        <x:v>Published reference data; applicability is limited to the listed reference system and hose code.</x:v>
      </x:c>
      <x:c r="AB379" s="161" t="str">
        <x:v>Pending</x:v>
      </x:c>
    </x:row>
    <x:row r="380" ht="42" customHeight="1">
      <x:c r="A380" s="33" t="str">
        <x:v>Draft</x:v>
      </x:c>
      <x:c r="B380" s="47" t="str">
        <x:v>COMP_0376</x:v>
      </x:c>
      <x:c r="C380" s="47" t="str">
        <x:v>601R2_009</x:v>
      </x:c>
      <x:c r="D380" s="47" t="str">
        <x:v>BSPP_F_SW_16_16</x:v>
      </x:c>
      <x:c r="E380" s="47" t="str">
        <x:v>601R2_2WB_009</x:v>
      </x:c>
      <x:c r="F380" s="47" t="str"/>
      <x:c r="G380" s="33" t="str"/>
      <x:c r="H380" s="50" t="str"/>
      <x:c r="I380" s="50" t="str"/>
      <x:c r="J380" s="50" t="str"/>
      <x:c r="K380" s="47" t="str"/>
      <x:c r="L380" s="50" t="str"/>
      <x:c r="M380" s="50" t="str"/>
      <x:c r="N380" s="47" t="str"/>
      <x:c r="O380" s="50" t="str"/>
      <x:c r="P380" s="64" t="str">
        <x:f>IF(O380="","",O380*2)</x:f>
      </x:c>
      <x:c r="Q380" s="50" t="str"/>
      <x:c r="R380" s="47" t="str"/>
      <x:c r="S380" s="33" t="str">
        <x:v>Not Tested</x:v>
      </x:c>
      <x:c r="T380" s="64" t="str">
        <x:v>Eligible</x:v>
      </x:c>
      <x:c r="U380" s="47" t="str">
        <x:v>DHH W Series Bite-To-The-Wire</x:v>
      </x:c>
      <x:c r="V380" s="47" t="str">
        <x:v>R2-16</x:v>
      </x:c>
      <x:c r="W380" s="47" t="str">
        <x:v>Crimp full shell</x:v>
      </x:c>
      <x:c r="X380" s="50" t="n">
        <x:v>42.3</x:v>
      </x:c>
      <x:c r="Y380" s="50" t="n">
        <x:v>0.13</x:v>
      </x:c>
      <x:c r="Z380" s="47" t="str">
        <x:v>https://www.discounthydraulichose.com/v/vspfiles/downloadables/crimp.pdf (catalog p.99)</x:v>
      </x:c>
      <x:c r="AA380" s="47" t="str">
        <x:v>Published reference data; applicability is limited to the listed reference system and hose code.</x:v>
      </x:c>
      <x:c r="AB380" s="161" t="str">
        <x:v>Pending</x:v>
      </x:c>
    </x:row>
    <x:row r="381" ht="42" customHeight="1">
      <x:c r="A381" s="33" t="str">
        <x:v>Draft</x:v>
      </x:c>
      <x:c r="B381" s="47" t="str">
        <x:v>COMP_0377</x:v>
      </x:c>
      <x:c r="C381" s="47" t="str">
        <x:v>601R2_009</x:v>
      </x:c>
      <x:c r="D381" s="47" t="str">
        <x:v>BSPP45_F_SW_16_16</x:v>
      </x:c>
      <x:c r="E381" s="47" t="str">
        <x:v>601R2_2WB_009</x:v>
      </x:c>
      <x:c r="F381" s="47" t="str"/>
      <x:c r="G381" s="33" t="str"/>
      <x:c r="H381" s="50" t="str"/>
      <x:c r="I381" s="50" t="str"/>
      <x:c r="J381" s="50" t="str"/>
      <x:c r="K381" s="47" t="str"/>
      <x:c r="L381" s="50" t="str"/>
      <x:c r="M381" s="50" t="str"/>
      <x:c r="N381" s="47" t="str"/>
      <x:c r="O381" s="50" t="str"/>
      <x:c r="P381" s="64" t="str">
        <x:f>IF(O381="","",O381*2)</x:f>
      </x:c>
      <x:c r="Q381" s="50" t="str"/>
      <x:c r="R381" s="47" t="str"/>
      <x:c r="S381" s="33" t="str">
        <x:v>Not Tested</x:v>
      </x:c>
      <x:c r="T381" s="64" t="str">
        <x:v>Eligible</x:v>
      </x:c>
      <x:c r="U381" s="47" t="str">
        <x:v>DHH W Series Bite-To-The-Wire</x:v>
      </x:c>
      <x:c r="V381" s="47" t="str">
        <x:v>R2-16</x:v>
      </x:c>
      <x:c r="W381" s="47" t="str">
        <x:v>Crimp full shell</x:v>
      </x:c>
      <x:c r="X381" s="50" t="n">
        <x:v>42.3</x:v>
      </x:c>
      <x:c r="Y381" s="50" t="n">
        <x:v>0.13</x:v>
      </x:c>
      <x:c r="Z381" s="47" t="str">
        <x:v>https://www.discounthydraulichose.com/v/vspfiles/downloadables/crimp.pdf (catalog p.99)</x:v>
      </x:c>
      <x:c r="AA381" s="47" t="str">
        <x:v>Published reference data; applicability is limited to the listed reference system and hose code.</x:v>
      </x:c>
      <x:c r="AB381" s="161" t="str">
        <x:v>Pending</x:v>
      </x:c>
    </x:row>
    <x:row r="382" ht="42" customHeight="1">
      <x:c r="A382" s="33" t="str">
        <x:v>Draft</x:v>
      </x:c>
      <x:c r="B382" s="47" t="str">
        <x:v>COMP_0378</x:v>
      </x:c>
      <x:c r="C382" s="47" t="str">
        <x:v>601R2_009</x:v>
      </x:c>
      <x:c r="D382" s="47" t="str">
        <x:v>BSPP90_F_SW_16_16</x:v>
      </x:c>
      <x:c r="E382" s="47" t="str">
        <x:v>601R2_2WB_009</x:v>
      </x:c>
      <x:c r="F382" s="47" t="str"/>
      <x:c r="G382" s="33" t="str"/>
      <x:c r="H382" s="50" t="str"/>
      <x:c r="I382" s="50" t="str"/>
      <x:c r="J382" s="50" t="str"/>
      <x:c r="K382" s="47" t="str"/>
      <x:c r="L382" s="50" t="str"/>
      <x:c r="M382" s="50" t="str"/>
      <x:c r="N382" s="47" t="str"/>
      <x:c r="O382" s="50" t="str"/>
      <x:c r="P382" s="64" t="str">
        <x:f>IF(O382="","",O382*2)</x:f>
      </x:c>
      <x:c r="Q382" s="50" t="str"/>
      <x:c r="R382" s="47" t="str"/>
      <x:c r="S382" s="33" t="str">
        <x:v>Not Tested</x:v>
      </x:c>
      <x:c r="T382" s="64" t="str">
        <x:v>Eligible</x:v>
      </x:c>
      <x:c r="U382" s="47" t="str">
        <x:v>DHH W Series Bite-To-The-Wire</x:v>
      </x:c>
      <x:c r="V382" s="47" t="str">
        <x:v>R2-16</x:v>
      </x:c>
      <x:c r="W382" s="47" t="str">
        <x:v>Crimp full shell</x:v>
      </x:c>
      <x:c r="X382" s="50" t="n">
        <x:v>42.3</x:v>
      </x:c>
      <x:c r="Y382" s="50" t="n">
        <x:v>0.13</x:v>
      </x:c>
      <x:c r="Z382" s="47" t="str">
        <x:v>https://www.discounthydraulichose.com/v/vspfiles/downloadables/crimp.pdf (catalog p.99)</x:v>
      </x:c>
      <x:c r="AA382" s="47" t="str">
        <x:v>Published reference data; applicability is limited to the listed reference system and hose code.</x:v>
      </x:c>
      <x:c r="AB382" s="161" t="str">
        <x:v>Pending</x:v>
      </x:c>
    </x:row>
    <x:row r="383" ht="42" customHeight="1">
      <x:c r="A383" s="33" t="str">
        <x:v>Draft</x:v>
      </x:c>
      <x:c r="B383" s="47" t="str">
        <x:v>COMP_0379</x:v>
      </x:c>
      <x:c r="C383" s="47" t="str">
        <x:v>601R2_009</x:v>
      </x:c>
      <x:c r="D383" s="47" t="str">
        <x:v>BSPT_M_FX_16_16</x:v>
      </x:c>
      <x:c r="E383" s="47" t="str">
        <x:v>601R2_2WB_009</x:v>
      </x:c>
      <x:c r="F383" s="47" t="str"/>
      <x:c r="G383" s="33" t="str"/>
      <x:c r="H383" s="50" t="str"/>
      <x:c r="I383" s="50" t="str"/>
      <x:c r="J383" s="50" t="str"/>
      <x:c r="K383" s="47" t="str"/>
      <x:c r="L383" s="50" t="str"/>
      <x:c r="M383" s="50" t="str"/>
      <x:c r="N383" s="47" t="str"/>
      <x:c r="O383" s="50" t="str"/>
      <x:c r="P383" s="64" t="str">
        <x:f>IF(O383="","",O383*2)</x:f>
      </x:c>
      <x:c r="Q383" s="50" t="str"/>
      <x:c r="R383" s="47" t="str"/>
      <x:c r="S383" s="33" t="str">
        <x:v>Not Tested</x:v>
      </x:c>
      <x:c r="T383" s="64" t="str">
        <x:v>Eligible</x:v>
      </x:c>
      <x:c r="U383" s="47" t="str">
        <x:v>DHH W Series Bite-To-The-Wire</x:v>
      </x:c>
      <x:c r="V383" s="47" t="str">
        <x:v>R2-16</x:v>
      </x:c>
      <x:c r="W383" s="47" t="str">
        <x:v>Crimp full shell</x:v>
      </x:c>
      <x:c r="X383" s="50" t="n">
        <x:v>42.3</x:v>
      </x:c>
      <x:c r="Y383" s="50" t="n">
        <x:v>0.13</x:v>
      </x:c>
      <x:c r="Z383" s="47" t="str">
        <x:v>https://www.discounthydraulichose.com/v/vspfiles/downloadables/crimp.pdf (catalog p.99)</x:v>
      </x:c>
      <x:c r="AA383" s="47" t="str">
        <x:v>Published reference data; applicability is limited to the listed reference system and hose code.</x:v>
      </x:c>
      <x:c r="AB383" s="161" t="str">
        <x:v>Pending</x:v>
      </x:c>
    </x:row>
    <x:row r="384" ht="42" customHeight="1">
      <x:c r="A384" s="33" t="str">
        <x:v>Draft</x:v>
      </x:c>
      <x:c r="B384" s="47" t="str">
        <x:v>COMP_0380</x:v>
      </x:c>
      <x:c r="C384" s="47" t="str">
        <x:v>601R2_009</x:v>
      </x:c>
      <x:c r="D384" s="47" t="str">
        <x:v>JIC_F_SW_12_16</x:v>
      </x:c>
      <x:c r="E384" s="47" t="str">
        <x:v>601R2_2WB_009</x:v>
      </x:c>
      <x:c r="F384" s="47" t="str"/>
      <x:c r="G384" s="33" t="str"/>
      <x:c r="H384" s="50" t="str"/>
      <x:c r="I384" s="50" t="str"/>
      <x:c r="J384" s="50" t="str"/>
      <x:c r="K384" s="47" t="str"/>
      <x:c r="L384" s="50" t="str"/>
      <x:c r="M384" s="50" t="str"/>
      <x:c r="N384" s="47" t="str"/>
      <x:c r="O384" s="50" t="str"/>
      <x:c r="P384" s="64" t="str">
        <x:f>IF(O384="","",O384*2)</x:f>
      </x:c>
      <x:c r="Q384" s="50" t="str"/>
      <x:c r="R384" s="47" t="str"/>
      <x:c r="S384" s="33" t="str">
        <x:v>Not Tested</x:v>
      </x:c>
      <x:c r="T384" s="64" t="str">
        <x:v>Eligible</x:v>
      </x:c>
      <x:c r="U384" s="47" t="str">
        <x:v>DHH W Series Bite-To-The-Wire</x:v>
      </x:c>
      <x:c r="V384" s="47" t="str">
        <x:v>R2-16</x:v>
      </x:c>
      <x:c r="W384" s="47" t="str">
        <x:v>Crimp full shell</x:v>
      </x:c>
      <x:c r="X384" s="50" t="n">
        <x:v>42.3</x:v>
      </x:c>
      <x:c r="Y384" s="50" t="n">
        <x:v>0.13</x:v>
      </x:c>
      <x:c r="Z384" s="47" t="str">
        <x:v>https://www.discounthydraulichose.com/v/vspfiles/downloadables/crimp.pdf (catalog p.99)</x:v>
      </x:c>
      <x:c r="AA384" s="47" t="str">
        <x:v>Published reference data; applicability is limited to the listed reference system and hose code.</x:v>
      </x:c>
      <x:c r="AB384" s="161" t="str">
        <x:v>Pending</x:v>
      </x:c>
    </x:row>
    <x:row r="385" ht="42" customHeight="1">
      <x:c r="A385" s="33" t="str">
        <x:v>Draft</x:v>
      </x:c>
      <x:c r="B385" s="47" t="str">
        <x:v>COMP_0381</x:v>
      </x:c>
      <x:c r="C385" s="47" t="str">
        <x:v>601R2_009</x:v>
      </x:c>
      <x:c r="D385" s="47" t="str">
        <x:v>JIC_F_SW_16_16</x:v>
      </x:c>
      <x:c r="E385" s="47" t="str">
        <x:v>601R2_2WB_009</x:v>
      </x:c>
      <x:c r="F385" s="47" t="str"/>
      <x:c r="G385" s="33" t="str"/>
      <x:c r="H385" s="50" t="str"/>
      <x:c r="I385" s="50" t="str"/>
      <x:c r="J385" s="50" t="str"/>
      <x:c r="K385" s="47" t="str"/>
      <x:c r="L385" s="50" t="str"/>
      <x:c r="M385" s="50" t="str"/>
      <x:c r="N385" s="47" t="str"/>
      <x:c r="O385" s="50" t="str"/>
      <x:c r="P385" s="64" t="str">
        <x:f>IF(O385="","",O385*2)</x:f>
      </x:c>
      <x:c r="Q385" s="50" t="str"/>
      <x:c r="R385" s="47" t="str"/>
      <x:c r="S385" s="33" t="str">
        <x:v>Not Tested</x:v>
      </x:c>
      <x:c r="T385" s="64" t="str">
        <x:v>Eligible</x:v>
      </x:c>
      <x:c r="U385" s="47" t="str">
        <x:v>DHH W Series Bite-To-The-Wire</x:v>
      </x:c>
      <x:c r="V385" s="47" t="str">
        <x:v>R2-16</x:v>
      </x:c>
      <x:c r="W385" s="47" t="str">
        <x:v>Crimp full shell</x:v>
      </x:c>
      <x:c r="X385" s="50" t="n">
        <x:v>42.3</x:v>
      </x:c>
      <x:c r="Y385" s="50" t="n">
        <x:v>0.13</x:v>
      </x:c>
      <x:c r="Z385" s="47" t="str">
        <x:v>https://www.discounthydraulichose.com/v/vspfiles/downloadables/crimp.pdf (catalog p.99)</x:v>
      </x:c>
      <x:c r="AA385" s="47" t="str">
        <x:v>Published reference data; applicability is limited to the listed reference system and hose code.</x:v>
      </x:c>
      <x:c r="AB385" s="161" t="str">
        <x:v>Pending</x:v>
      </x:c>
    </x:row>
    <x:row r="386" ht="42" customHeight="1">
      <x:c r="A386" s="33" t="str">
        <x:v>Draft</x:v>
      </x:c>
      <x:c r="B386" s="47" t="str">
        <x:v>COMP_0382</x:v>
      </x:c>
      <x:c r="C386" s="47" t="str">
        <x:v>601R2_009</x:v>
      </x:c>
      <x:c r="D386" s="47" t="str">
        <x:v>JIC_F_SW_20_16</x:v>
      </x:c>
      <x:c r="E386" s="47" t="str">
        <x:v>601R2_2WB_009</x:v>
      </x:c>
      <x:c r="F386" s="47" t="str"/>
      <x:c r="G386" s="33" t="str"/>
      <x:c r="H386" s="50" t="str"/>
      <x:c r="I386" s="50" t="str"/>
      <x:c r="J386" s="50" t="str"/>
      <x:c r="K386" s="47" t="str"/>
      <x:c r="L386" s="50" t="str"/>
      <x:c r="M386" s="50" t="str"/>
      <x:c r="N386" s="47" t="str"/>
      <x:c r="O386" s="50" t="str"/>
      <x:c r="P386" s="64" t="str">
        <x:f>IF(O386="","",O386*2)</x:f>
      </x:c>
      <x:c r="Q386" s="50" t="str"/>
      <x:c r="R386" s="47" t="str"/>
      <x:c r="S386" s="33" t="str">
        <x:v>Not Tested</x:v>
      </x:c>
      <x:c r="T386" s="64" t="str">
        <x:v>Eligible</x:v>
      </x:c>
      <x:c r="U386" s="47" t="str">
        <x:v>DHH W Series Bite-To-The-Wire</x:v>
      </x:c>
      <x:c r="V386" s="47" t="str">
        <x:v>R2-16</x:v>
      </x:c>
      <x:c r="W386" s="47" t="str">
        <x:v>Crimp full shell</x:v>
      </x:c>
      <x:c r="X386" s="50" t="n">
        <x:v>42.3</x:v>
      </x:c>
      <x:c r="Y386" s="50" t="n">
        <x:v>0.13</x:v>
      </x:c>
      <x:c r="Z386" s="47" t="str">
        <x:v>https://www.discounthydraulichose.com/v/vspfiles/downloadables/crimp.pdf (catalog p.99)</x:v>
      </x:c>
      <x:c r="AA386" s="47" t="str">
        <x:v>Published reference data; applicability is limited to the listed reference system and hose code.</x:v>
      </x:c>
      <x:c r="AB386" s="161" t="str">
        <x:v>Pending</x:v>
      </x:c>
    </x:row>
    <x:row r="387" ht="42" customHeight="1">
      <x:c r="A387" s="33" t="str">
        <x:v>Draft</x:v>
      </x:c>
      <x:c r="B387" s="47" t="str">
        <x:v>COMP_0383</x:v>
      </x:c>
      <x:c r="C387" s="47" t="str">
        <x:v>601R2_009</x:v>
      </x:c>
      <x:c r="D387" s="47" t="str">
        <x:v>JIC_M_FX_16_16</x:v>
      </x:c>
      <x:c r="E387" s="47" t="str">
        <x:v>601R2_2WB_009</x:v>
      </x:c>
      <x:c r="F387" s="47" t="str"/>
      <x:c r="G387" s="33" t="str"/>
      <x:c r="H387" s="50" t="str"/>
      <x:c r="I387" s="50" t="str"/>
      <x:c r="J387" s="50" t="str"/>
      <x:c r="K387" s="47" t="str"/>
      <x:c r="L387" s="50" t="str"/>
      <x:c r="M387" s="50" t="str"/>
      <x:c r="N387" s="47" t="str"/>
      <x:c r="O387" s="50" t="str"/>
      <x:c r="P387" s="64" t="str">
        <x:f>IF(O387="","",O387*2)</x:f>
      </x:c>
      <x:c r="Q387" s="50" t="str"/>
      <x:c r="R387" s="47" t="str"/>
      <x:c r="S387" s="33" t="str">
        <x:v>Not Tested</x:v>
      </x:c>
      <x:c r="T387" s="64" t="str">
        <x:v>Eligible</x:v>
      </x:c>
      <x:c r="U387" s="47" t="str">
        <x:v>DHH W Series Bite-To-The-Wire</x:v>
      </x:c>
      <x:c r="V387" s="47" t="str">
        <x:v>R2-16</x:v>
      </x:c>
      <x:c r="W387" s="47" t="str">
        <x:v>Crimp full shell</x:v>
      </x:c>
      <x:c r="X387" s="50" t="n">
        <x:v>42.3</x:v>
      </x:c>
      <x:c r="Y387" s="50" t="n">
        <x:v>0.13</x:v>
      </x:c>
      <x:c r="Z387" s="47" t="str">
        <x:v>https://www.discounthydraulichose.com/v/vspfiles/downloadables/crimp.pdf (catalog p.99)</x:v>
      </x:c>
      <x:c r="AA387" s="47" t="str">
        <x:v>Published reference data; applicability is limited to the listed reference system and hose code.</x:v>
      </x:c>
      <x:c r="AB387" s="161" t="str">
        <x:v>Pending</x:v>
      </x:c>
    </x:row>
    <x:row r="388" ht="42" customHeight="1">
      <x:c r="A388" s="33" t="str">
        <x:v>Draft</x:v>
      </x:c>
      <x:c r="B388" s="47" t="str">
        <x:v>COMP_0384</x:v>
      </x:c>
      <x:c r="C388" s="47" t="str">
        <x:v>601R2_009</x:v>
      </x:c>
      <x:c r="D388" s="47" t="str">
        <x:v>JIC_M_FX_20_16</x:v>
      </x:c>
      <x:c r="E388" s="47" t="str">
        <x:v>601R2_2WB_009</x:v>
      </x:c>
      <x:c r="F388" s="47" t="str"/>
      <x:c r="G388" s="33" t="str"/>
      <x:c r="H388" s="50" t="str"/>
      <x:c r="I388" s="50" t="str"/>
      <x:c r="J388" s="50" t="str"/>
      <x:c r="K388" s="47" t="str"/>
      <x:c r="L388" s="50" t="str"/>
      <x:c r="M388" s="50" t="str"/>
      <x:c r="N388" s="47" t="str"/>
      <x:c r="O388" s="50" t="str"/>
      <x:c r="P388" s="64" t="str">
        <x:f>IF(O388="","",O388*2)</x:f>
      </x:c>
      <x:c r="Q388" s="50" t="str"/>
      <x:c r="R388" s="47" t="str"/>
      <x:c r="S388" s="33" t="str">
        <x:v>Not Tested</x:v>
      </x:c>
      <x:c r="T388" s="64" t="str">
        <x:v>Eligible</x:v>
      </x:c>
      <x:c r="U388" s="47" t="str">
        <x:v>DHH W Series Bite-To-The-Wire</x:v>
      </x:c>
      <x:c r="V388" s="47" t="str">
        <x:v>R2-16</x:v>
      </x:c>
      <x:c r="W388" s="47" t="str">
        <x:v>Crimp full shell</x:v>
      </x:c>
      <x:c r="X388" s="50" t="n">
        <x:v>42.3</x:v>
      </x:c>
      <x:c r="Y388" s="50" t="n">
        <x:v>0.13</x:v>
      </x:c>
      <x:c r="Z388" s="47" t="str">
        <x:v>https://www.discounthydraulichose.com/v/vspfiles/downloadables/crimp.pdf (catalog p.99)</x:v>
      </x:c>
      <x:c r="AA388" s="47" t="str">
        <x:v>Published reference data; applicability is limited to the listed reference system and hose code.</x:v>
      </x:c>
      <x:c r="AB388" s="161" t="str">
        <x:v>Pending</x:v>
      </x:c>
    </x:row>
    <x:row r="389" ht="42" customHeight="1">
      <x:c r="A389" s="33" t="str">
        <x:v>Draft</x:v>
      </x:c>
      <x:c r="B389" s="47" t="str">
        <x:v>COMP_0385</x:v>
      </x:c>
      <x:c r="C389" s="47" t="str">
        <x:v>601R2_009</x:v>
      </x:c>
      <x:c r="D389" s="47" t="str">
        <x:v>JIC45_F_SW_16_16</x:v>
      </x:c>
      <x:c r="E389" s="47" t="str">
        <x:v>601R2_2WB_009</x:v>
      </x:c>
      <x:c r="F389" s="47" t="str"/>
      <x:c r="G389" s="33" t="str"/>
      <x:c r="H389" s="50" t="str"/>
      <x:c r="I389" s="50" t="str"/>
      <x:c r="J389" s="50" t="str"/>
      <x:c r="K389" s="47" t="str"/>
      <x:c r="L389" s="50" t="str"/>
      <x:c r="M389" s="50" t="str"/>
      <x:c r="N389" s="47" t="str"/>
      <x:c r="O389" s="50" t="str"/>
      <x:c r="P389" s="64" t="str">
        <x:f>IF(O389="","",O389*2)</x:f>
      </x:c>
      <x:c r="Q389" s="50" t="str"/>
      <x:c r="R389" s="47" t="str"/>
      <x:c r="S389" s="33" t="str">
        <x:v>Not Tested</x:v>
      </x:c>
      <x:c r="T389" s="64" t="str">
        <x:v>Eligible</x:v>
      </x:c>
      <x:c r="U389" s="47" t="str">
        <x:v>DHH W Series Bite-To-The-Wire</x:v>
      </x:c>
      <x:c r="V389" s="47" t="str">
        <x:v>R2-16</x:v>
      </x:c>
      <x:c r="W389" s="47" t="str">
        <x:v>Crimp full shell</x:v>
      </x:c>
      <x:c r="X389" s="50" t="n">
        <x:v>42.3</x:v>
      </x:c>
      <x:c r="Y389" s="50" t="n">
        <x:v>0.13</x:v>
      </x:c>
      <x:c r="Z389" s="47" t="str">
        <x:v>https://www.discounthydraulichose.com/v/vspfiles/downloadables/crimp.pdf (catalog p.99)</x:v>
      </x:c>
      <x:c r="AA389" s="47" t="str">
        <x:v>Published reference data; applicability is limited to the listed reference system and hose code.</x:v>
      </x:c>
      <x:c r="AB389" s="161" t="str">
        <x:v>Pending</x:v>
      </x:c>
    </x:row>
    <x:row r="390" ht="42" customHeight="1">
      <x:c r="A390" s="33" t="str">
        <x:v>Draft</x:v>
      </x:c>
      <x:c r="B390" s="47" t="str">
        <x:v>COMP_0386</x:v>
      </x:c>
      <x:c r="C390" s="47" t="str">
        <x:v>601R2_009</x:v>
      </x:c>
      <x:c r="D390" s="47" t="str">
        <x:v>JIC45_F_SW_20_16</x:v>
      </x:c>
      <x:c r="E390" s="47" t="str">
        <x:v>601R2_2WB_009</x:v>
      </x:c>
      <x:c r="F390" s="47" t="str"/>
      <x:c r="G390" s="33" t="str"/>
      <x:c r="H390" s="50" t="str"/>
      <x:c r="I390" s="50" t="str"/>
      <x:c r="J390" s="50" t="str"/>
      <x:c r="K390" s="47" t="str"/>
      <x:c r="L390" s="50" t="str"/>
      <x:c r="M390" s="50" t="str"/>
      <x:c r="N390" s="47" t="str"/>
      <x:c r="O390" s="50" t="str"/>
      <x:c r="P390" s="64" t="str">
        <x:f>IF(O390="","",O390*2)</x:f>
      </x:c>
      <x:c r="Q390" s="50" t="str"/>
      <x:c r="R390" s="47" t="str"/>
      <x:c r="S390" s="33" t="str">
        <x:v>Not Tested</x:v>
      </x:c>
      <x:c r="T390" s="64" t="str">
        <x:v>Eligible</x:v>
      </x:c>
      <x:c r="U390" s="47" t="str">
        <x:v>DHH W Series Bite-To-The-Wire</x:v>
      </x:c>
      <x:c r="V390" s="47" t="str">
        <x:v>R2-16</x:v>
      </x:c>
      <x:c r="W390" s="47" t="str">
        <x:v>Crimp full shell</x:v>
      </x:c>
      <x:c r="X390" s="50" t="n">
        <x:v>42.3</x:v>
      </x:c>
      <x:c r="Y390" s="50" t="n">
        <x:v>0.13</x:v>
      </x:c>
      <x:c r="Z390" s="47" t="str">
        <x:v>https://www.discounthydraulichose.com/v/vspfiles/downloadables/crimp.pdf (catalog p.99)</x:v>
      </x:c>
      <x:c r="AA390" s="47" t="str">
        <x:v>Published reference data; applicability is limited to the listed reference system and hose code.</x:v>
      </x:c>
      <x:c r="AB390" s="161" t="str">
        <x:v>Pending</x:v>
      </x:c>
    </x:row>
    <x:row r="391" ht="42" customHeight="1">
      <x:c r="A391" s="33" t="str">
        <x:v>Draft</x:v>
      </x:c>
      <x:c r="B391" s="47" t="str">
        <x:v>COMP_0387</x:v>
      </x:c>
      <x:c r="C391" s="47" t="str">
        <x:v>601R2_009</x:v>
      </x:c>
      <x:c r="D391" s="47" t="str">
        <x:v>JIC90_F_SW_16_16</x:v>
      </x:c>
      <x:c r="E391" s="47" t="str">
        <x:v>601R2_2WB_009</x:v>
      </x:c>
      <x:c r="F391" s="47" t="str"/>
      <x:c r="G391" s="33" t="str"/>
      <x:c r="H391" s="50" t="str"/>
      <x:c r="I391" s="50" t="str"/>
      <x:c r="J391" s="50" t="str"/>
      <x:c r="K391" s="47" t="str"/>
      <x:c r="L391" s="50" t="str"/>
      <x:c r="M391" s="50" t="str"/>
      <x:c r="N391" s="47" t="str"/>
      <x:c r="O391" s="50" t="str"/>
      <x:c r="P391" s="64" t="str">
        <x:f>IF(O391="","",O391*2)</x:f>
      </x:c>
      <x:c r="Q391" s="50" t="str"/>
      <x:c r="R391" s="47" t="str"/>
      <x:c r="S391" s="33" t="str">
        <x:v>Not Tested</x:v>
      </x:c>
      <x:c r="T391" s="64" t="str">
        <x:v>Eligible</x:v>
      </x:c>
      <x:c r="U391" s="47" t="str">
        <x:v>DHH W Series Bite-To-The-Wire</x:v>
      </x:c>
      <x:c r="V391" s="47" t="str">
        <x:v>R2-16</x:v>
      </x:c>
      <x:c r="W391" s="47" t="str">
        <x:v>Crimp full shell</x:v>
      </x:c>
      <x:c r="X391" s="50" t="n">
        <x:v>42.3</x:v>
      </x:c>
      <x:c r="Y391" s="50" t="n">
        <x:v>0.13</x:v>
      </x:c>
      <x:c r="Z391" s="47" t="str">
        <x:v>https://www.discounthydraulichose.com/v/vspfiles/downloadables/crimp.pdf (catalog p.99)</x:v>
      </x:c>
      <x:c r="AA391" s="47" t="str">
        <x:v>Published reference data; applicability is limited to the listed reference system and hose code.</x:v>
      </x:c>
      <x:c r="AB391" s="161" t="str">
        <x:v>Pending</x:v>
      </x:c>
    </x:row>
    <x:row r="392" ht="42" customHeight="1">
      <x:c r="A392" s="33" t="str">
        <x:v>Draft</x:v>
      </x:c>
      <x:c r="B392" s="47" t="str">
        <x:v>COMP_0388</x:v>
      </x:c>
      <x:c r="C392" s="47" t="str">
        <x:v>601R2_009</x:v>
      </x:c>
      <x:c r="D392" s="47" t="str">
        <x:v>JIC90_F_SW_20_16</x:v>
      </x:c>
      <x:c r="E392" s="47" t="str">
        <x:v>601R2_2WB_009</x:v>
      </x:c>
      <x:c r="F392" s="47" t="str"/>
      <x:c r="G392" s="33" t="str"/>
      <x:c r="H392" s="50" t="str"/>
      <x:c r="I392" s="50" t="str"/>
      <x:c r="J392" s="50" t="str"/>
      <x:c r="K392" s="47" t="str"/>
      <x:c r="L392" s="50" t="str"/>
      <x:c r="M392" s="50" t="str"/>
      <x:c r="N392" s="47" t="str"/>
      <x:c r="O392" s="50" t="str"/>
      <x:c r="P392" s="64" t="str">
        <x:f>IF(O392="","",O392*2)</x:f>
      </x:c>
      <x:c r="Q392" s="50" t="str"/>
      <x:c r="R392" s="47" t="str"/>
      <x:c r="S392" s="33" t="str">
        <x:v>Not Tested</x:v>
      </x:c>
      <x:c r="T392" s="64" t="str">
        <x:v>Eligible</x:v>
      </x:c>
      <x:c r="U392" s="47" t="str">
        <x:v>DHH W Series Bite-To-The-Wire</x:v>
      </x:c>
      <x:c r="V392" s="47" t="str">
        <x:v>R2-16</x:v>
      </x:c>
      <x:c r="W392" s="47" t="str">
        <x:v>Crimp full shell</x:v>
      </x:c>
      <x:c r="X392" s="50" t="n">
        <x:v>42.3</x:v>
      </x:c>
      <x:c r="Y392" s="50" t="n">
        <x:v>0.13</x:v>
      </x:c>
      <x:c r="Z392" s="47" t="str">
        <x:v>https://www.discounthydraulichose.com/v/vspfiles/downloadables/crimp.pdf (catalog p.99)</x:v>
      </x:c>
      <x:c r="AA392" s="47" t="str">
        <x:v>Published reference data; applicability is limited to the listed reference system and hose code.</x:v>
      </x:c>
      <x:c r="AB392" s="161" t="str">
        <x:v>Pending</x:v>
      </x:c>
    </x:row>
    <x:row r="393" ht="42" customHeight="1">
      <x:c r="A393" s="33" t="str">
        <x:v>Draft</x:v>
      </x:c>
      <x:c r="B393" s="47" t="str">
        <x:v>COMP_0389</x:v>
      </x:c>
      <x:c r="C393" s="47" t="str">
        <x:v>601R2_009</x:v>
      </x:c>
      <x:c r="D393" s="47" t="str">
        <x:v>NPT_M_FX_12_16</x:v>
      </x:c>
      <x:c r="E393" s="47" t="str">
        <x:v>601R2_2WB_009</x:v>
      </x:c>
      <x:c r="F393" s="47" t="str"/>
      <x:c r="G393" s="33" t="str"/>
      <x:c r="H393" s="50" t="str"/>
      <x:c r="I393" s="50" t="str"/>
      <x:c r="J393" s="50" t="str"/>
      <x:c r="K393" s="47" t="str"/>
      <x:c r="L393" s="50" t="str"/>
      <x:c r="M393" s="50" t="str"/>
      <x:c r="N393" s="47" t="str"/>
      <x:c r="O393" s="50" t="str"/>
      <x:c r="P393" s="64" t="str">
        <x:f>IF(O393="","",O393*2)</x:f>
      </x:c>
      <x:c r="Q393" s="50" t="str"/>
      <x:c r="R393" s="47" t="str"/>
      <x:c r="S393" s="33" t="str">
        <x:v>Not Tested</x:v>
      </x:c>
      <x:c r="T393" s="64" t="str">
        <x:v>Eligible</x:v>
      </x:c>
      <x:c r="U393" s="47" t="str">
        <x:v>DHH W Series Bite-To-The-Wire</x:v>
      </x:c>
      <x:c r="V393" s="47" t="str">
        <x:v>R2-16</x:v>
      </x:c>
      <x:c r="W393" s="47" t="str">
        <x:v>Crimp full shell</x:v>
      </x:c>
      <x:c r="X393" s="50" t="n">
        <x:v>42.3</x:v>
      </x:c>
      <x:c r="Y393" s="50" t="n">
        <x:v>0.13</x:v>
      </x:c>
      <x:c r="Z393" s="47" t="str">
        <x:v>https://www.discounthydraulichose.com/v/vspfiles/downloadables/crimp.pdf (catalog p.99)</x:v>
      </x:c>
      <x:c r="AA393" s="47" t="str">
        <x:v>Published reference data; applicability is limited to the listed reference system and hose code.</x:v>
      </x:c>
      <x:c r="AB393" s="161" t="str">
        <x:v>Pending</x:v>
      </x:c>
    </x:row>
    <x:row r="394" ht="42" customHeight="1">
      <x:c r="A394" s="33" t="str">
        <x:v>Draft</x:v>
      </x:c>
      <x:c r="B394" s="47" t="str">
        <x:v>COMP_0390</x:v>
      </x:c>
      <x:c r="C394" s="47" t="str">
        <x:v>601R2_009</x:v>
      </x:c>
      <x:c r="D394" s="47" t="str">
        <x:v>NPT_M_FX_16_16</x:v>
      </x:c>
      <x:c r="E394" s="47" t="str">
        <x:v>601R2_2WB_009</x:v>
      </x:c>
      <x:c r="F394" s="47" t="str"/>
      <x:c r="G394" s="33" t="str"/>
      <x:c r="H394" s="50" t="str"/>
      <x:c r="I394" s="50" t="str"/>
      <x:c r="J394" s="50" t="str"/>
      <x:c r="K394" s="47" t="str"/>
      <x:c r="L394" s="50" t="str"/>
      <x:c r="M394" s="50" t="str"/>
      <x:c r="N394" s="47" t="str"/>
      <x:c r="O394" s="50" t="str"/>
      <x:c r="P394" s="64" t="str">
        <x:f>IF(O394="","",O394*2)</x:f>
      </x:c>
      <x:c r="Q394" s="50" t="str"/>
      <x:c r="R394" s="47" t="str"/>
      <x:c r="S394" s="33" t="str">
        <x:v>Not Tested</x:v>
      </x:c>
      <x:c r="T394" s="64" t="str">
        <x:v>Eligible</x:v>
      </x:c>
      <x:c r="U394" s="47" t="str">
        <x:v>DHH W Series Bite-To-The-Wire</x:v>
      </x:c>
      <x:c r="V394" s="47" t="str">
        <x:v>R2-16</x:v>
      </x:c>
      <x:c r="W394" s="47" t="str">
        <x:v>Crimp full shell</x:v>
      </x:c>
      <x:c r="X394" s="50" t="n">
        <x:v>42.3</x:v>
      </x:c>
      <x:c r="Y394" s="50" t="n">
        <x:v>0.13</x:v>
      </x:c>
      <x:c r="Z394" s="47" t="str">
        <x:v>https://www.discounthydraulichose.com/v/vspfiles/downloadables/crimp.pdf (catalog p.99)</x:v>
      </x:c>
      <x:c r="AA394" s="47" t="str">
        <x:v>Published reference data; applicability is limited to the listed reference system and hose code.</x:v>
      </x:c>
      <x:c r="AB394" s="161" t="str">
        <x:v>Pending</x:v>
      </x:c>
    </x:row>
    <x:row r="395" ht="42" customHeight="1">
      <x:c r="A395" s="33" t="str">
        <x:v>Draft</x:v>
      </x:c>
      <x:c r="B395" s="47" t="str">
        <x:v>COMP_0391</x:v>
      </x:c>
      <x:c r="C395" s="47" t="str">
        <x:v>601R2_009</x:v>
      </x:c>
      <x:c r="D395" s="47" t="str">
        <x:v>NPT_M_FX_20_16</x:v>
      </x:c>
      <x:c r="E395" s="47" t="str">
        <x:v>601R2_2WB_009</x:v>
      </x:c>
      <x:c r="F395" s="47" t="str"/>
      <x:c r="G395" s="33" t="str"/>
      <x:c r="H395" s="50" t="str"/>
      <x:c r="I395" s="50" t="str"/>
      <x:c r="J395" s="50" t="str"/>
      <x:c r="K395" s="47" t="str"/>
      <x:c r="L395" s="50" t="str"/>
      <x:c r="M395" s="50" t="str"/>
      <x:c r="N395" s="47" t="str"/>
      <x:c r="O395" s="50" t="str"/>
      <x:c r="P395" s="64" t="str">
        <x:f>IF(O395="","",O395*2)</x:f>
      </x:c>
      <x:c r="Q395" s="50" t="str"/>
      <x:c r="R395" s="47" t="str"/>
      <x:c r="S395" s="33" t="str">
        <x:v>Not Tested</x:v>
      </x:c>
      <x:c r="T395" s="64" t="str">
        <x:v>Eligible</x:v>
      </x:c>
      <x:c r="U395" s="47" t="str">
        <x:v>DHH W Series Bite-To-The-Wire</x:v>
      </x:c>
      <x:c r="V395" s="47" t="str">
        <x:v>R2-16</x:v>
      </x:c>
      <x:c r="W395" s="47" t="str">
        <x:v>Crimp full shell</x:v>
      </x:c>
      <x:c r="X395" s="50" t="n">
        <x:v>42.3</x:v>
      </x:c>
      <x:c r="Y395" s="50" t="n">
        <x:v>0.13</x:v>
      </x:c>
      <x:c r="Z395" s="47" t="str">
        <x:v>https://www.discounthydraulichose.com/v/vspfiles/downloadables/crimp.pdf (catalog p.99)</x:v>
      </x:c>
      <x:c r="AA395" s="47" t="str">
        <x:v>Published reference data; applicability is limited to the listed reference system and hose code.</x:v>
      </x:c>
      <x:c r="AB395" s="161" t="str">
        <x:v>Pending</x:v>
      </x:c>
    </x:row>
    <x:row r="396" ht="42" customHeight="1">
      <x:c r="A396" s="33" t="str">
        <x:v>Draft</x:v>
      </x:c>
      <x:c r="B396" s="47" t="str">
        <x:v>COMP_0392</x:v>
      </x:c>
      <x:c r="C396" s="47" t="str">
        <x:v>601R2_009</x:v>
      </x:c>
      <x:c r="D396" s="47" t="str">
        <x:v>ORFS_F_SW_12_16</x:v>
      </x:c>
      <x:c r="E396" s="47" t="str">
        <x:v>601R2_2WB_009</x:v>
      </x:c>
      <x:c r="F396" s="47" t="str"/>
      <x:c r="G396" s="33" t="str"/>
      <x:c r="H396" s="50" t="str"/>
      <x:c r="I396" s="50" t="str"/>
      <x:c r="J396" s="50" t="str"/>
      <x:c r="K396" s="47" t="str"/>
      <x:c r="L396" s="50" t="str"/>
      <x:c r="M396" s="50" t="str"/>
      <x:c r="N396" s="47" t="str"/>
      <x:c r="O396" s="50" t="str"/>
      <x:c r="P396" s="64" t="str">
        <x:f>IF(O396="","",O396*2)</x:f>
      </x:c>
      <x:c r="Q396" s="50" t="str"/>
      <x:c r="R396" s="47" t="str"/>
      <x:c r="S396" s="33" t="str">
        <x:v>Not Tested</x:v>
      </x:c>
      <x:c r="T396" s="64" t="str">
        <x:v>Eligible</x:v>
      </x:c>
      <x:c r="U396" s="47" t="str">
        <x:v>DHH W Series Bite-To-The-Wire</x:v>
      </x:c>
      <x:c r="V396" s="47" t="str">
        <x:v>R2-16</x:v>
      </x:c>
      <x:c r="W396" s="47" t="str">
        <x:v>Crimp full shell</x:v>
      </x:c>
      <x:c r="X396" s="50" t="n">
        <x:v>42.3</x:v>
      </x:c>
      <x:c r="Y396" s="50" t="n">
        <x:v>0.13</x:v>
      </x:c>
      <x:c r="Z396" s="47" t="str">
        <x:v>https://www.discounthydraulichose.com/v/vspfiles/downloadables/crimp.pdf (catalog p.99)</x:v>
      </x:c>
      <x:c r="AA396" s="47" t="str">
        <x:v>Published reference data; applicability is limited to the listed reference system and hose code.</x:v>
      </x:c>
      <x:c r="AB396" s="161" t="str">
        <x:v>Pending</x:v>
      </x:c>
    </x:row>
    <x:row r="397" ht="42" customHeight="1">
      <x:c r="A397" s="33" t="str">
        <x:v>Draft</x:v>
      </x:c>
      <x:c r="B397" s="47" t="str">
        <x:v>COMP_0393</x:v>
      </x:c>
      <x:c r="C397" s="47" t="str">
        <x:v>601R2_009</x:v>
      </x:c>
      <x:c r="D397" s="47" t="str">
        <x:v>ORFS_F_SW_16_16</x:v>
      </x:c>
      <x:c r="E397" s="47" t="str">
        <x:v>601R2_2WB_009</x:v>
      </x:c>
      <x:c r="F397" s="47" t="str"/>
      <x:c r="G397" s="33" t="str"/>
      <x:c r="H397" s="50" t="str"/>
      <x:c r="I397" s="50" t="str"/>
      <x:c r="J397" s="50" t="str"/>
      <x:c r="K397" s="47" t="str"/>
      <x:c r="L397" s="50" t="str"/>
      <x:c r="M397" s="50" t="str"/>
      <x:c r="N397" s="47" t="str"/>
      <x:c r="O397" s="50" t="str"/>
      <x:c r="P397" s="64" t="str">
        <x:f>IF(O397="","",O397*2)</x:f>
      </x:c>
      <x:c r="Q397" s="50" t="str"/>
      <x:c r="R397" s="47" t="str"/>
      <x:c r="S397" s="33" t="str">
        <x:v>Not Tested</x:v>
      </x:c>
      <x:c r="T397" s="64" t="str">
        <x:v>Eligible</x:v>
      </x:c>
      <x:c r="U397" s="47" t="str">
        <x:v>DHH W Series Bite-To-The-Wire</x:v>
      </x:c>
      <x:c r="V397" s="47" t="str">
        <x:v>R2-16</x:v>
      </x:c>
      <x:c r="W397" s="47" t="str">
        <x:v>Crimp full shell</x:v>
      </x:c>
      <x:c r="X397" s="50" t="n">
        <x:v>42.3</x:v>
      </x:c>
      <x:c r="Y397" s="50" t="n">
        <x:v>0.13</x:v>
      </x:c>
      <x:c r="Z397" s="47" t="str">
        <x:v>https://www.discounthydraulichose.com/v/vspfiles/downloadables/crimp.pdf (catalog p.99)</x:v>
      </x:c>
      <x:c r="AA397" s="47" t="str">
        <x:v>Published reference data; applicability is limited to the listed reference system and hose code.</x:v>
      </x:c>
      <x:c r="AB397" s="161" t="str">
        <x:v>Pending</x:v>
      </x:c>
    </x:row>
    <x:row r="398" ht="42" customHeight="1">
      <x:c r="A398" s="33" t="str">
        <x:v>Draft</x:v>
      </x:c>
      <x:c r="B398" s="47" t="str">
        <x:v>COMP_0394</x:v>
      </x:c>
      <x:c r="C398" s="47" t="str">
        <x:v>601R2_009</x:v>
      </x:c>
      <x:c r="D398" s="47" t="str">
        <x:v>ORFS_F_SW_20_16</x:v>
      </x:c>
      <x:c r="E398" s="47" t="str">
        <x:v>601R2_2WB_009</x:v>
      </x:c>
      <x:c r="F398" s="47" t="str"/>
      <x:c r="G398" s="33" t="str"/>
      <x:c r="H398" s="50" t="str"/>
      <x:c r="I398" s="50" t="str"/>
      <x:c r="J398" s="50" t="str"/>
      <x:c r="K398" s="47" t="str"/>
      <x:c r="L398" s="50" t="str"/>
      <x:c r="M398" s="50" t="str"/>
      <x:c r="N398" s="47" t="str"/>
      <x:c r="O398" s="50" t="str"/>
      <x:c r="P398" s="64" t="str">
        <x:f>IF(O398="","",O398*2)</x:f>
      </x:c>
      <x:c r="Q398" s="50" t="str"/>
      <x:c r="R398" s="47" t="str"/>
      <x:c r="S398" s="33" t="str">
        <x:v>Not Tested</x:v>
      </x:c>
      <x:c r="T398" s="64" t="str">
        <x:v>Eligible</x:v>
      </x:c>
      <x:c r="U398" s="47" t="str">
        <x:v>DHH W Series Bite-To-The-Wire</x:v>
      </x:c>
      <x:c r="V398" s="47" t="str">
        <x:v>R2-16</x:v>
      </x:c>
      <x:c r="W398" s="47" t="str">
        <x:v>Crimp full shell</x:v>
      </x:c>
      <x:c r="X398" s="50" t="n">
        <x:v>42.3</x:v>
      </x:c>
      <x:c r="Y398" s="50" t="n">
        <x:v>0.13</x:v>
      </x:c>
      <x:c r="Z398" s="47" t="str">
        <x:v>https://www.discounthydraulichose.com/v/vspfiles/downloadables/crimp.pdf (catalog p.99)</x:v>
      </x:c>
      <x:c r="AA398" s="47" t="str">
        <x:v>Published reference data; applicability is limited to the listed reference system and hose code.</x:v>
      </x:c>
      <x:c r="AB398" s="161" t="str">
        <x:v>Pending</x:v>
      </x:c>
    </x:row>
    <x:row r="399" ht="42" customHeight="1">
      <x:c r="A399" s="33" t="str">
        <x:v>Draft</x:v>
      </x:c>
      <x:c r="B399" s="47" t="str">
        <x:v>COMP_0395</x:v>
      </x:c>
      <x:c r="C399" s="47" t="str">
        <x:v>601R2_009</x:v>
      </x:c>
      <x:c r="D399" s="47" t="str">
        <x:v>ORFS_M_FX_12_16</x:v>
      </x:c>
      <x:c r="E399" s="47" t="str">
        <x:v>601R2_2WB_009</x:v>
      </x:c>
      <x:c r="F399" s="47" t="str"/>
      <x:c r="G399" s="33" t="str"/>
      <x:c r="H399" s="50" t="str"/>
      <x:c r="I399" s="50" t="str"/>
      <x:c r="J399" s="50" t="str"/>
      <x:c r="K399" s="47" t="str"/>
      <x:c r="L399" s="50" t="str"/>
      <x:c r="M399" s="50" t="str"/>
      <x:c r="N399" s="47" t="str"/>
      <x:c r="O399" s="50" t="str"/>
      <x:c r="P399" s="64" t="str">
        <x:f>IF(O399="","",O399*2)</x:f>
      </x:c>
      <x:c r="Q399" s="50" t="str"/>
      <x:c r="R399" s="47" t="str"/>
      <x:c r="S399" s="33" t="str">
        <x:v>Not Tested</x:v>
      </x:c>
      <x:c r="T399" s="64" t="str">
        <x:v>Eligible</x:v>
      </x:c>
      <x:c r="U399" s="47" t="str">
        <x:v>DHH W Series Bite-To-The-Wire</x:v>
      </x:c>
      <x:c r="V399" s="47" t="str">
        <x:v>R2-16</x:v>
      </x:c>
      <x:c r="W399" s="47" t="str">
        <x:v>Crimp full shell</x:v>
      </x:c>
      <x:c r="X399" s="50" t="n">
        <x:v>42.3</x:v>
      </x:c>
      <x:c r="Y399" s="50" t="n">
        <x:v>0.13</x:v>
      </x:c>
      <x:c r="Z399" s="47" t="str">
        <x:v>https://www.discounthydraulichose.com/v/vspfiles/downloadables/crimp.pdf (catalog p.99)</x:v>
      </x:c>
      <x:c r="AA399" s="47" t="str">
        <x:v>Published reference data; applicability is limited to the listed reference system and hose code.</x:v>
      </x:c>
      <x:c r="AB399" s="161" t="str">
        <x:v>Pending</x:v>
      </x:c>
    </x:row>
    <x:row r="400" ht="42" customHeight="1">
      <x:c r="A400" s="33" t="str">
        <x:v>Draft</x:v>
      </x:c>
      <x:c r="B400" s="47" t="str">
        <x:v>COMP_0396</x:v>
      </x:c>
      <x:c r="C400" s="47" t="str">
        <x:v>601R2_009</x:v>
      </x:c>
      <x:c r="D400" s="47" t="str">
        <x:v>ORFS_M_FX_16_16</x:v>
      </x:c>
      <x:c r="E400" s="47" t="str">
        <x:v>601R2_2WB_009</x:v>
      </x:c>
      <x:c r="F400" s="47" t="str"/>
      <x:c r="G400" s="33" t="str"/>
      <x:c r="H400" s="50" t="str"/>
      <x:c r="I400" s="50" t="str"/>
      <x:c r="J400" s="50" t="str"/>
      <x:c r="K400" s="47" t="str"/>
      <x:c r="L400" s="50" t="str"/>
      <x:c r="M400" s="50" t="str"/>
      <x:c r="N400" s="47" t="str"/>
      <x:c r="O400" s="50" t="str"/>
      <x:c r="P400" s="64" t="str">
        <x:f>IF(O400="","",O400*2)</x:f>
      </x:c>
      <x:c r="Q400" s="50" t="str"/>
      <x:c r="R400" s="47" t="str"/>
      <x:c r="S400" s="33" t="str">
        <x:v>Not Tested</x:v>
      </x:c>
      <x:c r="T400" s="64" t="str">
        <x:v>Eligible</x:v>
      </x:c>
      <x:c r="U400" s="47" t="str">
        <x:v>DHH W Series Bite-To-The-Wire</x:v>
      </x:c>
      <x:c r="V400" s="47" t="str">
        <x:v>R2-16</x:v>
      </x:c>
      <x:c r="W400" s="47" t="str">
        <x:v>Crimp full shell</x:v>
      </x:c>
      <x:c r="X400" s="50" t="n">
        <x:v>42.3</x:v>
      </x:c>
      <x:c r="Y400" s="50" t="n">
        <x:v>0.13</x:v>
      </x:c>
      <x:c r="Z400" s="47" t="str">
        <x:v>https://www.discounthydraulichose.com/v/vspfiles/downloadables/crimp.pdf (catalog p.99)</x:v>
      </x:c>
      <x:c r="AA400" s="47" t="str">
        <x:v>Published reference data; applicability is limited to the listed reference system and hose code.</x:v>
      </x:c>
      <x:c r="AB400" s="161" t="str">
        <x:v>Pending</x:v>
      </x:c>
    </x:row>
    <x:row r="401" ht="42" customHeight="1">
      <x:c r="A401" s="33" t="str">
        <x:v>Draft</x:v>
      </x:c>
      <x:c r="B401" s="47" t="str">
        <x:v>COMP_0397</x:v>
      </x:c>
      <x:c r="C401" s="47" t="str">
        <x:v>601R2_009</x:v>
      </x:c>
      <x:c r="D401" s="47" t="str">
        <x:v>ORFS45_F_SW_16_16</x:v>
      </x:c>
      <x:c r="E401" s="47" t="str">
        <x:v>601R2_2WB_009</x:v>
      </x:c>
      <x:c r="F401" s="47" t="str"/>
      <x:c r="G401" s="33" t="str"/>
      <x:c r="H401" s="50" t="str"/>
      <x:c r="I401" s="50" t="str"/>
      <x:c r="J401" s="50" t="str"/>
      <x:c r="K401" s="47" t="str"/>
      <x:c r="L401" s="50" t="str"/>
      <x:c r="M401" s="50" t="str"/>
      <x:c r="N401" s="47" t="str"/>
      <x:c r="O401" s="50" t="str"/>
      <x:c r="P401" s="64" t="str">
        <x:f>IF(O401="","",O401*2)</x:f>
      </x:c>
      <x:c r="Q401" s="50" t="str"/>
      <x:c r="R401" s="47" t="str"/>
      <x:c r="S401" s="33" t="str">
        <x:v>Not Tested</x:v>
      </x:c>
      <x:c r="T401" s="64" t="str">
        <x:v>Eligible</x:v>
      </x:c>
      <x:c r="U401" s="47" t="str">
        <x:v>DHH W Series Bite-To-The-Wire</x:v>
      </x:c>
      <x:c r="V401" s="47" t="str">
        <x:v>R2-16</x:v>
      </x:c>
      <x:c r="W401" s="47" t="str">
        <x:v>Crimp full shell</x:v>
      </x:c>
      <x:c r="X401" s="50" t="n">
        <x:v>42.3</x:v>
      </x:c>
      <x:c r="Y401" s="50" t="n">
        <x:v>0.13</x:v>
      </x:c>
      <x:c r="Z401" s="47" t="str">
        <x:v>https://www.discounthydraulichose.com/v/vspfiles/downloadables/crimp.pdf (catalog p.99)</x:v>
      </x:c>
      <x:c r="AA401" s="47" t="str">
        <x:v>Published reference data; applicability is limited to the listed reference system and hose code.</x:v>
      </x:c>
      <x:c r="AB401" s="161" t="str">
        <x:v>Pending</x:v>
      </x:c>
    </x:row>
    <x:row r="402" ht="42" customHeight="1">
      <x:c r="A402" s="33" t="str">
        <x:v>Draft</x:v>
      </x:c>
      <x:c r="B402" s="47" t="str">
        <x:v>COMP_0398</x:v>
      </x:c>
      <x:c r="C402" s="47" t="str">
        <x:v>601R2_009</x:v>
      </x:c>
      <x:c r="D402" s="47" t="str">
        <x:v>ORFS45_F_SW_20_16</x:v>
      </x:c>
      <x:c r="E402" s="47" t="str">
        <x:v>601R2_2WB_009</x:v>
      </x:c>
      <x:c r="F402" s="47" t="str"/>
      <x:c r="G402" s="33" t="str"/>
      <x:c r="H402" s="50" t="str"/>
      <x:c r="I402" s="50" t="str"/>
      <x:c r="J402" s="50" t="str"/>
      <x:c r="K402" s="47" t="str"/>
      <x:c r="L402" s="50" t="str"/>
      <x:c r="M402" s="50" t="str"/>
      <x:c r="N402" s="47" t="str"/>
      <x:c r="O402" s="50" t="str"/>
      <x:c r="P402" s="64" t="str">
        <x:f>IF(O402="","",O402*2)</x:f>
      </x:c>
      <x:c r="Q402" s="50" t="str"/>
      <x:c r="R402" s="47" t="str"/>
      <x:c r="S402" s="33" t="str">
        <x:v>Not Tested</x:v>
      </x:c>
      <x:c r="T402" s="64" t="str">
        <x:v>Eligible</x:v>
      </x:c>
      <x:c r="U402" s="47" t="str">
        <x:v>DHH W Series Bite-To-The-Wire</x:v>
      </x:c>
      <x:c r="V402" s="47" t="str">
        <x:v>R2-16</x:v>
      </x:c>
      <x:c r="W402" s="47" t="str">
        <x:v>Crimp full shell</x:v>
      </x:c>
      <x:c r="X402" s="50" t="n">
        <x:v>42.3</x:v>
      </x:c>
      <x:c r="Y402" s="50" t="n">
        <x:v>0.13</x:v>
      </x:c>
      <x:c r="Z402" s="47" t="str">
        <x:v>https://www.discounthydraulichose.com/v/vspfiles/downloadables/crimp.pdf (catalog p.99)</x:v>
      </x:c>
      <x:c r="AA402" s="47" t="str">
        <x:v>Published reference data; applicability is limited to the listed reference system and hose code.</x:v>
      </x:c>
      <x:c r="AB402" s="161" t="str">
        <x:v>Pending</x:v>
      </x:c>
    </x:row>
    <x:row r="403" ht="42" customHeight="1">
      <x:c r="A403" s="33" t="str">
        <x:v>Draft</x:v>
      </x:c>
      <x:c r="B403" s="47" t="str">
        <x:v>COMP_0399</x:v>
      </x:c>
      <x:c r="C403" s="47" t="str">
        <x:v>601R2_009</x:v>
      </x:c>
      <x:c r="D403" s="47" t="str">
        <x:v>ORFS90_F_SW_16_16</x:v>
      </x:c>
      <x:c r="E403" s="47" t="str">
        <x:v>601R2_2WB_009</x:v>
      </x:c>
      <x:c r="F403" s="47" t="str"/>
      <x:c r="G403" s="33" t="str"/>
      <x:c r="H403" s="50" t="str"/>
      <x:c r="I403" s="50" t="str"/>
      <x:c r="J403" s="50" t="str"/>
      <x:c r="K403" s="47" t="str"/>
      <x:c r="L403" s="50" t="str"/>
      <x:c r="M403" s="50" t="str"/>
      <x:c r="N403" s="47" t="str"/>
      <x:c r="O403" s="50" t="str"/>
      <x:c r="P403" s="64" t="str">
        <x:f>IF(O403="","",O403*2)</x:f>
      </x:c>
      <x:c r="Q403" s="50" t="str"/>
      <x:c r="R403" s="47" t="str"/>
      <x:c r="S403" s="33" t="str">
        <x:v>Not Tested</x:v>
      </x:c>
      <x:c r="T403" s="64" t="str">
        <x:v>Eligible</x:v>
      </x:c>
      <x:c r="U403" s="47" t="str">
        <x:v>DHH W Series Bite-To-The-Wire</x:v>
      </x:c>
      <x:c r="V403" s="47" t="str">
        <x:v>R2-16</x:v>
      </x:c>
      <x:c r="W403" s="47" t="str">
        <x:v>Crimp full shell</x:v>
      </x:c>
      <x:c r="X403" s="50" t="n">
        <x:v>42.3</x:v>
      </x:c>
      <x:c r="Y403" s="50" t="n">
        <x:v>0.13</x:v>
      </x:c>
      <x:c r="Z403" s="47" t="str">
        <x:v>https://www.discounthydraulichose.com/v/vspfiles/downloadables/crimp.pdf (catalog p.99)</x:v>
      </x:c>
      <x:c r="AA403" s="47" t="str">
        <x:v>Published reference data; applicability is limited to the listed reference system and hose code.</x:v>
      </x:c>
      <x:c r="AB403" s="161" t="str">
        <x:v>Pending</x:v>
      </x:c>
    </x:row>
    <x:row r="404" ht="42" customHeight="1">
      <x:c r="A404" s="33" t="str">
        <x:v>Draft</x:v>
      </x:c>
      <x:c r="B404" s="47" t="str">
        <x:v>COMP_0400</x:v>
      </x:c>
      <x:c r="C404" s="47" t="str">
        <x:v>601R2_009</x:v>
      </x:c>
      <x:c r="D404" s="47" t="str">
        <x:v>ORFS90_F_SW_20_16</x:v>
      </x:c>
      <x:c r="E404" s="47" t="str">
        <x:v>601R2_2WB_009</x:v>
      </x:c>
      <x:c r="F404" s="47" t="str"/>
      <x:c r="G404" s="33" t="str"/>
      <x:c r="H404" s="50" t="str"/>
      <x:c r="I404" s="50" t="str"/>
      <x:c r="J404" s="50" t="str"/>
      <x:c r="K404" s="47" t="str"/>
      <x:c r="L404" s="50" t="str"/>
      <x:c r="M404" s="50" t="str"/>
      <x:c r="N404" s="47" t="str"/>
      <x:c r="O404" s="50" t="str"/>
      <x:c r="P404" s="64" t="str">
        <x:f>IF(O404="","",O404*2)</x:f>
      </x:c>
      <x:c r="Q404" s="50" t="str"/>
      <x:c r="R404" s="47" t="str"/>
      <x:c r="S404" s="33" t="str">
        <x:v>Not Tested</x:v>
      </x:c>
      <x:c r="T404" s="64" t="str">
        <x:v>Eligible</x:v>
      </x:c>
      <x:c r="U404" s="47" t="str">
        <x:v>DHH W Series Bite-To-The-Wire</x:v>
      </x:c>
      <x:c r="V404" s="47" t="str">
        <x:v>R2-16</x:v>
      </x:c>
      <x:c r="W404" s="47" t="str">
        <x:v>Crimp full shell</x:v>
      </x:c>
      <x:c r="X404" s="50" t="n">
        <x:v>42.3</x:v>
      </x:c>
      <x:c r="Y404" s="50" t="n">
        <x:v>0.13</x:v>
      </x:c>
      <x:c r="Z404" s="47" t="str">
        <x:v>https://www.discounthydraulichose.com/v/vspfiles/downloadables/crimp.pdf (catalog p.99)</x:v>
      </x:c>
      <x:c r="AA404" s="47" t="str">
        <x:v>Published reference data; applicability is limited to the listed reference system and hose code.</x:v>
      </x:c>
      <x:c r="AB404" s="161" t="str">
        <x:v>Pending</x:v>
      </x:c>
    </x:row>
    <x:row r="405" ht="42" customHeight="1">
      <x:c r="A405" s="33" t="str">
        <x:v>Draft</x:v>
      </x:c>
      <x:c r="B405" s="47" t="str">
        <x:v>COMP_0401</x:v>
      </x:c>
      <x:c r="C405" s="47" t="str">
        <x:v>EN1SC_001</x:v>
      </x:c>
      <x:c r="D405" s="47" t="str">
        <x:v>BSPP_F_SW_04_04</x:v>
      </x:c>
      <x:c r="E405" s="47" t="str">
        <x:v>EN1SC_1WB_001</x:v>
      </x:c>
      <x:c r="F405" s="47" t="str"/>
      <x:c r="G405" s="33" t="str"/>
      <x:c r="H405" s="50" t="str"/>
      <x:c r="I405" s="50" t="str"/>
      <x:c r="J405" s="50" t="str"/>
      <x:c r="K405" s="47" t="str"/>
      <x:c r="L405" s="50" t="str"/>
      <x:c r="M405" s="50" t="str"/>
      <x:c r="N405" s="47" t="str"/>
      <x:c r="O405" s="50" t="str"/>
      <x:c r="P405" s="64" t="str">
        <x:f>IF(O405="","",O405*2)</x:f>
      </x:c>
      <x:c r="Q405" s="50" t="str"/>
      <x:c r="R405" s="47" t="str"/>
      <x:c r="S405" s="33" t="str">
        <x:v>Not Tested</x:v>
      </x:c>
      <x:c r="T405" s="64" t="str">
        <x:v>Eligible</x:v>
      </x:c>
      <x:c r="U405" s="47" t="str"/>
      <x:c r="V405" s="47" t="str"/>
      <x:c r="W405" s="47" t="str"/>
      <x:c r="X405" s="50" t="str"/>
      <x:c r="Y405" s="50" t="str"/>
      <x:c r="Z405" s="47" t="str"/>
      <x:c r="AA405" s="47" t="str">
        <x:v>No direct published reference located; do not display a crimp value.</x:v>
      </x:c>
      <x:c r="AB405" s="161" t="str">
        <x:v>Pending</x:v>
      </x:c>
    </x:row>
    <x:row r="406" ht="42" customHeight="1">
      <x:c r="A406" s="33" t="str">
        <x:v>Draft</x:v>
      </x:c>
      <x:c r="B406" s="47" t="str">
        <x:v>COMP_0402</x:v>
      </x:c>
      <x:c r="C406" s="47" t="str">
        <x:v>EN1SC_001</x:v>
      </x:c>
      <x:c r="D406" s="47" t="str">
        <x:v>BSPP_F_SW_06_04</x:v>
      </x:c>
      <x:c r="E406" s="47" t="str">
        <x:v>EN1SC_1WB_001</x:v>
      </x:c>
      <x:c r="F406" s="47" t="str"/>
      <x:c r="G406" s="33" t="str"/>
      <x:c r="H406" s="50" t="str"/>
      <x:c r="I406" s="50" t="str"/>
      <x:c r="J406" s="50" t="str"/>
      <x:c r="K406" s="47" t="str"/>
      <x:c r="L406" s="50" t="str"/>
      <x:c r="M406" s="50" t="str"/>
      <x:c r="N406" s="47" t="str"/>
      <x:c r="O406" s="50" t="str"/>
      <x:c r="P406" s="64" t="str">
        <x:f>IF(O406="","",O406*2)</x:f>
      </x:c>
      <x:c r="Q406" s="50" t="str"/>
      <x:c r="R406" s="47" t="str"/>
      <x:c r="S406" s="33" t="str">
        <x:v>Not Tested</x:v>
      </x:c>
      <x:c r="T406" s="64" t="str">
        <x:v>Eligible</x:v>
      </x:c>
      <x:c r="U406" s="47" t="str"/>
      <x:c r="V406" s="47" t="str"/>
      <x:c r="W406" s="47" t="str"/>
      <x:c r="X406" s="50" t="str"/>
      <x:c r="Y406" s="50" t="str"/>
      <x:c r="Z406" s="47" t="str"/>
      <x:c r="AA406" s="47" t="str">
        <x:v>No direct published reference located; do not display a crimp value.</x:v>
      </x:c>
      <x:c r="AB406" s="161" t="str">
        <x:v>Pending</x:v>
      </x:c>
    </x:row>
    <x:row r="407" ht="42" customHeight="1">
      <x:c r="A407" s="33" t="str">
        <x:v>Draft</x:v>
      </x:c>
      <x:c r="B407" s="47" t="str">
        <x:v>COMP_0403</x:v>
      </x:c>
      <x:c r="C407" s="47" t="str">
        <x:v>EN1SC_001</x:v>
      </x:c>
      <x:c r="D407" s="47" t="str">
        <x:v>BSPP_M_FX_04_04</x:v>
      </x:c>
      <x:c r="E407" s="47" t="str">
        <x:v>EN1SC_1WB_001</x:v>
      </x:c>
      <x:c r="F407" s="47" t="str"/>
      <x:c r="G407" s="33" t="str"/>
      <x:c r="H407" s="50" t="str"/>
      <x:c r="I407" s="50" t="str"/>
      <x:c r="J407" s="50" t="str"/>
      <x:c r="K407" s="47" t="str"/>
      <x:c r="L407" s="50" t="str"/>
      <x:c r="M407" s="50" t="str"/>
      <x:c r="N407" s="47" t="str"/>
      <x:c r="O407" s="50" t="str"/>
      <x:c r="P407" s="64" t="str">
        <x:f>IF(O407="","",O407*2)</x:f>
      </x:c>
      <x:c r="Q407" s="50" t="str"/>
      <x:c r="R407" s="47" t="str"/>
      <x:c r="S407" s="33" t="str">
        <x:v>Not Tested</x:v>
      </x:c>
      <x:c r="T407" s="64" t="str">
        <x:v>Eligible</x:v>
      </x:c>
      <x:c r="U407" s="47" t="str"/>
      <x:c r="V407" s="47" t="str"/>
      <x:c r="W407" s="47" t="str"/>
      <x:c r="X407" s="50" t="str"/>
      <x:c r="Y407" s="50" t="str"/>
      <x:c r="Z407" s="47" t="str"/>
      <x:c r="AA407" s="47" t="str">
        <x:v>No direct published reference located; do not display a crimp value.</x:v>
      </x:c>
      <x:c r="AB407" s="161" t="str">
        <x:v>Pending</x:v>
      </x:c>
    </x:row>
    <x:row r="408" ht="42" customHeight="1">
      <x:c r="A408" s="33" t="str">
        <x:v>Draft</x:v>
      </x:c>
      <x:c r="B408" s="47" t="str">
        <x:v>COMP_0404</x:v>
      </x:c>
      <x:c r="C408" s="47" t="str">
        <x:v>EN1SC_001</x:v>
      </x:c>
      <x:c r="D408" s="47" t="str">
        <x:v>BSPP_M_FX_06_04</x:v>
      </x:c>
      <x:c r="E408" s="47" t="str">
        <x:v>EN1SC_1WB_001</x:v>
      </x:c>
      <x:c r="F408" s="47" t="str"/>
      <x:c r="G408" s="33" t="str"/>
      <x:c r="H408" s="50" t="str"/>
      <x:c r="I408" s="50" t="str"/>
      <x:c r="J408" s="50" t="str"/>
      <x:c r="K408" s="47" t="str"/>
      <x:c r="L408" s="50" t="str"/>
      <x:c r="M408" s="50" t="str"/>
      <x:c r="N408" s="47" t="str"/>
      <x:c r="O408" s="50" t="str"/>
      <x:c r="P408" s="64" t="str">
        <x:f>IF(O408="","",O408*2)</x:f>
      </x:c>
      <x:c r="Q408" s="50" t="str"/>
      <x:c r="R408" s="47" t="str"/>
      <x:c r="S408" s="33" t="str">
        <x:v>Not Tested</x:v>
      </x:c>
      <x:c r="T408" s="64" t="str">
        <x:v>Eligible</x:v>
      </x:c>
      <x:c r="U408" s="47" t="str"/>
      <x:c r="V408" s="47" t="str"/>
      <x:c r="W408" s="47" t="str"/>
      <x:c r="X408" s="50" t="str"/>
      <x:c r="Y408" s="50" t="str"/>
      <x:c r="Z408" s="47" t="str"/>
      <x:c r="AA408" s="47" t="str">
        <x:v>No direct published reference located; do not display a crimp value.</x:v>
      </x:c>
      <x:c r="AB408" s="161" t="str">
        <x:v>Pending</x:v>
      </x:c>
    </x:row>
    <x:row r="409" ht="42" customHeight="1">
      <x:c r="A409" s="33" t="str">
        <x:v>Draft</x:v>
      </x:c>
      <x:c r="B409" s="47" t="str">
        <x:v>COMP_0405</x:v>
      </x:c>
      <x:c r="C409" s="47" t="str">
        <x:v>EN1SC_001</x:v>
      </x:c>
      <x:c r="D409" s="47" t="str">
        <x:v>BSPP45_F_SW_04_04</x:v>
      </x:c>
      <x:c r="E409" s="47" t="str">
        <x:v>EN1SC_1WB_001</x:v>
      </x:c>
      <x:c r="F409" s="47" t="str"/>
      <x:c r="G409" s="33" t="str"/>
      <x:c r="H409" s="50" t="str"/>
      <x:c r="I409" s="50" t="str"/>
      <x:c r="J409" s="50" t="str"/>
      <x:c r="K409" s="47" t="str"/>
      <x:c r="L409" s="50" t="str"/>
      <x:c r="M409" s="50" t="str"/>
      <x:c r="N409" s="47" t="str"/>
      <x:c r="O409" s="50" t="str"/>
      <x:c r="P409" s="64" t="str">
        <x:f>IF(O409="","",O409*2)</x:f>
      </x:c>
      <x:c r="Q409" s="50" t="str"/>
      <x:c r="R409" s="47" t="str"/>
      <x:c r="S409" s="33" t="str">
        <x:v>Not Tested</x:v>
      </x:c>
      <x:c r="T409" s="64" t="str">
        <x:v>Eligible</x:v>
      </x:c>
      <x:c r="U409" s="47" t="str"/>
      <x:c r="V409" s="47" t="str"/>
      <x:c r="W409" s="47" t="str"/>
      <x:c r="X409" s="50" t="str"/>
      <x:c r="Y409" s="50" t="str"/>
      <x:c r="Z409" s="47" t="str"/>
      <x:c r="AA409" s="47" t="str">
        <x:v>No direct published reference located; do not display a crimp value.</x:v>
      </x:c>
      <x:c r="AB409" s="161" t="str">
        <x:v>Pending</x:v>
      </x:c>
    </x:row>
    <x:row r="410" ht="42" customHeight="1">
      <x:c r="A410" s="33" t="str">
        <x:v>Draft</x:v>
      </x:c>
      <x:c r="B410" s="47" t="str">
        <x:v>COMP_0406</x:v>
      </x:c>
      <x:c r="C410" s="47" t="str">
        <x:v>EN1SC_001</x:v>
      </x:c>
      <x:c r="D410" s="47" t="str">
        <x:v>BSPP90_F_SW_04_04</x:v>
      </x:c>
      <x:c r="E410" s="47" t="str">
        <x:v>EN1SC_1WB_001</x:v>
      </x:c>
      <x:c r="F410" s="47" t="str"/>
      <x:c r="G410" s="33" t="str"/>
      <x:c r="H410" s="50" t="str"/>
      <x:c r="I410" s="50" t="str"/>
      <x:c r="J410" s="50" t="str"/>
      <x:c r="K410" s="47" t="str"/>
      <x:c r="L410" s="50" t="str"/>
      <x:c r="M410" s="50" t="str"/>
      <x:c r="N410" s="47" t="str"/>
      <x:c r="O410" s="50" t="str"/>
      <x:c r="P410" s="64" t="str">
        <x:f>IF(O410="","",O410*2)</x:f>
      </x:c>
      <x:c r="Q410" s="50" t="str"/>
      <x:c r="R410" s="47" t="str"/>
      <x:c r="S410" s="33" t="str">
        <x:v>Not Tested</x:v>
      </x:c>
      <x:c r="T410" s="64" t="str">
        <x:v>Eligible</x:v>
      </x:c>
      <x:c r="U410" s="47" t="str"/>
      <x:c r="V410" s="47" t="str"/>
      <x:c r="W410" s="47" t="str"/>
      <x:c r="X410" s="50" t="str"/>
      <x:c r="Y410" s="50" t="str"/>
      <x:c r="Z410" s="47" t="str"/>
      <x:c r="AA410" s="47" t="str">
        <x:v>No direct published reference located; do not display a crimp value.</x:v>
      </x:c>
      <x:c r="AB410" s="161" t="str">
        <x:v>Pending</x:v>
      </x:c>
    </x:row>
    <x:row r="411" ht="42" customHeight="1">
      <x:c r="A411" s="33" t="str">
        <x:v>Draft</x:v>
      </x:c>
      <x:c r="B411" s="47" t="str">
        <x:v>COMP_0407</x:v>
      </x:c>
      <x:c r="C411" s="47" t="str">
        <x:v>EN1SC_001</x:v>
      </x:c>
      <x:c r="D411" s="47" t="str">
        <x:v>BSPP90_F_SW_06_04</x:v>
      </x:c>
      <x:c r="E411" s="47" t="str">
        <x:v>EN1SC_1WB_001</x:v>
      </x:c>
      <x:c r="F411" s="47" t="str"/>
      <x:c r="G411" s="33" t="str"/>
      <x:c r="H411" s="50" t="str"/>
      <x:c r="I411" s="50" t="str"/>
      <x:c r="J411" s="50" t="str"/>
      <x:c r="K411" s="47" t="str"/>
      <x:c r="L411" s="50" t="str"/>
      <x:c r="M411" s="50" t="str"/>
      <x:c r="N411" s="47" t="str"/>
      <x:c r="O411" s="50" t="str"/>
      <x:c r="P411" s="64" t="str">
        <x:f>IF(O411="","",O411*2)</x:f>
      </x:c>
      <x:c r="Q411" s="50" t="str"/>
      <x:c r="R411" s="47" t="str"/>
      <x:c r="S411" s="33" t="str">
        <x:v>Not Tested</x:v>
      </x:c>
      <x:c r="T411" s="64" t="str">
        <x:v>Eligible</x:v>
      </x:c>
      <x:c r="U411" s="47" t="str"/>
      <x:c r="V411" s="47" t="str"/>
      <x:c r="W411" s="47" t="str"/>
      <x:c r="X411" s="50" t="str"/>
      <x:c r="Y411" s="50" t="str"/>
      <x:c r="Z411" s="47" t="str"/>
      <x:c r="AA411" s="47" t="str">
        <x:v>No direct published reference located; do not display a crimp value.</x:v>
      </x:c>
      <x:c r="AB411" s="161" t="str">
        <x:v>Pending</x:v>
      </x:c>
    </x:row>
    <x:row r="412" ht="42" customHeight="1">
      <x:c r="A412" s="33" t="str">
        <x:v>Draft</x:v>
      </x:c>
      <x:c r="B412" s="47" t="str">
        <x:v>COMP_0408</x:v>
      </x:c>
      <x:c r="C412" s="47" t="str">
        <x:v>EN1SC_001</x:v>
      </x:c>
      <x:c r="D412" s="47" t="str">
        <x:v>BSPT_M_FX_02_04</x:v>
      </x:c>
      <x:c r="E412" s="47" t="str">
        <x:v>EN1SC_1WB_001</x:v>
      </x:c>
      <x:c r="F412" s="47" t="str"/>
      <x:c r="G412" s="33" t="str"/>
      <x:c r="H412" s="50" t="str"/>
      <x:c r="I412" s="50" t="str"/>
      <x:c r="J412" s="50" t="str"/>
      <x:c r="K412" s="47" t="str"/>
      <x:c r="L412" s="50" t="str"/>
      <x:c r="M412" s="50" t="str"/>
      <x:c r="N412" s="47" t="str"/>
      <x:c r="O412" s="50" t="str"/>
      <x:c r="P412" s="64" t="str">
        <x:f>IF(O412="","",O412*2)</x:f>
      </x:c>
      <x:c r="Q412" s="50" t="str"/>
      <x:c r="R412" s="47" t="str"/>
      <x:c r="S412" s="33" t="str">
        <x:v>Not Tested</x:v>
      </x:c>
      <x:c r="T412" s="64" t="str">
        <x:v>Eligible</x:v>
      </x:c>
      <x:c r="U412" s="47" t="str"/>
      <x:c r="V412" s="47" t="str"/>
      <x:c r="W412" s="47" t="str"/>
      <x:c r="X412" s="50" t="str"/>
      <x:c r="Y412" s="50" t="str"/>
      <x:c r="Z412" s="47" t="str"/>
      <x:c r="AA412" s="47" t="str">
        <x:v>No direct published reference located; do not display a crimp value.</x:v>
      </x:c>
      <x:c r="AB412" s="161" t="str">
        <x:v>Pending</x:v>
      </x:c>
    </x:row>
    <x:row r="413" ht="42" customHeight="1">
      <x:c r="A413" s="33" t="str">
        <x:v>Draft</x:v>
      </x:c>
      <x:c r="B413" s="47" t="str">
        <x:v>COMP_0409</x:v>
      </x:c>
      <x:c r="C413" s="47" t="str">
        <x:v>EN1SC_001</x:v>
      </x:c>
      <x:c r="D413" s="47" t="str">
        <x:v>BSPT_M_FX_04_04</x:v>
      </x:c>
      <x:c r="E413" s="47" t="str">
        <x:v>EN1SC_1WB_001</x:v>
      </x:c>
      <x:c r="F413" s="47" t="str"/>
      <x:c r="G413" s="33" t="str"/>
      <x:c r="H413" s="50" t="str"/>
      <x:c r="I413" s="50" t="str"/>
      <x:c r="J413" s="50" t="str"/>
      <x:c r="K413" s="47" t="str"/>
      <x:c r="L413" s="50" t="str"/>
      <x:c r="M413" s="50" t="str"/>
      <x:c r="N413" s="47" t="str"/>
      <x:c r="O413" s="50" t="str"/>
      <x:c r="P413" s="64" t="str">
        <x:f>IF(O413="","",O413*2)</x:f>
      </x:c>
      <x:c r="Q413" s="50" t="str"/>
      <x:c r="R413" s="47" t="str"/>
      <x:c r="S413" s="33" t="str">
        <x:v>Not Tested</x:v>
      </x:c>
      <x:c r="T413" s="64" t="str">
        <x:v>Eligible</x:v>
      </x:c>
      <x:c r="U413" s="47" t="str"/>
      <x:c r="V413" s="47" t="str"/>
      <x:c r="W413" s="47" t="str"/>
      <x:c r="X413" s="50" t="str"/>
      <x:c r="Y413" s="50" t="str"/>
      <x:c r="Z413" s="47" t="str"/>
      <x:c r="AA413" s="47" t="str">
        <x:v>No direct published reference located; do not display a crimp value.</x:v>
      </x:c>
      <x:c r="AB413" s="161" t="str">
        <x:v>Pending</x:v>
      </x:c>
    </x:row>
    <x:row r="414" ht="42" customHeight="1">
      <x:c r="A414" s="33" t="str">
        <x:v>Draft</x:v>
      </x:c>
      <x:c r="B414" s="47" t="str">
        <x:v>COMP_0410</x:v>
      </x:c>
      <x:c r="C414" s="47" t="str">
        <x:v>EN1SC_001</x:v>
      </x:c>
      <x:c r="D414" s="47" t="str">
        <x:v>BSPT_M_FX_06_04</x:v>
      </x:c>
      <x:c r="E414" s="47" t="str">
        <x:v>EN1SC_1WB_001</x:v>
      </x:c>
      <x:c r="F414" s="47" t="str"/>
      <x:c r="G414" s="33" t="str"/>
      <x:c r="H414" s="50" t="str"/>
      <x:c r="I414" s="50" t="str"/>
      <x:c r="J414" s="50" t="str"/>
      <x:c r="K414" s="47" t="str"/>
      <x:c r="L414" s="50" t="str"/>
      <x:c r="M414" s="50" t="str"/>
      <x:c r="N414" s="47" t="str"/>
      <x:c r="O414" s="50" t="str"/>
      <x:c r="P414" s="64" t="str">
        <x:f>IF(O414="","",O414*2)</x:f>
      </x:c>
      <x:c r="Q414" s="50" t="str"/>
      <x:c r="R414" s="47" t="str"/>
      <x:c r="S414" s="33" t="str">
        <x:v>Not Tested</x:v>
      </x:c>
      <x:c r="T414" s="64" t="str">
        <x:v>Eligible</x:v>
      </x:c>
      <x:c r="U414" s="47" t="str"/>
      <x:c r="V414" s="47" t="str"/>
      <x:c r="W414" s="47" t="str"/>
      <x:c r="X414" s="50" t="str"/>
      <x:c r="Y414" s="50" t="str"/>
      <x:c r="Z414" s="47" t="str"/>
      <x:c r="AA414" s="47" t="str">
        <x:v>No direct published reference located; do not display a crimp value.</x:v>
      </x:c>
      <x:c r="AB414" s="161" t="str">
        <x:v>Pending</x:v>
      </x:c>
    </x:row>
    <x:row r="415" ht="42" customHeight="1">
      <x:c r="A415" s="33" t="str">
        <x:v>Draft</x:v>
      </x:c>
      <x:c r="B415" s="47" t="str">
        <x:v>COMP_0411</x:v>
      </x:c>
      <x:c r="C415" s="47" t="str">
        <x:v>EN1SC_001</x:v>
      </x:c>
      <x:c r="D415" s="47" t="str">
        <x:v>JIC_F_SW_04_04</x:v>
      </x:c>
      <x:c r="E415" s="47" t="str">
        <x:v>EN1SC_1WB_001</x:v>
      </x:c>
      <x:c r="F415" s="47" t="str"/>
      <x:c r="G415" s="33" t="str"/>
      <x:c r="H415" s="50" t="str"/>
      <x:c r="I415" s="50" t="str"/>
      <x:c r="J415" s="50" t="str"/>
      <x:c r="K415" s="47" t="str"/>
      <x:c r="L415" s="50" t="str"/>
      <x:c r="M415" s="50" t="str"/>
      <x:c r="N415" s="47" t="str"/>
      <x:c r="O415" s="50" t="str"/>
      <x:c r="P415" s="64" t="str">
        <x:f>IF(O415="","",O415*2)</x:f>
      </x:c>
      <x:c r="Q415" s="50" t="str"/>
      <x:c r="R415" s="47" t="str"/>
      <x:c r="S415" s="33" t="str">
        <x:v>Not Tested</x:v>
      </x:c>
      <x:c r="T415" s="64" t="str">
        <x:v>Eligible</x:v>
      </x:c>
      <x:c r="U415" s="47" t="str"/>
      <x:c r="V415" s="47" t="str"/>
      <x:c r="W415" s="47" t="str"/>
      <x:c r="X415" s="50" t="str"/>
      <x:c r="Y415" s="50" t="str"/>
      <x:c r="Z415" s="47" t="str"/>
      <x:c r="AA415" s="47" t="str">
        <x:v>No direct published reference located; do not display a crimp value.</x:v>
      </x:c>
      <x:c r="AB415" s="161" t="str">
        <x:v>Pending</x:v>
      </x:c>
    </x:row>
    <x:row r="416" ht="42" customHeight="1">
      <x:c r="A416" s="33" t="str">
        <x:v>Draft</x:v>
      </x:c>
      <x:c r="B416" s="47" t="str">
        <x:v>COMP_0412</x:v>
      </x:c>
      <x:c r="C416" s="47" t="str">
        <x:v>EN1SC_001</x:v>
      </x:c>
      <x:c r="D416" s="47" t="str">
        <x:v>JIC_F_SW_05_04</x:v>
      </x:c>
      <x:c r="E416" s="47" t="str">
        <x:v>EN1SC_1WB_001</x:v>
      </x:c>
      <x:c r="F416" s="47" t="str"/>
      <x:c r="G416" s="33" t="str"/>
      <x:c r="H416" s="50" t="str"/>
      <x:c r="I416" s="50" t="str"/>
      <x:c r="J416" s="50" t="str"/>
      <x:c r="K416" s="47" t="str"/>
      <x:c r="L416" s="50" t="str"/>
      <x:c r="M416" s="50" t="str"/>
      <x:c r="N416" s="47" t="str"/>
      <x:c r="O416" s="50" t="str"/>
      <x:c r="P416" s="64" t="str">
        <x:f>IF(O416="","",O416*2)</x:f>
      </x:c>
      <x:c r="Q416" s="50" t="str"/>
      <x:c r="R416" s="47" t="str"/>
      <x:c r="S416" s="33" t="str">
        <x:v>Not Tested</x:v>
      </x:c>
      <x:c r="T416" s="64" t="str">
        <x:v>Eligible</x:v>
      </x:c>
      <x:c r="U416" s="47" t="str"/>
      <x:c r="V416" s="47" t="str"/>
      <x:c r="W416" s="47" t="str"/>
      <x:c r="X416" s="50" t="str"/>
      <x:c r="Y416" s="50" t="str"/>
      <x:c r="Z416" s="47" t="str"/>
      <x:c r="AA416" s="47" t="str">
        <x:v>No direct published reference located; do not display a crimp value.</x:v>
      </x:c>
      <x:c r="AB416" s="161" t="str">
        <x:v>Pending</x:v>
      </x:c>
    </x:row>
    <x:row r="417" ht="42" customHeight="1">
      <x:c r="A417" s="33" t="str">
        <x:v>Draft</x:v>
      </x:c>
      <x:c r="B417" s="47" t="str">
        <x:v>COMP_0413</x:v>
      </x:c>
      <x:c r="C417" s="47" t="str">
        <x:v>EN1SC_001</x:v>
      </x:c>
      <x:c r="D417" s="47" t="str">
        <x:v>JIC_F_SW_06_04</x:v>
      </x:c>
      <x:c r="E417" s="47" t="str">
        <x:v>EN1SC_1WB_001</x:v>
      </x:c>
      <x:c r="F417" s="47" t="str"/>
      <x:c r="G417" s="33" t="str"/>
      <x:c r="H417" s="50" t="str"/>
      <x:c r="I417" s="50" t="str"/>
      <x:c r="J417" s="50" t="str"/>
      <x:c r="K417" s="47" t="str"/>
      <x:c r="L417" s="50" t="str"/>
      <x:c r="M417" s="50" t="str"/>
      <x:c r="N417" s="47" t="str"/>
      <x:c r="O417" s="50" t="str"/>
      <x:c r="P417" s="64" t="str">
        <x:f>IF(O417="","",O417*2)</x:f>
      </x:c>
      <x:c r="Q417" s="50" t="str"/>
      <x:c r="R417" s="47" t="str"/>
      <x:c r="S417" s="33" t="str">
        <x:v>Not Tested</x:v>
      </x:c>
      <x:c r="T417" s="64" t="str">
        <x:v>Eligible</x:v>
      </x:c>
      <x:c r="U417" s="47" t="str"/>
      <x:c r="V417" s="47" t="str"/>
      <x:c r="W417" s="47" t="str"/>
      <x:c r="X417" s="50" t="str"/>
      <x:c r="Y417" s="50" t="str"/>
      <x:c r="Z417" s="47" t="str"/>
      <x:c r="AA417" s="47" t="str">
        <x:v>No direct published reference located; do not display a crimp value.</x:v>
      </x:c>
      <x:c r="AB417" s="161" t="str">
        <x:v>Pending</x:v>
      </x:c>
    </x:row>
    <x:row r="418" ht="42" customHeight="1">
      <x:c r="A418" s="33" t="str">
        <x:v>Draft</x:v>
      </x:c>
      <x:c r="B418" s="47" t="str">
        <x:v>COMP_0414</x:v>
      </x:c>
      <x:c r="C418" s="47" t="str">
        <x:v>EN1SC_001</x:v>
      </x:c>
      <x:c r="D418" s="47" t="str">
        <x:v>JIC_M_FX_04_04</x:v>
      </x:c>
      <x:c r="E418" s="47" t="str">
        <x:v>EN1SC_1WB_001</x:v>
      </x:c>
      <x:c r="F418" s="47" t="str"/>
      <x:c r="G418" s="33" t="str"/>
      <x:c r="H418" s="50" t="str"/>
      <x:c r="I418" s="50" t="str"/>
      <x:c r="J418" s="50" t="str"/>
      <x:c r="K418" s="47" t="str"/>
      <x:c r="L418" s="50" t="str"/>
      <x:c r="M418" s="50" t="str"/>
      <x:c r="N418" s="47" t="str"/>
      <x:c r="O418" s="50" t="str"/>
      <x:c r="P418" s="64" t="str">
        <x:f>IF(O418="","",O418*2)</x:f>
      </x:c>
      <x:c r="Q418" s="50" t="str"/>
      <x:c r="R418" s="47" t="str"/>
      <x:c r="S418" s="33" t="str">
        <x:v>Not Tested</x:v>
      </x:c>
      <x:c r="T418" s="64" t="str">
        <x:v>Eligible</x:v>
      </x:c>
      <x:c r="U418" s="47" t="str"/>
      <x:c r="V418" s="47" t="str"/>
      <x:c r="W418" s="47" t="str"/>
      <x:c r="X418" s="50" t="str"/>
      <x:c r="Y418" s="50" t="str"/>
      <x:c r="Z418" s="47" t="str"/>
      <x:c r="AA418" s="47" t="str">
        <x:v>No direct published reference located; do not display a crimp value.</x:v>
      </x:c>
      <x:c r="AB418" s="161" t="str">
        <x:v>Pending</x:v>
      </x:c>
    </x:row>
    <x:row r="419" ht="42" customHeight="1">
      <x:c r="A419" s="33" t="str">
        <x:v>Draft</x:v>
      </x:c>
      <x:c r="B419" s="47" t="str">
        <x:v>COMP_0415</x:v>
      </x:c>
      <x:c r="C419" s="47" t="str">
        <x:v>EN1SC_001</x:v>
      </x:c>
      <x:c r="D419" s="47" t="str">
        <x:v>JIC_M_FX_05_04</x:v>
      </x:c>
      <x:c r="E419" s="47" t="str">
        <x:v>EN1SC_1WB_001</x:v>
      </x:c>
      <x:c r="F419" s="47" t="str"/>
      <x:c r="G419" s="33" t="str"/>
      <x:c r="H419" s="50" t="str"/>
      <x:c r="I419" s="50" t="str"/>
      <x:c r="J419" s="50" t="str"/>
      <x:c r="K419" s="47" t="str"/>
      <x:c r="L419" s="50" t="str"/>
      <x:c r="M419" s="50" t="str"/>
      <x:c r="N419" s="47" t="str"/>
      <x:c r="O419" s="50" t="str"/>
      <x:c r="P419" s="64" t="str">
        <x:f>IF(O419="","",O419*2)</x:f>
      </x:c>
      <x:c r="Q419" s="50" t="str"/>
      <x:c r="R419" s="47" t="str"/>
      <x:c r="S419" s="33" t="str">
        <x:v>Not Tested</x:v>
      </x:c>
      <x:c r="T419" s="64" t="str">
        <x:v>Eligible</x:v>
      </x:c>
      <x:c r="U419" s="47" t="str"/>
      <x:c r="V419" s="47" t="str"/>
      <x:c r="W419" s="47" t="str"/>
      <x:c r="X419" s="50" t="str"/>
      <x:c r="Y419" s="50" t="str"/>
      <x:c r="Z419" s="47" t="str"/>
      <x:c r="AA419" s="47" t="str">
        <x:v>No direct published reference located; do not display a crimp value.</x:v>
      </x:c>
      <x:c r="AB419" s="161" t="str">
        <x:v>Pending</x:v>
      </x:c>
    </x:row>
    <x:row r="420" ht="42" customHeight="1">
      <x:c r="A420" s="33" t="str">
        <x:v>Draft</x:v>
      </x:c>
      <x:c r="B420" s="47" t="str">
        <x:v>COMP_0416</x:v>
      </x:c>
      <x:c r="C420" s="47" t="str">
        <x:v>EN1SC_001</x:v>
      </x:c>
      <x:c r="D420" s="47" t="str">
        <x:v>JIC_M_FX_06_04</x:v>
      </x:c>
      <x:c r="E420" s="47" t="str">
        <x:v>EN1SC_1WB_001</x:v>
      </x:c>
      <x:c r="F420" s="47" t="str"/>
      <x:c r="G420" s="33" t="str"/>
      <x:c r="H420" s="50" t="str"/>
      <x:c r="I420" s="50" t="str"/>
      <x:c r="J420" s="50" t="str"/>
      <x:c r="K420" s="47" t="str"/>
      <x:c r="L420" s="50" t="str"/>
      <x:c r="M420" s="50" t="str"/>
      <x:c r="N420" s="47" t="str"/>
      <x:c r="O420" s="50" t="str"/>
      <x:c r="P420" s="64" t="str">
        <x:f>IF(O420="","",O420*2)</x:f>
      </x:c>
      <x:c r="Q420" s="50" t="str"/>
      <x:c r="R420" s="47" t="str"/>
      <x:c r="S420" s="33" t="str">
        <x:v>Not Tested</x:v>
      </x:c>
      <x:c r="T420" s="64" t="str">
        <x:v>Eligible</x:v>
      </x:c>
      <x:c r="U420" s="47" t="str"/>
      <x:c r="V420" s="47" t="str"/>
      <x:c r="W420" s="47" t="str"/>
      <x:c r="X420" s="50" t="str"/>
      <x:c r="Y420" s="50" t="str"/>
      <x:c r="Z420" s="47" t="str"/>
      <x:c r="AA420" s="47" t="str">
        <x:v>No direct published reference located; do not display a crimp value.</x:v>
      </x:c>
      <x:c r="AB420" s="161" t="str">
        <x:v>Pending</x:v>
      </x:c>
    </x:row>
    <x:row r="421" ht="42" customHeight="1">
      <x:c r="A421" s="33" t="str">
        <x:v>Draft</x:v>
      </x:c>
      <x:c r="B421" s="47" t="str">
        <x:v>COMP_0417</x:v>
      </x:c>
      <x:c r="C421" s="47" t="str">
        <x:v>EN1SC_001</x:v>
      </x:c>
      <x:c r="D421" s="47" t="str">
        <x:v>JIC45_F_SW_04_04</x:v>
      </x:c>
      <x:c r="E421" s="47" t="str">
        <x:v>EN1SC_1WB_001</x:v>
      </x:c>
      <x:c r="F421" s="47" t="str"/>
      <x:c r="G421" s="33" t="str"/>
      <x:c r="H421" s="50" t="str"/>
      <x:c r="I421" s="50" t="str"/>
      <x:c r="J421" s="50" t="str"/>
      <x:c r="K421" s="47" t="str"/>
      <x:c r="L421" s="50" t="str"/>
      <x:c r="M421" s="50" t="str"/>
      <x:c r="N421" s="47" t="str"/>
      <x:c r="O421" s="50" t="str"/>
      <x:c r="P421" s="64" t="str">
        <x:f>IF(O421="","",O421*2)</x:f>
      </x:c>
      <x:c r="Q421" s="50" t="str"/>
      <x:c r="R421" s="47" t="str"/>
      <x:c r="S421" s="33" t="str">
        <x:v>Not Tested</x:v>
      </x:c>
      <x:c r="T421" s="64" t="str">
        <x:v>Eligible</x:v>
      </x:c>
      <x:c r="U421" s="47" t="str"/>
      <x:c r="V421" s="47" t="str"/>
      <x:c r="W421" s="47" t="str"/>
      <x:c r="X421" s="50" t="str"/>
      <x:c r="Y421" s="50" t="str"/>
      <x:c r="Z421" s="47" t="str"/>
      <x:c r="AA421" s="47" t="str">
        <x:v>No direct published reference located; do not display a crimp value.</x:v>
      </x:c>
      <x:c r="AB421" s="161" t="str">
        <x:v>Pending</x:v>
      </x:c>
    </x:row>
    <x:row r="422" ht="42" customHeight="1">
      <x:c r="A422" s="33" t="str">
        <x:v>Draft</x:v>
      </x:c>
      <x:c r="B422" s="47" t="str">
        <x:v>COMP_0418</x:v>
      </x:c>
      <x:c r="C422" s="47" t="str">
        <x:v>EN1SC_001</x:v>
      </x:c>
      <x:c r="D422" s="47" t="str">
        <x:v>JIC45_F_SW_06_04</x:v>
      </x:c>
      <x:c r="E422" s="47" t="str">
        <x:v>EN1SC_1WB_001</x:v>
      </x:c>
      <x:c r="F422" s="47" t="str"/>
      <x:c r="G422" s="33" t="str"/>
      <x:c r="H422" s="50" t="str"/>
      <x:c r="I422" s="50" t="str"/>
      <x:c r="J422" s="50" t="str"/>
      <x:c r="K422" s="47" t="str"/>
      <x:c r="L422" s="50" t="str"/>
      <x:c r="M422" s="50" t="str"/>
      <x:c r="N422" s="47" t="str"/>
      <x:c r="O422" s="50" t="str"/>
      <x:c r="P422" s="64" t="str">
        <x:f>IF(O422="","",O422*2)</x:f>
      </x:c>
      <x:c r="Q422" s="50" t="str"/>
      <x:c r="R422" s="47" t="str"/>
      <x:c r="S422" s="33" t="str">
        <x:v>Not Tested</x:v>
      </x:c>
      <x:c r="T422" s="64" t="str">
        <x:v>Eligible</x:v>
      </x:c>
      <x:c r="U422" s="47" t="str"/>
      <x:c r="V422" s="47" t="str"/>
      <x:c r="W422" s="47" t="str"/>
      <x:c r="X422" s="50" t="str"/>
      <x:c r="Y422" s="50" t="str"/>
      <x:c r="Z422" s="47" t="str"/>
      <x:c r="AA422" s="47" t="str">
        <x:v>No direct published reference located; do not display a crimp value.</x:v>
      </x:c>
      <x:c r="AB422" s="161" t="str">
        <x:v>Pending</x:v>
      </x:c>
    </x:row>
    <x:row r="423" ht="42" customHeight="1">
      <x:c r="A423" s="33" t="str">
        <x:v>Draft</x:v>
      </x:c>
      <x:c r="B423" s="47" t="str">
        <x:v>COMP_0419</x:v>
      </x:c>
      <x:c r="C423" s="47" t="str">
        <x:v>EN1SC_001</x:v>
      </x:c>
      <x:c r="D423" s="47" t="str">
        <x:v>JIC90_F_SW_04_04</x:v>
      </x:c>
      <x:c r="E423" s="47" t="str">
        <x:v>EN1SC_1WB_001</x:v>
      </x:c>
      <x:c r="F423" s="47" t="str"/>
      <x:c r="G423" s="33" t="str"/>
      <x:c r="H423" s="50" t="str"/>
      <x:c r="I423" s="50" t="str"/>
      <x:c r="J423" s="50" t="str"/>
      <x:c r="K423" s="47" t="str"/>
      <x:c r="L423" s="50" t="str"/>
      <x:c r="M423" s="50" t="str"/>
      <x:c r="N423" s="47" t="str"/>
      <x:c r="O423" s="50" t="str"/>
      <x:c r="P423" s="64" t="str">
        <x:f>IF(O423="","",O423*2)</x:f>
      </x:c>
      <x:c r="Q423" s="50" t="str"/>
      <x:c r="R423" s="47" t="str"/>
      <x:c r="S423" s="33" t="str">
        <x:v>Not Tested</x:v>
      </x:c>
      <x:c r="T423" s="64" t="str">
        <x:v>Eligible</x:v>
      </x:c>
      <x:c r="U423" s="47" t="str"/>
      <x:c r="V423" s="47" t="str"/>
      <x:c r="W423" s="47" t="str"/>
      <x:c r="X423" s="50" t="str"/>
      <x:c r="Y423" s="50" t="str"/>
      <x:c r="Z423" s="47" t="str"/>
      <x:c r="AA423" s="47" t="str">
        <x:v>No direct published reference located; do not display a crimp value.</x:v>
      </x:c>
      <x:c r="AB423" s="161" t="str">
        <x:v>Pending</x:v>
      </x:c>
    </x:row>
    <x:row r="424" ht="42" customHeight="1">
      <x:c r="A424" s="33" t="str">
        <x:v>Draft</x:v>
      </x:c>
      <x:c r="B424" s="47" t="str">
        <x:v>COMP_0420</x:v>
      </x:c>
      <x:c r="C424" s="47" t="str">
        <x:v>EN1SC_001</x:v>
      </x:c>
      <x:c r="D424" s="47" t="str">
        <x:v>JIC90_F_SW_05_04</x:v>
      </x:c>
      <x:c r="E424" s="47" t="str">
        <x:v>EN1SC_1WB_001</x:v>
      </x:c>
      <x:c r="F424" s="47" t="str"/>
      <x:c r="G424" s="33" t="str"/>
      <x:c r="H424" s="50" t="str"/>
      <x:c r="I424" s="50" t="str"/>
      <x:c r="J424" s="50" t="str"/>
      <x:c r="K424" s="47" t="str"/>
      <x:c r="L424" s="50" t="str"/>
      <x:c r="M424" s="50" t="str"/>
      <x:c r="N424" s="47" t="str"/>
      <x:c r="O424" s="50" t="str"/>
      <x:c r="P424" s="64" t="str">
        <x:f>IF(O424="","",O424*2)</x:f>
      </x:c>
      <x:c r="Q424" s="50" t="str"/>
      <x:c r="R424" s="47" t="str"/>
      <x:c r="S424" s="33" t="str">
        <x:v>Not Tested</x:v>
      </x:c>
      <x:c r="T424" s="64" t="str">
        <x:v>Eligible</x:v>
      </x:c>
      <x:c r="U424" s="47" t="str"/>
      <x:c r="V424" s="47" t="str"/>
      <x:c r="W424" s="47" t="str"/>
      <x:c r="X424" s="50" t="str"/>
      <x:c r="Y424" s="50" t="str"/>
      <x:c r="Z424" s="47" t="str"/>
      <x:c r="AA424" s="47" t="str">
        <x:v>No direct published reference located; do not display a crimp value.</x:v>
      </x:c>
      <x:c r="AB424" s="161" t="str">
        <x:v>Pending</x:v>
      </x:c>
    </x:row>
    <x:row r="425" ht="42" customHeight="1">
      <x:c r="A425" s="33" t="str">
        <x:v>Draft</x:v>
      </x:c>
      <x:c r="B425" s="47" t="str">
        <x:v>COMP_0421</x:v>
      </x:c>
      <x:c r="C425" s="47" t="str">
        <x:v>EN1SC_001</x:v>
      </x:c>
      <x:c r="D425" s="47" t="str">
        <x:v>JIC90_F_SW_06_04</x:v>
      </x:c>
      <x:c r="E425" s="47" t="str">
        <x:v>EN1SC_1WB_001</x:v>
      </x:c>
      <x:c r="F425" s="47" t="str"/>
      <x:c r="G425" s="33" t="str"/>
      <x:c r="H425" s="50" t="str"/>
      <x:c r="I425" s="50" t="str"/>
      <x:c r="J425" s="50" t="str"/>
      <x:c r="K425" s="47" t="str"/>
      <x:c r="L425" s="50" t="str"/>
      <x:c r="M425" s="50" t="str"/>
      <x:c r="N425" s="47" t="str"/>
      <x:c r="O425" s="50" t="str"/>
      <x:c r="P425" s="64" t="str">
        <x:f>IF(O425="","",O425*2)</x:f>
      </x:c>
      <x:c r="Q425" s="50" t="str"/>
      <x:c r="R425" s="47" t="str"/>
      <x:c r="S425" s="33" t="str">
        <x:v>Not Tested</x:v>
      </x:c>
      <x:c r="T425" s="64" t="str">
        <x:v>Eligible</x:v>
      </x:c>
      <x:c r="U425" s="47" t="str"/>
      <x:c r="V425" s="47" t="str"/>
      <x:c r="W425" s="47" t="str"/>
      <x:c r="X425" s="50" t="str"/>
      <x:c r="Y425" s="50" t="str"/>
      <x:c r="Z425" s="47" t="str"/>
      <x:c r="AA425" s="47" t="str">
        <x:v>No direct published reference located; do not display a crimp value.</x:v>
      </x:c>
      <x:c r="AB425" s="161" t="str">
        <x:v>Pending</x:v>
      </x:c>
    </x:row>
    <x:row r="426" ht="42" customHeight="1">
      <x:c r="A426" s="33" t="str">
        <x:v>Draft</x:v>
      </x:c>
      <x:c r="B426" s="47" t="str">
        <x:v>COMP_0422</x:v>
      </x:c>
      <x:c r="C426" s="47" t="str">
        <x:v>EN1SC_001</x:v>
      </x:c>
      <x:c r="D426" s="47" t="str">
        <x:v>NPT_F_FX_02_04</x:v>
      </x:c>
      <x:c r="E426" s="47" t="str">
        <x:v>EN1SC_1WB_001</x:v>
      </x:c>
      <x:c r="F426" s="47" t="str"/>
      <x:c r="G426" s="33" t="str"/>
      <x:c r="H426" s="50" t="str"/>
      <x:c r="I426" s="50" t="str"/>
      <x:c r="J426" s="50" t="str"/>
      <x:c r="K426" s="47" t="str"/>
      <x:c r="L426" s="50" t="str"/>
      <x:c r="M426" s="50" t="str"/>
      <x:c r="N426" s="47" t="str"/>
      <x:c r="O426" s="50" t="str"/>
      <x:c r="P426" s="64" t="str">
        <x:f>IF(O426="","",O426*2)</x:f>
      </x:c>
      <x:c r="Q426" s="50" t="str"/>
      <x:c r="R426" s="47" t="str"/>
      <x:c r="S426" s="33" t="str">
        <x:v>Not Tested</x:v>
      </x:c>
      <x:c r="T426" s="64" t="str">
        <x:v>Eligible</x:v>
      </x:c>
      <x:c r="U426" s="47" t="str"/>
      <x:c r="V426" s="47" t="str"/>
      <x:c r="W426" s="47" t="str"/>
      <x:c r="X426" s="50" t="str"/>
      <x:c r="Y426" s="50" t="str"/>
      <x:c r="Z426" s="47" t="str"/>
      <x:c r="AA426" s="47" t="str">
        <x:v>No direct published reference located; do not display a crimp value.</x:v>
      </x:c>
      <x:c r="AB426" s="161" t="str">
        <x:v>Pending</x:v>
      </x:c>
    </x:row>
    <x:row r="427" ht="42" customHeight="1">
      <x:c r="A427" s="33" t="str">
        <x:v>Draft</x:v>
      </x:c>
      <x:c r="B427" s="47" t="str">
        <x:v>COMP_0423</x:v>
      </x:c>
      <x:c r="C427" s="47" t="str">
        <x:v>EN1SC_001</x:v>
      </x:c>
      <x:c r="D427" s="47" t="str">
        <x:v>NPT_F_FX_04_04</x:v>
      </x:c>
      <x:c r="E427" s="47" t="str">
        <x:v>EN1SC_1WB_001</x:v>
      </x:c>
      <x:c r="F427" s="47" t="str"/>
      <x:c r="G427" s="33" t="str"/>
      <x:c r="H427" s="50" t="str"/>
      <x:c r="I427" s="50" t="str"/>
      <x:c r="J427" s="50" t="str"/>
      <x:c r="K427" s="47" t="str"/>
      <x:c r="L427" s="50" t="str"/>
      <x:c r="M427" s="50" t="str"/>
      <x:c r="N427" s="47" t="str"/>
      <x:c r="O427" s="50" t="str"/>
      <x:c r="P427" s="64" t="str">
        <x:f>IF(O427="","",O427*2)</x:f>
      </x:c>
      <x:c r="Q427" s="50" t="str"/>
      <x:c r="R427" s="47" t="str"/>
      <x:c r="S427" s="33" t="str">
        <x:v>Not Tested</x:v>
      </x:c>
      <x:c r="T427" s="64" t="str">
        <x:v>Eligible</x:v>
      </x:c>
      <x:c r="U427" s="47" t="str"/>
      <x:c r="V427" s="47" t="str"/>
      <x:c r="W427" s="47" t="str"/>
      <x:c r="X427" s="50" t="str"/>
      <x:c r="Y427" s="50" t="str"/>
      <x:c r="Z427" s="47" t="str"/>
      <x:c r="AA427" s="47" t="str">
        <x:v>No direct published reference located; do not display a crimp value.</x:v>
      </x:c>
      <x:c r="AB427" s="161" t="str">
        <x:v>Pending</x:v>
      </x:c>
    </x:row>
    <x:row r="428" ht="42" customHeight="1">
      <x:c r="A428" s="33" t="str">
        <x:v>Draft</x:v>
      </x:c>
      <x:c r="B428" s="47" t="str">
        <x:v>COMP_0424</x:v>
      </x:c>
      <x:c r="C428" s="47" t="str">
        <x:v>EN1SC_001</x:v>
      </x:c>
      <x:c r="D428" s="47" t="str">
        <x:v>NPT_F_FX_06_04</x:v>
      </x:c>
      <x:c r="E428" s="47" t="str">
        <x:v>EN1SC_1WB_001</x:v>
      </x:c>
      <x:c r="F428" s="47" t="str"/>
      <x:c r="G428" s="33" t="str"/>
      <x:c r="H428" s="50" t="str"/>
      <x:c r="I428" s="50" t="str"/>
      <x:c r="J428" s="50" t="str"/>
      <x:c r="K428" s="47" t="str"/>
      <x:c r="L428" s="50" t="str"/>
      <x:c r="M428" s="50" t="str"/>
      <x:c r="N428" s="47" t="str"/>
      <x:c r="O428" s="50" t="str"/>
      <x:c r="P428" s="64" t="str">
        <x:f>IF(O428="","",O428*2)</x:f>
      </x:c>
      <x:c r="Q428" s="50" t="str"/>
      <x:c r="R428" s="47" t="str"/>
      <x:c r="S428" s="33" t="str">
        <x:v>Not Tested</x:v>
      </x:c>
      <x:c r="T428" s="64" t="str">
        <x:v>Eligible</x:v>
      </x:c>
      <x:c r="U428" s="47" t="str"/>
      <x:c r="V428" s="47" t="str"/>
      <x:c r="W428" s="47" t="str"/>
      <x:c r="X428" s="50" t="str"/>
      <x:c r="Y428" s="50" t="str"/>
      <x:c r="Z428" s="47" t="str"/>
      <x:c r="AA428" s="47" t="str">
        <x:v>No direct published reference located; do not display a crimp value.</x:v>
      </x:c>
      <x:c r="AB428" s="161" t="str">
        <x:v>Pending</x:v>
      </x:c>
    </x:row>
    <x:row r="429" ht="42" customHeight="1">
      <x:c r="A429" s="33" t="str">
        <x:v>Draft</x:v>
      </x:c>
      <x:c r="B429" s="47" t="str">
        <x:v>COMP_0425</x:v>
      </x:c>
      <x:c r="C429" s="47" t="str">
        <x:v>EN1SC_001</x:v>
      </x:c>
      <x:c r="D429" s="47" t="str">
        <x:v>NPT_M_FX_02_04</x:v>
      </x:c>
      <x:c r="E429" s="47" t="str">
        <x:v>EN1SC_1WB_001</x:v>
      </x:c>
      <x:c r="F429" s="47" t="str"/>
      <x:c r="G429" s="33" t="str"/>
      <x:c r="H429" s="50" t="str"/>
      <x:c r="I429" s="50" t="str"/>
      <x:c r="J429" s="50" t="str"/>
      <x:c r="K429" s="47" t="str"/>
      <x:c r="L429" s="50" t="str"/>
      <x:c r="M429" s="50" t="str"/>
      <x:c r="N429" s="47" t="str"/>
      <x:c r="O429" s="50" t="str"/>
      <x:c r="P429" s="64" t="str">
        <x:f>IF(O429="","",O429*2)</x:f>
      </x:c>
      <x:c r="Q429" s="50" t="str"/>
      <x:c r="R429" s="47" t="str"/>
      <x:c r="S429" s="33" t="str">
        <x:v>Not Tested</x:v>
      </x:c>
      <x:c r="T429" s="64" t="str">
        <x:v>Eligible</x:v>
      </x:c>
      <x:c r="U429" s="47" t="str"/>
      <x:c r="V429" s="47" t="str"/>
      <x:c r="W429" s="47" t="str"/>
      <x:c r="X429" s="50" t="str"/>
      <x:c r="Y429" s="50" t="str"/>
      <x:c r="Z429" s="47" t="str"/>
      <x:c r="AA429" s="47" t="str">
        <x:v>No direct published reference located; do not display a crimp value.</x:v>
      </x:c>
      <x:c r="AB429" s="161" t="str">
        <x:v>Pending</x:v>
      </x:c>
    </x:row>
    <x:row r="430" ht="42" customHeight="1">
      <x:c r="A430" s="33" t="str">
        <x:v>Draft</x:v>
      </x:c>
      <x:c r="B430" s="47" t="str">
        <x:v>COMP_0426</x:v>
      </x:c>
      <x:c r="C430" s="47" t="str">
        <x:v>EN1SC_001</x:v>
      </x:c>
      <x:c r="D430" s="47" t="str">
        <x:v>NPT_M_FX_04_04</x:v>
      </x:c>
      <x:c r="E430" s="47" t="str">
        <x:v>EN1SC_1WB_001</x:v>
      </x:c>
      <x:c r="F430" s="47" t="str"/>
      <x:c r="G430" s="33" t="str"/>
      <x:c r="H430" s="50" t="str"/>
      <x:c r="I430" s="50" t="str"/>
      <x:c r="J430" s="50" t="str"/>
      <x:c r="K430" s="47" t="str"/>
      <x:c r="L430" s="50" t="str"/>
      <x:c r="M430" s="50" t="str"/>
      <x:c r="N430" s="47" t="str"/>
      <x:c r="O430" s="50" t="str"/>
      <x:c r="P430" s="64" t="str">
        <x:f>IF(O430="","",O430*2)</x:f>
      </x:c>
      <x:c r="Q430" s="50" t="str"/>
      <x:c r="R430" s="47" t="str"/>
      <x:c r="S430" s="33" t="str">
        <x:v>Not Tested</x:v>
      </x:c>
      <x:c r="T430" s="64" t="str">
        <x:v>Eligible</x:v>
      </x:c>
      <x:c r="U430" s="47" t="str"/>
      <x:c r="V430" s="47" t="str"/>
      <x:c r="W430" s="47" t="str"/>
      <x:c r="X430" s="50" t="str"/>
      <x:c r="Y430" s="50" t="str"/>
      <x:c r="Z430" s="47" t="str"/>
      <x:c r="AA430" s="47" t="str">
        <x:v>No direct published reference located; do not display a crimp value.</x:v>
      </x:c>
      <x:c r="AB430" s="161" t="str">
        <x:v>Pending</x:v>
      </x:c>
    </x:row>
    <x:row r="431" ht="42" customHeight="1">
      <x:c r="A431" s="33" t="str">
        <x:v>Draft</x:v>
      </x:c>
      <x:c r="B431" s="47" t="str">
        <x:v>COMP_0427</x:v>
      </x:c>
      <x:c r="C431" s="47" t="str">
        <x:v>EN1SC_001</x:v>
      </x:c>
      <x:c r="D431" s="47" t="str">
        <x:v>NPT_M_FX_06_04</x:v>
      </x:c>
      <x:c r="E431" s="47" t="str">
        <x:v>EN1SC_1WB_001</x:v>
      </x:c>
      <x:c r="F431" s="47" t="str"/>
      <x:c r="G431" s="33" t="str"/>
      <x:c r="H431" s="50" t="str"/>
      <x:c r="I431" s="50" t="str"/>
      <x:c r="J431" s="50" t="str"/>
      <x:c r="K431" s="47" t="str"/>
      <x:c r="L431" s="50" t="str"/>
      <x:c r="M431" s="50" t="str"/>
      <x:c r="N431" s="47" t="str"/>
      <x:c r="O431" s="50" t="str"/>
      <x:c r="P431" s="64" t="str">
        <x:f>IF(O431="","",O431*2)</x:f>
      </x:c>
      <x:c r="Q431" s="50" t="str"/>
      <x:c r="R431" s="47" t="str"/>
      <x:c r="S431" s="33" t="str">
        <x:v>Not Tested</x:v>
      </x:c>
      <x:c r="T431" s="64" t="str">
        <x:v>Eligible</x:v>
      </x:c>
      <x:c r="U431" s="47" t="str"/>
      <x:c r="V431" s="47" t="str"/>
      <x:c r="W431" s="47" t="str"/>
      <x:c r="X431" s="50" t="str"/>
      <x:c r="Y431" s="50" t="str"/>
      <x:c r="Z431" s="47" t="str"/>
      <x:c r="AA431" s="47" t="str">
        <x:v>No direct published reference located; do not display a crimp value.</x:v>
      </x:c>
      <x:c r="AB431" s="161" t="str">
        <x:v>Pending</x:v>
      </x:c>
    </x:row>
    <x:row r="432" ht="42" customHeight="1">
      <x:c r="A432" s="33" t="str">
        <x:v>Draft</x:v>
      </x:c>
      <x:c r="B432" s="47" t="str">
        <x:v>COMP_0428</x:v>
      </x:c>
      <x:c r="C432" s="47" t="str">
        <x:v>EN1SC_001</x:v>
      </x:c>
      <x:c r="D432" s="47" t="str">
        <x:v>NPT_M_FX_08_04</x:v>
      </x:c>
      <x:c r="E432" s="47" t="str">
        <x:v>EN1SC_1WB_001</x:v>
      </x:c>
      <x:c r="F432" s="47" t="str"/>
      <x:c r="G432" s="33" t="str"/>
      <x:c r="H432" s="50" t="str"/>
      <x:c r="I432" s="50" t="str"/>
      <x:c r="J432" s="50" t="str"/>
      <x:c r="K432" s="47" t="str"/>
      <x:c r="L432" s="50" t="str"/>
      <x:c r="M432" s="50" t="str"/>
      <x:c r="N432" s="47" t="str"/>
      <x:c r="O432" s="50" t="str"/>
      <x:c r="P432" s="64" t="str">
        <x:f>IF(O432="","",O432*2)</x:f>
      </x:c>
      <x:c r="Q432" s="50" t="str"/>
      <x:c r="R432" s="47" t="str"/>
      <x:c r="S432" s="33" t="str">
        <x:v>Not Tested</x:v>
      </x:c>
      <x:c r="T432" s="64" t="str">
        <x:v>Eligible</x:v>
      </x:c>
      <x:c r="U432" s="47" t="str"/>
      <x:c r="V432" s="47" t="str"/>
      <x:c r="W432" s="47" t="str"/>
      <x:c r="X432" s="50" t="str"/>
      <x:c r="Y432" s="50" t="str"/>
      <x:c r="Z432" s="47" t="str"/>
      <x:c r="AA432" s="47" t="str">
        <x:v>No direct published reference located; do not display a crimp value.</x:v>
      </x:c>
      <x:c r="AB432" s="161" t="str">
        <x:v>Pending</x:v>
      </x:c>
    </x:row>
    <x:row r="433" ht="42" customHeight="1">
      <x:c r="A433" s="33" t="str">
        <x:v>Draft</x:v>
      </x:c>
      <x:c r="B433" s="47" t="str">
        <x:v>COMP_0429</x:v>
      </x:c>
      <x:c r="C433" s="47" t="str">
        <x:v>EN1SC_001</x:v>
      </x:c>
      <x:c r="D433" s="47" t="str">
        <x:v>NPT90_M_SW_04_04</x:v>
      </x:c>
      <x:c r="E433" s="47" t="str">
        <x:v>EN1SC_1WB_001</x:v>
      </x:c>
      <x:c r="F433" s="47" t="str"/>
      <x:c r="G433" s="33" t="str"/>
      <x:c r="H433" s="50" t="str"/>
      <x:c r="I433" s="50" t="str"/>
      <x:c r="J433" s="50" t="str"/>
      <x:c r="K433" s="47" t="str"/>
      <x:c r="L433" s="50" t="str"/>
      <x:c r="M433" s="50" t="str"/>
      <x:c r="N433" s="47" t="str"/>
      <x:c r="O433" s="50" t="str"/>
      <x:c r="P433" s="64" t="str">
        <x:f>IF(O433="","",O433*2)</x:f>
      </x:c>
      <x:c r="Q433" s="50" t="str"/>
      <x:c r="R433" s="47" t="str"/>
      <x:c r="S433" s="33" t="str">
        <x:v>Not Tested</x:v>
      </x:c>
      <x:c r="T433" s="64" t="str">
        <x:v>Eligible</x:v>
      </x:c>
      <x:c r="U433" s="47" t="str"/>
      <x:c r="V433" s="47" t="str"/>
      <x:c r="W433" s="47" t="str"/>
      <x:c r="X433" s="50" t="str"/>
      <x:c r="Y433" s="50" t="str"/>
      <x:c r="Z433" s="47" t="str"/>
      <x:c r="AA433" s="47" t="str">
        <x:v>No direct published reference located; do not display a crimp value.</x:v>
      </x:c>
      <x:c r="AB433" s="161" t="str">
        <x:v>Pending</x:v>
      </x:c>
    </x:row>
    <x:row r="434" ht="42" customHeight="1">
      <x:c r="A434" s="33" t="str">
        <x:v>Draft</x:v>
      </x:c>
      <x:c r="B434" s="47" t="str">
        <x:v>COMP_0430</x:v>
      </x:c>
      <x:c r="C434" s="47" t="str">
        <x:v>EN1SC_001</x:v>
      </x:c>
      <x:c r="D434" s="47" t="str">
        <x:v>ORFS_F_SW_04_04</x:v>
      </x:c>
      <x:c r="E434" s="47" t="str">
        <x:v>EN1SC_1WB_001</x:v>
      </x:c>
      <x:c r="F434" s="47" t="str"/>
      <x:c r="G434" s="33" t="str"/>
      <x:c r="H434" s="50" t="str"/>
      <x:c r="I434" s="50" t="str"/>
      <x:c r="J434" s="50" t="str"/>
      <x:c r="K434" s="47" t="str"/>
      <x:c r="L434" s="50" t="str"/>
      <x:c r="M434" s="50" t="str"/>
      <x:c r="N434" s="47" t="str"/>
      <x:c r="O434" s="50" t="str"/>
      <x:c r="P434" s="64" t="str">
        <x:f>IF(O434="","",O434*2)</x:f>
      </x:c>
      <x:c r="Q434" s="50" t="str"/>
      <x:c r="R434" s="47" t="str"/>
      <x:c r="S434" s="33" t="str">
        <x:v>Not Tested</x:v>
      </x:c>
      <x:c r="T434" s="64" t="str">
        <x:v>Eligible</x:v>
      </x:c>
      <x:c r="U434" s="47" t="str"/>
      <x:c r="V434" s="47" t="str"/>
      <x:c r="W434" s="47" t="str"/>
      <x:c r="X434" s="50" t="str"/>
      <x:c r="Y434" s="50" t="str"/>
      <x:c r="Z434" s="47" t="str"/>
      <x:c r="AA434" s="47" t="str">
        <x:v>No direct published reference located; do not display a crimp value.</x:v>
      </x:c>
      <x:c r="AB434" s="161" t="str">
        <x:v>Pending</x:v>
      </x:c>
    </x:row>
    <x:row r="435" ht="42" customHeight="1">
      <x:c r="A435" s="33" t="str">
        <x:v>Draft</x:v>
      </x:c>
      <x:c r="B435" s="47" t="str">
        <x:v>COMP_0431</x:v>
      </x:c>
      <x:c r="C435" s="47" t="str">
        <x:v>EN1SC_001</x:v>
      </x:c>
      <x:c r="D435" s="47" t="str">
        <x:v>ORFS_F_SW_06_04</x:v>
      </x:c>
      <x:c r="E435" s="47" t="str">
        <x:v>EN1SC_1WB_001</x:v>
      </x:c>
      <x:c r="F435" s="47" t="str"/>
      <x:c r="G435" s="33" t="str"/>
      <x:c r="H435" s="50" t="str"/>
      <x:c r="I435" s="50" t="str"/>
      <x:c r="J435" s="50" t="str"/>
      <x:c r="K435" s="47" t="str"/>
      <x:c r="L435" s="50" t="str"/>
      <x:c r="M435" s="50" t="str"/>
      <x:c r="N435" s="47" t="str"/>
      <x:c r="O435" s="50" t="str"/>
      <x:c r="P435" s="64" t="str">
        <x:f>IF(O435="","",O435*2)</x:f>
      </x:c>
      <x:c r="Q435" s="50" t="str"/>
      <x:c r="R435" s="47" t="str"/>
      <x:c r="S435" s="33" t="str">
        <x:v>Not Tested</x:v>
      </x:c>
      <x:c r="T435" s="64" t="str">
        <x:v>Eligible</x:v>
      </x:c>
      <x:c r="U435" s="47" t="str"/>
      <x:c r="V435" s="47" t="str"/>
      <x:c r="W435" s="47" t="str"/>
      <x:c r="X435" s="50" t="str"/>
      <x:c r="Y435" s="50" t="str"/>
      <x:c r="Z435" s="47" t="str"/>
      <x:c r="AA435" s="47" t="str">
        <x:v>No direct published reference located; do not display a crimp value.</x:v>
      </x:c>
      <x:c r="AB435" s="161" t="str">
        <x:v>Pending</x:v>
      </x:c>
    </x:row>
    <x:row r="436" ht="42" customHeight="1">
      <x:c r="A436" s="33" t="str">
        <x:v>Draft</x:v>
      </x:c>
      <x:c r="B436" s="47" t="str">
        <x:v>COMP_0432</x:v>
      </x:c>
      <x:c r="C436" s="47" t="str">
        <x:v>EN1SC_001</x:v>
      </x:c>
      <x:c r="D436" s="47" t="str">
        <x:v>ORFS_F_SW_08_04</x:v>
      </x:c>
      <x:c r="E436" s="47" t="str">
        <x:v>EN1SC_1WB_001</x:v>
      </x:c>
      <x:c r="F436" s="47" t="str"/>
      <x:c r="G436" s="33" t="str"/>
      <x:c r="H436" s="50" t="str"/>
      <x:c r="I436" s="50" t="str"/>
      <x:c r="J436" s="50" t="str"/>
      <x:c r="K436" s="47" t="str"/>
      <x:c r="L436" s="50" t="str"/>
      <x:c r="M436" s="50" t="str"/>
      <x:c r="N436" s="47" t="str"/>
      <x:c r="O436" s="50" t="str"/>
      <x:c r="P436" s="64" t="str">
        <x:f>IF(O436="","",O436*2)</x:f>
      </x:c>
      <x:c r="Q436" s="50" t="str"/>
      <x:c r="R436" s="47" t="str"/>
      <x:c r="S436" s="33" t="str">
        <x:v>Not Tested</x:v>
      </x:c>
      <x:c r="T436" s="64" t="str">
        <x:v>Eligible</x:v>
      </x:c>
      <x:c r="U436" s="47" t="str"/>
      <x:c r="V436" s="47" t="str"/>
      <x:c r="W436" s="47" t="str"/>
      <x:c r="X436" s="50" t="str"/>
      <x:c r="Y436" s="50" t="str"/>
      <x:c r="Z436" s="47" t="str"/>
      <x:c r="AA436" s="47" t="str">
        <x:v>No direct published reference located; do not display a crimp value.</x:v>
      </x:c>
      <x:c r="AB436" s="161" t="str">
        <x:v>Pending</x:v>
      </x:c>
    </x:row>
    <x:row r="437" ht="42" customHeight="1">
      <x:c r="A437" s="33" t="str">
        <x:v>Draft</x:v>
      </x:c>
      <x:c r="B437" s="47" t="str">
        <x:v>COMP_0433</x:v>
      </x:c>
      <x:c r="C437" s="47" t="str">
        <x:v>EN1SC_001</x:v>
      </x:c>
      <x:c r="D437" s="47" t="str">
        <x:v>ORFS_M_FX_04_04</x:v>
      </x:c>
      <x:c r="E437" s="47" t="str">
        <x:v>EN1SC_1WB_001</x:v>
      </x:c>
      <x:c r="F437" s="47" t="str"/>
      <x:c r="G437" s="33" t="str"/>
      <x:c r="H437" s="50" t="str"/>
      <x:c r="I437" s="50" t="str"/>
      <x:c r="J437" s="50" t="str"/>
      <x:c r="K437" s="47" t="str"/>
      <x:c r="L437" s="50" t="str"/>
      <x:c r="M437" s="50" t="str"/>
      <x:c r="N437" s="47" t="str"/>
      <x:c r="O437" s="50" t="str"/>
      <x:c r="P437" s="64" t="str">
        <x:f>IF(O437="","",O437*2)</x:f>
      </x:c>
      <x:c r="Q437" s="50" t="str"/>
      <x:c r="R437" s="47" t="str"/>
      <x:c r="S437" s="33" t="str">
        <x:v>Not Tested</x:v>
      </x:c>
      <x:c r="T437" s="64" t="str">
        <x:v>Eligible</x:v>
      </x:c>
      <x:c r="U437" s="47" t="str"/>
      <x:c r="V437" s="47" t="str"/>
      <x:c r="W437" s="47" t="str"/>
      <x:c r="X437" s="50" t="str"/>
      <x:c r="Y437" s="50" t="str"/>
      <x:c r="Z437" s="47" t="str"/>
      <x:c r="AA437" s="47" t="str">
        <x:v>No direct published reference located; do not display a crimp value.</x:v>
      </x:c>
      <x:c r="AB437" s="161" t="str">
        <x:v>Pending</x:v>
      </x:c>
    </x:row>
    <x:row r="438" ht="42" customHeight="1">
      <x:c r="A438" s="33" t="str">
        <x:v>Draft</x:v>
      </x:c>
      <x:c r="B438" s="47" t="str">
        <x:v>COMP_0434</x:v>
      </x:c>
      <x:c r="C438" s="47" t="str">
        <x:v>EN1SC_001</x:v>
      </x:c>
      <x:c r="D438" s="47" t="str">
        <x:v>ORFS_M_FX_06_04</x:v>
      </x:c>
      <x:c r="E438" s="47" t="str">
        <x:v>EN1SC_1WB_001</x:v>
      </x:c>
      <x:c r="F438" s="47" t="str"/>
      <x:c r="G438" s="33" t="str"/>
      <x:c r="H438" s="50" t="str"/>
      <x:c r="I438" s="50" t="str"/>
      <x:c r="J438" s="50" t="str"/>
      <x:c r="K438" s="47" t="str"/>
      <x:c r="L438" s="50" t="str"/>
      <x:c r="M438" s="50" t="str"/>
      <x:c r="N438" s="47" t="str"/>
      <x:c r="O438" s="50" t="str"/>
      <x:c r="P438" s="64" t="str">
        <x:f>IF(O438="","",O438*2)</x:f>
      </x:c>
      <x:c r="Q438" s="50" t="str"/>
      <x:c r="R438" s="47" t="str"/>
      <x:c r="S438" s="33" t="str">
        <x:v>Not Tested</x:v>
      </x:c>
      <x:c r="T438" s="64" t="str">
        <x:v>Eligible</x:v>
      </x:c>
      <x:c r="U438" s="47" t="str"/>
      <x:c r="V438" s="47" t="str"/>
      <x:c r="W438" s="47" t="str"/>
      <x:c r="X438" s="50" t="str"/>
      <x:c r="Y438" s="50" t="str"/>
      <x:c r="Z438" s="47" t="str"/>
      <x:c r="AA438" s="47" t="str">
        <x:v>No direct published reference located; do not display a crimp value.</x:v>
      </x:c>
      <x:c r="AB438" s="161" t="str">
        <x:v>Pending</x:v>
      </x:c>
    </x:row>
    <x:row r="439" ht="42" customHeight="1">
      <x:c r="A439" s="33" t="str">
        <x:v>Draft</x:v>
      </x:c>
      <x:c r="B439" s="47" t="str">
        <x:v>COMP_0435</x:v>
      </x:c>
      <x:c r="C439" s="47" t="str">
        <x:v>EN1SC_001</x:v>
      </x:c>
      <x:c r="D439" s="47" t="str">
        <x:v>ORFS45_F_SW_04_04</x:v>
      </x:c>
      <x:c r="E439" s="47" t="str">
        <x:v>EN1SC_1WB_001</x:v>
      </x:c>
      <x:c r="F439" s="47" t="str"/>
      <x:c r="G439" s="33" t="str"/>
      <x:c r="H439" s="50" t="str"/>
      <x:c r="I439" s="50" t="str"/>
      <x:c r="J439" s="50" t="str"/>
      <x:c r="K439" s="47" t="str"/>
      <x:c r="L439" s="50" t="str"/>
      <x:c r="M439" s="50" t="str"/>
      <x:c r="N439" s="47" t="str"/>
      <x:c r="O439" s="50" t="str"/>
      <x:c r="P439" s="64" t="str">
        <x:f>IF(O439="","",O439*2)</x:f>
      </x:c>
      <x:c r="Q439" s="50" t="str"/>
      <x:c r="R439" s="47" t="str"/>
      <x:c r="S439" s="33" t="str">
        <x:v>Not Tested</x:v>
      </x:c>
      <x:c r="T439" s="64" t="str">
        <x:v>Eligible</x:v>
      </x:c>
      <x:c r="U439" s="47" t="str"/>
      <x:c r="V439" s="47" t="str"/>
      <x:c r="W439" s="47" t="str"/>
      <x:c r="X439" s="50" t="str"/>
      <x:c r="Y439" s="50" t="str"/>
      <x:c r="Z439" s="47" t="str"/>
      <x:c r="AA439" s="47" t="str">
        <x:v>No direct published reference located; do not display a crimp value.</x:v>
      </x:c>
      <x:c r="AB439" s="161" t="str">
        <x:v>Pending</x:v>
      </x:c>
    </x:row>
    <x:row r="440" ht="42" customHeight="1">
      <x:c r="A440" s="33" t="str">
        <x:v>Draft</x:v>
      </x:c>
      <x:c r="B440" s="47" t="str">
        <x:v>COMP_0436</x:v>
      </x:c>
      <x:c r="C440" s="47" t="str">
        <x:v>EN1SC_001</x:v>
      </x:c>
      <x:c r="D440" s="47" t="str">
        <x:v>ORFS45_F_SW_06_04</x:v>
      </x:c>
      <x:c r="E440" s="47" t="str">
        <x:v>EN1SC_1WB_001</x:v>
      </x:c>
      <x:c r="F440" s="47" t="str"/>
      <x:c r="G440" s="33" t="str"/>
      <x:c r="H440" s="50" t="str"/>
      <x:c r="I440" s="50" t="str"/>
      <x:c r="J440" s="50" t="str"/>
      <x:c r="K440" s="47" t="str"/>
      <x:c r="L440" s="50" t="str"/>
      <x:c r="M440" s="50" t="str"/>
      <x:c r="N440" s="47" t="str"/>
      <x:c r="O440" s="50" t="str"/>
      <x:c r="P440" s="64" t="str">
        <x:f>IF(O440="","",O440*2)</x:f>
      </x:c>
      <x:c r="Q440" s="50" t="str"/>
      <x:c r="R440" s="47" t="str"/>
      <x:c r="S440" s="33" t="str">
        <x:v>Not Tested</x:v>
      </x:c>
      <x:c r="T440" s="64" t="str">
        <x:v>Eligible</x:v>
      </x:c>
      <x:c r="U440" s="47" t="str"/>
      <x:c r="V440" s="47" t="str"/>
      <x:c r="W440" s="47" t="str"/>
      <x:c r="X440" s="50" t="str"/>
      <x:c r="Y440" s="50" t="str"/>
      <x:c r="Z440" s="47" t="str"/>
      <x:c r="AA440" s="47" t="str">
        <x:v>No direct published reference located; do not display a crimp value.</x:v>
      </x:c>
      <x:c r="AB440" s="161" t="str">
        <x:v>Pending</x:v>
      </x:c>
    </x:row>
    <x:row r="441" ht="42" customHeight="1">
      <x:c r="A441" s="33" t="str">
        <x:v>Draft</x:v>
      </x:c>
      <x:c r="B441" s="47" t="str">
        <x:v>COMP_0437</x:v>
      </x:c>
      <x:c r="C441" s="47" t="str">
        <x:v>EN1SC_001</x:v>
      </x:c>
      <x:c r="D441" s="47" t="str">
        <x:v>ORFS90_F_SW_04_04</x:v>
      </x:c>
      <x:c r="E441" s="47" t="str">
        <x:v>EN1SC_1WB_001</x:v>
      </x:c>
      <x:c r="F441" s="47" t="str"/>
      <x:c r="G441" s="33" t="str"/>
      <x:c r="H441" s="50" t="str"/>
      <x:c r="I441" s="50" t="str"/>
      <x:c r="J441" s="50" t="str"/>
      <x:c r="K441" s="47" t="str"/>
      <x:c r="L441" s="50" t="str"/>
      <x:c r="M441" s="50" t="str"/>
      <x:c r="N441" s="47" t="str"/>
      <x:c r="O441" s="50" t="str"/>
      <x:c r="P441" s="64" t="str">
        <x:f>IF(O441="","",O441*2)</x:f>
      </x:c>
      <x:c r="Q441" s="50" t="str"/>
      <x:c r="R441" s="47" t="str"/>
      <x:c r="S441" s="33" t="str">
        <x:v>Not Tested</x:v>
      </x:c>
      <x:c r="T441" s="64" t="str">
        <x:v>Eligible</x:v>
      </x:c>
      <x:c r="U441" s="47" t="str"/>
      <x:c r="V441" s="47" t="str"/>
      <x:c r="W441" s="47" t="str"/>
      <x:c r="X441" s="50" t="str"/>
      <x:c r="Y441" s="50" t="str"/>
      <x:c r="Z441" s="47" t="str"/>
      <x:c r="AA441" s="47" t="str">
        <x:v>No direct published reference located; do not display a crimp value.</x:v>
      </x:c>
      <x:c r="AB441" s="161" t="str">
        <x:v>Pending</x:v>
      </x:c>
    </x:row>
    <x:row r="442" ht="42" customHeight="1">
      <x:c r="A442" s="33" t="str">
        <x:v>Draft</x:v>
      </x:c>
      <x:c r="B442" s="47" t="str">
        <x:v>COMP_0438</x:v>
      </x:c>
      <x:c r="C442" s="47" t="str">
        <x:v>EN1SC_001</x:v>
      </x:c>
      <x:c r="D442" s="47" t="str">
        <x:v>ORFS90_F_SW_06_04</x:v>
      </x:c>
      <x:c r="E442" s="47" t="str">
        <x:v>EN1SC_1WB_001</x:v>
      </x:c>
      <x:c r="F442" s="47" t="str"/>
      <x:c r="G442" s="33" t="str"/>
      <x:c r="H442" s="50" t="str"/>
      <x:c r="I442" s="50" t="str"/>
      <x:c r="J442" s="50" t="str"/>
      <x:c r="K442" s="47" t="str"/>
      <x:c r="L442" s="50" t="str"/>
      <x:c r="M442" s="50" t="str"/>
      <x:c r="N442" s="47" t="str"/>
      <x:c r="O442" s="50" t="str"/>
      <x:c r="P442" s="64" t="str">
        <x:f>IF(O442="","",O442*2)</x:f>
      </x:c>
      <x:c r="Q442" s="50" t="str"/>
      <x:c r="R442" s="47" t="str"/>
      <x:c r="S442" s="33" t="str">
        <x:v>Not Tested</x:v>
      </x:c>
      <x:c r="T442" s="64" t="str">
        <x:v>Eligible</x:v>
      </x:c>
      <x:c r="U442" s="47" t="str"/>
      <x:c r="V442" s="47" t="str"/>
      <x:c r="W442" s="47" t="str"/>
      <x:c r="X442" s="50" t="str"/>
      <x:c r="Y442" s="50" t="str"/>
      <x:c r="Z442" s="47" t="str"/>
      <x:c r="AA442" s="47" t="str">
        <x:v>No direct published reference located; do not display a crimp value.</x:v>
      </x:c>
      <x:c r="AB442" s="161" t="str">
        <x:v>Pending</x:v>
      </x:c>
    </x:row>
    <x:row r="443" ht="42" customHeight="1">
      <x:c r="A443" s="33" t="str">
        <x:v>Draft</x:v>
      </x:c>
      <x:c r="B443" s="47" t="str">
        <x:v>COMP_0439</x:v>
      </x:c>
      <x:c r="C443" s="47" t="str">
        <x:v>EN1SC_001</x:v>
      </x:c>
      <x:c r="D443" s="47" t="str">
        <x:v>ORFS90_F_SW_08_04</x:v>
      </x:c>
      <x:c r="E443" s="47" t="str">
        <x:v>EN1SC_1WB_001</x:v>
      </x:c>
      <x:c r="F443" s="47" t="str"/>
      <x:c r="G443" s="33" t="str"/>
      <x:c r="H443" s="50" t="str"/>
      <x:c r="I443" s="50" t="str"/>
      <x:c r="J443" s="50" t="str"/>
      <x:c r="K443" s="47" t="str"/>
      <x:c r="L443" s="50" t="str"/>
      <x:c r="M443" s="50" t="str"/>
      <x:c r="N443" s="47" t="str"/>
      <x:c r="O443" s="50" t="str"/>
      <x:c r="P443" s="64" t="str">
        <x:f>IF(O443="","",O443*2)</x:f>
      </x:c>
      <x:c r="Q443" s="50" t="str"/>
      <x:c r="R443" s="47" t="str"/>
      <x:c r="S443" s="33" t="str">
        <x:v>Not Tested</x:v>
      </x:c>
      <x:c r="T443" s="64" t="str">
        <x:v>Eligible</x:v>
      </x:c>
      <x:c r="U443" s="47" t="str"/>
      <x:c r="V443" s="47" t="str"/>
      <x:c r="W443" s="47" t="str"/>
      <x:c r="X443" s="50" t="str"/>
      <x:c r="Y443" s="50" t="str"/>
      <x:c r="Z443" s="47" t="str"/>
      <x:c r="AA443" s="47" t="str">
        <x:v>No direct published reference located; do not display a crimp value.</x:v>
      </x:c>
      <x:c r="AB443" s="161" t="str">
        <x:v>Pending</x:v>
      </x:c>
    </x:row>
    <x:row r="444" ht="42" customHeight="1">
      <x:c r="A444" s="33" t="str">
        <x:v>Draft</x:v>
      </x:c>
      <x:c r="B444" s="47" t="str">
        <x:v>COMP_0440</x:v>
      </x:c>
      <x:c r="C444" s="47" t="str">
        <x:v>EN1SC_003</x:v>
      </x:c>
      <x:c r="D444" s="47" t="str">
        <x:v>BSPP_F_SW_06_06</x:v>
      </x:c>
      <x:c r="E444" s="47" t="str">
        <x:v>EN1SC_1WB_003</x:v>
      </x:c>
      <x:c r="F444" s="47" t="str"/>
      <x:c r="G444" s="33" t="str"/>
      <x:c r="H444" s="50" t="str"/>
      <x:c r="I444" s="50" t="str"/>
      <x:c r="J444" s="50" t="str"/>
      <x:c r="K444" s="47" t="str"/>
      <x:c r="L444" s="50" t="str"/>
      <x:c r="M444" s="50" t="str"/>
      <x:c r="N444" s="47" t="str"/>
      <x:c r="O444" s="50" t="str"/>
      <x:c r="P444" s="64" t="str">
        <x:f>IF(O444="","",O444*2)</x:f>
      </x:c>
      <x:c r="Q444" s="50" t="str"/>
      <x:c r="R444" s="47" t="str"/>
      <x:c r="S444" s="33" t="str">
        <x:v>Not Tested</x:v>
      </x:c>
      <x:c r="T444" s="64" t="str">
        <x:v>Eligible</x:v>
      </x:c>
      <x:c r="U444" s="47" t="str"/>
      <x:c r="V444" s="47" t="str"/>
      <x:c r="W444" s="47" t="str"/>
      <x:c r="X444" s="50" t="str"/>
      <x:c r="Y444" s="50" t="str"/>
      <x:c r="Z444" s="47" t="str"/>
      <x:c r="AA444" s="47" t="str">
        <x:v>No direct published reference located; do not display a crimp value.</x:v>
      </x:c>
      <x:c r="AB444" s="161" t="str">
        <x:v>Pending</x:v>
      </x:c>
    </x:row>
    <x:row r="445" ht="42" customHeight="1">
      <x:c r="A445" s="33" t="str">
        <x:v>Draft</x:v>
      </x:c>
      <x:c r="B445" s="47" t="str">
        <x:v>COMP_0441</x:v>
      </x:c>
      <x:c r="C445" s="47" t="str">
        <x:v>EN1SC_003</x:v>
      </x:c>
      <x:c r="D445" s="47" t="str">
        <x:v>BSPP_F_SW_08_06</x:v>
      </x:c>
      <x:c r="E445" s="47" t="str">
        <x:v>EN1SC_1WB_003</x:v>
      </x:c>
      <x:c r="F445" s="47" t="str"/>
      <x:c r="G445" s="33" t="str"/>
      <x:c r="H445" s="50" t="str"/>
      <x:c r="I445" s="50" t="str"/>
      <x:c r="J445" s="50" t="str"/>
      <x:c r="K445" s="47" t="str"/>
      <x:c r="L445" s="50" t="str"/>
      <x:c r="M445" s="50" t="str"/>
      <x:c r="N445" s="47" t="str"/>
      <x:c r="O445" s="50" t="str"/>
      <x:c r="P445" s="64" t="str">
        <x:f>IF(O445="","",O445*2)</x:f>
      </x:c>
      <x:c r="Q445" s="50" t="str"/>
      <x:c r="R445" s="47" t="str"/>
      <x:c r="S445" s="33" t="str">
        <x:v>Not Tested</x:v>
      </x:c>
      <x:c r="T445" s="64" t="str">
        <x:v>Eligible</x:v>
      </x:c>
      <x:c r="U445" s="47" t="str"/>
      <x:c r="V445" s="47" t="str"/>
      <x:c r="W445" s="47" t="str"/>
      <x:c r="X445" s="50" t="str"/>
      <x:c r="Y445" s="50" t="str"/>
      <x:c r="Z445" s="47" t="str"/>
      <x:c r="AA445" s="47" t="str">
        <x:v>No direct published reference located; do not display a crimp value.</x:v>
      </x:c>
      <x:c r="AB445" s="161" t="str">
        <x:v>Pending</x:v>
      </x:c>
    </x:row>
    <x:row r="446" ht="42" customHeight="1">
      <x:c r="A446" s="33" t="str">
        <x:v>Draft</x:v>
      </x:c>
      <x:c r="B446" s="47" t="str">
        <x:v>COMP_0442</x:v>
      </x:c>
      <x:c r="C446" s="47" t="str">
        <x:v>EN1SC_003</x:v>
      </x:c>
      <x:c r="D446" s="47" t="str">
        <x:v>BSPP_M_FX_06_06</x:v>
      </x:c>
      <x:c r="E446" s="47" t="str">
        <x:v>EN1SC_1WB_003</x:v>
      </x:c>
      <x:c r="F446" s="47" t="str"/>
      <x:c r="G446" s="33" t="str"/>
      <x:c r="H446" s="50" t="str"/>
      <x:c r="I446" s="50" t="str"/>
      <x:c r="J446" s="50" t="str"/>
      <x:c r="K446" s="47" t="str"/>
      <x:c r="L446" s="50" t="str"/>
      <x:c r="M446" s="50" t="str"/>
      <x:c r="N446" s="47" t="str"/>
      <x:c r="O446" s="50" t="str"/>
      <x:c r="P446" s="64" t="str">
        <x:f>IF(O446="","",O446*2)</x:f>
      </x:c>
      <x:c r="Q446" s="50" t="str"/>
      <x:c r="R446" s="47" t="str"/>
      <x:c r="S446" s="33" t="str">
        <x:v>Not Tested</x:v>
      </x:c>
      <x:c r="T446" s="64" t="str">
        <x:v>Eligible</x:v>
      </x:c>
      <x:c r="U446" s="47" t="str"/>
      <x:c r="V446" s="47" t="str"/>
      <x:c r="W446" s="47" t="str"/>
      <x:c r="X446" s="50" t="str"/>
      <x:c r="Y446" s="50" t="str"/>
      <x:c r="Z446" s="47" t="str"/>
      <x:c r="AA446" s="47" t="str">
        <x:v>No direct published reference located; do not display a crimp value.</x:v>
      </x:c>
      <x:c r="AB446" s="161" t="str">
        <x:v>Pending</x:v>
      </x:c>
    </x:row>
    <x:row r="447" ht="42" customHeight="1">
      <x:c r="A447" s="33" t="str">
        <x:v>Draft</x:v>
      </x:c>
      <x:c r="B447" s="47" t="str">
        <x:v>COMP_0443</x:v>
      </x:c>
      <x:c r="C447" s="47" t="str">
        <x:v>EN1SC_003</x:v>
      </x:c>
      <x:c r="D447" s="47" t="str">
        <x:v>BSPP_M_FX_08_06</x:v>
      </x:c>
      <x:c r="E447" s="47" t="str">
        <x:v>EN1SC_1WB_003</x:v>
      </x:c>
      <x:c r="F447" s="47" t="str"/>
      <x:c r="G447" s="33" t="str"/>
      <x:c r="H447" s="50" t="str"/>
      <x:c r="I447" s="50" t="str"/>
      <x:c r="J447" s="50" t="str"/>
      <x:c r="K447" s="47" t="str"/>
      <x:c r="L447" s="50" t="str"/>
      <x:c r="M447" s="50" t="str"/>
      <x:c r="N447" s="47" t="str"/>
      <x:c r="O447" s="50" t="str"/>
      <x:c r="P447" s="64" t="str">
        <x:f>IF(O447="","",O447*2)</x:f>
      </x:c>
      <x:c r="Q447" s="50" t="str"/>
      <x:c r="R447" s="47" t="str"/>
      <x:c r="S447" s="33" t="str">
        <x:v>Not Tested</x:v>
      </x:c>
      <x:c r="T447" s="64" t="str">
        <x:v>Eligible</x:v>
      </x:c>
      <x:c r="U447" s="47" t="str"/>
      <x:c r="V447" s="47" t="str"/>
      <x:c r="W447" s="47" t="str"/>
      <x:c r="X447" s="50" t="str"/>
      <x:c r="Y447" s="50" t="str"/>
      <x:c r="Z447" s="47" t="str"/>
      <x:c r="AA447" s="47" t="str">
        <x:v>No direct published reference located; do not display a crimp value.</x:v>
      </x:c>
      <x:c r="AB447" s="161" t="str">
        <x:v>Pending</x:v>
      </x:c>
    </x:row>
    <x:row r="448" ht="42" customHeight="1">
      <x:c r="A448" s="33" t="str">
        <x:v>Draft</x:v>
      </x:c>
      <x:c r="B448" s="47" t="str">
        <x:v>COMP_0444</x:v>
      </x:c>
      <x:c r="C448" s="47" t="str">
        <x:v>EN1SC_003</x:v>
      </x:c>
      <x:c r="D448" s="47" t="str">
        <x:v>BSPP45_F_SW_06_06</x:v>
      </x:c>
      <x:c r="E448" s="47" t="str">
        <x:v>EN1SC_1WB_003</x:v>
      </x:c>
      <x:c r="F448" s="47" t="str"/>
      <x:c r="G448" s="33" t="str"/>
      <x:c r="H448" s="50" t="str"/>
      <x:c r="I448" s="50" t="str"/>
      <x:c r="J448" s="50" t="str"/>
      <x:c r="K448" s="47" t="str"/>
      <x:c r="L448" s="50" t="str"/>
      <x:c r="M448" s="50" t="str"/>
      <x:c r="N448" s="47" t="str"/>
      <x:c r="O448" s="50" t="str"/>
      <x:c r="P448" s="64" t="str">
        <x:f>IF(O448="","",O448*2)</x:f>
      </x:c>
      <x:c r="Q448" s="50" t="str"/>
      <x:c r="R448" s="47" t="str"/>
      <x:c r="S448" s="33" t="str">
        <x:v>Not Tested</x:v>
      </x:c>
      <x:c r="T448" s="64" t="str">
        <x:v>Eligible</x:v>
      </x:c>
      <x:c r="U448" s="47" t="str"/>
      <x:c r="V448" s="47" t="str"/>
      <x:c r="W448" s="47" t="str"/>
      <x:c r="X448" s="50" t="str"/>
      <x:c r="Y448" s="50" t="str"/>
      <x:c r="Z448" s="47" t="str"/>
      <x:c r="AA448" s="47" t="str">
        <x:v>No direct published reference located; do not display a crimp value.</x:v>
      </x:c>
      <x:c r="AB448" s="161" t="str">
        <x:v>Pending</x:v>
      </x:c>
    </x:row>
    <x:row r="449" ht="42" customHeight="1">
      <x:c r="A449" s="33" t="str">
        <x:v>Draft</x:v>
      </x:c>
      <x:c r="B449" s="47" t="str">
        <x:v>COMP_0445</x:v>
      </x:c>
      <x:c r="C449" s="47" t="str">
        <x:v>EN1SC_003</x:v>
      </x:c>
      <x:c r="D449" s="47" t="str">
        <x:v>BSPP90_F_SW_06_06</x:v>
      </x:c>
      <x:c r="E449" s="47" t="str">
        <x:v>EN1SC_1WB_003</x:v>
      </x:c>
      <x:c r="F449" s="47" t="str"/>
      <x:c r="G449" s="33" t="str"/>
      <x:c r="H449" s="50" t="str"/>
      <x:c r="I449" s="50" t="str"/>
      <x:c r="J449" s="50" t="str"/>
      <x:c r="K449" s="47" t="str"/>
      <x:c r="L449" s="50" t="str"/>
      <x:c r="M449" s="50" t="str"/>
      <x:c r="N449" s="47" t="str"/>
      <x:c r="O449" s="50" t="str"/>
      <x:c r="P449" s="64" t="str">
        <x:f>IF(O449="","",O449*2)</x:f>
      </x:c>
      <x:c r="Q449" s="50" t="str"/>
      <x:c r="R449" s="47" t="str"/>
      <x:c r="S449" s="33" t="str">
        <x:v>Not Tested</x:v>
      </x:c>
      <x:c r="T449" s="64" t="str">
        <x:v>Eligible</x:v>
      </x:c>
      <x:c r="U449" s="47" t="str"/>
      <x:c r="V449" s="47" t="str"/>
      <x:c r="W449" s="47" t="str"/>
      <x:c r="X449" s="50" t="str"/>
      <x:c r="Y449" s="50" t="str"/>
      <x:c r="Z449" s="47" t="str"/>
      <x:c r="AA449" s="47" t="str">
        <x:v>No direct published reference located; do not display a crimp value.</x:v>
      </x:c>
      <x:c r="AB449" s="161" t="str">
        <x:v>Pending</x:v>
      </x:c>
    </x:row>
    <x:row r="450" ht="42" customHeight="1">
      <x:c r="A450" s="33" t="str">
        <x:v>Draft</x:v>
      </x:c>
      <x:c r="B450" s="47" t="str">
        <x:v>COMP_0446</x:v>
      </x:c>
      <x:c r="C450" s="47" t="str">
        <x:v>EN1SC_003</x:v>
      </x:c>
      <x:c r="D450" s="47" t="str">
        <x:v>BSPP90_F_SW_08_06</x:v>
      </x:c>
      <x:c r="E450" s="47" t="str">
        <x:v>EN1SC_1WB_003</x:v>
      </x:c>
      <x:c r="F450" s="47" t="str"/>
      <x:c r="G450" s="33" t="str"/>
      <x:c r="H450" s="50" t="str"/>
      <x:c r="I450" s="50" t="str"/>
      <x:c r="J450" s="50" t="str"/>
      <x:c r="K450" s="47" t="str"/>
      <x:c r="L450" s="50" t="str"/>
      <x:c r="M450" s="50" t="str"/>
      <x:c r="N450" s="47" t="str"/>
      <x:c r="O450" s="50" t="str"/>
      <x:c r="P450" s="64" t="str">
        <x:f>IF(O450="","",O450*2)</x:f>
      </x:c>
      <x:c r="Q450" s="50" t="str"/>
      <x:c r="R450" s="47" t="str"/>
      <x:c r="S450" s="33" t="str">
        <x:v>Not Tested</x:v>
      </x:c>
      <x:c r="T450" s="64" t="str">
        <x:v>Eligible</x:v>
      </x:c>
      <x:c r="U450" s="47" t="str"/>
      <x:c r="V450" s="47" t="str"/>
      <x:c r="W450" s="47" t="str"/>
      <x:c r="X450" s="50" t="str"/>
      <x:c r="Y450" s="50" t="str"/>
      <x:c r="Z450" s="47" t="str"/>
      <x:c r="AA450" s="47" t="str">
        <x:v>No direct published reference located; do not display a crimp value.</x:v>
      </x:c>
      <x:c r="AB450" s="161" t="str">
        <x:v>Pending</x:v>
      </x:c>
    </x:row>
    <x:row r="451" ht="42" customHeight="1">
      <x:c r="A451" s="33" t="str">
        <x:v>Draft</x:v>
      </x:c>
      <x:c r="B451" s="47" t="str">
        <x:v>COMP_0447</x:v>
      </x:c>
      <x:c r="C451" s="47" t="str">
        <x:v>EN1SC_003</x:v>
      </x:c>
      <x:c r="D451" s="47" t="str">
        <x:v>BSPT_M_FX_06_06</x:v>
      </x:c>
      <x:c r="E451" s="47" t="str">
        <x:v>EN1SC_1WB_003</x:v>
      </x:c>
      <x:c r="F451" s="47" t="str"/>
      <x:c r="G451" s="33" t="str"/>
      <x:c r="H451" s="50" t="str"/>
      <x:c r="I451" s="50" t="str"/>
      <x:c r="J451" s="50" t="str"/>
      <x:c r="K451" s="47" t="str"/>
      <x:c r="L451" s="50" t="str"/>
      <x:c r="M451" s="50" t="str"/>
      <x:c r="N451" s="47" t="str"/>
      <x:c r="O451" s="50" t="str"/>
      <x:c r="P451" s="64" t="str">
        <x:f>IF(O451="","",O451*2)</x:f>
      </x:c>
      <x:c r="Q451" s="50" t="str"/>
      <x:c r="R451" s="47" t="str"/>
      <x:c r="S451" s="33" t="str">
        <x:v>Not Tested</x:v>
      </x:c>
      <x:c r="T451" s="64" t="str">
        <x:v>Eligible</x:v>
      </x:c>
      <x:c r="U451" s="47" t="str"/>
      <x:c r="V451" s="47" t="str"/>
      <x:c r="W451" s="47" t="str"/>
      <x:c r="X451" s="50" t="str"/>
      <x:c r="Y451" s="50" t="str"/>
      <x:c r="Z451" s="47" t="str"/>
      <x:c r="AA451" s="47" t="str">
        <x:v>No direct published reference located; do not display a crimp value.</x:v>
      </x:c>
      <x:c r="AB451" s="161" t="str">
        <x:v>Pending</x:v>
      </x:c>
    </x:row>
    <x:row r="452" ht="42" customHeight="1">
      <x:c r="A452" s="33" t="str">
        <x:v>Draft</x:v>
      </x:c>
      <x:c r="B452" s="47" t="str">
        <x:v>COMP_0448</x:v>
      </x:c>
      <x:c r="C452" s="47" t="str">
        <x:v>EN1SC_003</x:v>
      </x:c>
      <x:c r="D452" s="47" t="str">
        <x:v>BSPT_M_FX_08_06</x:v>
      </x:c>
      <x:c r="E452" s="47" t="str">
        <x:v>EN1SC_1WB_003</x:v>
      </x:c>
      <x:c r="F452" s="47" t="str"/>
      <x:c r="G452" s="33" t="str"/>
      <x:c r="H452" s="50" t="str"/>
      <x:c r="I452" s="50" t="str"/>
      <x:c r="J452" s="50" t="str"/>
      <x:c r="K452" s="47" t="str"/>
      <x:c r="L452" s="50" t="str"/>
      <x:c r="M452" s="50" t="str"/>
      <x:c r="N452" s="47" t="str"/>
      <x:c r="O452" s="50" t="str"/>
      <x:c r="P452" s="64" t="str">
        <x:f>IF(O452="","",O452*2)</x:f>
      </x:c>
      <x:c r="Q452" s="50" t="str"/>
      <x:c r="R452" s="47" t="str"/>
      <x:c r="S452" s="33" t="str">
        <x:v>Not Tested</x:v>
      </x:c>
      <x:c r="T452" s="64" t="str">
        <x:v>Eligible</x:v>
      </x:c>
      <x:c r="U452" s="47" t="str"/>
      <x:c r="V452" s="47" t="str"/>
      <x:c r="W452" s="47" t="str"/>
      <x:c r="X452" s="50" t="str"/>
      <x:c r="Y452" s="50" t="str"/>
      <x:c r="Z452" s="47" t="str"/>
      <x:c r="AA452" s="47" t="str">
        <x:v>No direct published reference located; do not display a crimp value.</x:v>
      </x:c>
      <x:c r="AB452" s="161" t="str">
        <x:v>Pending</x:v>
      </x:c>
    </x:row>
    <x:row r="453" ht="42" customHeight="1">
      <x:c r="A453" s="33" t="str">
        <x:v>Draft</x:v>
      </x:c>
      <x:c r="B453" s="47" t="str">
        <x:v>COMP_0449</x:v>
      </x:c>
      <x:c r="C453" s="47" t="str">
        <x:v>EN1SC_003</x:v>
      </x:c>
      <x:c r="D453" s="47" t="str">
        <x:v>JIC_F_SW_04_06</x:v>
      </x:c>
      <x:c r="E453" s="47" t="str">
        <x:v>EN1SC_1WB_003</x:v>
      </x:c>
      <x:c r="F453" s="47" t="str"/>
      <x:c r="G453" s="33" t="str"/>
      <x:c r="H453" s="50" t="str"/>
      <x:c r="I453" s="50" t="str"/>
      <x:c r="J453" s="50" t="str"/>
      <x:c r="K453" s="47" t="str"/>
      <x:c r="L453" s="50" t="str"/>
      <x:c r="M453" s="50" t="str"/>
      <x:c r="N453" s="47" t="str"/>
      <x:c r="O453" s="50" t="str"/>
      <x:c r="P453" s="64" t="str">
        <x:f>IF(O453="","",O453*2)</x:f>
      </x:c>
      <x:c r="Q453" s="50" t="str"/>
      <x:c r="R453" s="47" t="str"/>
      <x:c r="S453" s="33" t="str">
        <x:v>Not Tested</x:v>
      </x:c>
      <x:c r="T453" s="64" t="str">
        <x:v>Eligible</x:v>
      </x:c>
      <x:c r="U453" s="47" t="str"/>
      <x:c r="V453" s="47" t="str"/>
      <x:c r="W453" s="47" t="str"/>
      <x:c r="X453" s="50" t="str"/>
      <x:c r="Y453" s="50" t="str"/>
      <x:c r="Z453" s="47" t="str"/>
      <x:c r="AA453" s="47" t="str">
        <x:v>No direct published reference located; do not display a crimp value.</x:v>
      </x:c>
      <x:c r="AB453" s="161" t="str">
        <x:v>Pending</x:v>
      </x:c>
    </x:row>
    <x:row r="454" ht="42" customHeight="1">
      <x:c r="A454" s="33" t="str">
        <x:v>Draft</x:v>
      </x:c>
      <x:c r="B454" s="47" t="str">
        <x:v>COMP_0450</x:v>
      </x:c>
      <x:c r="C454" s="47" t="str">
        <x:v>EN1SC_003</x:v>
      </x:c>
      <x:c r="D454" s="47" t="str">
        <x:v>JIC_F_SW_05_06</x:v>
      </x:c>
      <x:c r="E454" s="47" t="str">
        <x:v>EN1SC_1WB_003</x:v>
      </x:c>
      <x:c r="F454" s="47" t="str"/>
      <x:c r="G454" s="33" t="str"/>
      <x:c r="H454" s="50" t="str"/>
      <x:c r="I454" s="50" t="str"/>
      <x:c r="J454" s="50" t="str"/>
      <x:c r="K454" s="47" t="str"/>
      <x:c r="L454" s="50" t="str"/>
      <x:c r="M454" s="50" t="str"/>
      <x:c r="N454" s="47" t="str"/>
      <x:c r="O454" s="50" t="str"/>
      <x:c r="P454" s="64" t="str">
        <x:f>IF(O454="","",O454*2)</x:f>
      </x:c>
      <x:c r="Q454" s="50" t="str"/>
      <x:c r="R454" s="47" t="str"/>
      <x:c r="S454" s="33" t="str">
        <x:v>Not Tested</x:v>
      </x:c>
      <x:c r="T454" s="64" t="str">
        <x:v>Eligible</x:v>
      </x:c>
      <x:c r="U454" s="47" t="str"/>
      <x:c r="V454" s="47" t="str"/>
      <x:c r="W454" s="47" t="str"/>
      <x:c r="X454" s="50" t="str"/>
      <x:c r="Y454" s="50" t="str"/>
      <x:c r="Z454" s="47" t="str"/>
      <x:c r="AA454" s="47" t="str">
        <x:v>No direct published reference located; do not display a crimp value.</x:v>
      </x:c>
      <x:c r="AB454" s="161" t="str">
        <x:v>Pending</x:v>
      </x:c>
    </x:row>
    <x:row r="455" ht="42" customHeight="1">
      <x:c r="A455" s="33" t="str">
        <x:v>Draft</x:v>
      </x:c>
      <x:c r="B455" s="47" t="str">
        <x:v>COMP_0451</x:v>
      </x:c>
      <x:c r="C455" s="47" t="str">
        <x:v>EN1SC_003</x:v>
      </x:c>
      <x:c r="D455" s="47" t="str">
        <x:v>JIC_F_SW_06_06</x:v>
      </x:c>
      <x:c r="E455" s="47" t="str">
        <x:v>EN1SC_1WB_003</x:v>
      </x:c>
      <x:c r="F455" s="47" t="str"/>
      <x:c r="G455" s="33" t="str"/>
      <x:c r="H455" s="50" t="str"/>
      <x:c r="I455" s="50" t="str"/>
      <x:c r="J455" s="50" t="str"/>
      <x:c r="K455" s="47" t="str"/>
      <x:c r="L455" s="50" t="str"/>
      <x:c r="M455" s="50" t="str"/>
      <x:c r="N455" s="47" t="str"/>
      <x:c r="O455" s="50" t="str"/>
      <x:c r="P455" s="64" t="str">
        <x:f>IF(O455="","",O455*2)</x:f>
      </x:c>
      <x:c r="Q455" s="50" t="str"/>
      <x:c r="R455" s="47" t="str"/>
      <x:c r="S455" s="33" t="str">
        <x:v>Not Tested</x:v>
      </x:c>
      <x:c r="T455" s="64" t="str">
        <x:v>Eligible</x:v>
      </x:c>
      <x:c r="U455" s="47" t="str"/>
      <x:c r="V455" s="47" t="str"/>
      <x:c r="W455" s="47" t="str"/>
      <x:c r="X455" s="50" t="str"/>
      <x:c r="Y455" s="50" t="str"/>
      <x:c r="Z455" s="47" t="str"/>
      <x:c r="AA455" s="47" t="str">
        <x:v>No direct published reference located; do not display a crimp value.</x:v>
      </x:c>
      <x:c r="AB455" s="161" t="str">
        <x:v>Pending</x:v>
      </x:c>
    </x:row>
    <x:row r="456" ht="42" customHeight="1">
      <x:c r="A456" s="33" t="str">
        <x:v>Draft</x:v>
      </x:c>
      <x:c r="B456" s="47" t="str">
        <x:v>COMP_0452</x:v>
      </x:c>
      <x:c r="C456" s="47" t="str">
        <x:v>EN1SC_003</x:v>
      </x:c>
      <x:c r="D456" s="47" t="str">
        <x:v>JIC_F_SW_08_06</x:v>
      </x:c>
      <x:c r="E456" s="47" t="str">
        <x:v>EN1SC_1WB_003</x:v>
      </x:c>
      <x:c r="F456" s="47" t="str"/>
      <x:c r="G456" s="33" t="str"/>
      <x:c r="H456" s="50" t="str"/>
      <x:c r="I456" s="50" t="str"/>
      <x:c r="J456" s="50" t="str"/>
      <x:c r="K456" s="47" t="str"/>
      <x:c r="L456" s="50" t="str"/>
      <x:c r="M456" s="50" t="str"/>
      <x:c r="N456" s="47" t="str"/>
      <x:c r="O456" s="50" t="str"/>
      <x:c r="P456" s="64" t="str">
        <x:f>IF(O456="","",O456*2)</x:f>
      </x:c>
      <x:c r="Q456" s="50" t="str"/>
      <x:c r="R456" s="47" t="str"/>
      <x:c r="S456" s="33" t="str">
        <x:v>Not Tested</x:v>
      </x:c>
      <x:c r="T456" s="64" t="str">
        <x:v>Eligible</x:v>
      </x:c>
      <x:c r="U456" s="47" t="str"/>
      <x:c r="V456" s="47" t="str"/>
      <x:c r="W456" s="47" t="str"/>
      <x:c r="X456" s="50" t="str"/>
      <x:c r="Y456" s="50" t="str"/>
      <x:c r="Z456" s="47" t="str"/>
      <x:c r="AA456" s="47" t="str">
        <x:v>No direct published reference located; do not display a crimp value.</x:v>
      </x:c>
      <x:c r="AB456" s="161" t="str">
        <x:v>Pending</x:v>
      </x:c>
    </x:row>
    <x:row r="457" ht="42" customHeight="1">
      <x:c r="A457" s="33" t="str">
        <x:v>Draft</x:v>
      </x:c>
      <x:c r="B457" s="47" t="str">
        <x:v>COMP_0453</x:v>
      </x:c>
      <x:c r="C457" s="47" t="str">
        <x:v>EN1SC_003</x:v>
      </x:c>
      <x:c r="D457" s="47" t="str">
        <x:v>JIC_F_SW_10_06</x:v>
      </x:c>
      <x:c r="E457" s="47" t="str">
        <x:v>EN1SC_1WB_003</x:v>
      </x:c>
      <x:c r="F457" s="47" t="str"/>
      <x:c r="G457" s="33" t="str"/>
      <x:c r="H457" s="50" t="str"/>
      <x:c r="I457" s="50" t="str"/>
      <x:c r="J457" s="50" t="str"/>
      <x:c r="K457" s="47" t="str"/>
      <x:c r="L457" s="50" t="str"/>
      <x:c r="M457" s="50" t="str"/>
      <x:c r="N457" s="47" t="str"/>
      <x:c r="O457" s="50" t="str"/>
      <x:c r="P457" s="64" t="str">
        <x:f>IF(O457="","",O457*2)</x:f>
      </x:c>
      <x:c r="Q457" s="50" t="str"/>
      <x:c r="R457" s="47" t="str"/>
      <x:c r="S457" s="33" t="str">
        <x:v>Not Tested</x:v>
      </x:c>
      <x:c r="T457" s="64" t="str">
        <x:v>Eligible</x:v>
      </x:c>
      <x:c r="U457" s="47" t="str"/>
      <x:c r="V457" s="47" t="str"/>
      <x:c r="W457" s="47" t="str"/>
      <x:c r="X457" s="50" t="str"/>
      <x:c r="Y457" s="50" t="str"/>
      <x:c r="Z457" s="47" t="str"/>
      <x:c r="AA457" s="47" t="str">
        <x:v>No direct published reference located; do not display a crimp value.</x:v>
      </x:c>
      <x:c r="AB457" s="161" t="str">
        <x:v>Pending</x:v>
      </x:c>
    </x:row>
    <x:row r="458" ht="42" customHeight="1">
      <x:c r="A458" s="33" t="str">
        <x:v>Draft</x:v>
      </x:c>
      <x:c r="B458" s="47" t="str">
        <x:v>COMP_0454</x:v>
      </x:c>
      <x:c r="C458" s="47" t="str">
        <x:v>EN1SC_003</x:v>
      </x:c>
      <x:c r="D458" s="47" t="str">
        <x:v>JIC_M_FX_05_06</x:v>
      </x:c>
      <x:c r="E458" s="47" t="str">
        <x:v>EN1SC_1WB_003</x:v>
      </x:c>
      <x:c r="F458" s="47" t="str"/>
      <x:c r="G458" s="33" t="str"/>
      <x:c r="H458" s="50" t="str"/>
      <x:c r="I458" s="50" t="str"/>
      <x:c r="J458" s="50" t="str"/>
      <x:c r="K458" s="47" t="str"/>
      <x:c r="L458" s="50" t="str"/>
      <x:c r="M458" s="50" t="str"/>
      <x:c r="N458" s="47" t="str"/>
      <x:c r="O458" s="50" t="str"/>
      <x:c r="P458" s="64" t="str">
        <x:f>IF(O458="","",O458*2)</x:f>
      </x:c>
      <x:c r="Q458" s="50" t="str"/>
      <x:c r="R458" s="47" t="str"/>
      <x:c r="S458" s="33" t="str">
        <x:v>Not Tested</x:v>
      </x:c>
      <x:c r="T458" s="64" t="str">
        <x:v>Eligible</x:v>
      </x:c>
      <x:c r="U458" s="47" t="str"/>
      <x:c r="V458" s="47" t="str"/>
      <x:c r="W458" s="47" t="str"/>
      <x:c r="X458" s="50" t="str"/>
      <x:c r="Y458" s="50" t="str"/>
      <x:c r="Z458" s="47" t="str"/>
      <x:c r="AA458" s="47" t="str">
        <x:v>No direct published reference located; do not display a crimp value.</x:v>
      </x:c>
      <x:c r="AB458" s="161" t="str">
        <x:v>Pending</x:v>
      </x:c>
    </x:row>
    <x:row r="459" ht="42" customHeight="1">
      <x:c r="A459" s="33" t="str">
        <x:v>Draft</x:v>
      </x:c>
      <x:c r="B459" s="47" t="str">
        <x:v>COMP_0455</x:v>
      </x:c>
      <x:c r="C459" s="47" t="str">
        <x:v>EN1SC_003</x:v>
      </x:c>
      <x:c r="D459" s="47" t="str">
        <x:v>JIC_M_FX_06_06</x:v>
      </x:c>
      <x:c r="E459" s="47" t="str">
        <x:v>EN1SC_1WB_003</x:v>
      </x:c>
      <x:c r="F459" s="47" t="str"/>
      <x:c r="G459" s="33" t="str"/>
      <x:c r="H459" s="50" t="str"/>
      <x:c r="I459" s="50" t="str"/>
      <x:c r="J459" s="50" t="str"/>
      <x:c r="K459" s="47" t="str"/>
      <x:c r="L459" s="50" t="str"/>
      <x:c r="M459" s="50" t="str"/>
      <x:c r="N459" s="47" t="str"/>
      <x:c r="O459" s="50" t="str"/>
      <x:c r="P459" s="64" t="str">
        <x:f>IF(O459="","",O459*2)</x:f>
      </x:c>
      <x:c r="Q459" s="50" t="str"/>
      <x:c r="R459" s="47" t="str"/>
      <x:c r="S459" s="33" t="str">
        <x:v>Not Tested</x:v>
      </x:c>
      <x:c r="T459" s="64" t="str">
        <x:v>Eligible</x:v>
      </x:c>
      <x:c r="U459" s="47" t="str"/>
      <x:c r="V459" s="47" t="str"/>
      <x:c r="W459" s="47" t="str"/>
      <x:c r="X459" s="50" t="str"/>
      <x:c r="Y459" s="50" t="str"/>
      <x:c r="Z459" s="47" t="str"/>
      <x:c r="AA459" s="47" t="str">
        <x:v>No direct published reference located; do not display a crimp value.</x:v>
      </x:c>
      <x:c r="AB459" s="161" t="str">
        <x:v>Pending</x:v>
      </x:c>
    </x:row>
    <x:row r="460" ht="42" customHeight="1">
      <x:c r="A460" s="33" t="str">
        <x:v>Draft</x:v>
      </x:c>
      <x:c r="B460" s="47" t="str">
        <x:v>COMP_0456</x:v>
      </x:c>
      <x:c r="C460" s="47" t="str">
        <x:v>EN1SC_003</x:v>
      </x:c>
      <x:c r="D460" s="47" t="str">
        <x:v>JIC_M_FX_08_06</x:v>
      </x:c>
      <x:c r="E460" s="47" t="str">
        <x:v>EN1SC_1WB_003</x:v>
      </x:c>
      <x:c r="F460" s="47" t="str"/>
      <x:c r="G460" s="33" t="str"/>
      <x:c r="H460" s="50" t="str"/>
      <x:c r="I460" s="50" t="str"/>
      <x:c r="J460" s="50" t="str"/>
      <x:c r="K460" s="47" t="str"/>
      <x:c r="L460" s="50" t="str"/>
      <x:c r="M460" s="50" t="str"/>
      <x:c r="N460" s="47" t="str"/>
      <x:c r="O460" s="50" t="str"/>
      <x:c r="P460" s="64" t="str">
        <x:f>IF(O460="","",O460*2)</x:f>
      </x:c>
      <x:c r="Q460" s="50" t="str"/>
      <x:c r="R460" s="47" t="str"/>
      <x:c r="S460" s="33" t="str">
        <x:v>Not Tested</x:v>
      </x:c>
      <x:c r="T460" s="64" t="str">
        <x:v>Eligible</x:v>
      </x:c>
      <x:c r="U460" s="47" t="str"/>
      <x:c r="V460" s="47" t="str"/>
      <x:c r="W460" s="47" t="str"/>
      <x:c r="X460" s="50" t="str"/>
      <x:c r="Y460" s="50" t="str"/>
      <x:c r="Z460" s="47" t="str"/>
      <x:c r="AA460" s="47" t="str">
        <x:v>No direct published reference located; do not display a crimp value.</x:v>
      </x:c>
      <x:c r="AB460" s="161" t="str">
        <x:v>Pending</x:v>
      </x:c>
    </x:row>
    <x:row r="461" ht="42" customHeight="1">
      <x:c r="A461" s="33" t="str">
        <x:v>Draft</x:v>
      </x:c>
      <x:c r="B461" s="47" t="str">
        <x:v>COMP_0457</x:v>
      </x:c>
      <x:c r="C461" s="47" t="str">
        <x:v>EN1SC_003</x:v>
      </x:c>
      <x:c r="D461" s="47" t="str">
        <x:v>JIC_M_FX_10_06</x:v>
      </x:c>
      <x:c r="E461" s="47" t="str">
        <x:v>EN1SC_1WB_003</x:v>
      </x:c>
      <x:c r="F461" s="47" t="str"/>
      <x:c r="G461" s="33" t="str"/>
      <x:c r="H461" s="50" t="str"/>
      <x:c r="I461" s="50" t="str"/>
      <x:c r="J461" s="50" t="str"/>
      <x:c r="K461" s="47" t="str"/>
      <x:c r="L461" s="50" t="str"/>
      <x:c r="M461" s="50" t="str"/>
      <x:c r="N461" s="47" t="str"/>
      <x:c r="O461" s="50" t="str"/>
      <x:c r="P461" s="64" t="str">
        <x:f>IF(O461="","",O461*2)</x:f>
      </x:c>
      <x:c r="Q461" s="50" t="str"/>
      <x:c r="R461" s="47" t="str"/>
      <x:c r="S461" s="33" t="str">
        <x:v>Not Tested</x:v>
      </x:c>
      <x:c r="T461" s="64" t="str">
        <x:v>Eligible</x:v>
      </x:c>
      <x:c r="U461" s="47" t="str"/>
      <x:c r="V461" s="47" t="str"/>
      <x:c r="W461" s="47" t="str"/>
      <x:c r="X461" s="50" t="str"/>
      <x:c r="Y461" s="50" t="str"/>
      <x:c r="Z461" s="47" t="str"/>
      <x:c r="AA461" s="47" t="str">
        <x:v>No direct published reference located; do not display a crimp value.</x:v>
      </x:c>
      <x:c r="AB461" s="161" t="str">
        <x:v>Pending</x:v>
      </x:c>
    </x:row>
    <x:row r="462" ht="42" customHeight="1">
      <x:c r="A462" s="33" t="str">
        <x:v>Draft</x:v>
      </x:c>
      <x:c r="B462" s="47" t="str">
        <x:v>COMP_0458</x:v>
      </x:c>
      <x:c r="C462" s="47" t="str">
        <x:v>EN1SC_003</x:v>
      </x:c>
      <x:c r="D462" s="47" t="str">
        <x:v>JIC45_F_SW_06_06</x:v>
      </x:c>
      <x:c r="E462" s="47" t="str">
        <x:v>EN1SC_1WB_003</x:v>
      </x:c>
      <x:c r="F462" s="47" t="str"/>
      <x:c r="G462" s="33" t="str"/>
      <x:c r="H462" s="50" t="str"/>
      <x:c r="I462" s="50" t="str"/>
      <x:c r="J462" s="50" t="str"/>
      <x:c r="K462" s="47" t="str"/>
      <x:c r="L462" s="50" t="str"/>
      <x:c r="M462" s="50" t="str"/>
      <x:c r="N462" s="47" t="str"/>
      <x:c r="O462" s="50" t="str"/>
      <x:c r="P462" s="64" t="str">
        <x:f>IF(O462="","",O462*2)</x:f>
      </x:c>
      <x:c r="Q462" s="50" t="str"/>
      <x:c r="R462" s="47" t="str"/>
      <x:c r="S462" s="33" t="str">
        <x:v>Not Tested</x:v>
      </x:c>
      <x:c r="T462" s="64" t="str">
        <x:v>Eligible</x:v>
      </x:c>
      <x:c r="U462" s="47" t="str"/>
      <x:c r="V462" s="47" t="str"/>
      <x:c r="W462" s="47" t="str"/>
      <x:c r="X462" s="50" t="str"/>
      <x:c r="Y462" s="50" t="str"/>
      <x:c r="Z462" s="47" t="str"/>
      <x:c r="AA462" s="47" t="str">
        <x:v>No direct published reference located; do not display a crimp value.</x:v>
      </x:c>
      <x:c r="AB462" s="161" t="str">
        <x:v>Pending</x:v>
      </x:c>
    </x:row>
    <x:row r="463" ht="42" customHeight="1">
      <x:c r="A463" s="33" t="str">
        <x:v>Draft</x:v>
      </x:c>
      <x:c r="B463" s="47" t="str">
        <x:v>COMP_0459</x:v>
      </x:c>
      <x:c r="C463" s="47" t="str">
        <x:v>EN1SC_003</x:v>
      </x:c>
      <x:c r="D463" s="47" t="str">
        <x:v>JIC45_F_SW_08_06</x:v>
      </x:c>
      <x:c r="E463" s="47" t="str">
        <x:v>EN1SC_1WB_003</x:v>
      </x:c>
      <x:c r="F463" s="47" t="str"/>
      <x:c r="G463" s="33" t="str"/>
      <x:c r="H463" s="50" t="str"/>
      <x:c r="I463" s="50" t="str"/>
      <x:c r="J463" s="50" t="str"/>
      <x:c r="K463" s="47" t="str"/>
      <x:c r="L463" s="50" t="str"/>
      <x:c r="M463" s="50" t="str"/>
      <x:c r="N463" s="47" t="str"/>
      <x:c r="O463" s="50" t="str"/>
      <x:c r="P463" s="64" t="str">
        <x:f>IF(O463="","",O463*2)</x:f>
      </x:c>
      <x:c r="Q463" s="50" t="str"/>
      <x:c r="R463" s="47" t="str"/>
      <x:c r="S463" s="33" t="str">
        <x:v>Not Tested</x:v>
      </x:c>
      <x:c r="T463" s="64" t="str">
        <x:v>Eligible</x:v>
      </x:c>
      <x:c r="U463" s="47" t="str"/>
      <x:c r="V463" s="47" t="str"/>
      <x:c r="W463" s="47" t="str"/>
      <x:c r="X463" s="50" t="str"/>
      <x:c r="Y463" s="50" t="str"/>
      <x:c r="Z463" s="47" t="str"/>
      <x:c r="AA463" s="47" t="str">
        <x:v>No direct published reference located; do not display a crimp value.</x:v>
      </x:c>
      <x:c r="AB463" s="161" t="str">
        <x:v>Pending</x:v>
      </x:c>
    </x:row>
    <x:row r="464" ht="42" customHeight="1">
      <x:c r="A464" s="33" t="str">
        <x:v>Draft</x:v>
      </x:c>
      <x:c r="B464" s="47" t="str">
        <x:v>COMP_0460</x:v>
      </x:c>
      <x:c r="C464" s="47" t="str">
        <x:v>EN1SC_003</x:v>
      </x:c>
      <x:c r="D464" s="47" t="str">
        <x:v>JIC90_F_SW_04_06</x:v>
      </x:c>
      <x:c r="E464" s="47" t="str">
        <x:v>EN1SC_1WB_003</x:v>
      </x:c>
      <x:c r="F464" s="47" t="str"/>
      <x:c r="G464" s="33" t="str"/>
      <x:c r="H464" s="50" t="str"/>
      <x:c r="I464" s="50" t="str"/>
      <x:c r="J464" s="50" t="str"/>
      <x:c r="K464" s="47" t="str"/>
      <x:c r="L464" s="50" t="str"/>
      <x:c r="M464" s="50" t="str"/>
      <x:c r="N464" s="47" t="str"/>
      <x:c r="O464" s="50" t="str"/>
      <x:c r="P464" s="64" t="str">
        <x:f>IF(O464="","",O464*2)</x:f>
      </x:c>
      <x:c r="Q464" s="50" t="str"/>
      <x:c r="R464" s="47" t="str"/>
      <x:c r="S464" s="33" t="str">
        <x:v>Not Tested</x:v>
      </x:c>
      <x:c r="T464" s="64" t="str">
        <x:v>Eligible</x:v>
      </x:c>
      <x:c r="U464" s="47" t="str"/>
      <x:c r="V464" s="47" t="str"/>
      <x:c r="W464" s="47" t="str"/>
      <x:c r="X464" s="50" t="str"/>
      <x:c r="Y464" s="50" t="str"/>
      <x:c r="Z464" s="47" t="str"/>
      <x:c r="AA464" s="47" t="str">
        <x:v>No direct published reference located; do not display a crimp value.</x:v>
      </x:c>
      <x:c r="AB464" s="161" t="str">
        <x:v>Pending</x:v>
      </x:c>
    </x:row>
    <x:row r="465" ht="42" customHeight="1">
      <x:c r="A465" s="33" t="str">
        <x:v>Draft</x:v>
      </x:c>
      <x:c r="B465" s="47" t="str">
        <x:v>COMP_0461</x:v>
      </x:c>
      <x:c r="C465" s="47" t="str">
        <x:v>EN1SC_003</x:v>
      </x:c>
      <x:c r="D465" s="47" t="str">
        <x:v>JIC90_F_SW_06_06</x:v>
      </x:c>
      <x:c r="E465" s="47" t="str">
        <x:v>EN1SC_1WB_003</x:v>
      </x:c>
      <x:c r="F465" s="47" t="str"/>
      <x:c r="G465" s="33" t="str"/>
      <x:c r="H465" s="50" t="str"/>
      <x:c r="I465" s="50" t="str"/>
      <x:c r="J465" s="50" t="str"/>
      <x:c r="K465" s="47" t="str"/>
      <x:c r="L465" s="50" t="str"/>
      <x:c r="M465" s="50" t="str"/>
      <x:c r="N465" s="47" t="str"/>
      <x:c r="O465" s="50" t="str"/>
      <x:c r="P465" s="64" t="str">
        <x:f>IF(O465="","",O465*2)</x:f>
      </x:c>
      <x:c r="Q465" s="50" t="str"/>
      <x:c r="R465" s="47" t="str"/>
      <x:c r="S465" s="33" t="str">
        <x:v>Not Tested</x:v>
      </x:c>
      <x:c r="T465" s="64" t="str">
        <x:v>Eligible</x:v>
      </x:c>
      <x:c r="U465" s="47" t="str"/>
      <x:c r="V465" s="47" t="str"/>
      <x:c r="W465" s="47" t="str"/>
      <x:c r="X465" s="50" t="str"/>
      <x:c r="Y465" s="50" t="str"/>
      <x:c r="Z465" s="47" t="str"/>
      <x:c r="AA465" s="47" t="str">
        <x:v>No direct published reference located; do not display a crimp value.</x:v>
      </x:c>
      <x:c r="AB465" s="161" t="str">
        <x:v>Pending</x:v>
      </x:c>
    </x:row>
    <x:row r="466" ht="42" customHeight="1">
      <x:c r="A466" s="33" t="str">
        <x:v>Draft</x:v>
      </x:c>
      <x:c r="B466" s="47" t="str">
        <x:v>COMP_0462</x:v>
      </x:c>
      <x:c r="C466" s="47" t="str">
        <x:v>EN1SC_003</x:v>
      </x:c>
      <x:c r="D466" s="47" t="str">
        <x:v>JIC90_F_SW_08_06</x:v>
      </x:c>
      <x:c r="E466" s="47" t="str">
        <x:v>EN1SC_1WB_003</x:v>
      </x:c>
      <x:c r="F466" s="47" t="str"/>
      <x:c r="G466" s="33" t="str"/>
      <x:c r="H466" s="50" t="str"/>
      <x:c r="I466" s="50" t="str"/>
      <x:c r="J466" s="50" t="str"/>
      <x:c r="K466" s="47" t="str"/>
      <x:c r="L466" s="50" t="str"/>
      <x:c r="M466" s="50" t="str"/>
      <x:c r="N466" s="47" t="str"/>
      <x:c r="O466" s="50" t="str"/>
      <x:c r="P466" s="64" t="str">
        <x:f>IF(O466="","",O466*2)</x:f>
      </x:c>
      <x:c r="Q466" s="50" t="str"/>
      <x:c r="R466" s="47" t="str"/>
      <x:c r="S466" s="33" t="str">
        <x:v>Not Tested</x:v>
      </x:c>
      <x:c r="T466" s="64" t="str">
        <x:v>Eligible</x:v>
      </x:c>
      <x:c r="U466" s="47" t="str"/>
      <x:c r="V466" s="47" t="str"/>
      <x:c r="W466" s="47" t="str"/>
      <x:c r="X466" s="50" t="str"/>
      <x:c r="Y466" s="50" t="str"/>
      <x:c r="Z466" s="47" t="str"/>
      <x:c r="AA466" s="47" t="str">
        <x:v>No direct published reference located; do not display a crimp value.</x:v>
      </x:c>
      <x:c r="AB466" s="161" t="str">
        <x:v>Pending</x:v>
      </x:c>
    </x:row>
    <x:row r="467" ht="42" customHeight="1">
      <x:c r="A467" s="33" t="str">
        <x:v>Draft</x:v>
      </x:c>
      <x:c r="B467" s="47" t="str">
        <x:v>COMP_0463</x:v>
      </x:c>
      <x:c r="C467" s="47" t="str">
        <x:v>EN1SC_003</x:v>
      </x:c>
      <x:c r="D467" s="47" t="str">
        <x:v>NPT_F_FX_04_06</x:v>
      </x:c>
      <x:c r="E467" s="47" t="str">
        <x:v>EN1SC_1WB_003</x:v>
      </x:c>
      <x:c r="F467" s="47" t="str"/>
      <x:c r="G467" s="33" t="str"/>
      <x:c r="H467" s="50" t="str"/>
      <x:c r="I467" s="50" t="str"/>
      <x:c r="J467" s="50" t="str"/>
      <x:c r="K467" s="47" t="str"/>
      <x:c r="L467" s="50" t="str"/>
      <x:c r="M467" s="50" t="str"/>
      <x:c r="N467" s="47" t="str"/>
      <x:c r="O467" s="50" t="str"/>
      <x:c r="P467" s="64" t="str">
        <x:f>IF(O467="","",O467*2)</x:f>
      </x:c>
      <x:c r="Q467" s="50" t="str"/>
      <x:c r="R467" s="47" t="str"/>
      <x:c r="S467" s="33" t="str">
        <x:v>Not Tested</x:v>
      </x:c>
      <x:c r="T467" s="64" t="str">
        <x:v>Eligible</x:v>
      </x:c>
      <x:c r="U467" s="47" t="str"/>
      <x:c r="V467" s="47" t="str"/>
      <x:c r="W467" s="47" t="str"/>
      <x:c r="X467" s="50" t="str"/>
      <x:c r="Y467" s="50" t="str"/>
      <x:c r="Z467" s="47" t="str"/>
      <x:c r="AA467" s="47" t="str">
        <x:v>No direct published reference located; do not display a crimp value.</x:v>
      </x:c>
      <x:c r="AB467" s="161" t="str">
        <x:v>Pending</x:v>
      </x:c>
    </x:row>
    <x:row r="468" ht="42" customHeight="1">
      <x:c r="A468" s="33" t="str">
        <x:v>Draft</x:v>
      </x:c>
      <x:c r="B468" s="47" t="str">
        <x:v>COMP_0464</x:v>
      </x:c>
      <x:c r="C468" s="47" t="str">
        <x:v>EN1SC_003</x:v>
      </x:c>
      <x:c r="D468" s="47" t="str">
        <x:v>NPT_F_FX_06_06</x:v>
      </x:c>
      <x:c r="E468" s="47" t="str">
        <x:v>EN1SC_1WB_003</x:v>
      </x:c>
      <x:c r="F468" s="47" t="str"/>
      <x:c r="G468" s="33" t="str"/>
      <x:c r="H468" s="50" t="str"/>
      <x:c r="I468" s="50" t="str"/>
      <x:c r="J468" s="50" t="str"/>
      <x:c r="K468" s="47" t="str"/>
      <x:c r="L468" s="50" t="str"/>
      <x:c r="M468" s="50" t="str"/>
      <x:c r="N468" s="47" t="str"/>
      <x:c r="O468" s="50" t="str"/>
      <x:c r="P468" s="64" t="str">
        <x:f>IF(O468="","",O468*2)</x:f>
      </x:c>
      <x:c r="Q468" s="50" t="str"/>
      <x:c r="R468" s="47" t="str"/>
      <x:c r="S468" s="33" t="str">
        <x:v>Not Tested</x:v>
      </x:c>
      <x:c r="T468" s="64" t="str">
        <x:v>Eligible</x:v>
      </x:c>
      <x:c r="U468" s="47" t="str"/>
      <x:c r="V468" s="47" t="str"/>
      <x:c r="W468" s="47" t="str"/>
      <x:c r="X468" s="50" t="str"/>
      <x:c r="Y468" s="50" t="str"/>
      <x:c r="Z468" s="47" t="str"/>
      <x:c r="AA468" s="47" t="str">
        <x:v>No direct published reference located; do not display a crimp value.</x:v>
      </x:c>
      <x:c r="AB468" s="161" t="str">
        <x:v>Pending</x:v>
      </x:c>
    </x:row>
    <x:row r="469" ht="42" customHeight="1">
      <x:c r="A469" s="33" t="str">
        <x:v>Draft</x:v>
      </x:c>
      <x:c r="B469" s="47" t="str">
        <x:v>COMP_0465</x:v>
      </x:c>
      <x:c r="C469" s="47" t="str">
        <x:v>EN1SC_003</x:v>
      </x:c>
      <x:c r="D469" s="47" t="str">
        <x:v>NPT_F_FX_08_06</x:v>
      </x:c>
      <x:c r="E469" s="47" t="str">
        <x:v>EN1SC_1WB_003</x:v>
      </x:c>
      <x:c r="F469" s="47" t="str"/>
      <x:c r="G469" s="33" t="str"/>
      <x:c r="H469" s="50" t="str"/>
      <x:c r="I469" s="50" t="str"/>
      <x:c r="J469" s="50" t="str"/>
      <x:c r="K469" s="47" t="str"/>
      <x:c r="L469" s="50" t="str"/>
      <x:c r="M469" s="50" t="str"/>
      <x:c r="N469" s="47" t="str"/>
      <x:c r="O469" s="50" t="str"/>
      <x:c r="P469" s="64" t="str">
        <x:f>IF(O469="","",O469*2)</x:f>
      </x:c>
      <x:c r="Q469" s="50" t="str"/>
      <x:c r="R469" s="47" t="str"/>
      <x:c r="S469" s="33" t="str">
        <x:v>Not Tested</x:v>
      </x:c>
      <x:c r="T469" s="64" t="str">
        <x:v>Eligible</x:v>
      </x:c>
      <x:c r="U469" s="47" t="str"/>
      <x:c r="V469" s="47" t="str"/>
      <x:c r="W469" s="47" t="str"/>
      <x:c r="X469" s="50" t="str"/>
      <x:c r="Y469" s="50" t="str"/>
      <x:c r="Z469" s="47" t="str"/>
      <x:c r="AA469" s="47" t="str">
        <x:v>No direct published reference located; do not display a crimp value.</x:v>
      </x:c>
      <x:c r="AB469" s="161" t="str">
        <x:v>Pending</x:v>
      </x:c>
    </x:row>
    <x:row r="470" ht="42" customHeight="1">
      <x:c r="A470" s="33" t="str">
        <x:v>Draft</x:v>
      </x:c>
      <x:c r="B470" s="47" t="str">
        <x:v>COMP_0466</x:v>
      </x:c>
      <x:c r="C470" s="47" t="str">
        <x:v>EN1SC_003</x:v>
      </x:c>
      <x:c r="D470" s="47" t="str">
        <x:v>NPT_M_FX_04_06</x:v>
      </x:c>
      <x:c r="E470" s="47" t="str">
        <x:v>EN1SC_1WB_003</x:v>
      </x:c>
      <x:c r="F470" s="47" t="str"/>
      <x:c r="G470" s="33" t="str"/>
      <x:c r="H470" s="50" t="str"/>
      <x:c r="I470" s="50" t="str"/>
      <x:c r="J470" s="50" t="str"/>
      <x:c r="K470" s="47" t="str"/>
      <x:c r="L470" s="50" t="str"/>
      <x:c r="M470" s="50" t="str"/>
      <x:c r="N470" s="47" t="str"/>
      <x:c r="O470" s="50" t="str"/>
      <x:c r="P470" s="64" t="str">
        <x:f>IF(O470="","",O470*2)</x:f>
      </x:c>
      <x:c r="Q470" s="50" t="str"/>
      <x:c r="R470" s="47" t="str"/>
      <x:c r="S470" s="33" t="str">
        <x:v>Not Tested</x:v>
      </x:c>
      <x:c r="T470" s="64" t="str">
        <x:v>Eligible</x:v>
      </x:c>
      <x:c r="U470" s="47" t="str"/>
      <x:c r="V470" s="47" t="str"/>
      <x:c r="W470" s="47" t="str"/>
      <x:c r="X470" s="50" t="str"/>
      <x:c r="Y470" s="50" t="str"/>
      <x:c r="Z470" s="47" t="str"/>
      <x:c r="AA470" s="47" t="str">
        <x:v>No direct published reference located; do not display a crimp value.</x:v>
      </x:c>
      <x:c r="AB470" s="161" t="str">
        <x:v>Pending</x:v>
      </x:c>
    </x:row>
    <x:row r="471" ht="42" customHeight="1">
      <x:c r="A471" s="33" t="str">
        <x:v>Draft</x:v>
      </x:c>
      <x:c r="B471" s="47" t="str">
        <x:v>COMP_0467</x:v>
      </x:c>
      <x:c r="C471" s="47" t="str">
        <x:v>EN1SC_003</x:v>
      </x:c>
      <x:c r="D471" s="47" t="str">
        <x:v>NPT_M_FX_06_06</x:v>
      </x:c>
      <x:c r="E471" s="47" t="str">
        <x:v>EN1SC_1WB_003</x:v>
      </x:c>
      <x:c r="F471" s="47" t="str"/>
      <x:c r="G471" s="33" t="str"/>
      <x:c r="H471" s="50" t="str"/>
      <x:c r="I471" s="50" t="str"/>
      <x:c r="J471" s="50" t="str"/>
      <x:c r="K471" s="47" t="str"/>
      <x:c r="L471" s="50" t="str"/>
      <x:c r="M471" s="50" t="str"/>
      <x:c r="N471" s="47" t="str"/>
      <x:c r="O471" s="50" t="str"/>
      <x:c r="P471" s="64" t="str">
        <x:f>IF(O471="","",O471*2)</x:f>
      </x:c>
      <x:c r="Q471" s="50" t="str"/>
      <x:c r="R471" s="47" t="str"/>
      <x:c r="S471" s="33" t="str">
        <x:v>Not Tested</x:v>
      </x:c>
      <x:c r="T471" s="64" t="str">
        <x:v>Eligible</x:v>
      </x:c>
      <x:c r="U471" s="47" t="str"/>
      <x:c r="V471" s="47" t="str"/>
      <x:c r="W471" s="47" t="str"/>
      <x:c r="X471" s="50" t="str"/>
      <x:c r="Y471" s="50" t="str"/>
      <x:c r="Z471" s="47" t="str"/>
      <x:c r="AA471" s="47" t="str">
        <x:v>No direct published reference located; do not display a crimp value.</x:v>
      </x:c>
      <x:c r="AB471" s="161" t="str">
        <x:v>Pending</x:v>
      </x:c>
    </x:row>
    <x:row r="472" ht="42" customHeight="1">
      <x:c r="A472" s="33" t="str">
        <x:v>Draft</x:v>
      </x:c>
      <x:c r="B472" s="47" t="str">
        <x:v>COMP_0468</x:v>
      </x:c>
      <x:c r="C472" s="47" t="str">
        <x:v>EN1SC_003</x:v>
      </x:c>
      <x:c r="D472" s="47" t="str">
        <x:v>NPT_M_FX_08_06</x:v>
      </x:c>
      <x:c r="E472" s="47" t="str">
        <x:v>EN1SC_1WB_003</x:v>
      </x:c>
      <x:c r="F472" s="47" t="str"/>
      <x:c r="G472" s="33" t="str"/>
      <x:c r="H472" s="50" t="str"/>
      <x:c r="I472" s="50" t="str"/>
      <x:c r="J472" s="50" t="str"/>
      <x:c r="K472" s="47" t="str"/>
      <x:c r="L472" s="50" t="str"/>
      <x:c r="M472" s="50" t="str"/>
      <x:c r="N472" s="47" t="str"/>
      <x:c r="O472" s="50" t="str"/>
      <x:c r="P472" s="64" t="str">
        <x:f>IF(O472="","",O472*2)</x:f>
      </x:c>
      <x:c r="Q472" s="50" t="str"/>
      <x:c r="R472" s="47" t="str"/>
      <x:c r="S472" s="33" t="str">
        <x:v>Not Tested</x:v>
      </x:c>
      <x:c r="T472" s="64" t="str">
        <x:v>Eligible</x:v>
      </x:c>
      <x:c r="U472" s="47" t="str"/>
      <x:c r="V472" s="47" t="str"/>
      <x:c r="W472" s="47" t="str"/>
      <x:c r="X472" s="50" t="str"/>
      <x:c r="Y472" s="50" t="str"/>
      <x:c r="Z472" s="47" t="str"/>
      <x:c r="AA472" s="47" t="str">
        <x:v>No direct published reference located; do not display a crimp value.</x:v>
      </x:c>
      <x:c r="AB472" s="161" t="str">
        <x:v>Pending</x:v>
      </x:c>
    </x:row>
    <x:row r="473" ht="42" customHeight="1">
      <x:c r="A473" s="33" t="str">
        <x:v>Draft</x:v>
      </x:c>
      <x:c r="B473" s="47" t="str">
        <x:v>COMP_0469</x:v>
      </x:c>
      <x:c r="C473" s="47" t="str">
        <x:v>EN1SC_003</x:v>
      </x:c>
      <x:c r="D473" s="47" t="str">
        <x:v>NPT90_M_SW_06_06</x:v>
      </x:c>
      <x:c r="E473" s="47" t="str">
        <x:v>EN1SC_1WB_003</x:v>
      </x:c>
      <x:c r="F473" s="47" t="str"/>
      <x:c r="G473" s="33" t="str"/>
      <x:c r="H473" s="50" t="str"/>
      <x:c r="I473" s="50" t="str"/>
      <x:c r="J473" s="50" t="str"/>
      <x:c r="K473" s="47" t="str"/>
      <x:c r="L473" s="50" t="str"/>
      <x:c r="M473" s="50" t="str"/>
      <x:c r="N473" s="47" t="str"/>
      <x:c r="O473" s="50" t="str"/>
      <x:c r="P473" s="64" t="str">
        <x:f>IF(O473="","",O473*2)</x:f>
      </x:c>
      <x:c r="Q473" s="50" t="str"/>
      <x:c r="R473" s="47" t="str"/>
      <x:c r="S473" s="33" t="str">
        <x:v>Not Tested</x:v>
      </x:c>
      <x:c r="T473" s="64" t="str">
        <x:v>Eligible</x:v>
      </x:c>
      <x:c r="U473" s="47" t="str"/>
      <x:c r="V473" s="47" t="str"/>
      <x:c r="W473" s="47" t="str"/>
      <x:c r="X473" s="50" t="str"/>
      <x:c r="Y473" s="50" t="str"/>
      <x:c r="Z473" s="47" t="str"/>
      <x:c r="AA473" s="47" t="str">
        <x:v>No direct published reference located; do not display a crimp value.</x:v>
      </x:c>
      <x:c r="AB473" s="161" t="str">
        <x:v>Pending</x:v>
      </x:c>
    </x:row>
    <x:row r="474" ht="42" customHeight="1">
      <x:c r="A474" s="33" t="str">
        <x:v>Draft</x:v>
      </x:c>
      <x:c r="B474" s="47" t="str">
        <x:v>COMP_0470</x:v>
      </x:c>
      <x:c r="C474" s="47" t="str">
        <x:v>EN1SC_003</x:v>
      </x:c>
      <x:c r="D474" s="47" t="str">
        <x:v>NPT90_M_SW_08_06</x:v>
      </x:c>
      <x:c r="E474" s="47" t="str">
        <x:v>EN1SC_1WB_003</x:v>
      </x:c>
      <x:c r="F474" s="47" t="str"/>
      <x:c r="G474" s="33" t="str"/>
      <x:c r="H474" s="50" t="str"/>
      <x:c r="I474" s="50" t="str"/>
      <x:c r="J474" s="50" t="str"/>
      <x:c r="K474" s="47" t="str"/>
      <x:c r="L474" s="50" t="str"/>
      <x:c r="M474" s="50" t="str"/>
      <x:c r="N474" s="47" t="str"/>
      <x:c r="O474" s="50" t="str"/>
      <x:c r="P474" s="64" t="str">
        <x:f>IF(O474="","",O474*2)</x:f>
      </x:c>
      <x:c r="Q474" s="50" t="str"/>
      <x:c r="R474" s="47" t="str"/>
      <x:c r="S474" s="33" t="str">
        <x:v>Not Tested</x:v>
      </x:c>
      <x:c r="T474" s="64" t="str">
        <x:v>Eligible</x:v>
      </x:c>
      <x:c r="U474" s="47" t="str"/>
      <x:c r="V474" s="47" t="str"/>
      <x:c r="W474" s="47" t="str"/>
      <x:c r="X474" s="50" t="str"/>
      <x:c r="Y474" s="50" t="str"/>
      <x:c r="Z474" s="47" t="str"/>
      <x:c r="AA474" s="47" t="str">
        <x:v>No direct published reference located; do not display a crimp value.</x:v>
      </x:c>
      <x:c r="AB474" s="161" t="str">
        <x:v>Pending</x:v>
      </x:c>
    </x:row>
    <x:row r="475" ht="42" customHeight="1">
      <x:c r="A475" s="33" t="str">
        <x:v>Draft</x:v>
      </x:c>
      <x:c r="B475" s="47" t="str">
        <x:v>COMP_0471</x:v>
      </x:c>
      <x:c r="C475" s="47" t="str">
        <x:v>EN1SC_003</x:v>
      </x:c>
      <x:c r="D475" s="47" t="str">
        <x:v>ORFS_F_SW_06_06</x:v>
      </x:c>
      <x:c r="E475" s="47" t="str">
        <x:v>EN1SC_1WB_003</x:v>
      </x:c>
      <x:c r="F475" s="47" t="str"/>
      <x:c r="G475" s="33" t="str"/>
      <x:c r="H475" s="50" t="str"/>
      <x:c r="I475" s="50" t="str"/>
      <x:c r="J475" s="50" t="str"/>
      <x:c r="K475" s="47" t="str"/>
      <x:c r="L475" s="50" t="str"/>
      <x:c r="M475" s="50" t="str"/>
      <x:c r="N475" s="47" t="str"/>
      <x:c r="O475" s="50" t="str"/>
      <x:c r="P475" s="64" t="str">
        <x:f>IF(O475="","",O475*2)</x:f>
      </x:c>
      <x:c r="Q475" s="50" t="str"/>
      <x:c r="R475" s="47" t="str"/>
      <x:c r="S475" s="33" t="str">
        <x:v>Not Tested</x:v>
      </x:c>
      <x:c r="T475" s="64" t="str">
        <x:v>Eligible</x:v>
      </x:c>
      <x:c r="U475" s="47" t="str"/>
      <x:c r="V475" s="47" t="str"/>
      <x:c r="W475" s="47" t="str"/>
      <x:c r="X475" s="50" t="str"/>
      <x:c r="Y475" s="50" t="str"/>
      <x:c r="Z475" s="47" t="str"/>
      <x:c r="AA475" s="47" t="str">
        <x:v>No direct published reference located; do not display a crimp value.</x:v>
      </x:c>
      <x:c r="AB475" s="161" t="str">
        <x:v>Pending</x:v>
      </x:c>
    </x:row>
    <x:row r="476" ht="42" customHeight="1">
      <x:c r="A476" s="33" t="str">
        <x:v>Draft</x:v>
      </x:c>
      <x:c r="B476" s="47" t="str">
        <x:v>COMP_0472</x:v>
      </x:c>
      <x:c r="C476" s="47" t="str">
        <x:v>EN1SC_003</x:v>
      </x:c>
      <x:c r="D476" s="47" t="str">
        <x:v>ORFS_F_SW_08_06</x:v>
      </x:c>
      <x:c r="E476" s="47" t="str">
        <x:v>EN1SC_1WB_003</x:v>
      </x:c>
      <x:c r="F476" s="47" t="str"/>
      <x:c r="G476" s="33" t="str"/>
      <x:c r="H476" s="50" t="str"/>
      <x:c r="I476" s="50" t="str"/>
      <x:c r="J476" s="50" t="str"/>
      <x:c r="K476" s="47" t="str"/>
      <x:c r="L476" s="50" t="str"/>
      <x:c r="M476" s="50" t="str"/>
      <x:c r="N476" s="47" t="str"/>
      <x:c r="O476" s="50" t="str"/>
      <x:c r="P476" s="64" t="str">
        <x:f>IF(O476="","",O476*2)</x:f>
      </x:c>
      <x:c r="Q476" s="50" t="str"/>
      <x:c r="R476" s="47" t="str"/>
      <x:c r="S476" s="33" t="str">
        <x:v>Not Tested</x:v>
      </x:c>
      <x:c r="T476" s="64" t="str">
        <x:v>Eligible</x:v>
      </x:c>
      <x:c r="U476" s="47" t="str"/>
      <x:c r="V476" s="47" t="str"/>
      <x:c r="W476" s="47" t="str"/>
      <x:c r="X476" s="50" t="str"/>
      <x:c r="Y476" s="50" t="str"/>
      <x:c r="Z476" s="47" t="str"/>
      <x:c r="AA476" s="47" t="str">
        <x:v>No direct published reference located; do not display a crimp value.</x:v>
      </x:c>
      <x:c r="AB476" s="161" t="str">
        <x:v>Pending</x:v>
      </x:c>
    </x:row>
    <x:row r="477" ht="42" customHeight="1">
      <x:c r="A477" s="33" t="str">
        <x:v>Draft</x:v>
      </x:c>
      <x:c r="B477" s="47" t="str">
        <x:v>COMP_0473</x:v>
      </x:c>
      <x:c r="C477" s="47" t="str">
        <x:v>EN1SC_003</x:v>
      </x:c>
      <x:c r="D477" s="47" t="str">
        <x:v>ORFS_M_FX_06_06</x:v>
      </x:c>
      <x:c r="E477" s="47" t="str">
        <x:v>EN1SC_1WB_003</x:v>
      </x:c>
      <x:c r="F477" s="47" t="str"/>
      <x:c r="G477" s="33" t="str"/>
      <x:c r="H477" s="50" t="str"/>
      <x:c r="I477" s="50" t="str"/>
      <x:c r="J477" s="50" t="str"/>
      <x:c r="K477" s="47" t="str"/>
      <x:c r="L477" s="50" t="str"/>
      <x:c r="M477" s="50" t="str"/>
      <x:c r="N477" s="47" t="str"/>
      <x:c r="O477" s="50" t="str"/>
      <x:c r="P477" s="64" t="str">
        <x:f>IF(O477="","",O477*2)</x:f>
      </x:c>
      <x:c r="Q477" s="50" t="str"/>
      <x:c r="R477" s="47" t="str"/>
      <x:c r="S477" s="33" t="str">
        <x:v>Not Tested</x:v>
      </x:c>
      <x:c r="T477" s="64" t="str">
        <x:v>Eligible</x:v>
      </x:c>
      <x:c r="U477" s="47" t="str"/>
      <x:c r="V477" s="47" t="str"/>
      <x:c r="W477" s="47" t="str"/>
      <x:c r="X477" s="50" t="str"/>
      <x:c r="Y477" s="50" t="str"/>
      <x:c r="Z477" s="47" t="str"/>
      <x:c r="AA477" s="47" t="str">
        <x:v>No direct published reference located; do not display a crimp value.</x:v>
      </x:c>
      <x:c r="AB477" s="161" t="str">
        <x:v>Pending</x:v>
      </x:c>
    </x:row>
    <x:row r="478" ht="42" customHeight="1">
      <x:c r="A478" s="33" t="str">
        <x:v>Draft</x:v>
      </x:c>
      <x:c r="B478" s="47" t="str">
        <x:v>COMP_0474</x:v>
      </x:c>
      <x:c r="C478" s="47" t="str">
        <x:v>EN1SC_003</x:v>
      </x:c>
      <x:c r="D478" s="47" t="str">
        <x:v>ORFS_M_FX_08_06</x:v>
      </x:c>
      <x:c r="E478" s="47" t="str">
        <x:v>EN1SC_1WB_003</x:v>
      </x:c>
      <x:c r="F478" s="47" t="str"/>
      <x:c r="G478" s="33" t="str"/>
      <x:c r="H478" s="50" t="str"/>
      <x:c r="I478" s="50" t="str"/>
      <x:c r="J478" s="50" t="str"/>
      <x:c r="K478" s="47" t="str"/>
      <x:c r="L478" s="50" t="str"/>
      <x:c r="M478" s="50" t="str"/>
      <x:c r="N478" s="47" t="str"/>
      <x:c r="O478" s="50" t="str"/>
      <x:c r="P478" s="64" t="str">
        <x:f>IF(O478="","",O478*2)</x:f>
      </x:c>
      <x:c r="Q478" s="50" t="str"/>
      <x:c r="R478" s="47" t="str"/>
      <x:c r="S478" s="33" t="str">
        <x:v>Not Tested</x:v>
      </x:c>
      <x:c r="T478" s="64" t="str">
        <x:v>Eligible</x:v>
      </x:c>
      <x:c r="U478" s="47" t="str"/>
      <x:c r="V478" s="47" t="str"/>
      <x:c r="W478" s="47" t="str"/>
      <x:c r="X478" s="50" t="str"/>
      <x:c r="Y478" s="50" t="str"/>
      <x:c r="Z478" s="47" t="str"/>
      <x:c r="AA478" s="47" t="str">
        <x:v>No direct published reference located; do not display a crimp value.</x:v>
      </x:c>
      <x:c r="AB478" s="161" t="str">
        <x:v>Pending</x:v>
      </x:c>
    </x:row>
    <x:row r="479" ht="42" customHeight="1">
      <x:c r="A479" s="33" t="str">
        <x:v>Draft</x:v>
      </x:c>
      <x:c r="B479" s="47" t="str">
        <x:v>COMP_0475</x:v>
      </x:c>
      <x:c r="C479" s="47" t="str">
        <x:v>EN1SC_003</x:v>
      </x:c>
      <x:c r="D479" s="47" t="str">
        <x:v>ORFS45_F_SW_06_06</x:v>
      </x:c>
      <x:c r="E479" s="47" t="str">
        <x:v>EN1SC_1WB_003</x:v>
      </x:c>
      <x:c r="F479" s="47" t="str"/>
      <x:c r="G479" s="33" t="str"/>
      <x:c r="H479" s="50" t="str"/>
      <x:c r="I479" s="50" t="str"/>
      <x:c r="J479" s="50" t="str"/>
      <x:c r="K479" s="47" t="str"/>
      <x:c r="L479" s="50" t="str"/>
      <x:c r="M479" s="50" t="str"/>
      <x:c r="N479" s="47" t="str"/>
      <x:c r="O479" s="50" t="str"/>
      <x:c r="P479" s="64" t="str">
        <x:f>IF(O479="","",O479*2)</x:f>
      </x:c>
      <x:c r="Q479" s="50" t="str"/>
      <x:c r="R479" s="47" t="str"/>
      <x:c r="S479" s="33" t="str">
        <x:v>Not Tested</x:v>
      </x:c>
      <x:c r="T479" s="64" t="str">
        <x:v>Eligible</x:v>
      </x:c>
      <x:c r="U479" s="47" t="str"/>
      <x:c r="V479" s="47" t="str"/>
      <x:c r="W479" s="47" t="str"/>
      <x:c r="X479" s="50" t="str"/>
      <x:c r="Y479" s="50" t="str"/>
      <x:c r="Z479" s="47" t="str"/>
      <x:c r="AA479" s="47" t="str">
        <x:v>No direct published reference located; do not display a crimp value.</x:v>
      </x:c>
      <x:c r="AB479" s="161" t="str">
        <x:v>Pending</x:v>
      </x:c>
    </x:row>
    <x:row r="480" ht="42" customHeight="1">
      <x:c r="A480" s="33" t="str">
        <x:v>Draft</x:v>
      </x:c>
      <x:c r="B480" s="47" t="str">
        <x:v>COMP_0476</x:v>
      </x:c>
      <x:c r="C480" s="47" t="str">
        <x:v>EN1SC_003</x:v>
      </x:c>
      <x:c r="D480" s="47" t="str">
        <x:v>ORFS45_F_SW_08_06</x:v>
      </x:c>
      <x:c r="E480" s="47" t="str">
        <x:v>EN1SC_1WB_003</x:v>
      </x:c>
      <x:c r="F480" s="47" t="str"/>
      <x:c r="G480" s="33" t="str"/>
      <x:c r="H480" s="50" t="str"/>
      <x:c r="I480" s="50" t="str"/>
      <x:c r="J480" s="50" t="str"/>
      <x:c r="K480" s="47" t="str"/>
      <x:c r="L480" s="50" t="str"/>
      <x:c r="M480" s="50" t="str"/>
      <x:c r="N480" s="47" t="str"/>
      <x:c r="O480" s="50" t="str"/>
      <x:c r="P480" s="64" t="str">
        <x:f>IF(O480="","",O480*2)</x:f>
      </x:c>
      <x:c r="Q480" s="50" t="str"/>
      <x:c r="R480" s="47" t="str"/>
      <x:c r="S480" s="33" t="str">
        <x:v>Not Tested</x:v>
      </x:c>
      <x:c r="T480" s="64" t="str">
        <x:v>Eligible</x:v>
      </x:c>
      <x:c r="U480" s="47" t="str"/>
      <x:c r="V480" s="47" t="str"/>
      <x:c r="W480" s="47" t="str"/>
      <x:c r="X480" s="50" t="str"/>
      <x:c r="Y480" s="50" t="str"/>
      <x:c r="Z480" s="47" t="str"/>
      <x:c r="AA480" s="47" t="str">
        <x:v>No direct published reference located; do not display a crimp value.</x:v>
      </x:c>
      <x:c r="AB480" s="161" t="str">
        <x:v>Pending</x:v>
      </x:c>
    </x:row>
    <x:row r="481" ht="42" customHeight="1">
      <x:c r="A481" s="33" t="str">
        <x:v>Draft</x:v>
      </x:c>
      <x:c r="B481" s="47" t="str">
        <x:v>COMP_0477</x:v>
      </x:c>
      <x:c r="C481" s="47" t="str">
        <x:v>EN1SC_003</x:v>
      </x:c>
      <x:c r="D481" s="47" t="str">
        <x:v>ORFS90_F_SW_04_06</x:v>
      </x:c>
      <x:c r="E481" s="47" t="str">
        <x:v>EN1SC_1WB_003</x:v>
      </x:c>
      <x:c r="F481" s="47" t="str"/>
      <x:c r="G481" s="33" t="str"/>
      <x:c r="H481" s="50" t="str"/>
      <x:c r="I481" s="50" t="str"/>
      <x:c r="J481" s="50" t="str"/>
      <x:c r="K481" s="47" t="str"/>
      <x:c r="L481" s="50" t="str"/>
      <x:c r="M481" s="50" t="str"/>
      <x:c r="N481" s="47" t="str"/>
      <x:c r="O481" s="50" t="str"/>
      <x:c r="P481" s="64" t="str">
        <x:f>IF(O481="","",O481*2)</x:f>
      </x:c>
      <x:c r="Q481" s="50" t="str"/>
      <x:c r="R481" s="47" t="str"/>
      <x:c r="S481" s="33" t="str">
        <x:v>Not Tested</x:v>
      </x:c>
      <x:c r="T481" s="64" t="str">
        <x:v>Eligible</x:v>
      </x:c>
      <x:c r="U481" s="47" t="str"/>
      <x:c r="V481" s="47" t="str"/>
      <x:c r="W481" s="47" t="str"/>
      <x:c r="X481" s="50" t="str"/>
      <x:c r="Y481" s="50" t="str"/>
      <x:c r="Z481" s="47" t="str"/>
      <x:c r="AA481" s="47" t="str">
        <x:v>No direct published reference located; do not display a crimp value.</x:v>
      </x:c>
      <x:c r="AB481" s="161" t="str">
        <x:v>Pending</x:v>
      </x:c>
    </x:row>
    <x:row r="482" ht="42" customHeight="1">
      <x:c r="A482" s="33" t="str">
        <x:v>Draft</x:v>
      </x:c>
      <x:c r="B482" s="47" t="str">
        <x:v>COMP_0478</x:v>
      </x:c>
      <x:c r="C482" s="47" t="str">
        <x:v>EN1SC_003</x:v>
      </x:c>
      <x:c r="D482" s="47" t="str">
        <x:v>ORFS90_F_SW_06_06</x:v>
      </x:c>
      <x:c r="E482" s="47" t="str">
        <x:v>EN1SC_1WB_003</x:v>
      </x:c>
      <x:c r="F482" s="47" t="str"/>
      <x:c r="G482" s="33" t="str"/>
      <x:c r="H482" s="50" t="str"/>
      <x:c r="I482" s="50" t="str"/>
      <x:c r="J482" s="50" t="str"/>
      <x:c r="K482" s="47" t="str"/>
      <x:c r="L482" s="50" t="str"/>
      <x:c r="M482" s="50" t="str"/>
      <x:c r="N482" s="47" t="str"/>
      <x:c r="O482" s="50" t="str"/>
      <x:c r="P482" s="64" t="str">
        <x:f>IF(O482="","",O482*2)</x:f>
      </x:c>
      <x:c r="Q482" s="50" t="str"/>
      <x:c r="R482" s="47" t="str"/>
      <x:c r="S482" s="33" t="str">
        <x:v>Not Tested</x:v>
      </x:c>
      <x:c r="T482" s="64" t="str">
        <x:v>Eligible</x:v>
      </x:c>
      <x:c r="U482" s="47" t="str"/>
      <x:c r="V482" s="47" t="str"/>
      <x:c r="W482" s="47" t="str"/>
      <x:c r="X482" s="50" t="str"/>
      <x:c r="Y482" s="50" t="str"/>
      <x:c r="Z482" s="47" t="str"/>
      <x:c r="AA482" s="47" t="str">
        <x:v>No direct published reference located; do not display a crimp value.</x:v>
      </x:c>
      <x:c r="AB482" s="161" t="str">
        <x:v>Pending</x:v>
      </x:c>
    </x:row>
    <x:row r="483" ht="42" customHeight="1">
      <x:c r="A483" s="33" t="str">
        <x:v>Draft</x:v>
      </x:c>
      <x:c r="B483" s="47" t="str">
        <x:v>COMP_0479</x:v>
      </x:c>
      <x:c r="C483" s="47" t="str">
        <x:v>EN1SC_003</x:v>
      </x:c>
      <x:c r="D483" s="47" t="str">
        <x:v>ORFS90_F_SW_08_06</x:v>
      </x:c>
      <x:c r="E483" s="47" t="str">
        <x:v>EN1SC_1WB_003</x:v>
      </x:c>
      <x:c r="F483" s="47" t="str"/>
      <x:c r="G483" s="33" t="str"/>
      <x:c r="H483" s="50" t="str"/>
      <x:c r="I483" s="50" t="str"/>
      <x:c r="J483" s="50" t="str"/>
      <x:c r="K483" s="47" t="str"/>
      <x:c r="L483" s="50" t="str"/>
      <x:c r="M483" s="50" t="str"/>
      <x:c r="N483" s="47" t="str"/>
      <x:c r="O483" s="50" t="str"/>
      <x:c r="P483" s="64" t="str">
        <x:f>IF(O483="","",O483*2)</x:f>
      </x:c>
      <x:c r="Q483" s="50" t="str"/>
      <x:c r="R483" s="47" t="str"/>
      <x:c r="S483" s="33" t="str">
        <x:v>Not Tested</x:v>
      </x:c>
      <x:c r="T483" s="64" t="str">
        <x:v>Eligible</x:v>
      </x:c>
      <x:c r="U483" s="47" t="str"/>
      <x:c r="V483" s="47" t="str"/>
      <x:c r="W483" s="47" t="str"/>
      <x:c r="X483" s="50" t="str"/>
      <x:c r="Y483" s="50" t="str"/>
      <x:c r="Z483" s="47" t="str"/>
      <x:c r="AA483" s="47" t="str">
        <x:v>No direct published reference located; do not display a crimp value.</x:v>
      </x:c>
      <x:c r="AB483" s="161" t="str">
        <x:v>Pending</x:v>
      </x:c>
    </x:row>
    <x:row r="484" ht="42" customHeight="1">
      <x:c r="A484" s="33" t="str">
        <x:v>Draft</x:v>
      </x:c>
      <x:c r="B484" s="47" t="str">
        <x:v>COMP_0480</x:v>
      </x:c>
      <x:c r="C484" s="47" t="str">
        <x:v>EN1SC_004</x:v>
      </x:c>
      <x:c r="D484" s="47" t="str">
        <x:v>BSPP_F_SW_08_08</x:v>
      </x:c>
      <x:c r="E484" s="47" t="str">
        <x:v>EN1SC_1WB_004</x:v>
      </x:c>
      <x:c r="F484" s="47" t="str"/>
      <x:c r="G484" s="33" t="str"/>
      <x:c r="H484" s="50" t="str"/>
      <x:c r="I484" s="50" t="str"/>
      <x:c r="J484" s="50" t="str"/>
      <x:c r="K484" s="47" t="str"/>
      <x:c r="L484" s="50" t="str"/>
      <x:c r="M484" s="50" t="str"/>
      <x:c r="N484" s="47" t="str"/>
      <x:c r="O484" s="50" t="str"/>
      <x:c r="P484" s="64" t="str">
        <x:f>IF(O484="","",O484*2)</x:f>
      </x:c>
      <x:c r="Q484" s="50" t="str"/>
      <x:c r="R484" s="47" t="str"/>
      <x:c r="S484" s="33" t="str">
        <x:v>Not Tested</x:v>
      </x:c>
      <x:c r="T484" s="64" t="str">
        <x:v>Eligible</x:v>
      </x:c>
      <x:c r="U484" s="47" t="str"/>
      <x:c r="V484" s="47" t="str"/>
      <x:c r="W484" s="47" t="str"/>
      <x:c r="X484" s="50" t="str"/>
      <x:c r="Y484" s="50" t="str"/>
      <x:c r="Z484" s="47" t="str"/>
      <x:c r="AA484" s="47" t="str">
        <x:v>No direct published reference located; do not display a crimp value.</x:v>
      </x:c>
      <x:c r="AB484" s="161" t="str">
        <x:v>Pending</x:v>
      </x:c>
    </x:row>
    <x:row r="485" ht="42" customHeight="1">
      <x:c r="A485" s="33" t="str">
        <x:v>Draft</x:v>
      </x:c>
      <x:c r="B485" s="47" t="str">
        <x:v>COMP_0481</x:v>
      </x:c>
      <x:c r="C485" s="47" t="str">
        <x:v>EN1SC_004</x:v>
      </x:c>
      <x:c r="D485" s="47" t="str">
        <x:v>BSPP_F_SW_10_08</x:v>
      </x:c>
      <x:c r="E485" s="47" t="str">
        <x:v>EN1SC_1WB_004</x:v>
      </x:c>
      <x:c r="F485" s="47" t="str"/>
      <x:c r="G485" s="33" t="str"/>
      <x:c r="H485" s="50" t="str"/>
      <x:c r="I485" s="50" t="str"/>
      <x:c r="J485" s="50" t="str"/>
      <x:c r="K485" s="47" t="str"/>
      <x:c r="L485" s="50" t="str"/>
      <x:c r="M485" s="50" t="str"/>
      <x:c r="N485" s="47" t="str"/>
      <x:c r="O485" s="50" t="str"/>
      <x:c r="P485" s="64" t="str">
        <x:f>IF(O485="","",O485*2)</x:f>
      </x:c>
      <x:c r="Q485" s="50" t="str"/>
      <x:c r="R485" s="47" t="str"/>
      <x:c r="S485" s="33" t="str">
        <x:v>Not Tested</x:v>
      </x:c>
      <x:c r="T485" s="64" t="str">
        <x:v>Eligible</x:v>
      </x:c>
      <x:c r="U485" s="47" t="str"/>
      <x:c r="V485" s="47" t="str"/>
      <x:c r="W485" s="47" t="str"/>
      <x:c r="X485" s="50" t="str"/>
      <x:c r="Y485" s="50" t="str"/>
      <x:c r="Z485" s="47" t="str"/>
      <x:c r="AA485" s="47" t="str">
        <x:v>No direct published reference located; do not display a crimp value.</x:v>
      </x:c>
      <x:c r="AB485" s="161" t="str">
        <x:v>Pending</x:v>
      </x:c>
    </x:row>
    <x:row r="486" ht="42" customHeight="1">
      <x:c r="A486" s="33" t="str">
        <x:v>Draft</x:v>
      </x:c>
      <x:c r="B486" s="47" t="str">
        <x:v>COMP_0482</x:v>
      </x:c>
      <x:c r="C486" s="47" t="str">
        <x:v>EN1SC_004</x:v>
      </x:c>
      <x:c r="D486" s="47" t="str">
        <x:v>BSPP_M_FX_08_08</x:v>
      </x:c>
      <x:c r="E486" s="47" t="str">
        <x:v>EN1SC_1WB_004</x:v>
      </x:c>
      <x:c r="F486" s="47" t="str"/>
      <x:c r="G486" s="33" t="str"/>
      <x:c r="H486" s="50" t="str"/>
      <x:c r="I486" s="50" t="str"/>
      <x:c r="J486" s="50" t="str"/>
      <x:c r="K486" s="47" t="str"/>
      <x:c r="L486" s="50" t="str"/>
      <x:c r="M486" s="50" t="str"/>
      <x:c r="N486" s="47" t="str"/>
      <x:c r="O486" s="50" t="str"/>
      <x:c r="P486" s="64" t="str">
        <x:f>IF(O486="","",O486*2)</x:f>
      </x:c>
      <x:c r="Q486" s="50" t="str"/>
      <x:c r="R486" s="47" t="str"/>
      <x:c r="S486" s="33" t="str">
        <x:v>Not Tested</x:v>
      </x:c>
      <x:c r="T486" s="64" t="str">
        <x:v>Eligible</x:v>
      </x:c>
      <x:c r="U486" s="47" t="str"/>
      <x:c r="V486" s="47" t="str"/>
      <x:c r="W486" s="47" t="str"/>
      <x:c r="X486" s="50" t="str"/>
      <x:c r="Y486" s="50" t="str"/>
      <x:c r="Z486" s="47" t="str"/>
      <x:c r="AA486" s="47" t="str">
        <x:v>No direct published reference located; do not display a crimp value.</x:v>
      </x:c>
      <x:c r="AB486" s="161" t="str">
        <x:v>Pending</x:v>
      </x:c>
    </x:row>
    <x:row r="487" ht="42" customHeight="1">
      <x:c r="A487" s="33" t="str">
        <x:v>Draft</x:v>
      </x:c>
      <x:c r="B487" s="47" t="str">
        <x:v>COMP_0483</x:v>
      </x:c>
      <x:c r="C487" s="47" t="str">
        <x:v>EN1SC_004</x:v>
      </x:c>
      <x:c r="D487" s="47" t="str">
        <x:v>BSPP_M_FX_10_08</x:v>
      </x:c>
      <x:c r="E487" s="47" t="str">
        <x:v>EN1SC_1WB_004</x:v>
      </x:c>
      <x:c r="F487" s="47" t="str"/>
      <x:c r="G487" s="33" t="str"/>
      <x:c r="H487" s="50" t="str"/>
      <x:c r="I487" s="50" t="str"/>
      <x:c r="J487" s="50" t="str"/>
      <x:c r="K487" s="47" t="str"/>
      <x:c r="L487" s="50" t="str"/>
      <x:c r="M487" s="50" t="str"/>
      <x:c r="N487" s="47" t="str"/>
      <x:c r="O487" s="50" t="str"/>
      <x:c r="P487" s="64" t="str">
        <x:f>IF(O487="","",O487*2)</x:f>
      </x:c>
      <x:c r="Q487" s="50" t="str"/>
      <x:c r="R487" s="47" t="str"/>
      <x:c r="S487" s="33" t="str">
        <x:v>Not Tested</x:v>
      </x:c>
      <x:c r="T487" s="64" t="str">
        <x:v>Eligible</x:v>
      </x:c>
      <x:c r="U487" s="47" t="str"/>
      <x:c r="V487" s="47" t="str"/>
      <x:c r="W487" s="47" t="str"/>
      <x:c r="X487" s="50" t="str"/>
      <x:c r="Y487" s="50" t="str"/>
      <x:c r="Z487" s="47" t="str"/>
      <x:c r="AA487" s="47" t="str">
        <x:v>No direct published reference located; do not display a crimp value.</x:v>
      </x:c>
      <x:c r="AB487" s="161" t="str">
        <x:v>Pending</x:v>
      </x:c>
    </x:row>
    <x:row r="488" ht="42" customHeight="1">
      <x:c r="A488" s="33" t="str">
        <x:v>Draft</x:v>
      </x:c>
      <x:c r="B488" s="47" t="str">
        <x:v>COMP_0484</x:v>
      </x:c>
      <x:c r="C488" s="47" t="str">
        <x:v>EN1SC_004</x:v>
      </x:c>
      <x:c r="D488" s="47" t="str">
        <x:v>BSPP45_F_SW_08_08</x:v>
      </x:c>
      <x:c r="E488" s="47" t="str">
        <x:v>EN1SC_1WB_004</x:v>
      </x:c>
      <x:c r="F488" s="47" t="str"/>
      <x:c r="G488" s="33" t="str"/>
      <x:c r="H488" s="50" t="str"/>
      <x:c r="I488" s="50" t="str"/>
      <x:c r="J488" s="50" t="str"/>
      <x:c r="K488" s="47" t="str"/>
      <x:c r="L488" s="50" t="str"/>
      <x:c r="M488" s="50" t="str"/>
      <x:c r="N488" s="47" t="str"/>
      <x:c r="O488" s="50" t="str"/>
      <x:c r="P488" s="64" t="str">
        <x:f>IF(O488="","",O488*2)</x:f>
      </x:c>
      <x:c r="Q488" s="50" t="str"/>
      <x:c r="R488" s="47" t="str"/>
      <x:c r="S488" s="33" t="str">
        <x:v>Not Tested</x:v>
      </x:c>
      <x:c r="T488" s="64" t="str">
        <x:v>Eligible</x:v>
      </x:c>
      <x:c r="U488" s="47" t="str"/>
      <x:c r="V488" s="47" t="str"/>
      <x:c r="W488" s="47" t="str"/>
      <x:c r="X488" s="50" t="str"/>
      <x:c r="Y488" s="50" t="str"/>
      <x:c r="Z488" s="47" t="str"/>
      <x:c r="AA488" s="47" t="str">
        <x:v>No direct published reference located; do not display a crimp value.</x:v>
      </x:c>
      <x:c r="AB488" s="161" t="str">
        <x:v>Pending</x:v>
      </x:c>
    </x:row>
    <x:row r="489" ht="42" customHeight="1">
      <x:c r="A489" s="33" t="str">
        <x:v>Draft</x:v>
      </x:c>
      <x:c r="B489" s="47" t="str">
        <x:v>COMP_0485</x:v>
      </x:c>
      <x:c r="C489" s="47" t="str">
        <x:v>EN1SC_004</x:v>
      </x:c>
      <x:c r="D489" s="47" t="str">
        <x:v>BSPP90_F_SW_08_08</x:v>
      </x:c>
      <x:c r="E489" s="47" t="str">
        <x:v>EN1SC_1WB_004</x:v>
      </x:c>
      <x:c r="F489" s="47" t="str"/>
      <x:c r="G489" s="33" t="str"/>
      <x:c r="H489" s="50" t="str"/>
      <x:c r="I489" s="50" t="str"/>
      <x:c r="J489" s="50" t="str"/>
      <x:c r="K489" s="47" t="str"/>
      <x:c r="L489" s="50" t="str"/>
      <x:c r="M489" s="50" t="str"/>
      <x:c r="N489" s="47" t="str"/>
      <x:c r="O489" s="50" t="str"/>
      <x:c r="P489" s="64" t="str">
        <x:f>IF(O489="","",O489*2)</x:f>
      </x:c>
      <x:c r="Q489" s="50" t="str"/>
      <x:c r="R489" s="47" t="str"/>
      <x:c r="S489" s="33" t="str">
        <x:v>Not Tested</x:v>
      </x:c>
      <x:c r="T489" s="64" t="str">
        <x:v>Eligible</x:v>
      </x:c>
      <x:c r="U489" s="47" t="str"/>
      <x:c r="V489" s="47" t="str"/>
      <x:c r="W489" s="47" t="str"/>
      <x:c r="X489" s="50" t="str"/>
      <x:c r="Y489" s="50" t="str"/>
      <x:c r="Z489" s="47" t="str"/>
      <x:c r="AA489" s="47" t="str">
        <x:v>No direct published reference located; do not display a crimp value.</x:v>
      </x:c>
      <x:c r="AB489" s="161" t="str">
        <x:v>Pending</x:v>
      </x:c>
    </x:row>
    <x:row r="490" ht="42" customHeight="1">
      <x:c r="A490" s="33" t="str">
        <x:v>Draft</x:v>
      </x:c>
      <x:c r="B490" s="47" t="str">
        <x:v>COMP_0486</x:v>
      </x:c>
      <x:c r="C490" s="47" t="str">
        <x:v>EN1SC_004</x:v>
      </x:c>
      <x:c r="D490" s="47" t="str">
        <x:v>BSPT_M_FX_06_08</x:v>
      </x:c>
      <x:c r="E490" s="47" t="str">
        <x:v>EN1SC_1WB_004</x:v>
      </x:c>
      <x:c r="F490" s="47" t="str"/>
      <x:c r="G490" s="33" t="str"/>
      <x:c r="H490" s="50" t="str"/>
      <x:c r="I490" s="50" t="str"/>
      <x:c r="J490" s="50" t="str"/>
      <x:c r="K490" s="47" t="str"/>
      <x:c r="L490" s="50" t="str"/>
      <x:c r="M490" s="50" t="str"/>
      <x:c r="N490" s="47" t="str"/>
      <x:c r="O490" s="50" t="str"/>
      <x:c r="P490" s="64" t="str">
        <x:f>IF(O490="","",O490*2)</x:f>
      </x:c>
      <x:c r="Q490" s="50" t="str"/>
      <x:c r="R490" s="47" t="str"/>
      <x:c r="S490" s="33" t="str">
        <x:v>Not Tested</x:v>
      </x:c>
      <x:c r="T490" s="64" t="str">
        <x:v>Eligible</x:v>
      </x:c>
      <x:c r="U490" s="47" t="str"/>
      <x:c r="V490" s="47" t="str"/>
      <x:c r="W490" s="47" t="str"/>
      <x:c r="X490" s="50" t="str"/>
      <x:c r="Y490" s="50" t="str"/>
      <x:c r="Z490" s="47" t="str"/>
      <x:c r="AA490" s="47" t="str">
        <x:v>No direct published reference located; do not display a crimp value.</x:v>
      </x:c>
      <x:c r="AB490" s="161" t="str">
        <x:v>Pending</x:v>
      </x:c>
    </x:row>
    <x:row r="491" ht="42" customHeight="1">
      <x:c r="A491" s="33" t="str">
        <x:v>Draft</x:v>
      </x:c>
      <x:c r="B491" s="47" t="str">
        <x:v>COMP_0487</x:v>
      </x:c>
      <x:c r="C491" s="47" t="str">
        <x:v>EN1SC_004</x:v>
      </x:c>
      <x:c r="D491" s="47" t="str">
        <x:v>BSPT_M_FX_08_08</x:v>
      </x:c>
      <x:c r="E491" s="47" t="str">
        <x:v>EN1SC_1WB_004</x:v>
      </x:c>
      <x:c r="F491" s="47" t="str"/>
      <x:c r="G491" s="33" t="str"/>
      <x:c r="H491" s="50" t="str"/>
      <x:c r="I491" s="50" t="str"/>
      <x:c r="J491" s="50" t="str"/>
      <x:c r="K491" s="47" t="str"/>
      <x:c r="L491" s="50" t="str"/>
      <x:c r="M491" s="50" t="str"/>
      <x:c r="N491" s="47" t="str"/>
      <x:c r="O491" s="50" t="str"/>
      <x:c r="P491" s="64" t="str">
        <x:f>IF(O491="","",O491*2)</x:f>
      </x:c>
      <x:c r="Q491" s="50" t="str"/>
      <x:c r="R491" s="47" t="str"/>
      <x:c r="S491" s="33" t="str">
        <x:v>Not Tested</x:v>
      </x:c>
      <x:c r="T491" s="64" t="str">
        <x:v>Eligible</x:v>
      </x:c>
      <x:c r="U491" s="47" t="str"/>
      <x:c r="V491" s="47" t="str"/>
      <x:c r="W491" s="47" t="str"/>
      <x:c r="X491" s="50" t="str"/>
      <x:c r="Y491" s="50" t="str"/>
      <x:c r="Z491" s="47" t="str"/>
      <x:c r="AA491" s="47" t="str">
        <x:v>No direct published reference located; do not display a crimp value.</x:v>
      </x:c>
      <x:c r="AB491" s="161" t="str">
        <x:v>Pending</x:v>
      </x:c>
    </x:row>
    <x:row r="492" ht="42" customHeight="1">
      <x:c r="A492" s="33" t="str">
        <x:v>Draft</x:v>
      </x:c>
      <x:c r="B492" s="47" t="str">
        <x:v>COMP_0488</x:v>
      </x:c>
      <x:c r="C492" s="47" t="str">
        <x:v>EN1SC_004</x:v>
      </x:c>
      <x:c r="D492" s="47" t="str">
        <x:v>JIC_F_SW_06_08</x:v>
      </x:c>
      <x:c r="E492" s="47" t="str">
        <x:v>EN1SC_1WB_004</x:v>
      </x:c>
      <x:c r="F492" s="47" t="str"/>
      <x:c r="G492" s="33" t="str"/>
      <x:c r="H492" s="50" t="str"/>
      <x:c r="I492" s="50" t="str"/>
      <x:c r="J492" s="50" t="str"/>
      <x:c r="K492" s="47" t="str"/>
      <x:c r="L492" s="50" t="str"/>
      <x:c r="M492" s="50" t="str"/>
      <x:c r="N492" s="47" t="str"/>
      <x:c r="O492" s="50" t="str"/>
      <x:c r="P492" s="64" t="str">
        <x:f>IF(O492="","",O492*2)</x:f>
      </x:c>
      <x:c r="Q492" s="50" t="str"/>
      <x:c r="R492" s="47" t="str"/>
      <x:c r="S492" s="33" t="str">
        <x:v>Not Tested</x:v>
      </x:c>
      <x:c r="T492" s="64" t="str">
        <x:v>Eligible</x:v>
      </x:c>
      <x:c r="U492" s="47" t="str"/>
      <x:c r="V492" s="47" t="str"/>
      <x:c r="W492" s="47" t="str"/>
      <x:c r="X492" s="50" t="str"/>
      <x:c r="Y492" s="50" t="str"/>
      <x:c r="Z492" s="47" t="str"/>
      <x:c r="AA492" s="47" t="str">
        <x:v>No direct published reference located; do not display a crimp value.</x:v>
      </x:c>
      <x:c r="AB492" s="161" t="str">
        <x:v>Pending</x:v>
      </x:c>
    </x:row>
    <x:row r="493" ht="42" customHeight="1">
      <x:c r="A493" s="33" t="str">
        <x:v>Draft</x:v>
      </x:c>
      <x:c r="B493" s="47" t="str">
        <x:v>COMP_0489</x:v>
      </x:c>
      <x:c r="C493" s="47" t="str">
        <x:v>EN1SC_004</x:v>
      </x:c>
      <x:c r="D493" s="47" t="str">
        <x:v>JIC_F_SW_08_08</x:v>
      </x:c>
      <x:c r="E493" s="47" t="str">
        <x:v>EN1SC_1WB_004</x:v>
      </x:c>
      <x:c r="F493" s="47" t="str"/>
      <x:c r="G493" s="33" t="str"/>
      <x:c r="H493" s="50" t="str"/>
      <x:c r="I493" s="50" t="str"/>
      <x:c r="J493" s="50" t="str"/>
      <x:c r="K493" s="47" t="str"/>
      <x:c r="L493" s="50" t="str"/>
      <x:c r="M493" s="50" t="str"/>
      <x:c r="N493" s="47" t="str"/>
      <x:c r="O493" s="50" t="str"/>
      <x:c r="P493" s="64" t="str">
        <x:f>IF(O493="","",O493*2)</x:f>
      </x:c>
      <x:c r="Q493" s="50" t="str"/>
      <x:c r="R493" s="47" t="str"/>
      <x:c r="S493" s="33" t="str">
        <x:v>Not Tested</x:v>
      </x:c>
      <x:c r="T493" s="64" t="str">
        <x:v>Eligible</x:v>
      </x:c>
      <x:c r="U493" s="47" t="str"/>
      <x:c r="V493" s="47" t="str"/>
      <x:c r="W493" s="47" t="str"/>
      <x:c r="X493" s="50" t="str"/>
      <x:c r="Y493" s="50" t="str"/>
      <x:c r="Z493" s="47" t="str"/>
      <x:c r="AA493" s="47" t="str">
        <x:v>No direct published reference located; do not display a crimp value.</x:v>
      </x:c>
      <x:c r="AB493" s="161" t="str">
        <x:v>Pending</x:v>
      </x:c>
    </x:row>
    <x:row r="494" ht="42" customHeight="1">
      <x:c r="A494" s="33" t="str">
        <x:v>Draft</x:v>
      </x:c>
      <x:c r="B494" s="47" t="str">
        <x:v>COMP_0490</x:v>
      </x:c>
      <x:c r="C494" s="47" t="str">
        <x:v>EN1SC_004</x:v>
      </x:c>
      <x:c r="D494" s="47" t="str">
        <x:v>JIC_F_SW_10_08</x:v>
      </x:c>
      <x:c r="E494" s="47" t="str">
        <x:v>EN1SC_1WB_004</x:v>
      </x:c>
      <x:c r="F494" s="47" t="str"/>
      <x:c r="G494" s="33" t="str"/>
      <x:c r="H494" s="50" t="str"/>
      <x:c r="I494" s="50" t="str"/>
      <x:c r="J494" s="50" t="str"/>
      <x:c r="K494" s="47" t="str"/>
      <x:c r="L494" s="50" t="str"/>
      <x:c r="M494" s="50" t="str"/>
      <x:c r="N494" s="47" t="str"/>
      <x:c r="O494" s="50" t="str"/>
      <x:c r="P494" s="64" t="str">
        <x:f>IF(O494="","",O494*2)</x:f>
      </x:c>
      <x:c r="Q494" s="50" t="str"/>
      <x:c r="R494" s="47" t="str"/>
      <x:c r="S494" s="33" t="str">
        <x:v>Not Tested</x:v>
      </x:c>
      <x:c r="T494" s="64" t="str">
        <x:v>Eligible</x:v>
      </x:c>
      <x:c r="U494" s="47" t="str"/>
      <x:c r="V494" s="47" t="str"/>
      <x:c r="W494" s="47" t="str"/>
      <x:c r="X494" s="50" t="str"/>
      <x:c r="Y494" s="50" t="str"/>
      <x:c r="Z494" s="47" t="str"/>
      <x:c r="AA494" s="47" t="str">
        <x:v>No direct published reference located; do not display a crimp value.</x:v>
      </x:c>
      <x:c r="AB494" s="161" t="str">
        <x:v>Pending</x:v>
      </x:c>
    </x:row>
    <x:row r="495" ht="42" customHeight="1">
      <x:c r="A495" s="33" t="str">
        <x:v>Draft</x:v>
      </x:c>
      <x:c r="B495" s="47" t="str">
        <x:v>COMP_0491</x:v>
      </x:c>
      <x:c r="C495" s="47" t="str">
        <x:v>EN1SC_004</x:v>
      </x:c>
      <x:c r="D495" s="47" t="str">
        <x:v>JIC_F_SW_12_08</x:v>
      </x:c>
      <x:c r="E495" s="47" t="str">
        <x:v>EN1SC_1WB_004</x:v>
      </x:c>
      <x:c r="F495" s="47" t="str"/>
      <x:c r="G495" s="33" t="str"/>
      <x:c r="H495" s="50" t="str"/>
      <x:c r="I495" s="50" t="str"/>
      <x:c r="J495" s="50" t="str"/>
      <x:c r="K495" s="47" t="str"/>
      <x:c r="L495" s="50" t="str"/>
      <x:c r="M495" s="50" t="str"/>
      <x:c r="N495" s="47" t="str"/>
      <x:c r="O495" s="50" t="str"/>
      <x:c r="P495" s="64" t="str">
        <x:f>IF(O495="","",O495*2)</x:f>
      </x:c>
      <x:c r="Q495" s="50" t="str"/>
      <x:c r="R495" s="47" t="str"/>
      <x:c r="S495" s="33" t="str">
        <x:v>Not Tested</x:v>
      </x:c>
      <x:c r="T495" s="64" t="str">
        <x:v>Eligible</x:v>
      </x:c>
      <x:c r="U495" s="47" t="str"/>
      <x:c r="V495" s="47" t="str"/>
      <x:c r="W495" s="47" t="str"/>
      <x:c r="X495" s="50" t="str"/>
      <x:c r="Y495" s="50" t="str"/>
      <x:c r="Z495" s="47" t="str"/>
      <x:c r="AA495" s="47" t="str">
        <x:v>No direct published reference located; do not display a crimp value.</x:v>
      </x:c>
      <x:c r="AB495" s="161" t="str">
        <x:v>Pending</x:v>
      </x:c>
    </x:row>
    <x:row r="496" ht="42" customHeight="1">
      <x:c r="A496" s="33" t="str">
        <x:v>Draft</x:v>
      </x:c>
      <x:c r="B496" s="47" t="str">
        <x:v>COMP_0492</x:v>
      </x:c>
      <x:c r="C496" s="47" t="str">
        <x:v>EN1SC_004</x:v>
      </x:c>
      <x:c r="D496" s="47" t="str">
        <x:v>JIC_M_FX_06_08</x:v>
      </x:c>
      <x:c r="E496" s="47" t="str">
        <x:v>EN1SC_1WB_004</x:v>
      </x:c>
      <x:c r="F496" s="47" t="str"/>
      <x:c r="G496" s="33" t="str"/>
      <x:c r="H496" s="50" t="str"/>
      <x:c r="I496" s="50" t="str"/>
      <x:c r="J496" s="50" t="str"/>
      <x:c r="K496" s="47" t="str"/>
      <x:c r="L496" s="50" t="str"/>
      <x:c r="M496" s="50" t="str"/>
      <x:c r="N496" s="47" t="str"/>
      <x:c r="O496" s="50" t="str"/>
      <x:c r="P496" s="64" t="str">
        <x:f>IF(O496="","",O496*2)</x:f>
      </x:c>
      <x:c r="Q496" s="50" t="str"/>
      <x:c r="R496" s="47" t="str"/>
      <x:c r="S496" s="33" t="str">
        <x:v>Not Tested</x:v>
      </x:c>
      <x:c r="T496" s="64" t="str">
        <x:v>Eligible</x:v>
      </x:c>
      <x:c r="U496" s="47" t="str"/>
      <x:c r="V496" s="47" t="str"/>
      <x:c r="W496" s="47" t="str"/>
      <x:c r="X496" s="50" t="str"/>
      <x:c r="Y496" s="50" t="str"/>
      <x:c r="Z496" s="47" t="str"/>
      <x:c r="AA496" s="47" t="str">
        <x:v>No direct published reference located; do not display a crimp value.</x:v>
      </x:c>
      <x:c r="AB496" s="161" t="str">
        <x:v>Pending</x:v>
      </x:c>
    </x:row>
    <x:row r="497" ht="42" customHeight="1">
      <x:c r="A497" s="33" t="str">
        <x:v>Draft</x:v>
      </x:c>
      <x:c r="B497" s="47" t="str">
        <x:v>COMP_0493</x:v>
      </x:c>
      <x:c r="C497" s="47" t="str">
        <x:v>EN1SC_004</x:v>
      </x:c>
      <x:c r="D497" s="47" t="str">
        <x:v>JIC_M_FX_08_08</x:v>
      </x:c>
      <x:c r="E497" s="47" t="str">
        <x:v>EN1SC_1WB_004</x:v>
      </x:c>
      <x:c r="F497" s="47" t="str"/>
      <x:c r="G497" s="33" t="str"/>
      <x:c r="H497" s="50" t="str"/>
      <x:c r="I497" s="50" t="str"/>
      <x:c r="J497" s="50" t="str"/>
      <x:c r="K497" s="47" t="str"/>
      <x:c r="L497" s="50" t="str"/>
      <x:c r="M497" s="50" t="str"/>
      <x:c r="N497" s="47" t="str"/>
      <x:c r="O497" s="50" t="str"/>
      <x:c r="P497" s="64" t="str">
        <x:f>IF(O497="","",O497*2)</x:f>
      </x:c>
      <x:c r="Q497" s="50" t="str"/>
      <x:c r="R497" s="47" t="str"/>
      <x:c r="S497" s="33" t="str">
        <x:v>Not Tested</x:v>
      </x:c>
      <x:c r="T497" s="64" t="str">
        <x:v>Eligible</x:v>
      </x:c>
      <x:c r="U497" s="47" t="str"/>
      <x:c r="V497" s="47" t="str"/>
      <x:c r="W497" s="47" t="str"/>
      <x:c r="X497" s="50" t="str"/>
      <x:c r="Y497" s="50" t="str"/>
      <x:c r="Z497" s="47" t="str"/>
      <x:c r="AA497" s="47" t="str">
        <x:v>No direct published reference located; do not display a crimp value.</x:v>
      </x:c>
      <x:c r="AB497" s="161" t="str">
        <x:v>Pending</x:v>
      </x:c>
    </x:row>
    <x:row r="498" ht="42" customHeight="1">
      <x:c r="A498" s="33" t="str">
        <x:v>Draft</x:v>
      </x:c>
      <x:c r="B498" s="47" t="str">
        <x:v>COMP_0494</x:v>
      </x:c>
      <x:c r="C498" s="47" t="str">
        <x:v>EN1SC_004</x:v>
      </x:c>
      <x:c r="D498" s="47" t="str">
        <x:v>JIC_M_FX_10_08</x:v>
      </x:c>
      <x:c r="E498" s="47" t="str">
        <x:v>EN1SC_1WB_004</x:v>
      </x:c>
      <x:c r="F498" s="47" t="str"/>
      <x:c r="G498" s="33" t="str"/>
      <x:c r="H498" s="50" t="str"/>
      <x:c r="I498" s="50" t="str"/>
      <x:c r="J498" s="50" t="str"/>
      <x:c r="K498" s="47" t="str"/>
      <x:c r="L498" s="50" t="str"/>
      <x:c r="M498" s="50" t="str"/>
      <x:c r="N498" s="47" t="str"/>
      <x:c r="O498" s="50" t="str"/>
      <x:c r="P498" s="64" t="str">
        <x:f>IF(O498="","",O498*2)</x:f>
      </x:c>
      <x:c r="Q498" s="50" t="str"/>
      <x:c r="R498" s="47" t="str"/>
      <x:c r="S498" s="33" t="str">
        <x:v>Not Tested</x:v>
      </x:c>
      <x:c r="T498" s="64" t="str">
        <x:v>Eligible</x:v>
      </x:c>
      <x:c r="U498" s="47" t="str"/>
      <x:c r="V498" s="47" t="str"/>
      <x:c r="W498" s="47" t="str"/>
      <x:c r="X498" s="50" t="str"/>
      <x:c r="Y498" s="50" t="str"/>
      <x:c r="Z498" s="47" t="str"/>
      <x:c r="AA498" s="47" t="str">
        <x:v>No direct published reference located; do not display a crimp value.</x:v>
      </x:c>
      <x:c r="AB498" s="161" t="str">
        <x:v>Pending</x:v>
      </x:c>
    </x:row>
    <x:row r="499" ht="42" customHeight="1">
      <x:c r="A499" s="33" t="str">
        <x:v>Draft</x:v>
      </x:c>
      <x:c r="B499" s="47" t="str">
        <x:v>COMP_0495</x:v>
      </x:c>
      <x:c r="C499" s="47" t="str">
        <x:v>EN1SC_004</x:v>
      </x:c>
      <x:c r="D499" s="47" t="str">
        <x:v>JIC_M_FX_12_08</x:v>
      </x:c>
      <x:c r="E499" s="47" t="str">
        <x:v>EN1SC_1WB_004</x:v>
      </x:c>
      <x:c r="F499" s="47" t="str"/>
      <x:c r="G499" s="33" t="str"/>
      <x:c r="H499" s="50" t="str"/>
      <x:c r="I499" s="50" t="str"/>
      <x:c r="J499" s="50" t="str"/>
      <x:c r="K499" s="47" t="str"/>
      <x:c r="L499" s="50" t="str"/>
      <x:c r="M499" s="50" t="str"/>
      <x:c r="N499" s="47" t="str"/>
      <x:c r="O499" s="50" t="str"/>
      <x:c r="P499" s="64" t="str">
        <x:f>IF(O499="","",O499*2)</x:f>
      </x:c>
      <x:c r="Q499" s="50" t="str"/>
      <x:c r="R499" s="47" t="str"/>
      <x:c r="S499" s="33" t="str">
        <x:v>Not Tested</x:v>
      </x:c>
      <x:c r="T499" s="64" t="str">
        <x:v>Eligible</x:v>
      </x:c>
      <x:c r="U499" s="47" t="str"/>
      <x:c r="V499" s="47" t="str"/>
      <x:c r="W499" s="47" t="str"/>
      <x:c r="X499" s="50" t="str"/>
      <x:c r="Y499" s="50" t="str"/>
      <x:c r="Z499" s="47" t="str"/>
      <x:c r="AA499" s="47" t="str">
        <x:v>No direct published reference located; do not display a crimp value.</x:v>
      </x:c>
      <x:c r="AB499" s="161" t="str">
        <x:v>Pending</x:v>
      </x:c>
    </x:row>
    <x:row r="500" ht="42" customHeight="1">
      <x:c r="A500" s="33" t="str">
        <x:v>Draft</x:v>
      </x:c>
      <x:c r="B500" s="47" t="str">
        <x:v>COMP_0496</x:v>
      </x:c>
      <x:c r="C500" s="47" t="str">
        <x:v>EN1SC_004</x:v>
      </x:c>
      <x:c r="D500" s="47" t="str">
        <x:v>JIC45_F_SW_08_08</x:v>
      </x:c>
      <x:c r="E500" s="47" t="str">
        <x:v>EN1SC_1WB_004</x:v>
      </x:c>
      <x:c r="F500" s="47" t="str"/>
      <x:c r="G500" s="33" t="str"/>
      <x:c r="H500" s="50" t="str"/>
      <x:c r="I500" s="50" t="str"/>
      <x:c r="J500" s="50" t="str"/>
      <x:c r="K500" s="47" t="str"/>
      <x:c r="L500" s="50" t="str"/>
      <x:c r="M500" s="50" t="str"/>
      <x:c r="N500" s="47" t="str"/>
      <x:c r="O500" s="50" t="str"/>
      <x:c r="P500" s="64" t="str">
        <x:f>IF(O500="","",O500*2)</x:f>
      </x:c>
      <x:c r="Q500" s="50" t="str"/>
      <x:c r="R500" s="47" t="str"/>
      <x:c r="S500" s="33" t="str">
        <x:v>Not Tested</x:v>
      </x:c>
      <x:c r="T500" s="64" t="str">
        <x:v>Eligible</x:v>
      </x:c>
      <x:c r="U500" s="47" t="str"/>
      <x:c r="V500" s="47" t="str"/>
      <x:c r="W500" s="47" t="str"/>
      <x:c r="X500" s="50" t="str"/>
      <x:c r="Y500" s="50" t="str"/>
      <x:c r="Z500" s="47" t="str"/>
      <x:c r="AA500" s="47" t="str">
        <x:v>No direct published reference located; do not display a crimp value.</x:v>
      </x:c>
      <x:c r="AB500" s="161" t="str">
        <x:v>Pending</x:v>
      </x:c>
    </x:row>
    <x:row r="501" ht="42" customHeight="1">
      <x:c r="A501" s="33" t="str">
        <x:v>Draft</x:v>
      </x:c>
      <x:c r="B501" s="47" t="str">
        <x:v>COMP_0497</x:v>
      </x:c>
      <x:c r="C501" s="47" t="str">
        <x:v>EN1SC_004</x:v>
      </x:c>
      <x:c r="D501" s="47" t="str">
        <x:v>JIC45_F_SW_10_08</x:v>
      </x:c>
      <x:c r="E501" s="47" t="str">
        <x:v>EN1SC_1WB_004</x:v>
      </x:c>
      <x:c r="F501" s="47" t="str"/>
      <x:c r="G501" s="33" t="str"/>
      <x:c r="H501" s="50" t="str"/>
      <x:c r="I501" s="50" t="str"/>
      <x:c r="J501" s="50" t="str"/>
      <x:c r="K501" s="47" t="str"/>
      <x:c r="L501" s="50" t="str"/>
      <x:c r="M501" s="50" t="str"/>
      <x:c r="N501" s="47" t="str"/>
      <x:c r="O501" s="50" t="str"/>
      <x:c r="P501" s="64" t="str">
        <x:f>IF(O501="","",O501*2)</x:f>
      </x:c>
      <x:c r="Q501" s="50" t="str"/>
      <x:c r="R501" s="47" t="str"/>
      <x:c r="S501" s="33" t="str">
        <x:v>Not Tested</x:v>
      </x:c>
      <x:c r="T501" s="64" t="str">
        <x:v>Eligible</x:v>
      </x:c>
      <x:c r="U501" s="47" t="str"/>
      <x:c r="V501" s="47" t="str"/>
      <x:c r="W501" s="47" t="str"/>
      <x:c r="X501" s="50" t="str"/>
      <x:c r="Y501" s="50" t="str"/>
      <x:c r="Z501" s="47" t="str"/>
      <x:c r="AA501" s="47" t="str">
        <x:v>No direct published reference located; do not display a crimp value.</x:v>
      </x:c>
      <x:c r="AB501" s="161" t="str">
        <x:v>Pending</x:v>
      </x:c>
    </x:row>
    <x:row r="502" ht="42" customHeight="1">
      <x:c r="A502" s="33" t="str">
        <x:v>Draft</x:v>
      </x:c>
      <x:c r="B502" s="47" t="str">
        <x:v>COMP_0498</x:v>
      </x:c>
      <x:c r="C502" s="47" t="str">
        <x:v>EN1SC_004</x:v>
      </x:c>
      <x:c r="D502" s="47" t="str">
        <x:v>JIC90_F_SW_06_08</x:v>
      </x:c>
      <x:c r="E502" s="47" t="str">
        <x:v>EN1SC_1WB_004</x:v>
      </x:c>
      <x:c r="F502" s="47" t="str"/>
      <x:c r="G502" s="33" t="str"/>
      <x:c r="H502" s="50" t="str"/>
      <x:c r="I502" s="50" t="str"/>
      <x:c r="J502" s="50" t="str"/>
      <x:c r="K502" s="47" t="str"/>
      <x:c r="L502" s="50" t="str"/>
      <x:c r="M502" s="50" t="str"/>
      <x:c r="N502" s="47" t="str"/>
      <x:c r="O502" s="50" t="str"/>
      <x:c r="P502" s="64" t="str">
        <x:f>IF(O502="","",O502*2)</x:f>
      </x:c>
      <x:c r="Q502" s="50" t="str"/>
      <x:c r="R502" s="47" t="str"/>
      <x:c r="S502" s="33" t="str">
        <x:v>Not Tested</x:v>
      </x:c>
      <x:c r="T502" s="64" t="str">
        <x:v>Eligible</x:v>
      </x:c>
      <x:c r="U502" s="47" t="str"/>
      <x:c r="V502" s="47" t="str"/>
      <x:c r="W502" s="47" t="str"/>
      <x:c r="X502" s="50" t="str"/>
      <x:c r="Y502" s="50" t="str"/>
      <x:c r="Z502" s="47" t="str"/>
      <x:c r="AA502" s="47" t="str">
        <x:v>No direct published reference located; do not display a crimp value.</x:v>
      </x:c>
      <x:c r="AB502" s="161" t="str">
        <x:v>Pending</x:v>
      </x:c>
    </x:row>
    <x:row r="503" ht="42" customHeight="1">
      <x:c r="A503" s="33" t="str">
        <x:v>Draft</x:v>
      </x:c>
      <x:c r="B503" s="47" t="str">
        <x:v>COMP_0499</x:v>
      </x:c>
      <x:c r="C503" s="47" t="str">
        <x:v>EN1SC_004</x:v>
      </x:c>
      <x:c r="D503" s="47" t="str">
        <x:v>JIC90_F_SW_08_08</x:v>
      </x:c>
      <x:c r="E503" s="47" t="str">
        <x:v>EN1SC_1WB_004</x:v>
      </x:c>
      <x:c r="F503" s="47" t="str"/>
      <x:c r="G503" s="33" t="str"/>
      <x:c r="H503" s="50" t="str"/>
      <x:c r="I503" s="50" t="str"/>
      <x:c r="J503" s="50" t="str"/>
      <x:c r="K503" s="47" t="str"/>
      <x:c r="L503" s="50" t="str"/>
      <x:c r="M503" s="50" t="str"/>
      <x:c r="N503" s="47" t="str"/>
      <x:c r="O503" s="50" t="str"/>
      <x:c r="P503" s="64" t="str">
        <x:f>IF(O503="","",O503*2)</x:f>
      </x:c>
      <x:c r="Q503" s="50" t="str"/>
      <x:c r="R503" s="47" t="str"/>
      <x:c r="S503" s="33" t="str">
        <x:v>Not Tested</x:v>
      </x:c>
      <x:c r="T503" s="64" t="str">
        <x:v>Eligible</x:v>
      </x:c>
      <x:c r="U503" s="47" t="str"/>
      <x:c r="V503" s="47" t="str"/>
      <x:c r="W503" s="47" t="str"/>
      <x:c r="X503" s="50" t="str"/>
      <x:c r="Y503" s="50" t="str"/>
      <x:c r="Z503" s="47" t="str"/>
      <x:c r="AA503" s="47" t="str">
        <x:v>No direct published reference located; do not display a crimp value.</x:v>
      </x:c>
      <x:c r="AB503" s="161" t="str">
        <x:v>Pending</x:v>
      </x:c>
    </x:row>
    <x:row r="504" ht="42" customHeight="1">
      <x:c r="A504" s="33" t="str">
        <x:v>Draft</x:v>
      </x:c>
      <x:c r="B504" s="47" t="str">
        <x:v>COMP_0500</x:v>
      </x:c>
      <x:c r="C504" s="47" t="str">
        <x:v>EN1SC_004</x:v>
      </x:c>
      <x:c r="D504" s="47" t="str">
        <x:v>JIC90_F_SW_10_08</x:v>
      </x:c>
      <x:c r="E504" s="47" t="str">
        <x:v>EN1SC_1WB_004</x:v>
      </x:c>
      <x:c r="F504" s="47" t="str"/>
      <x:c r="G504" s="33" t="str"/>
      <x:c r="H504" s="50" t="str"/>
      <x:c r="I504" s="50" t="str"/>
      <x:c r="J504" s="50" t="str"/>
      <x:c r="K504" s="47" t="str"/>
      <x:c r="L504" s="50" t="str"/>
      <x:c r="M504" s="50" t="str"/>
      <x:c r="N504" s="47" t="str"/>
      <x:c r="O504" s="50" t="str"/>
      <x:c r="P504" s="64" t="str">
        <x:f>IF(O504="","",O504*2)</x:f>
      </x:c>
      <x:c r="Q504" s="50" t="str"/>
      <x:c r="R504" s="47" t="str"/>
      <x:c r="S504" s="33" t="str">
        <x:v>Not Tested</x:v>
      </x:c>
      <x:c r="T504" s="64" t="str">
        <x:v>Eligible</x:v>
      </x:c>
      <x:c r="U504" s="47" t="str"/>
      <x:c r="V504" s="47" t="str"/>
      <x:c r="W504" s="47" t="str"/>
      <x:c r="X504" s="50" t="str"/>
      <x:c r="Y504" s="50" t="str"/>
      <x:c r="Z504" s="47" t="str"/>
      <x:c r="AA504" s="47" t="str">
        <x:v>No direct published reference located; do not display a crimp value.</x:v>
      </x:c>
      <x:c r="AB504" s="161" t="str">
        <x:v>Pending</x:v>
      </x:c>
    </x:row>
    <x:row r="505" ht="42" customHeight="1">
      <x:c r="A505" s="33" t="str">
        <x:v>Draft</x:v>
      </x:c>
      <x:c r="B505" s="47" t="str">
        <x:v>COMP_0501</x:v>
      </x:c>
      <x:c r="C505" s="47" t="str">
        <x:v>EN1SC_004</x:v>
      </x:c>
      <x:c r="D505" s="47" t="str">
        <x:v>JIC90_F_SW_12_08</x:v>
      </x:c>
      <x:c r="E505" s="47" t="str">
        <x:v>EN1SC_1WB_004</x:v>
      </x:c>
      <x:c r="F505" s="47" t="str"/>
      <x:c r="G505" s="33" t="str"/>
      <x:c r="H505" s="50" t="str"/>
      <x:c r="I505" s="50" t="str"/>
      <x:c r="J505" s="50" t="str"/>
      <x:c r="K505" s="47" t="str"/>
      <x:c r="L505" s="50" t="str"/>
      <x:c r="M505" s="50" t="str"/>
      <x:c r="N505" s="47" t="str"/>
      <x:c r="O505" s="50" t="str"/>
      <x:c r="P505" s="64" t="str">
        <x:f>IF(O505="","",O505*2)</x:f>
      </x:c>
      <x:c r="Q505" s="50" t="str"/>
      <x:c r="R505" s="47" t="str"/>
      <x:c r="S505" s="33" t="str">
        <x:v>Not Tested</x:v>
      </x:c>
      <x:c r="T505" s="64" t="str">
        <x:v>Eligible</x:v>
      </x:c>
      <x:c r="U505" s="47" t="str"/>
      <x:c r="V505" s="47" t="str"/>
      <x:c r="W505" s="47" t="str"/>
      <x:c r="X505" s="50" t="str"/>
      <x:c r="Y505" s="50" t="str"/>
      <x:c r="Z505" s="47" t="str"/>
      <x:c r="AA505" s="47" t="str">
        <x:v>No direct published reference located; do not display a crimp value.</x:v>
      </x:c>
      <x:c r="AB505" s="161" t="str">
        <x:v>Pending</x:v>
      </x:c>
    </x:row>
    <x:row r="506" ht="42" customHeight="1">
      <x:c r="A506" s="33" t="str">
        <x:v>Draft</x:v>
      </x:c>
      <x:c r="B506" s="47" t="str">
        <x:v>COMP_0502</x:v>
      </x:c>
      <x:c r="C506" s="47" t="str">
        <x:v>EN1SC_004</x:v>
      </x:c>
      <x:c r="D506" s="47" t="str">
        <x:v>NPT_F_FX_08_08</x:v>
      </x:c>
      <x:c r="E506" s="47" t="str">
        <x:v>EN1SC_1WB_004</x:v>
      </x:c>
      <x:c r="F506" s="47" t="str"/>
      <x:c r="G506" s="33" t="str"/>
      <x:c r="H506" s="50" t="str"/>
      <x:c r="I506" s="50" t="str"/>
      <x:c r="J506" s="50" t="str"/>
      <x:c r="K506" s="47" t="str"/>
      <x:c r="L506" s="50" t="str"/>
      <x:c r="M506" s="50" t="str"/>
      <x:c r="N506" s="47" t="str"/>
      <x:c r="O506" s="50" t="str"/>
      <x:c r="P506" s="64" t="str">
        <x:f>IF(O506="","",O506*2)</x:f>
      </x:c>
      <x:c r="Q506" s="50" t="str"/>
      <x:c r="R506" s="47" t="str"/>
      <x:c r="S506" s="33" t="str">
        <x:v>Not Tested</x:v>
      </x:c>
      <x:c r="T506" s="64" t="str">
        <x:v>Eligible</x:v>
      </x:c>
      <x:c r="U506" s="47" t="str"/>
      <x:c r="V506" s="47" t="str"/>
      <x:c r="W506" s="47" t="str"/>
      <x:c r="X506" s="50" t="str"/>
      <x:c r="Y506" s="50" t="str"/>
      <x:c r="Z506" s="47" t="str"/>
      <x:c r="AA506" s="47" t="str">
        <x:v>No direct published reference located; do not display a crimp value.</x:v>
      </x:c>
      <x:c r="AB506" s="161" t="str">
        <x:v>Pending</x:v>
      </x:c>
    </x:row>
    <x:row r="507" ht="42" customHeight="1">
      <x:c r="A507" s="33" t="str">
        <x:v>Draft</x:v>
      </x:c>
      <x:c r="B507" s="47" t="str">
        <x:v>COMP_0503</x:v>
      </x:c>
      <x:c r="C507" s="47" t="str">
        <x:v>EN1SC_004</x:v>
      </x:c>
      <x:c r="D507" s="47" t="str">
        <x:v>NPT_M_FX_06_08</x:v>
      </x:c>
      <x:c r="E507" s="47" t="str">
        <x:v>EN1SC_1WB_004</x:v>
      </x:c>
      <x:c r="F507" s="47" t="str"/>
      <x:c r="G507" s="33" t="str"/>
      <x:c r="H507" s="50" t="str"/>
      <x:c r="I507" s="50" t="str"/>
      <x:c r="J507" s="50" t="str"/>
      <x:c r="K507" s="47" t="str"/>
      <x:c r="L507" s="50" t="str"/>
      <x:c r="M507" s="50" t="str"/>
      <x:c r="N507" s="47" t="str"/>
      <x:c r="O507" s="50" t="str"/>
      <x:c r="P507" s="64" t="str">
        <x:f>IF(O507="","",O507*2)</x:f>
      </x:c>
      <x:c r="Q507" s="50" t="str"/>
      <x:c r="R507" s="47" t="str"/>
      <x:c r="S507" s="33" t="str">
        <x:v>Not Tested</x:v>
      </x:c>
      <x:c r="T507" s="64" t="str">
        <x:v>Eligible</x:v>
      </x:c>
      <x:c r="U507" s="47" t="str"/>
      <x:c r="V507" s="47" t="str"/>
      <x:c r="W507" s="47" t="str"/>
      <x:c r="X507" s="50" t="str"/>
      <x:c r="Y507" s="50" t="str"/>
      <x:c r="Z507" s="47" t="str"/>
      <x:c r="AA507" s="47" t="str">
        <x:v>No direct published reference located; do not display a crimp value.</x:v>
      </x:c>
      <x:c r="AB507" s="161" t="str">
        <x:v>Pending</x:v>
      </x:c>
    </x:row>
    <x:row r="508" ht="42" customHeight="1">
      <x:c r="A508" s="33" t="str">
        <x:v>Draft</x:v>
      </x:c>
      <x:c r="B508" s="47" t="str">
        <x:v>COMP_0504</x:v>
      </x:c>
      <x:c r="C508" s="47" t="str">
        <x:v>EN1SC_004</x:v>
      </x:c>
      <x:c r="D508" s="47" t="str">
        <x:v>NPT_M_FX_08_08</x:v>
      </x:c>
      <x:c r="E508" s="47" t="str">
        <x:v>EN1SC_1WB_004</x:v>
      </x:c>
      <x:c r="F508" s="47" t="str"/>
      <x:c r="G508" s="33" t="str"/>
      <x:c r="H508" s="50" t="str"/>
      <x:c r="I508" s="50" t="str"/>
      <x:c r="J508" s="50" t="str"/>
      <x:c r="K508" s="47" t="str"/>
      <x:c r="L508" s="50" t="str"/>
      <x:c r="M508" s="50" t="str"/>
      <x:c r="N508" s="47" t="str"/>
      <x:c r="O508" s="50" t="str"/>
      <x:c r="P508" s="64" t="str">
        <x:f>IF(O508="","",O508*2)</x:f>
      </x:c>
      <x:c r="Q508" s="50" t="str"/>
      <x:c r="R508" s="47" t="str"/>
      <x:c r="S508" s="33" t="str">
        <x:v>Not Tested</x:v>
      </x:c>
      <x:c r="T508" s="64" t="str">
        <x:v>Eligible</x:v>
      </x:c>
      <x:c r="U508" s="47" t="str"/>
      <x:c r="V508" s="47" t="str"/>
      <x:c r="W508" s="47" t="str"/>
      <x:c r="X508" s="50" t="str"/>
      <x:c r="Y508" s="50" t="str"/>
      <x:c r="Z508" s="47" t="str"/>
      <x:c r="AA508" s="47" t="str">
        <x:v>No direct published reference located; do not display a crimp value.</x:v>
      </x:c>
      <x:c r="AB508" s="161" t="str">
        <x:v>Pending</x:v>
      </x:c>
    </x:row>
    <x:row r="509" ht="42" customHeight="1">
      <x:c r="A509" s="33" t="str">
        <x:v>Draft</x:v>
      </x:c>
      <x:c r="B509" s="47" t="str">
        <x:v>COMP_0505</x:v>
      </x:c>
      <x:c r="C509" s="47" t="str">
        <x:v>EN1SC_004</x:v>
      </x:c>
      <x:c r="D509" s="47" t="str">
        <x:v>NPT_M_FX_12_08</x:v>
      </x:c>
      <x:c r="E509" s="47" t="str">
        <x:v>EN1SC_1WB_004</x:v>
      </x:c>
      <x:c r="F509" s="47" t="str"/>
      <x:c r="G509" s="33" t="str"/>
      <x:c r="H509" s="50" t="str"/>
      <x:c r="I509" s="50" t="str"/>
      <x:c r="J509" s="50" t="str"/>
      <x:c r="K509" s="47" t="str"/>
      <x:c r="L509" s="50" t="str"/>
      <x:c r="M509" s="50" t="str"/>
      <x:c r="N509" s="47" t="str"/>
      <x:c r="O509" s="50" t="str"/>
      <x:c r="P509" s="64" t="str">
        <x:f>IF(O509="","",O509*2)</x:f>
      </x:c>
      <x:c r="Q509" s="50" t="str"/>
      <x:c r="R509" s="47" t="str"/>
      <x:c r="S509" s="33" t="str">
        <x:v>Not Tested</x:v>
      </x:c>
      <x:c r="T509" s="64" t="str">
        <x:v>Eligible</x:v>
      </x:c>
      <x:c r="U509" s="47" t="str"/>
      <x:c r="V509" s="47" t="str"/>
      <x:c r="W509" s="47" t="str"/>
      <x:c r="X509" s="50" t="str"/>
      <x:c r="Y509" s="50" t="str"/>
      <x:c r="Z509" s="47" t="str"/>
      <x:c r="AA509" s="47" t="str">
        <x:v>No direct published reference located; do not display a crimp value.</x:v>
      </x:c>
      <x:c r="AB509" s="161" t="str">
        <x:v>Pending</x:v>
      </x:c>
    </x:row>
    <x:row r="510" ht="42" customHeight="1">
      <x:c r="A510" s="33" t="str">
        <x:v>Draft</x:v>
      </x:c>
      <x:c r="B510" s="47" t="str">
        <x:v>COMP_0506</x:v>
      </x:c>
      <x:c r="C510" s="47" t="str">
        <x:v>EN1SC_004</x:v>
      </x:c>
      <x:c r="D510" s="47" t="str">
        <x:v>NPT90_M_SW_08_08</x:v>
      </x:c>
      <x:c r="E510" s="47" t="str">
        <x:v>EN1SC_1WB_004</x:v>
      </x:c>
      <x:c r="F510" s="47" t="str"/>
      <x:c r="G510" s="33" t="str"/>
      <x:c r="H510" s="50" t="str"/>
      <x:c r="I510" s="50" t="str"/>
      <x:c r="J510" s="50" t="str"/>
      <x:c r="K510" s="47" t="str"/>
      <x:c r="L510" s="50" t="str"/>
      <x:c r="M510" s="50" t="str"/>
      <x:c r="N510" s="47" t="str"/>
      <x:c r="O510" s="50" t="str"/>
      <x:c r="P510" s="64" t="str">
        <x:f>IF(O510="","",O510*2)</x:f>
      </x:c>
      <x:c r="Q510" s="50" t="str"/>
      <x:c r="R510" s="47" t="str"/>
      <x:c r="S510" s="33" t="str">
        <x:v>Not Tested</x:v>
      </x:c>
      <x:c r="T510" s="64" t="str">
        <x:v>Eligible</x:v>
      </x:c>
      <x:c r="U510" s="47" t="str"/>
      <x:c r="V510" s="47" t="str"/>
      <x:c r="W510" s="47" t="str"/>
      <x:c r="X510" s="50" t="str"/>
      <x:c r="Y510" s="50" t="str"/>
      <x:c r="Z510" s="47" t="str"/>
      <x:c r="AA510" s="47" t="str">
        <x:v>No direct published reference located; do not display a crimp value.</x:v>
      </x:c>
      <x:c r="AB510" s="161" t="str">
        <x:v>Pending</x:v>
      </x:c>
    </x:row>
    <x:row r="511" ht="42" customHeight="1">
      <x:c r="A511" s="33" t="str">
        <x:v>Draft</x:v>
      </x:c>
      <x:c r="B511" s="47" t="str">
        <x:v>COMP_0507</x:v>
      </x:c>
      <x:c r="C511" s="47" t="str">
        <x:v>EN1SC_004</x:v>
      </x:c>
      <x:c r="D511" s="47" t="str">
        <x:v>ORFS_F_SW_06_08</x:v>
      </x:c>
      <x:c r="E511" s="47" t="str">
        <x:v>EN1SC_1WB_004</x:v>
      </x:c>
      <x:c r="F511" s="47" t="str"/>
      <x:c r="G511" s="33" t="str"/>
      <x:c r="H511" s="50" t="str"/>
      <x:c r="I511" s="50" t="str"/>
      <x:c r="J511" s="50" t="str"/>
      <x:c r="K511" s="47" t="str"/>
      <x:c r="L511" s="50" t="str"/>
      <x:c r="M511" s="50" t="str"/>
      <x:c r="N511" s="47" t="str"/>
      <x:c r="O511" s="50" t="str"/>
      <x:c r="P511" s="64" t="str">
        <x:f>IF(O511="","",O511*2)</x:f>
      </x:c>
      <x:c r="Q511" s="50" t="str"/>
      <x:c r="R511" s="47" t="str"/>
      <x:c r="S511" s="33" t="str">
        <x:v>Not Tested</x:v>
      </x:c>
      <x:c r="T511" s="64" t="str">
        <x:v>Eligible</x:v>
      </x:c>
      <x:c r="U511" s="47" t="str"/>
      <x:c r="V511" s="47" t="str"/>
      <x:c r="W511" s="47" t="str"/>
      <x:c r="X511" s="50" t="str"/>
      <x:c r="Y511" s="50" t="str"/>
      <x:c r="Z511" s="47" t="str"/>
      <x:c r="AA511" s="47" t="str">
        <x:v>No direct published reference located; do not display a crimp value.</x:v>
      </x:c>
      <x:c r="AB511" s="161" t="str">
        <x:v>Pending</x:v>
      </x:c>
    </x:row>
    <x:row r="512" ht="42" customHeight="1">
      <x:c r="A512" s="33" t="str">
        <x:v>Draft</x:v>
      </x:c>
      <x:c r="B512" s="47" t="str">
        <x:v>COMP_0508</x:v>
      </x:c>
      <x:c r="C512" s="47" t="str">
        <x:v>EN1SC_004</x:v>
      </x:c>
      <x:c r="D512" s="47" t="str">
        <x:v>ORFS_F_SW_08_08</x:v>
      </x:c>
      <x:c r="E512" s="47" t="str">
        <x:v>EN1SC_1WB_004</x:v>
      </x:c>
      <x:c r="F512" s="47" t="str"/>
      <x:c r="G512" s="33" t="str"/>
      <x:c r="H512" s="50" t="str"/>
      <x:c r="I512" s="50" t="str"/>
      <x:c r="J512" s="50" t="str"/>
      <x:c r="K512" s="47" t="str"/>
      <x:c r="L512" s="50" t="str"/>
      <x:c r="M512" s="50" t="str"/>
      <x:c r="N512" s="47" t="str"/>
      <x:c r="O512" s="50" t="str"/>
      <x:c r="P512" s="64" t="str">
        <x:f>IF(O512="","",O512*2)</x:f>
      </x:c>
      <x:c r="Q512" s="50" t="str"/>
      <x:c r="R512" s="47" t="str"/>
      <x:c r="S512" s="33" t="str">
        <x:v>Not Tested</x:v>
      </x:c>
      <x:c r="T512" s="64" t="str">
        <x:v>Eligible</x:v>
      </x:c>
      <x:c r="U512" s="47" t="str"/>
      <x:c r="V512" s="47" t="str"/>
      <x:c r="W512" s="47" t="str"/>
      <x:c r="X512" s="50" t="str"/>
      <x:c r="Y512" s="50" t="str"/>
      <x:c r="Z512" s="47" t="str"/>
      <x:c r="AA512" s="47" t="str">
        <x:v>No direct published reference located; do not display a crimp value.</x:v>
      </x:c>
      <x:c r="AB512" s="161" t="str">
        <x:v>Pending</x:v>
      </x:c>
    </x:row>
    <x:row r="513" ht="42" customHeight="1">
      <x:c r="A513" s="33" t="str">
        <x:v>Draft</x:v>
      </x:c>
      <x:c r="B513" s="47" t="str">
        <x:v>COMP_0509</x:v>
      </x:c>
      <x:c r="C513" s="47" t="str">
        <x:v>EN1SC_004</x:v>
      </x:c>
      <x:c r="D513" s="47" t="str">
        <x:v>ORFS_F_SW_10_08</x:v>
      </x:c>
      <x:c r="E513" s="47" t="str">
        <x:v>EN1SC_1WB_004</x:v>
      </x:c>
      <x:c r="F513" s="47" t="str"/>
      <x:c r="G513" s="33" t="str"/>
      <x:c r="H513" s="50" t="str"/>
      <x:c r="I513" s="50" t="str"/>
      <x:c r="J513" s="50" t="str"/>
      <x:c r="K513" s="47" t="str"/>
      <x:c r="L513" s="50" t="str"/>
      <x:c r="M513" s="50" t="str"/>
      <x:c r="N513" s="47" t="str"/>
      <x:c r="O513" s="50" t="str"/>
      <x:c r="P513" s="64" t="str">
        <x:f>IF(O513="","",O513*2)</x:f>
      </x:c>
      <x:c r="Q513" s="50" t="str"/>
      <x:c r="R513" s="47" t="str"/>
      <x:c r="S513" s="33" t="str">
        <x:v>Not Tested</x:v>
      </x:c>
      <x:c r="T513" s="64" t="str">
        <x:v>Eligible</x:v>
      </x:c>
      <x:c r="U513" s="47" t="str"/>
      <x:c r="V513" s="47" t="str"/>
      <x:c r="W513" s="47" t="str"/>
      <x:c r="X513" s="50" t="str"/>
      <x:c r="Y513" s="50" t="str"/>
      <x:c r="Z513" s="47" t="str"/>
      <x:c r="AA513" s="47" t="str">
        <x:v>No direct published reference located; do not display a crimp value.</x:v>
      </x:c>
      <x:c r="AB513" s="161" t="str">
        <x:v>Pending</x:v>
      </x:c>
    </x:row>
    <x:row r="514" ht="42" customHeight="1">
      <x:c r="A514" s="33" t="str">
        <x:v>Draft</x:v>
      </x:c>
      <x:c r="B514" s="47" t="str">
        <x:v>COMP_0510</x:v>
      </x:c>
      <x:c r="C514" s="47" t="str">
        <x:v>EN1SC_004</x:v>
      </x:c>
      <x:c r="D514" s="47" t="str">
        <x:v>ORFS_F_SW_12_08</x:v>
      </x:c>
      <x:c r="E514" s="47" t="str">
        <x:v>EN1SC_1WB_004</x:v>
      </x:c>
      <x:c r="F514" s="47" t="str"/>
      <x:c r="G514" s="33" t="str"/>
      <x:c r="H514" s="50" t="str"/>
      <x:c r="I514" s="50" t="str"/>
      <x:c r="J514" s="50" t="str"/>
      <x:c r="K514" s="47" t="str"/>
      <x:c r="L514" s="50" t="str"/>
      <x:c r="M514" s="50" t="str"/>
      <x:c r="N514" s="47" t="str"/>
      <x:c r="O514" s="50" t="str"/>
      <x:c r="P514" s="64" t="str">
        <x:f>IF(O514="","",O514*2)</x:f>
      </x:c>
      <x:c r="Q514" s="50" t="str"/>
      <x:c r="R514" s="47" t="str"/>
      <x:c r="S514" s="33" t="str">
        <x:v>Not Tested</x:v>
      </x:c>
      <x:c r="T514" s="64" t="str">
        <x:v>Eligible</x:v>
      </x:c>
      <x:c r="U514" s="47" t="str"/>
      <x:c r="V514" s="47" t="str"/>
      <x:c r="W514" s="47" t="str"/>
      <x:c r="X514" s="50" t="str"/>
      <x:c r="Y514" s="50" t="str"/>
      <x:c r="Z514" s="47" t="str"/>
      <x:c r="AA514" s="47" t="str">
        <x:v>No direct published reference located; do not display a crimp value.</x:v>
      </x:c>
      <x:c r="AB514" s="161" t="str">
        <x:v>Pending</x:v>
      </x:c>
    </x:row>
    <x:row r="515" ht="42" customHeight="1">
      <x:c r="A515" s="33" t="str">
        <x:v>Draft</x:v>
      </x:c>
      <x:c r="B515" s="47" t="str">
        <x:v>COMP_0511</x:v>
      </x:c>
      <x:c r="C515" s="47" t="str">
        <x:v>EN1SC_004</x:v>
      </x:c>
      <x:c r="D515" s="47" t="str">
        <x:v>ORFS_M_FX_08_08</x:v>
      </x:c>
      <x:c r="E515" s="47" t="str">
        <x:v>EN1SC_1WB_004</x:v>
      </x:c>
      <x:c r="F515" s="47" t="str"/>
      <x:c r="G515" s="33" t="str"/>
      <x:c r="H515" s="50" t="str"/>
      <x:c r="I515" s="50" t="str"/>
      <x:c r="J515" s="50" t="str"/>
      <x:c r="K515" s="47" t="str"/>
      <x:c r="L515" s="50" t="str"/>
      <x:c r="M515" s="50" t="str"/>
      <x:c r="N515" s="47" t="str"/>
      <x:c r="O515" s="50" t="str"/>
      <x:c r="P515" s="64" t="str">
        <x:f>IF(O515="","",O515*2)</x:f>
      </x:c>
      <x:c r="Q515" s="50" t="str"/>
      <x:c r="R515" s="47" t="str"/>
      <x:c r="S515" s="33" t="str">
        <x:v>Not Tested</x:v>
      </x:c>
      <x:c r="T515" s="64" t="str">
        <x:v>Eligible</x:v>
      </x:c>
      <x:c r="U515" s="47" t="str"/>
      <x:c r="V515" s="47" t="str"/>
      <x:c r="W515" s="47" t="str"/>
      <x:c r="X515" s="50" t="str"/>
      <x:c r="Y515" s="50" t="str"/>
      <x:c r="Z515" s="47" t="str"/>
      <x:c r="AA515" s="47" t="str">
        <x:v>No direct published reference located; do not display a crimp value.</x:v>
      </x:c>
      <x:c r="AB515" s="161" t="str">
        <x:v>Pending</x:v>
      </x:c>
    </x:row>
    <x:row r="516" ht="42" customHeight="1">
      <x:c r="A516" s="33" t="str">
        <x:v>Draft</x:v>
      </x:c>
      <x:c r="B516" s="47" t="str">
        <x:v>COMP_0512</x:v>
      </x:c>
      <x:c r="C516" s="47" t="str">
        <x:v>EN1SC_004</x:v>
      </x:c>
      <x:c r="D516" s="47" t="str">
        <x:v>ORFS_M_FX_10_08</x:v>
      </x:c>
      <x:c r="E516" s="47" t="str">
        <x:v>EN1SC_1WB_004</x:v>
      </x:c>
      <x:c r="F516" s="47" t="str"/>
      <x:c r="G516" s="33" t="str"/>
      <x:c r="H516" s="50" t="str"/>
      <x:c r="I516" s="50" t="str"/>
      <x:c r="J516" s="50" t="str"/>
      <x:c r="K516" s="47" t="str"/>
      <x:c r="L516" s="50" t="str"/>
      <x:c r="M516" s="50" t="str"/>
      <x:c r="N516" s="47" t="str"/>
      <x:c r="O516" s="50" t="str"/>
      <x:c r="P516" s="64" t="str">
        <x:f>IF(O516="","",O516*2)</x:f>
      </x:c>
      <x:c r="Q516" s="50" t="str"/>
      <x:c r="R516" s="47" t="str"/>
      <x:c r="S516" s="33" t="str">
        <x:v>Not Tested</x:v>
      </x:c>
      <x:c r="T516" s="64" t="str">
        <x:v>Eligible</x:v>
      </x:c>
      <x:c r="U516" s="47" t="str"/>
      <x:c r="V516" s="47" t="str"/>
      <x:c r="W516" s="47" t="str"/>
      <x:c r="X516" s="50" t="str"/>
      <x:c r="Y516" s="50" t="str"/>
      <x:c r="Z516" s="47" t="str"/>
      <x:c r="AA516" s="47" t="str">
        <x:v>No direct published reference located; do not display a crimp value.</x:v>
      </x:c>
      <x:c r="AB516" s="161" t="str">
        <x:v>Pending</x:v>
      </x:c>
    </x:row>
    <x:row r="517" ht="42" customHeight="1">
      <x:c r="A517" s="33" t="str">
        <x:v>Draft</x:v>
      </x:c>
      <x:c r="B517" s="47" t="str">
        <x:v>COMP_0513</x:v>
      </x:c>
      <x:c r="C517" s="47" t="str">
        <x:v>EN1SC_004</x:v>
      </x:c>
      <x:c r="D517" s="47" t="str">
        <x:v>ORFS_M_FX_12_08</x:v>
      </x:c>
      <x:c r="E517" s="47" t="str">
        <x:v>EN1SC_1WB_004</x:v>
      </x:c>
      <x:c r="F517" s="47" t="str"/>
      <x:c r="G517" s="33" t="str"/>
      <x:c r="H517" s="50" t="str"/>
      <x:c r="I517" s="50" t="str"/>
      <x:c r="J517" s="50" t="str"/>
      <x:c r="K517" s="47" t="str"/>
      <x:c r="L517" s="50" t="str"/>
      <x:c r="M517" s="50" t="str"/>
      <x:c r="N517" s="47" t="str"/>
      <x:c r="O517" s="50" t="str"/>
      <x:c r="P517" s="64" t="str">
        <x:f>IF(O517="","",O517*2)</x:f>
      </x:c>
      <x:c r="Q517" s="50" t="str"/>
      <x:c r="R517" s="47" t="str"/>
      <x:c r="S517" s="33" t="str">
        <x:v>Not Tested</x:v>
      </x:c>
      <x:c r="T517" s="64" t="str">
        <x:v>Eligible</x:v>
      </x:c>
      <x:c r="U517" s="47" t="str"/>
      <x:c r="V517" s="47" t="str"/>
      <x:c r="W517" s="47" t="str"/>
      <x:c r="X517" s="50" t="str"/>
      <x:c r="Y517" s="50" t="str"/>
      <x:c r="Z517" s="47" t="str"/>
      <x:c r="AA517" s="47" t="str">
        <x:v>No direct published reference located; do not display a crimp value.</x:v>
      </x:c>
      <x:c r="AB517" s="161" t="str">
        <x:v>Pending</x:v>
      </x:c>
    </x:row>
    <x:row r="518" ht="42" customHeight="1">
      <x:c r="A518" s="33" t="str">
        <x:v>Draft</x:v>
      </x:c>
      <x:c r="B518" s="47" t="str">
        <x:v>COMP_0514</x:v>
      </x:c>
      <x:c r="C518" s="47" t="str">
        <x:v>EN1SC_004</x:v>
      </x:c>
      <x:c r="D518" s="47" t="str">
        <x:v>ORFS45_F_SW_08_08</x:v>
      </x:c>
      <x:c r="E518" s="47" t="str">
        <x:v>EN1SC_1WB_004</x:v>
      </x:c>
      <x:c r="F518" s="47" t="str"/>
      <x:c r="G518" s="33" t="str"/>
      <x:c r="H518" s="50" t="str"/>
      <x:c r="I518" s="50" t="str"/>
      <x:c r="J518" s="50" t="str"/>
      <x:c r="K518" s="47" t="str"/>
      <x:c r="L518" s="50" t="str"/>
      <x:c r="M518" s="50" t="str"/>
      <x:c r="N518" s="47" t="str"/>
      <x:c r="O518" s="50" t="str"/>
      <x:c r="P518" s="64" t="str">
        <x:f>IF(O518="","",O518*2)</x:f>
      </x:c>
      <x:c r="Q518" s="50" t="str"/>
      <x:c r="R518" s="47" t="str"/>
      <x:c r="S518" s="33" t="str">
        <x:v>Not Tested</x:v>
      </x:c>
      <x:c r="T518" s="64" t="str">
        <x:v>Eligible</x:v>
      </x:c>
      <x:c r="U518" s="47" t="str"/>
      <x:c r="V518" s="47" t="str"/>
      <x:c r="W518" s="47" t="str"/>
      <x:c r="X518" s="50" t="str"/>
      <x:c r="Y518" s="50" t="str"/>
      <x:c r="Z518" s="47" t="str"/>
      <x:c r="AA518" s="47" t="str">
        <x:v>No direct published reference located; do not display a crimp value.</x:v>
      </x:c>
      <x:c r="AB518" s="161" t="str">
        <x:v>Pending</x:v>
      </x:c>
    </x:row>
    <x:row r="519" ht="42" customHeight="1">
      <x:c r="A519" s="33" t="str">
        <x:v>Draft</x:v>
      </x:c>
      <x:c r="B519" s="47" t="str">
        <x:v>COMP_0515</x:v>
      </x:c>
      <x:c r="C519" s="47" t="str">
        <x:v>EN1SC_004</x:v>
      </x:c>
      <x:c r="D519" s="47" t="str">
        <x:v>ORFS45_F_SW_10_08</x:v>
      </x:c>
      <x:c r="E519" s="47" t="str">
        <x:v>EN1SC_1WB_004</x:v>
      </x:c>
      <x:c r="F519" s="47" t="str"/>
      <x:c r="G519" s="33" t="str"/>
      <x:c r="H519" s="50" t="str"/>
      <x:c r="I519" s="50" t="str"/>
      <x:c r="J519" s="50" t="str"/>
      <x:c r="K519" s="47" t="str"/>
      <x:c r="L519" s="50" t="str"/>
      <x:c r="M519" s="50" t="str"/>
      <x:c r="N519" s="47" t="str"/>
      <x:c r="O519" s="50" t="str"/>
      <x:c r="P519" s="64" t="str">
        <x:f>IF(O519="","",O519*2)</x:f>
      </x:c>
      <x:c r="Q519" s="50" t="str"/>
      <x:c r="R519" s="47" t="str"/>
      <x:c r="S519" s="33" t="str">
        <x:v>Not Tested</x:v>
      </x:c>
      <x:c r="T519" s="64" t="str">
        <x:v>Eligible</x:v>
      </x:c>
      <x:c r="U519" s="47" t="str"/>
      <x:c r="V519" s="47" t="str"/>
      <x:c r="W519" s="47" t="str"/>
      <x:c r="X519" s="50" t="str"/>
      <x:c r="Y519" s="50" t="str"/>
      <x:c r="Z519" s="47" t="str"/>
      <x:c r="AA519" s="47" t="str">
        <x:v>No direct published reference located; do not display a crimp value.</x:v>
      </x:c>
      <x:c r="AB519" s="161" t="str">
        <x:v>Pending</x:v>
      </x:c>
    </x:row>
    <x:row r="520" ht="42" customHeight="1">
      <x:c r="A520" s="33" t="str">
        <x:v>Draft</x:v>
      </x:c>
      <x:c r="B520" s="47" t="str">
        <x:v>COMP_0516</x:v>
      </x:c>
      <x:c r="C520" s="47" t="str">
        <x:v>EN1SC_004</x:v>
      </x:c>
      <x:c r="D520" s="47" t="str">
        <x:v>ORFS45_F_SW_12_08</x:v>
      </x:c>
      <x:c r="E520" s="47" t="str">
        <x:v>EN1SC_1WB_004</x:v>
      </x:c>
      <x:c r="F520" s="47" t="str"/>
      <x:c r="G520" s="33" t="str"/>
      <x:c r="H520" s="50" t="str"/>
      <x:c r="I520" s="50" t="str"/>
      <x:c r="J520" s="50" t="str"/>
      <x:c r="K520" s="47" t="str"/>
      <x:c r="L520" s="50" t="str"/>
      <x:c r="M520" s="50" t="str"/>
      <x:c r="N520" s="47" t="str"/>
      <x:c r="O520" s="50" t="str"/>
      <x:c r="P520" s="64" t="str">
        <x:f>IF(O520="","",O520*2)</x:f>
      </x:c>
      <x:c r="Q520" s="50" t="str"/>
      <x:c r="R520" s="47" t="str"/>
      <x:c r="S520" s="33" t="str">
        <x:v>Not Tested</x:v>
      </x:c>
      <x:c r="T520" s="64" t="str">
        <x:v>Eligible</x:v>
      </x:c>
      <x:c r="U520" s="47" t="str"/>
      <x:c r="V520" s="47" t="str"/>
      <x:c r="W520" s="47" t="str"/>
      <x:c r="X520" s="50" t="str"/>
      <x:c r="Y520" s="50" t="str"/>
      <x:c r="Z520" s="47" t="str"/>
      <x:c r="AA520" s="47" t="str">
        <x:v>No direct published reference located; do not display a crimp value.</x:v>
      </x:c>
      <x:c r="AB520" s="161" t="str">
        <x:v>Pending</x:v>
      </x:c>
    </x:row>
    <x:row r="521" ht="42" customHeight="1">
      <x:c r="A521" s="33" t="str">
        <x:v>Draft</x:v>
      </x:c>
      <x:c r="B521" s="47" t="str">
        <x:v>COMP_0517</x:v>
      </x:c>
      <x:c r="C521" s="47" t="str">
        <x:v>EN1SC_004</x:v>
      </x:c>
      <x:c r="D521" s="47" t="str">
        <x:v>ORFS90_F_SW_08_08</x:v>
      </x:c>
      <x:c r="E521" s="47" t="str">
        <x:v>EN1SC_1WB_004</x:v>
      </x:c>
      <x:c r="F521" s="47" t="str"/>
      <x:c r="G521" s="33" t="str"/>
      <x:c r="H521" s="50" t="str"/>
      <x:c r="I521" s="50" t="str"/>
      <x:c r="J521" s="50" t="str"/>
      <x:c r="K521" s="47" t="str"/>
      <x:c r="L521" s="50" t="str"/>
      <x:c r="M521" s="50" t="str"/>
      <x:c r="N521" s="47" t="str"/>
      <x:c r="O521" s="50" t="str"/>
      <x:c r="P521" s="64" t="str">
        <x:f>IF(O521="","",O521*2)</x:f>
      </x:c>
      <x:c r="Q521" s="50" t="str"/>
      <x:c r="R521" s="47" t="str"/>
      <x:c r="S521" s="33" t="str">
        <x:v>Not Tested</x:v>
      </x:c>
      <x:c r="T521" s="64" t="str">
        <x:v>Eligible</x:v>
      </x:c>
      <x:c r="U521" s="47" t="str"/>
      <x:c r="V521" s="47" t="str"/>
      <x:c r="W521" s="47" t="str"/>
      <x:c r="X521" s="50" t="str"/>
      <x:c r="Y521" s="50" t="str"/>
      <x:c r="Z521" s="47" t="str"/>
      <x:c r="AA521" s="47" t="str">
        <x:v>No direct published reference located; do not display a crimp value.</x:v>
      </x:c>
      <x:c r="AB521" s="161" t="str">
        <x:v>Pending</x:v>
      </x:c>
    </x:row>
    <x:row r="522" ht="42" customHeight="1">
      <x:c r="A522" s="33" t="str">
        <x:v>Draft</x:v>
      </x:c>
      <x:c r="B522" s="47" t="str">
        <x:v>COMP_0518</x:v>
      </x:c>
      <x:c r="C522" s="47" t="str">
        <x:v>EN1SC_004</x:v>
      </x:c>
      <x:c r="D522" s="47" t="str">
        <x:v>ORFS90_F_SW_10_08</x:v>
      </x:c>
      <x:c r="E522" s="47" t="str">
        <x:v>EN1SC_1WB_004</x:v>
      </x:c>
      <x:c r="F522" s="47" t="str"/>
      <x:c r="G522" s="33" t="str"/>
      <x:c r="H522" s="50" t="str"/>
      <x:c r="I522" s="50" t="str"/>
      <x:c r="J522" s="50" t="str"/>
      <x:c r="K522" s="47" t="str"/>
      <x:c r="L522" s="50" t="str"/>
      <x:c r="M522" s="50" t="str"/>
      <x:c r="N522" s="47" t="str"/>
      <x:c r="O522" s="50" t="str"/>
      <x:c r="P522" s="64" t="str">
        <x:f>IF(O522="","",O522*2)</x:f>
      </x:c>
      <x:c r="Q522" s="50" t="str"/>
      <x:c r="R522" s="47" t="str"/>
      <x:c r="S522" s="33" t="str">
        <x:v>Not Tested</x:v>
      </x:c>
      <x:c r="T522" s="64" t="str">
        <x:v>Eligible</x:v>
      </x:c>
      <x:c r="U522" s="47" t="str"/>
      <x:c r="V522" s="47" t="str"/>
      <x:c r="W522" s="47" t="str"/>
      <x:c r="X522" s="50" t="str"/>
      <x:c r="Y522" s="50" t="str"/>
      <x:c r="Z522" s="47" t="str"/>
      <x:c r="AA522" s="47" t="str">
        <x:v>No direct published reference located; do not display a crimp value.</x:v>
      </x:c>
      <x:c r="AB522" s="161" t="str">
        <x:v>Pending</x:v>
      </x:c>
    </x:row>
    <x:row r="523" ht="42" customHeight="1">
      <x:c r="A523" s="33" t="str">
        <x:v>Draft</x:v>
      </x:c>
      <x:c r="B523" s="47" t="str">
        <x:v>COMP_0519</x:v>
      </x:c>
      <x:c r="C523" s="47" t="str">
        <x:v>EN1SC_004</x:v>
      </x:c>
      <x:c r="D523" s="47" t="str">
        <x:v>ORFS90_F_SW_12_08</x:v>
      </x:c>
      <x:c r="E523" s="47" t="str">
        <x:v>EN1SC_1WB_004</x:v>
      </x:c>
      <x:c r="F523" s="47" t="str"/>
      <x:c r="G523" s="33" t="str"/>
      <x:c r="H523" s="50" t="str"/>
      <x:c r="I523" s="50" t="str"/>
      <x:c r="J523" s="50" t="str"/>
      <x:c r="K523" s="47" t="str"/>
      <x:c r="L523" s="50" t="str"/>
      <x:c r="M523" s="50" t="str"/>
      <x:c r="N523" s="47" t="str"/>
      <x:c r="O523" s="50" t="str"/>
      <x:c r="P523" s="64" t="str">
        <x:f>IF(O523="","",O523*2)</x:f>
      </x:c>
      <x:c r="Q523" s="50" t="str"/>
      <x:c r="R523" s="47" t="str"/>
      <x:c r="S523" s="33" t="str">
        <x:v>Not Tested</x:v>
      </x:c>
      <x:c r="T523" s="64" t="str">
        <x:v>Eligible</x:v>
      </x:c>
      <x:c r="U523" s="47" t="str"/>
      <x:c r="V523" s="47" t="str"/>
      <x:c r="W523" s="47" t="str"/>
      <x:c r="X523" s="50" t="str"/>
      <x:c r="Y523" s="50" t="str"/>
      <x:c r="Z523" s="47" t="str"/>
      <x:c r="AA523" s="47" t="str">
        <x:v>No direct published reference located; do not display a crimp value.</x:v>
      </x:c>
      <x:c r="AB523" s="161" t="str">
        <x:v>Pending</x:v>
      </x:c>
    </x:row>
    <x:row r="524" ht="42" customHeight="1">
      <x:c r="A524" s="33" t="str">
        <x:v>Draft</x:v>
      </x:c>
      <x:c r="B524" s="47" t="str">
        <x:v>COMP_0520</x:v>
      </x:c>
      <x:c r="C524" s="47" t="str">
        <x:v>EN1SC_005</x:v>
      </x:c>
      <x:c r="D524" s="47" t="str">
        <x:v>BSPP_F_SW_10_10</x:v>
      </x:c>
      <x:c r="E524" s="47" t="str">
        <x:v>EN1SC_1WB_005</x:v>
      </x:c>
      <x:c r="F524" s="47" t="str"/>
      <x:c r="G524" s="33" t="str"/>
      <x:c r="H524" s="50" t="str"/>
      <x:c r="I524" s="50" t="str"/>
      <x:c r="J524" s="50" t="str"/>
      <x:c r="K524" s="47" t="str"/>
      <x:c r="L524" s="50" t="str"/>
      <x:c r="M524" s="50" t="str"/>
      <x:c r="N524" s="47" t="str"/>
      <x:c r="O524" s="50" t="str"/>
      <x:c r="P524" s="64" t="str">
        <x:f>IF(O524="","",O524*2)</x:f>
      </x:c>
      <x:c r="Q524" s="50" t="str"/>
      <x:c r="R524" s="47" t="str"/>
      <x:c r="S524" s="33" t="str">
        <x:v>Not Tested</x:v>
      </x:c>
      <x:c r="T524" s="64" t="str">
        <x:v>Eligible</x:v>
      </x:c>
      <x:c r="U524" s="47" t="str"/>
      <x:c r="V524" s="47" t="str"/>
      <x:c r="W524" s="47" t="str"/>
      <x:c r="X524" s="50" t="str"/>
      <x:c r="Y524" s="50" t="str"/>
      <x:c r="Z524" s="47" t="str"/>
      <x:c r="AA524" s="47" t="str">
        <x:v>No direct published reference located; do not display a crimp value.</x:v>
      </x:c>
      <x:c r="AB524" s="161" t="str">
        <x:v>Pending</x:v>
      </x:c>
    </x:row>
    <x:row r="525" ht="42" customHeight="1">
      <x:c r="A525" s="33" t="str">
        <x:v>Draft</x:v>
      </x:c>
      <x:c r="B525" s="47" t="str">
        <x:v>COMP_0521</x:v>
      </x:c>
      <x:c r="C525" s="47" t="str">
        <x:v>EN1SC_005</x:v>
      </x:c>
      <x:c r="D525" s="47" t="str">
        <x:v>BSPP45_F_SW_10_10</x:v>
      </x:c>
      <x:c r="E525" s="47" t="str">
        <x:v>EN1SC_1WB_005</x:v>
      </x:c>
      <x:c r="F525" s="47" t="str"/>
      <x:c r="G525" s="33" t="str"/>
      <x:c r="H525" s="50" t="str"/>
      <x:c r="I525" s="50" t="str"/>
      <x:c r="J525" s="50" t="str"/>
      <x:c r="K525" s="47" t="str"/>
      <x:c r="L525" s="50" t="str"/>
      <x:c r="M525" s="50" t="str"/>
      <x:c r="N525" s="47" t="str"/>
      <x:c r="O525" s="50" t="str"/>
      <x:c r="P525" s="64" t="str">
        <x:f>IF(O525="","",O525*2)</x:f>
      </x:c>
      <x:c r="Q525" s="50" t="str"/>
      <x:c r="R525" s="47" t="str"/>
      <x:c r="S525" s="33" t="str">
        <x:v>Not Tested</x:v>
      </x:c>
      <x:c r="T525" s="64" t="str">
        <x:v>Eligible</x:v>
      </x:c>
      <x:c r="U525" s="47" t="str"/>
      <x:c r="V525" s="47" t="str"/>
      <x:c r="W525" s="47" t="str"/>
      <x:c r="X525" s="50" t="str"/>
      <x:c r="Y525" s="50" t="str"/>
      <x:c r="Z525" s="47" t="str"/>
      <x:c r="AA525" s="47" t="str">
        <x:v>No direct published reference located; do not display a crimp value.</x:v>
      </x:c>
      <x:c r="AB525" s="161" t="str">
        <x:v>Pending</x:v>
      </x:c>
    </x:row>
    <x:row r="526" ht="42" customHeight="1">
      <x:c r="A526" s="33" t="str">
        <x:v>Draft</x:v>
      </x:c>
      <x:c r="B526" s="47" t="str">
        <x:v>COMP_0522</x:v>
      </x:c>
      <x:c r="C526" s="47" t="str">
        <x:v>EN1SC_005</x:v>
      </x:c>
      <x:c r="D526" s="47" t="str">
        <x:v>BSPP90_F_SW_10_10</x:v>
      </x:c>
      <x:c r="E526" s="47" t="str">
        <x:v>EN1SC_1WB_005</x:v>
      </x:c>
      <x:c r="F526" s="47" t="str"/>
      <x:c r="G526" s="33" t="str"/>
      <x:c r="H526" s="50" t="str"/>
      <x:c r="I526" s="50" t="str"/>
      <x:c r="J526" s="50" t="str"/>
      <x:c r="K526" s="47" t="str"/>
      <x:c r="L526" s="50" t="str"/>
      <x:c r="M526" s="50" t="str"/>
      <x:c r="N526" s="47" t="str"/>
      <x:c r="O526" s="50" t="str"/>
      <x:c r="P526" s="64" t="str">
        <x:f>IF(O526="","",O526*2)</x:f>
      </x:c>
      <x:c r="Q526" s="50" t="str"/>
      <x:c r="R526" s="47" t="str"/>
      <x:c r="S526" s="33" t="str">
        <x:v>Not Tested</x:v>
      </x:c>
      <x:c r="T526" s="64" t="str">
        <x:v>Eligible</x:v>
      </x:c>
      <x:c r="U526" s="47" t="str"/>
      <x:c r="V526" s="47" t="str"/>
      <x:c r="W526" s="47" t="str"/>
      <x:c r="X526" s="50" t="str"/>
      <x:c r="Y526" s="50" t="str"/>
      <x:c r="Z526" s="47" t="str"/>
      <x:c r="AA526" s="47" t="str">
        <x:v>No direct published reference located; do not display a crimp value.</x:v>
      </x:c>
      <x:c r="AB526" s="161" t="str">
        <x:v>Pending</x:v>
      </x:c>
    </x:row>
    <x:row r="527" ht="42" customHeight="1">
      <x:c r="A527" s="33" t="str">
        <x:v>Draft</x:v>
      </x:c>
      <x:c r="B527" s="47" t="str">
        <x:v>COMP_0523</x:v>
      </x:c>
      <x:c r="C527" s="47" t="str">
        <x:v>EN1SC_005</x:v>
      </x:c>
      <x:c r="D527" s="47" t="str">
        <x:v>JIC_F_SW_08_10</x:v>
      </x:c>
      <x:c r="E527" s="47" t="str">
        <x:v>EN1SC_1WB_005</x:v>
      </x:c>
      <x:c r="F527" s="47" t="str"/>
      <x:c r="G527" s="33" t="str"/>
      <x:c r="H527" s="50" t="str"/>
      <x:c r="I527" s="50" t="str"/>
      <x:c r="J527" s="50" t="str"/>
      <x:c r="K527" s="47" t="str"/>
      <x:c r="L527" s="50" t="str"/>
      <x:c r="M527" s="50" t="str"/>
      <x:c r="N527" s="47" t="str"/>
      <x:c r="O527" s="50" t="str"/>
      <x:c r="P527" s="64" t="str">
        <x:f>IF(O527="","",O527*2)</x:f>
      </x:c>
      <x:c r="Q527" s="50" t="str"/>
      <x:c r="R527" s="47" t="str"/>
      <x:c r="S527" s="33" t="str">
        <x:v>Not Tested</x:v>
      </x:c>
      <x:c r="T527" s="64" t="str">
        <x:v>Eligible</x:v>
      </x:c>
      <x:c r="U527" s="47" t="str"/>
      <x:c r="V527" s="47" t="str"/>
      <x:c r="W527" s="47" t="str"/>
      <x:c r="X527" s="50" t="str"/>
      <x:c r="Y527" s="50" t="str"/>
      <x:c r="Z527" s="47" t="str"/>
      <x:c r="AA527" s="47" t="str">
        <x:v>No direct published reference located; do not display a crimp value.</x:v>
      </x:c>
      <x:c r="AB527" s="161" t="str">
        <x:v>Pending</x:v>
      </x:c>
    </x:row>
    <x:row r="528" ht="42" customHeight="1">
      <x:c r="A528" s="33" t="str">
        <x:v>Draft</x:v>
      </x:c>
      <x:c r="B528" s="47" t="str">
        <x:v>COMP_0524</x:v>
      </x:c>
      <x:c r="C528" s="47" t="str">
        <x:v>EN1SC_005</x:v>
      </x:c>
      <x:c r="D528" s="47" t="str">
        <x:v>JIC_F_SW_10_10</x:v>
      </x:c>
      <x:c r="E528" s="47" t="str">
        <x:v>EN1SC_1WB_005</x:v>
      </x:c>
      <x:c r="F528" s="47" t="str"/>
      <x:c r="G528" s="33" t="str"/>
      <x:c r="H528" s="50" t="str"/>
      <x:c r="I528" s="50" t="str"/>
      <x:c r="J528" s="50" t="str"/>
      <x:c r="K528" s="47" t="str"/>
      <x:c r="L528" s="50" t="str"/>
      <x:c r="M528" s="50" t="str"/>
      <x:c r="N528" s="47" t="str"/>
      <x:c r="O528" s="50" t="str"/>
      <x:c r="P528" s="64" t="str">
        <x:f>IF(O528="","",O528*2)</x:f>
      </x:c>
      <x:c r="Q528" s="50" t="str"/>
      <x:c r="R528" s="47" t="str"/>
      <x:c r="S528" s="33" t="str">
        <x:v>Not Tested</x:v>
      </x:c>
      <x:c r="T528" s="64" t="str">
        <x:v>Eligible</x:v>
      </x:c>
      <x:c r="U528" s="47" t="str"/>
      <x:c r="V528" s="47" t="str"/>
      <x:c r="W528" s="47" t="str"/>
      <x:c r="X528" s="50" t="str"/>
      <x:c r="Y528" s="50" t="str"/>
      <x:c r="Z528" s="47" t="str"/>
      <x:c r="AA528" s="47" t="str">
        <x:v>No direct published reference located; do not display a crimp value.</x:v>
      </x:c>
      <x:c r="AB528" s="161" t="str">
        <x:v>Pending</x:v>
      </x:c>
    </x:row>
    <x:row r="529" ht="42" customHeight="1">
      <x:c r="A529" s="33" t="str">
        <x:v>Draft</x:v>
      </x:c>
      <x:c r="B529" s="47" t="str">
        <x:v>COMP_0525</x:v>
      </x:c>
      <x:c r="C529" s="47" t="str">
        <x:v>EN1SC_005</x:v>
      </x:c>
      <x:c r="D529" s="47" t="str">
        <x:v>JIC_F_SW_12_10</x:v>
      </x:c>
      <x:c r="E529" s="47" t="str">
        <x:v>EN1SC_1WB_005</x:v>
      </x:c>
      <x:c r="F529" s="47" t="str"/>
      <x:c r="G529" s="33" t="str"/>
      <x:c r="H529" s="50" t="str"/>
      <x:c r="I529" s="50" t="str"/>
      <x:c r="J529" s="50" t="str"/>
      <x:c r="K529" s="47" t="str"/>
      <x:c r="L529" s="50" t="str"/>
      <x:c r="M529" s="50" t="str"/>
      <x:c r="N529" s="47" t="str"/>
      <x:c r="O529" s="50" t="str"/>
      <x:c r="P529" s="64" t="str">
        <x:f>IF(O529="","",O529*2)</x:f>
      </x:c>
      <x:c r="Q529" s="50" t="str"/>
      <x:c r="R529" s="47" t="str"/>
      <x:c r="S529" s="33" t="str">
        <x:v>Not Tested</x:v>
      </x:c>
      <x:c r="T529" s="64" t="str">
        <x:v>Eligible</x:v>
      </x:c>
      <x:c r="U529" s="47" t="str"/>
      <x:c r="V529" s="47" t="str"/>
      <x:c r="W529" s="47" t="str"/>
      <x:c r="X529" s="50" t="str"/>
      <x:c r="Y529" s="50" t="str"/>
      <x:c r="Z529" s="47" t="str"/>
      <x:c r="AA529" s="47" t="str">
        <x:v>No direct published reference located; do not display a crimp value.</x:v>
      </x:c>
      <x:c r="AB529" s="161" t="str">
        <x:v>Pending</x:v>
      </x:c>
    </x:row>
    <x:row r="530" ht="42" customHeight="1">
      <x:c r="A530" s="33" t="str">
        <x:v>Draft</x:v>
      </x:c>
      <x:c r="B530" s="47" t="str">
        <x:v>COMP_0526</x:v>
      </x:c>
      <x:c r="C530" s="47" t="str">
        <x:v>EN1SC_005</x:v>
      </x:c>
      <x:c r="D530" s="47" t="str">
        <x:v>JIC_M_FX_10_10</x:v>
      </x:c>
      <x:c r="E530" s="47" t="str">
        <x:v>EN1SC_1WB_005</x:v>
      </x:c>
      <x:c r="F530" s="47" t="str"/>
      <x:c r="G530" s="33" t="str"/>
      <x:c r="H530" s="50" t="str"/>
      <x:c r="I530" s="50" t="str"/>
      <x:c r="J530" s="50" t="str"/>
      <x:c r="K530" s="47" t="str"/>
      <x:c r="L530" s="50" t="str"/>
      <x:c r="M530" s="50" t="str"/>
      <x:c r="N530" s="47" t="str"/>
      <x:c r="O530" s="50" t="str"/>
      <x:c r="P530" s="64" t="str">
        <x:f>IF(O530="","",O530*2)</x:f>
      </x:c>
      <x:c r="Q530" s="50" t="str"/>
      <x:c r="R530" s="47" t="str"/>
      <x:c r="S530" s="33" t="str">
        <x:v>Not Tested</x:v>
      </x:c>
      <x:c r="T530" s="64" t="str">
        <x:v>Eligible</x:v>
      </x:c>
      <x:c r="U530" s="47" t="str"/>
      <x:c r="V530" s="47" t="str"/>
      <x:c r="W530" s="47" t="str"/>
      <x:c r="X530" s="50" t="str"/>
      <x:c r="Y530" s="50" t="str"/>
      <x:c r="Z530" s="47" t="str"/>
      <x:c r="AA530" s="47" t="str">
        <x:v>No direct published reference located; do not display a crimp value.</x:v>
      </x:c>
      <x:c r="AB530" s="161" t="str">
        <x:v>Pending</x:v>
      </x:c>
    </x:row>
    <x:row r="531" ht="42" customHeight="1">
      <x:c r="A531" s="33" t="str">
        <x:v>Draft</x:v>
      </x:c>
      <x:c r="B531" s="47" t="str">
        <x:v>COMP_0527</x:v>
      </x:c>
      <x:c r="C531" s="47" t="str">
        <x:v>EN1SC_005</x:v>
      </x:c>
      <x:c r="D531" s="47" t="str">
        <x:v>JIC45_F_SW_10_10</x:v>
      </x:c>
      <x:c r="E531" s="47" t="str">
        <x:v>EN1SC_1WB_005</x:v>
      </x:c>
      <x:c r="F531" s="47" t="str"/>
      <x:c r="G531" s="33" t="str"/>
      <x:c r="H531" s="50" t="str"/>
      <x:c r="I531" s="50" t="str"/>
      <x:c r="J531" s="50" t="str"/>
      <x:c r="K531" s="47" t="str"/>
      <x:c r="L531" s="50" t="str"/>
      <x:c r="M531" s="50" t="str"/>
      <x:c r="N531" s="47" t="str"/>
      <x:c r="O531" s="50" t="str"/>
      <x:c r="P531" s="64" t="str">
        <x:f>IF(O531="","",O531*2)</x:f>
      </x:c>
      <x:c r="Q531" s="50" t="str"/>
      <x:c r="R531" s="47" t="str"/>
      <x:c r="S531" s="33" t="str">
        <x:v>Not Tested</x:v>
      </x:c>
      <x:c r="T531" s="64" t="str">
        <x:v>Eligible</x:v>
      </x:c>
      <x:c r="U531" s="47" t="str"/>
      <x:c r="V531" s="47" t="str"/>
      <x:c r="W531" s="47" t="str"/>
      <x:c r="X531" s="50" t="str"/>
      <x:c r="Y531" s="50" t="str"/>
      <x:c r="Z531" s="47" t="str"/>
      <x:c r="AA531" s="47" t="str">
        <x:v>No direct published reference located; do not display a crimp value.</x:v>
      </x:c>
      <x:c r="AB531" s="161" t="str">
        <x:v>Pending</x:v>
      </x:c>
    </x:row>
    <x:row r="532" ht="42" customHeight="1">
      <x:c r="A532" s="33" t="str">
        <x:v>Draft</x:v>
      </x:c>
      <x:c r="B532" s="47" t="str">
        <x:v>COMP_0528</x:v>
      </x:c>
      <x:c r="C532" s="47" t="str">
        <x:v>EN1SC_005</x:v>
      </x:c>
      <x:c r="D532" s="47" t="str">
        <x:v>JIC45_F_SW_12_10</x:v>
      </x:c>
      <x:c r="E532" s="47" t="str">
        <x:v>EN1SC_1WB_005</x:v>
      </x:c>
      <x:c r="F532" s="47" t="str"/>
      <x:c r="G532" s="33" t="str"/>
      <x:c r="H532" s="50" t="str"/>
      <x:c r="I532" s="50" t="str"/>
      <x:c r="J532" s="50" t="str"/>
      <x:c r="K532" s="47" t="str"/>
      <x:c r="L532" s="50" t="str"/>
      <x:c r="M532" s="50" t="str"/>
      <x:c r="N532" s="47" t="str"/>
      <x:c r="O532" s="50" t="str"/>
      <x:c r="P532" s="64" t="str">
        <x:f>IF(O532="","",O532*2)</x:f>
      </x:c>
      <x:c r="Q532" s="50" t="str"/>
      <x:c r="R532" s="47" t="str"/>
      <x:c r="S532" s="33" t="str">
        <x:v>Not Tested</x:v>
      </x:c>
      <x:c r="T532" s="64" t="str">
        <x:v>Eligible</x:v>
      </x:c>
      <x:c r="U532" s="47" t="str"/>
      <x:c r="V532" s="47" t="str"/>
      <x:c r="W532" s="47" t="str"/>
      <x:c r="X532" s="50" t="str"/>
      <x:c r="Y532" s="50" t="str"/>
      <x:c r="Z532" s="47" t="str"/>
      <x:c r="AA532" s="47" t="str">
        <x:v>No direct published reference located; do not display a crimp value.</x:v>
      </x:c>
      <x:c r="AB532" s="161" t="str">
        <x:v>Pending</x:v>
      </x:c>
    </x:row>
    <x:row r="533" ht="42" customHeight="1">
      <x:c r="A533" s="33" t="str">
        <x:v>Draft</x:v>
      </x:c>
      <x:c r="B533" s="47" t="str">
        <x:v>COMP_0529</x:v>
      </x:c>
      <x:c r="C533" s="47" t="str">
        <x:v>EN1SC_005</x:v>
      </x:c>
      <x:c r="D533" s="47" t="str">
        <x:v>JIC90_F_SW_10_10</x:v>
      </x:c>
      <x:c r="E533" s="47" t="str">
        <x:v>EN1SC_1WB_005</x:v>
      </x:c>
      <x:c r="F533" s="47" t="str"/>
      <x:c r="G533" s="33" t="str"/>
      <x:c r="H533" s="50" t="str"/>
      <x:c r="I533" s="50" t="str"/>
      <x:c r="J533" s="50" t="str"/>
      <x:c r="K533" s="47" t="str"/>
      <x:c r="L533" s="50" t="str"/>
      <x:c r="M533" s="50" t="str"/>
      <x:c r="N533" s="47" t="str"/>
      <x:c r="O533" s="50" t="str"/>
      <x:c r="P533" s="64" t="str">
        <x:f>IF(O533="","",O533*2)</x:f>
      </x:c>
      <x:c r="Q533" s="50" t="str"/>
      <x:c r="R533" s="47" t="str"/>
      <x:c r="S533" s="33" t="str">
        <x:v>Not Tested</x:v>
      </x:c>
      <x:c r="T533" s="64" t="str">
        <x:v>Eligible</x:v>
      </x:c>
      <x:c r="U533" s="47" t="str"/>
      <x:c r="V533" s="47" t="str"/>
      <x:c r="W533" s="47" t="str"/>
      <x:c r="X533" s="50" t="str"/>
      <x:c r="Y533" s="50" t="str"/>
      <x:c r="Z533" s="47" t="str"/>
      <x:c r="AA533" s="47" t="str">
        <x:v>No direct published reference located; do not display a crimp value.</x:v>
      </x:c>
      <x:c r="AB533" s="161" t="str">
        <x:v>Pending</x:v>
      </x:c>
    </x:row>
    <x:row r="534" ht="42" customHeight="1">
      <x:c r="A534" s="33" t="str">
        <x:v>Draft</x:v>
      </x:c>
      <x:c r="B534" s="47" t="str">
        <x:v>COMP_0530</x:v>
      </x:c>
      <x:c r="C534" s="47" t="str">
        <x:v>EN1SC_005</x:v>
      </x:c>
      <x:c r="D534" s="47" t="str">
        <x:v>JIC90_F_SW_12_10</x:v>
      </x:c>
      <x:c r="E534" s="47" t="str">
        <x:v>EN1SC_1WB_005</x:v>
      </x:c>
      <x:c r="F534" s="47" t="str"/>
      <x:c r="G534" s="33" t="str"/>
      <x:c r="H534" s="50" t="str"/>
      <x:c r="I534" s="50" t="str"/>
      <x:c r="J534" s="50" t="str"/>
      <x:c r="K534" s="47" t="str"/>
      <x:c r="L534" s="50" t="str"/>
      <x:c r="M534" s="50" t="str"/>
      <x:c r="N534" s="47" t="str"/>
      <x:c r="O534" s="50" t="str"/>
      <x:c r="P534" s="64" t="str">
        <x:f>IF(O534="","",O534*2)</x:f>
      </x:c>
      <x:c r="Q534" s="50" t="str"/>
      <x:c r="R534" s="47" t="str"/>
      <x:c r="S534" s="33" t="str">
        <x:v>Not Tested</x:v>
      </x:c>
      <x:c r="T534" s="64" t="str">
        <x:v>Eligible</x:v>
      </x:c>
      <x:c r="U534" s="47" t="str"/>
      <x:c r="V534" s="47" t="str"/>
      <x:c r="W534" s="47" t="str"/>
      <x:c r="X534" s="50" t="str"/>
      <x:c r="Y534" s="50" t="str"/>
      <x:c r="Z534" s="47" t="str"/>
      <x:c r="AA534" s="47" t="str">
        <x:v>No direct published reference located; do not display a crimp value.</x:v>
      </x:c>
      <x:c r="AB534" s="161" t="str">
        <x:v>Pending</x:v>
      </x:c>
    </x:row>
    <x:row r="535" ht="42" customHeight="1">
      <x:c r="A535" s="33" t="str">
        <x:v>Draft</x:v>
      </x:c>
      <x:c r="B535" s="47" t="str">
        <x:v>COMP_0531</x:v>
      </x:c>
      <x:c r="C535" s="47" t="str">
        <x:v>EN1SC_005</x:v>
      </x:c>
      <x:c r="D535" s="47" t="str">
        <x:v>NPT_M_FX_06_10</x:v>
      </x:c>
      <x:c r="E535" s="47" t="str">
        <x:v>EN1SC_1WB_005</x:v>
      </x:c>
      <x:c r="F535" s="47" t="str"/>
      <x:c r="G535" s="33" t="str"/>
      <x:c r="H535" s="50" t="str"/>
      <x:c r="I535" s="50" t="str"/>
      <x:c r="J535" s="50" t="str"/>
      <x:c r="K535" s="47" t="str"/>
      <x:c r="L535" s="50" t="str"/>
      <x:c r="M535" s="50" t="str"/>
      <x:c r="N535" s="47" t="str"/>
      <x:c r="O535" s="50" t="str"/>
      <x:c r="P535" s="64" t="str">
        <x:f>IF(O535="","",O535*2)</x:f>
      </x:c>
      <x:c r="Q535" s="50" t="str"/>
      <x:c r="R535" s="47" t="str"/>
      <x:c r="S535" s="33" t="str">
        <x:v>Not Tested</x:v>
      </x:c>
      <x:c r="T535" s="64" t="str">
        <x:v>Eligible</x:v>
      </x:c>
      <x:c r="U535" s="47" t="str"/>
      <x:c r="V535" s="47" t="str"/>
      <x:c r="W535" s="47" t="str"/>
      <x:c r="X535" s="50" t="str"/>
      <x:c r="Y535" s="50" t="str"/>
      <x:c r="Z535" s="47" t="str"/>
      <x:c r="AA535" s="47" t="str">
        <x:v>No direct published reference located; do not display a crimp value.</x:v>
      </x:c>
      <x:c r="AB535" s="161" t="str">
        <x:v>Pending</x:v>
      </x:c>
    </x:row>
    <x:row r="536" ht="42" customHeight="1">
      <x:c r="A536" s="33" t="str">
        <x:v>Draft</x:v>
      </x:c>
      <x:c r="B536" s="47" t="str">
        <x:v>COMP_0532</x:v>
      </x:c>
      <x:c r="C536" s="47" t="str">
        <x:v>EN1SC_005</x:v>
      </x:c>
      <x:c r="D536" s="47" t="str">
        <x:v>NPT_M_FX_08_10</x:v>
      </x:c>
      <x:c r="E536" s="47" t="str">
        <x:v>EN1SC_1WB_005</x:v>
      </x:c>
      <x:c r="F536" s="47" t="str"/>
      <x:c r="G536" s="33" t="str"/>
      <x:c r="H536" s="50" t="str"/>
      <x:c r="I536" s="50" t="str"/>
      <x:c r="J536" s="50" t="str"/>
      <x:c r="K536" s="47" t="str"/>
      <x:c r="L536" s="50" t="str"/>
      <x:c r="M536" s="50" t="str"/>
      <x:c r="N536" s="47" t="str"/>
      <x:c r="O536" s="50" t="str"/>
      <x:c r="P536" s="64" t="str">
        <x:f>IF(O536="","",O536*2)</x:f>
      </x:c>
      <x:c r="Q536" s="50" t="str"/>
      <x:c r="R536" s="47" t="str"/>
      <x:c r="S536" s="33" t="str">
        <x:v>Not Tested</x:v>
      </x:c>
      <x:c r="T536" s="64" t="str">
        <x:v>Eligible</x:v>
      </x:c>
      <x:c r="U536" s="47" t="str"/>
      <x:c r="V536" s="47" t="str"/>
      <x:c r="W536" s="47" t="str"/>
      <x:c r="X536" s="50" t="str"/>
      <x:c r="Y536" s="50" t="str"/>
      <x:c r="Z536" s="47" t="str"/>
      <x:c r="AA536" s="47" t="str">
        <x:v>No direct published reference located; do not display a crimp value.</x:v>
      </x:c>
      <x:c r="AB536" s="161" t="str">
        <x:v>Pending</x:v>
      </x:c>
    </x:row>
    <x:row r="537" ht="42" customHeight="1">
      <x:c r="A537" s="33" t="str">
        <x:v>Draft</x:v>
      </x:c>
      <x:c r="B537" s="47" t="str">
        <x:v>COMP_0533</x:v>
      </x:c>
      <x:c r="C537" s="47" t="str">
        <x:v>EN1SC_005</x:v>
      </x:c>
      <x:c r="D537" s="47" t="str">
        <x:v>NPT_M_FX_12_10</x:v>
      </x:c>
      <x:c r="E537" s="47" t="str">
        <x:v>EN1SC_1WB_005</x:v>
      </x:c>
      <x:c r="F537" s="47" t="str"/>
      <x:c r="G537" s="33" t="str"/>
      <x:c r="H537" s="50" t="str"/>
      <x:c r="I537" s="50" t="str"/>
      <x:c r="J537" s="50" t="str"/>
      <x:c r="K537" s="47" t="str"/>
      <x:c r="L537" s="50" t="str"/>
      <x:c r="M537" s="50" t="str"/>
      <x:c r="N537" s="47" t="str"/>
      <x:c r="O537" s="50" t="str"/>
      <x:c r="P537" s="64" t="str">
        <x:f>IF(O537="","",O537*2)</x:f>
      </x:c>
      <x:c r="Q537" s="50" t="str"/>
      <x:c r="R537" s="47" t="str"/>
      <x:c r="S537" s="33" t="str">
        <x:v>Not Tested</x:v>
      </x:c>
      <x:c r="T537" s="64" t="str">
        <x:v>Eligible</x:v>
      </x:c>
      <x:c r="U537" s="47" t="str"/>
      <x:c r="V537" s="47" t="str"/>
      <x:c r="W537" s="47" t="str"/>
      <x:c r="X537" s="50" t="str"/>
      <x:c r="Y537" s="50" t="str"/>
      <x:c r="Z537" s="47" t="str"/>
      <x:c r="AA537" s="47" t="str">
        <x:v>No direct published reference located; do not display a crimp value.</x:v>
      </x:c>
      <x:c r="AB537" s="161" t="str">
        <x:v>Pending</x:v>
      </x:c>
    </x:row>
    <x:row r="538" ht="42" customHeight="1">
      <x:c r="A538" s="33" t="str">
        <x:v>Draft</x:v>
      </x:c>
      <x:c r="B538" s="47" t="str">
        <x:v>COMP_0534</x:v>
      </x:c>
      <x:c r="C538" s="47" t="str">
        <x:v>EN1SC_005</x:v>
      </x:c>
      <x:c r="D538" s="47" t="str">
        <x:v>ORFS_F_SW_08_10</x:v>
      </x:c>
      <x:c r="E538" s="47" t="str">
        <x:v>EN1SC_1WB_005</x:v>
      </x:c>
      <x:c r="F538" s="47" t="str"/>
      <x:c r="G538" s="33" t="str"/>
      <x:c r="H538" s="50" t="str"/>
      <x:c r="I538" s="50" t="str"/>
      <x:c r="J538" s="50" t="str"/>
      <x:c r="K538" s="47" t="str"/>
      <x:c r="L538" s="50" t="str"/>
      <x:c r="M538" s="50" t="str"/>
      <x:c r="N538" s="47" t="str"/>
      <x:c r="O538" s="50" t="str"/>
      <x:c r="P538" s="64" t="str">
        <x:f>IF(O538="","",O538*2)</x:f>
      </x:c>
      <x:c r="Q538" s="50" t="str"/>
      <x:c r="R538" s="47" t="str"/>
      <x:c r="S538" s="33" t="str">
        <x:v>Not Tested</x:v>
      </x:c>
      <x:c r="T538" s="64" t="str">
        <x:v>Eligible</x:v>
      </x:c>
      <x:c r="U538" s="47" t="str"/>
      <x:c r="V538" s="47" t="str"/>
      <x:c r="W538" s="47" t="str"/>
      <x:c r="X538" s="50" t="str"/>
      <x:c r="Y538" s="50" t="str"/>
      <x:c r="Z538" s="47" t="str"/>
      <x:c r="AA538" s="47" t="str">
        <x:v>No direct published reference located; do not display a crimp value.</x:v>
      </x:c>
      <x:c r="AB538" s="161" t="str">
        <x:v>Pending</x:v>
      </x:c>
    </x:row>
    <x:row r="539" ht="42" customHeight="1">
      <x:c r="A539" s="33" t="str">
        <x:v>Draft</x:v>
      </x:c>
      <x:c r="B539" s="47" t="str">
        <x:v>COMP_0535</x:v>
      </x:c>
      <x:c r="C539" s="47" t="str">
        <x:v>EN1SC_005</x:v>
      </x:c>
      <x:c r="D539" s="47" t="str">
        <x:v>ORFS_F_SW_10_10</x:v>
      </x:c>
      <x:c r="E539" s="47" t="str">
        <x:v>EN1SC_1WB_005</x:v>
      </x:c>
      <x:c r="F539" s="47" t="str"/>
      <x:c r="G539" s="33" t="str"/>
      <x:c r="H539" s="50" t="str"/>
      <x:c r="I539" s="50" t="str"/>
      <x:c r="J539" s="50" t="str"/>
      <x:c r="K539" s="47" t="str"/>
      <x:c r="L539" s="50" t="str"/>
      <x:c r="M539" s="50" t="str"/>
      <x:c r="N539" s="47" t="str"/>
      <x:c r="O539" s="50" t="str"/>
      <x:c r="P539" s="64" t="str">
        <x:f>IF(O539="","",O539*2)</x:f>
      </x:c>
      <x:c r="Q539" s="50" t="str"/>
      <x:c r="R539" s="47" t="str"/>
      <x:c r="S539" s="33" t="str">
        <x:v>Not Tested</x:v>
      </x:c>
      <x:c r="T539" s="64" t="str">
        <x:v>Eligible</x:v>
      </x:c>
      <x:c r="U539" s="47" t="str"/>
      <x:c r="V539" s="47" t="str"/>
      <x:c r="W539" s="47" t="str"/>
      <x:c r="X539" s="50" t="str"/>
      <x:c r="Y539" s="50" t="str"/>
      <x:c r="Z539" s="47" t="str"/>
      <x:c r="AA539" s="47" t="str">
        <x:v>No direct published reference located; do not display a crimp value.</x:v>
      </x:c>
      <x:c r="AB539" s="161" t="str">
        <x:v>Pending</x:v>
      </x:c>
    </x:row>
    <x:row r="540" ht="42" customHeight="1">
      <x:c r="A540" s="33" t="str">
        <x:v>Draft</x:v>
      </x:c>
      <x:c r="B540" s="47" t="str">
        <x:v>COMP_0536</x:v>
      </x:c>
      <x:c r="C540" s="47" t="str">
        <x:v>EN1SC_005</x:v>
      </x:c>
      <x:c r="D540" s="47" t="str">
        <x:v>ORFS_F_SW_12_10</x:v>
      </x:c>
      <x:c r="E540" s="47" t="str">
        <x:v>EN1SC_1WB_005</x:v>
      </x:c>
      <x:c r="F540" s="47" t="str"/>
      <x:c r="G540" s="33" t="str"/>
      <x:c r="H540" s="50" t="str"/>
      <x:c r="I540" s="50" t="str"/>
      <x:c r="J540" s="50" t="str"/>
      <x:c r="K540" s="47" t="str"/>
      <x:c r="L540" s="50" t="str"/>
      <x:c r="M540" s="50" t="str"/>
      <x:c r="N540" s="47" t="str"/>
      <x:c r="O540" s="50" t="str"/>
      <x:c r="P540" s="64" t="str">
        <x:f>IF(O540="","",O540*2)</x:f>
      </x:c>
      <x:c r="Q540" s="50" t="str"/>
      <x:c r="R540" s="47" t="str"/>
      <x:c r="S540" s="33" t="str">
        <x:v>Not Tested</x:v>
      </x:c>
      <x:c r="T540" s="64" t="str">
        <x:v>Eligible</x:v>
      </x:c>
      <x:c r="U540" s="47" t="str"/>
      <x:c r="V540" s="47" t="str"/>
      <x:c r="W540" s="47" t="str"/>
      <x:c r="X540" s="50" t="str"/>
      <x:c r="Y540" s="50" t="str"/>
      <x:c r="Z540" s="47" t="str"/>
      <x:c r="AA540" s="47" t="str">
        <x:v>No direct published reference located; do not display a crimp value.</x:v>
      </x:c>
      <x:c r="AB540" s="161" t="str">
        <x:v>Pending</x:v>
      </x:c>
    </x:row>
    <x:row r="541" ht="42" customHeight="1">
      <x:c r="A541" s="33" t="str">
        <x:v>Draft</x:v>
      </x:c>
      <x:c r="B541" s="47" t="str">
        <x:v>COMP_0537</x:v>
      </x:c>
      <x:c r="C541" s="47" t="str">
        <x:v>EN1SC_005</x:v>
      </x:c>
      <x:c r="D541" s="47" t="str">
        <x:v>ORFS_M_FX_10_10</x:v>
      </x:c>
      <x:c r="E541" s="47" t="str">
        <x:v>EN1SC_1WB_005</x:v>
      </x:c>
      <x:c r="F541" s="47" t="str"/>
      <x:c r="G541" s="33" t="str"/>
      <x:c r="H541" s="50" t="str"/>
      <x:c r="I541" s="50" t="str"/>
      <x:c r="J541" s="50" t="str"/>
      <x:c r="K541" s="47" t="str"/>
      <x:c r="L541" s="50" t="str"/>
      <x:c r="M541" s="50" t="str"/>
      <x:c r="N541" s="47" t="str"/>
      <x:c r="O541" s="50" t="str"/>
      <x:c r="P541" s="64" t="str">
        <x:f>IF(O541="","",O541*2)</x:f>
      </x:c>
      <x:c r="Q541" s="50" t="str"/>
      <x:c r="R541" s="47" t="str"/>
      <x:c r="S541" s="33" t="str">
        <x:v>Not Tested</x:v>
      </x:c>
      <x:c r="T541" s="64" t="str">
        <x:v>Eligible</x:v>
      </x:c>
      <x:c r="U541" s="47" t="str"/>
      <x:c r="V541" s="47" t="str"/>
      <x:c r="W541" s="47" t="str"/>
      <x:c r="X541" s="50" t="str"/>
      <x:c r="Y541" s="50" t="str"/>
      <x:c r="Z541" s="47" t="str"/>
      <x:c r="AA541" s="47" t="str">
        <x:v>No direct published reference located; do not display a crimp value.</x:v>
      </x:c>
      <x:c r="AB541" s="161" t="str">
        <x:v>Pending</x:v>
      </x:c>
    </x:row>
    <x:row r="542" ht="42" customHeight="1">
      <x:c r="A542" s="33" t="str">
        <x:v>Draft</x:v>
      </x:c>
      <x:c r="B542" s="47" t="str">
        <x:v>COMP_0538</x:v>
      </x:c>
      <x:c r="C542" s="47" t="str">
        <x:v>EN1SC_005</x:v>
      </x:c>
      <x:c r="D542" s="47" t="str">
        <x:v>ORFS_M_FX_12_10</x:v>
      </x:c>
      <x:c r="E542" s="47" t="str">
        <x:v>EN1SC_1WB_005</x:v>
      </x:c>
      <x:c r="F542" s="47" t="str"/>
      <x:c r="G542" s="33" t="str"/>
      <x:c r="H542" s="50" t="str"/>
      <x:c r="I542" s="50" t="str"/>
      <x:c r="J542" s="50" t="str"/>
      <x:c r="K542" s="47" t="str"/>
      <x:c r="L542" s="50" t="str"/>
      <x:c r="M542" s="50" t="str"/>
      <x:c r="N542" s="47" t="str"/>
      <x:c r="O542" s="50" t="str"/>
      <x:c r="P542" s="64" t="str">
        <x:f>IF(O542="","",O542*2)</x:f>
      </x:c>
      <x:c r="Q542" s="50" t="str"/>
      <x:c r="R542" s="47" t="str"/>
      <x:c r="S542" s="33" t="str">
        <x:v>Not Tested</x:v>
      </x:c>
      <x:c r="T542" s="64" t="str">
        <x:v>Eligible</x:v>
      </x:c>
      <x:c r="U542" s="47" t="str"/>
      <x:c r="V542" s="47" t="str"/>
      <x:c r="W542" s="47" t="str"/>
      <x:c r="X542" s="50" t="str"/>
      <x:c r="Y542" s="50" t="str"/>
      <x:c r="Z542" s="47" t="str"/>
      <x:c r="AA542" s="47" t="str">
        <x:v>No direct published reference located; do not display a crimp value.</x:v>
      </x:c>
      <x:c r="AB542" s="161" t="str">
        <x:v>Pending</x:v>
      </x:c>
    </x:row>
    <x:row r="543" ht="42" customHeight="1">
      <x:c r="A543" s="33" t="str">
        <x:v>Draft</x:v>
      </x:c>
      <x:c r="B543" s="47" t="str">
        <x:v>COMP_0539</x:v>
      </x:c>
      <x:c r="C543" s="47" t="str">
        <x:v>EN1SC_005</x:v>
      </x:c>
      <x:c r="D543" s="47" t="str">
        <x:v>ORFS45_F_SW_10_10</x:v>
      </x:c>
      <x:c r="E543" s="47" t="str">
        <x:v>EN1SC_1WB_005</x:v>
      </x:c>
      <x:c r="F543" s="47" t="str"/>
      <x:c r="G543" s="33" t="str"/>
      <x:c r="H543" s="50" t="str"/>
      <x:c r="I543" s="50" t="str"/>
      <x:c r="J543" s="50" t="str"/>
      <x:c r="K543" s="47" t="str"/>
      <x:c r="L543" s="50" t="str"/>
      <x:c r="M543" s="50" t="str"/>
      <x:c r="N543" s="47" t="str"/>
      <x:c r="O543" s="50" t="str"/>
      <x:c r="P543" s="64" t="str">
        <x:f>IF(O543="","",O543*2)</x:f>
      </x:c>
      <x:c r="Q543" s="50" t="str"/>
      <x:c r="R543" s="47" t="str"/>
      <x:c r="S543" s="33" t="str">
        <x:v>Not Tested</x:v>
      </x:c>
      <x:c r="T543" s="64" t="str">
        <x:v>Eligible</x:v>
      </x:c>
      <x:c r="U543" s="47" t="str"/>
      <x:c r="V543" s="47" t="str"/>
      <x:c r="W543" s="47" t="str"/>
      <x:c r="X543" s="50" t="str"/>
      <x:c r="Y543" s="50" t="str"/>
      <x:c r="Z543" s="47" t="str"/>
      <x:c r="AA543" s="47" t="str">
        <x:v>No direct published reference located; do not display a crimp value.</x:v>
      </x:c>
      <x:c r="AB543" s="161" t="str">
        <x:v>Pending</x:v>
      </x:c>
    </x:row>
    <x:row r="544" ht="42" customHeight="1">
      <x:c r="A544" s="33" t="str">
        <x:v>Draft</x:v>
      </x:c>
      <x:c r="B544" s="47" t="str">
        <x:v>COMP_0540</x:v>
      </x:c>
      <x:c r="C544" s="47" t="str">
        <x:v>EN1SC_005</x:v>
      </x:c>
      <x:c r="D544" s="47" t="str">
        <x:v>ORFS45_F_SW_12_10</x:v>
      </x:c>
      <x:c r="E544" s="47" t="str">
        <x:v>EN1SC_1WB_005</x:v>
      </x:c>
      <x:c r="F544" s="47" t="str"/>
      <x:c r="G544" s="33" t="str"/>
      <x:c r="H544" s="50" t="str"/>
      <x:c r="I544" s="50" t="str"/>
      <x:c r="J544" s="50" t="str"/>
      <x:c r="K544" s="47" t="str"/>
      <x:c r="L544" s="50" t="str"/>
      <x:c r="M544" s="50" t="str"/>
      <x:c r="N544" s="47" t="str"/>
      <x:c r="O544" s="50" t="str"/>
      <x:c r="P544" s="64" t="str">
        <x:f>IF(O544="","",O544*2)</x:f>
      </x:c>
      <x:c r="Q544" s="50" t="str"/>
      <x:c r="R544" s="47" t="str"/>
      <x:c r="S544" s="33" t="str">
        <x:v>Not Tested</x:v>
      </x:c>
      <x:c r="T544" s="64" t="str">
        <x:v>Eligible</x:v>
      </x:c>
      <x:c r="U544" s="47" t="str"/>
      <x:c r="V544" s="47" t="str"/>
      <x:c r="W544" s="47" t="str"/>
      <x:c r="X544" s="50" t="str"/>
      <x:c r="Y544" s="50" t="str"/>
      <x:c r="Z544" s="47" t="str"/>
      <x:c r="AA544" s="47" t="str">
        <x:v>No direct published reference located; do not display a crimp value.</x:v>
      </x:c>
      <x:c r="AB544" s="161" t="str">
        <x:v>Pending</x:v>
      </x:c>
    </x:row>
    <x:row r="545" ht="42" customHeight="1">
      <x:c r="A545" s="33" t="str">
        <x:v>Draft</x:v>
      </x:c>
      <x:c r="B545" s="47" t="str">
        <x:v>COMP_0541</x:v>
      </x:c>
      <x:c r="C545" s="47" t="str">
        <x:v>EN1SC_005</x:v>
      </x:c>
      <x:c r="D545" s="47" t="str">
        <x:v>ORFS90_F_SW_08_10</x:v>
      </x:c>
      <x:c r="E545" s="47" t="str">
        <x:v>EN1SC_1WB_005</x:v>
      </x:c>
      <x:c r="F545" s="47" t="str"/>
      <x:c r="G545" s="33" t="str"/>
      <x:c r="H545" s="50" t="str"/>
      <x:c r="I545" s="50" t="str"/>
      <x:c r="J545" s="50" t="str"/>
      <x:c r="K545" s="47" t="str"/>
      <x:c r="L545" s="50" t="str"/>
      <x:c r="M545" s="50" t="str"/>
      <x:c r="N545" s="47" t="str"/>
      <x:c r="O545" s="50" t="str"/>
      <x:c r="P545" s="64" t="str">
        <x:f>IF(O545="","",O545*2)</x:f>
      </x:c>
      <x:c r="Q545" s="50" t="str"/>
      <x:c r="R545" s="47" t="str"/>
      <x:c r="S545" s="33" t="str">
        <x:v>Not Tested</x:v>
      </x:c>
      <x:c r="T545" s="64" t="str">
        <x:v>Eligible</x:v>
      </x:c>
      <x:c r="U545" s="47" t="str"/>
      <x:c r="V545" s="47" t="str"/>
      <x:c r="W545" s="47" t="str"/>
      <x:c r="X545" s="50" t="str"/>
      <x:c r="Y545" s="50" t="str"/>
      <x:c r="Z545" s="47" t="str"/>
      <x:c r="AA545" s="47" t="str">
        <x:v>No direct published reference located; do not display a crimp value.</x:v>
      </x:c>
      <x:c r="AB545" s="161" t="str">
        <x:v>Pending</x:v>
      </x:c>
    </x:row>
    <x:row r="546" ht="42" customHeight="1">
      <x:c r="A546" s="33" t="str">
        <x:v>Draft</x:v>
      </x:c>
      <x:c r="B546" s="47" t="str">
        <x:v>COMP_0542</x:v>
      </x:c>
      <x:c r="C546" s="47" t="str">
        <x:v>EN1SC_005</x:v>
      </x:c>
      <x:c r="D546" s="47" t="str">
        <x:v>ORFS90_F_SW_10_10</x:v>
      </x:c>
      <x:c r="E546" s="47" t="str">
        <x:v>EN1SC_1WB_005</x:v>
      </x:c>
      <x:c r="F546" s="47" t="str"/>
      <x:c r="G546" s="33" t="str"/>
      <x:c r="H546" s="50" t="str"/>
      <x:c r="I546" s="50" t="str"/>
      <x:c r="J546" s="50" t="str"/>
      <x:c r="K546" s="47" t="str"/>
      <x:c r="L546" s="50" t="str"/>
      <x:c r="M546" s="50" t="str"/>
      <x:c r="N546" s="47" t="str"/>
      <x:c r="O546" s="50" t="str"/>
      <x:c r="P546" s="64" t="str">
        <x:f>IF(O546="","",O546*2)</x:f>
      </x:c>
      <x:c r="Q546" s="50" t="str"/>
      <x:c r="R546" s="47" t="str"/>
      <x:c r="S546" s="33" t="str">
        <x:v>Not Tested</x:v>
      </x:c>
      <x:c r="T546" s="64" t="str">
        <x:v>Eligible</x:v>
      </x:c>
      <x:c r="U546" s="47" t="str"/>
      <x:c r="V546" s="47" t="str"/>
      <x:c r="W546" s="47" t="str"/>
      <x:c r="X546" s="50" t="str"/>
      <x:c r="Y546" s="50" t="str"/>
      <x:c r="Z546" s="47" t="str"/>
      <x:c r="AA546" s="47" t="str">
        <x:v>No direct published reference located; do not display a crimp value.</x:v>
      </x:c>
      <x:c r="AB546" s="161" t="str">
        <x:v>Pending</x:v>
      </x:c>
    </x:row>
    <x:row r="547" ht="42" customHeight="1">
      <x:c r="A547" s="33" t="str">
        <x:v>Draft</x:v>
      </x:c>
      <x:c r="B547" s="47" t="str">
        <x:v>COMP_0543</x:v>
      </x:c>
      <x:c r="C547" s="47" t="str">
        <x:v>EN1SC_006</x:v>
      </x:c>
      <x:c r="D547" s="47" t="str">
        <x:v>BSPP_F_SW_12_12</x:v>
      </x:c>
      <x:c r="E547" s="47" t="str">
        <x:v>EN1SC_1WB_006</x:v>
      </x:c>
      <x:c r="F547" s="47" t="str"/>
      <x:c r="G547" s="33" t="str"/>
      <x:c r="H547" s="50" t="str"/>
      <x:c r="I547" s="50" t="str"/>
      <x:c r="J547" s="50" t="str"/>
      <x:c r="K547" s="47" t="str"/>
      <x:c r="L547" s="50" t="str"/>
      <x:c r="M547" s="50" t="str"/>
      <x:c r="N547" s="47" t="str"/>
      <x:c r="O547" s="50" t="str"/>
      <x:c r="P547" s="64" t="str">
        <x:f>IF(O547="","",O547*2)</x:f>
      </x:c>
      <x:c r="Q547" s="50" t="str"/>
      <x:c r="R547" s="47" t="str"/>
      <x:c r="S547" s="33" t="str">
        <x:v>Not Tested</x:v>
      </x:c>
      <x:c r="T547" s="64" t="str">
        <x:v>Eligible</x:v>
      </x:c>
      <x:c r="U547" s="47" t="str"/>
      <x:c r="V547" s="47" t="str"/>
      <x:c r="W547" s="47" t="str"/>
      <x:c r="X547" s="50" t="str"/>
      <x:c r="Y547" s="50" t="str"/>
      <x:c r="Z547" s="47" t="str"/>
      <x:c r="AA547" s="47" t="str">
        <x:v>No direct published reference located; do not display a crimp value.</x:v>
      </x:c>
      <x:c r="AB547" s="161" t="str">
        <x:v>Pending</x:v>
      </x:c>
    </x:row>
    <x:row r="548" ht="42" customHeight="1">
      <x:c r="A548" s="33" t="str">
        <x:v>Draft</x:v>
      </x:c>
      <x:c r="B548" s="47" t="str">
        <x:v>COMP_0544</x:v>
      </x:c>
      <x:c r="C548" s="47" t="str">
        <x:v>EN1SC_006</x:v>
      </x:c>
      <x:c r="D548" s="47" t="str">
        <x:v>BSPP_M_FX_12_12</x:v>
      </x:c>
      <x:c r="E548" s="47" t="str">
        <x:v>EN1SC_1WB_006</x:v>
      </x:c>
      <x:c r="F548" s="47" t="str"/>
      <x:c r="G548" s="33" t="str"/>
      <x:c r="H548" s="50" t="str"/>
      <x:c r="I548" s="50" t="str"/>
      <x:c r="J548" s="50" t="str"/>
      <x:c r="K548" s="47" t="str"/>
      <x:c r="L548" s="50" t="str"/>
      <x:c r="M548" s="50" t="str"/>
      <x:c r="N548" s="47" t="str"/>
      <x:c r="O548" s="50" t="str"/>
      <x:c r="P548" s="64" t="str">
        <x:f>IF(O548="","",O548*2)</x:f>
      </x:c>
      <x:c r="Q548" s="50" t="str"/>
      <x:c r="R548" s="47" t="str"/>
      <x:c r="S548" s="33" t="str">
        <x:v>Not Tested</x:v>
      </x:c>
      <x:c r="T548" s="64" t="str">
        <x:v>Eligible</x:v>
      </x:c>
      <x:c r="U548" s="47" t="str"/>
      <x:c r="V548" s="47" t="str"/>
      <x:c r="W548" s="47" t="str"/>
      <x:c r="X548" s="50" t="str"/>
      <x:c r="Y548" s="50" t="str"/>
      <x:c r="Z548" s="47" t="str"/>
      <x:c r="AA548" s="47" t="str">
        <x:v>No direct published reference located; do not display a crimp value.</x:v>
      </x:c>
      <x:c r="AB548" s="161" t="str">
        <x:v>Pending</x:v>
      </x:c>
    </x:row>
    <x:row r="549" ht="42" customHeight="1">
      <x:c r="A549" s="33" t="str">
        <x:v>Draft</x:v>
      </x:c>
      <x:c r="B549" s="47" t="str">
        <x:v>COMP_0545</x:v>
      </x:c>
      <x:c r="C549" s="47" t="str">
        <x:v>EN1SC_006</x:v>
      </x:c>
      <x:c r="D549" s="47" t="str">
        <x:v>BSPP45_F_SW_12_12</x:v>
      </x:c>
      <x:c r="E549" s="47" t="str">
        <x:v>EN1SC_1WB_006</x:v>
      </x:c>
      <x:c r="F549" s="47" t="str"/>
      <x:c r="G549" s="33" t="str"/>
      <x:c r="H549" s="50" t="str"/>
      <x:c r="I549" s="50" t="str"/>
      <x:c r="J549" s="50" t="str"/>
      <x:c r="K549" s="47" t="str"/>
      <x:c r="L549" s="50" t="str"/>
      <x:c r="M549" s="50" t="str"/>
      <x:c r="N549" s="47" t="str"/>
      <x:c r="O549" s="50" t="str"/>
      <x:c r="P549" s="64" t="str">
        <x:f>IF(O549="","",O549*2)</x:f>
      </x:c>
      <x:c r="Q549" s="50" t="str"/>
      <x:c r="R549" s="47" t="str"/>
      <x:c r="S549" s="33" t="str">
        <x:v>Not Tested</x:v>
      </x:c>
      <x:c r="T549" s="64" t="str">
        <x:v>Eligible</x:v>
      </x:c>
      <x:c r="U549" s="47" t="str"/>
      <x:c r="V549" s="47" t="str"/>
      <x:c r="W549" s="47" t="str"/>
      <x:c r="X549" s="50" t="str"/>
      <x:c r="Y549" s="50" t="str"/>
      <x:c r="Z549" s="47" t="str"/>
      <x:c r="AA549" s="47" t="str">
        <x:v>No direct published reference located; do not display a crimp value.</x:v>
      </x:c>
      <x:c r="AB549" s="161" t="str">
        <x:v>Pending</x:v>
      </x:c>
    </x:row>
    <x:row r="550" ht="42" customHeight="1">
      <x:c r="A550" s="33" t="str">
        <x:v>Draft</x:v>
      </x:c>
      <x:c r="B550" s="47" t="str">
        <x:v>COMP_0546</x:v>
      </x:c>
      <x:c r="C550" s="47" t="str">
        <x:v>EN1SC_006</x:v>
      </x:c>
      <x:c r="D550" s="47" t="str">
        <x:v>BSPP90_F_SW_12_12</x:v>
      </x:c>
      <x:c r="E550" s="47" t="str">
        <x:v>EN1SC_1WB_006</x:v>
      </x:c>
      <x:c r="F550" s="47" t="str"/>
      <x:c r="G550" s="33" t="str"/>
      <x:c r="H550" s="50" t="str"/>
      <x:c r="I550" s="50" t="str"/>
      <x:c r="J550" s="50" t="str"/>
      <x:c r="K550" s="47" t="str"/>
      <x:c r="L550" s="50" t="str"/>
      <x:c r="M550" s="50" t="str"/>
      <x:c r="N550" s="47" t="str"/>
      <x:c r="O550" s="50" t="str"/>
      <x:c r="P550" s="64" t="str">
        <x:f>IF(O550="","",O550*2)</x:f>
      </x:c>
      <x:c r="Q550" s="50" t="str"/>
      <x:c r="R550" s="47" t="str"/>
      <x:c r="S550" s="33" t="str">
        <x:v>Not Tested</x:v>
      </x:c>
      <x:c r="T550" s="64" t="str">
        <x:v>Eligible</x:v>
      </x:c>
      <x:c r="U550" s="47" t="str"/>
      <x:c r="V550" s="47" t="str"/>
      <x:c r="W550" s="47" t="str"/>
      <x:c r="X550" s="50" t="str"/>
      <x:c r="Y550" s="50" t="str"/>
      <x:c r="Z550" s="47" t="str"/>
      <x:c r="AA550" s="47" t="str">
        <x:v>No direct published reference located; do not display a crimp value.</x:v>
      </x:c>
      <x:c r="AB550" s="161" t="str">
        <x:v>Pending</x:v>
      </x:c>
    </x:row>
    <x:row r="551" ht="42" customHeight="1">
      <x:c r="A551" s="33" t="str">
        <x:v>Draft</x:v>
      </x:c>
      <x:c r="B551" s="47" t="str">
        <x:v>COMP_0547</x:v>
      </x:c>
      <x:c r="C551" s="47" t="str">
        <x:v>EN1SC_006</x:v>
      </x:c>
      <x:c r="D551" s="47" t="str">
        <x:v>BSPT_M_FX_12_12</x:v>
      </x:c>
      <x:c r="E551" s="47" t="str">
        <x:v>EN1SC_1WB_006</x:v>
      </x:c>
      <x:c r="F551" s="47" t="str"/>
      <x:c r="G551" s="33" t="str"/>
      <x:c r="H551" s="50" t="str"/>
      <x:c r="I551" s="50" t="str"/>
      <x:c r="J551" s="50" t="str"/>
      <x:c r="K551" s="47" t="str"/>
      <x:c r="L551" s="50" t="str"/>
      <x:c r="M551" s="50" t="str"/>
      <x:c r="N551" s="47" t="str"/>
      <x:c r="O551" s="50" t="str"/>
      <x:c r="P551" s="64" t="str">
        <x:f>IF(O551="","",O551*2)</x:f>
      </x:c>
      <x:c r="Q551" s="50" t="str"/>
      <x:c r="R551" s="47" t="str"/>
      <x:c r="S551" s="33" t="str">
        <x:v>Not Tested</x:v>
      </x:c>
      <x:c r="T551" s="64" t="str">
        <x:v>Eligible</x:v>
      </x:c>
      <x:c r="U551" s="47" t="str"/>
      <x:c r="V551" s="47" t="str"/>
      <x:c r="W551" s="47" t="str"/>
      <x:c r="X551" s="50" t="str"/>
      <x:c r="Y551" s="50" t="str"/>
      <x:c r="Z551" s="47" t="str"/>
      <x:c r="AA551" s="47" t="str">
        <x:v>No direct published reference located; do not display a crimp value.</x:v>
      </x:c>
      <x:c r="AB551" s="161" t="str">
        <x:v>Pending</x:v>
      </x:c>
    </x:row>
    <x:row r="552" ht="42" customHeight="1">
      <x:c r="A552" s="33" t="str">
        <x:v>Draft</x:v>
      </x:c>
      <x:c r="B552" s="47" t="str">
        <x:v>COMP_0548</x:v>
      </x:c>
      <x:c r="C552" s="47" t="str">
        <x:v>EN1SC_006</x:v>
      </x:c>
      <x:c r="D552" s="47" t="str">
        <x:v>JIC_F_SW_08_12</x:v>
      </x:c>
      <x:c r="E552" s="47" t="str">
        <x:v>EN1SC_1WB_006</x:v>
      </x:c>
      <x:c r="F552" s="47" t="str"/>
      <x:c r="G552" s="33" t="str"/>
      <x:c r="H552" s="50" t="str"/>
      <x:c r="I552" s="50" t="str"/>
      <x:c r="J552" s="50" t="str"/>
      <x:c r="K552" s="47" t="str"/>
      <x:c r="L552" s="50" t="str"/>
      <x:c r="M552" s="50" t="str"/>
      <x:c r="N552" s="47" t="str"/>
      <x:c r="O552" s="50" t="str"/>
      <x:c r="P552" s="64" t="str">
        <x:f>IF(O552="","",O552*2)</x:f>
      </x:c>
      <x:c r="Q552" s="50" t="str"/>
      <x:c r="R552" s="47" t="str"/>
      <x:c r="S552" s="33" t="str">
        <x:v>Not Tested</x:v>
      </x:c>
      <x:c r="T552" s="64" t="str">
        <x:v>Eligible</x:v>
      </x:c>
      <x:c r="U552" s="47" t="str"/>
      <x:c r="V552" s="47" t="str"/>
      <x:c r="W552" s="47" t="str"/>
      <x:c r="X552" s="50" t="str"/>
      <x:c r="Y552" s="50" t="str"/>
      <x:c r="Z552" s="47" t="str"/>
      <x:c r="AA552" s="47" t="str">
        <x:v>No direct published reference located; do not display a crimp value.</x:v>
      </x:c>
      <x:c r="AB552" s="161" t="str">
        <x:v>Pending</x:v>
      </x:c>
    </x:row>
    <x:row r="553" ht="42" customHeight="1">
      <x:c r="A553" s="33" t="str">
        <x:v>Draft</x:v>
      </x:c>
      <x:c r="B553" s="47" t="str">
        <x:v>COMP_0549</x:v>
      </x:c>
      <x:c r="C553" s="47" t="str">
        <x:v>EN1SC_006</x:v>
      </x:c>
      <x:c r="D553" s="47" t="str">
        <x:v>JIC_F_SW_10_12</x:v>
      </x:c>
      <x:c r="E553" s="47" t="str">
        <x:v>EN1SC_1WB_006</x:v>
      </x:c>
      <x:c r="F553" s="47" t="str"/>
      <x:c r="G553" s="33" t="str"/>
      <x:c r="H553" s="50" t="str"/>
      <x:c r="I553" s="50" t="str"/>
      <x:c r="J553" s="50" t="str"/>
      <x:c r="K553" s="47" t="str"/>
      <x:c r="L553" s="50" t="str"/>
      <x:c r="M553" s="50" t="str"/>
      <x:c r="N553" s="47" t="str"/>
      <x:c r="O553" s="50" t="str"/>
      <x:c r="P553" s="64" t="str">
        <x:f>IF(O553="","",O553*2)</x:f>
      </x:c>
      <x:c r="Q553" s="50" t="str"/>
      <x:c r="R553" s="47" t="str"/>
      <x:c r="S553" s="33" t="str">
        <x:v>Not Tested</x:v>
      </x:c>
      <x:c r="T553" s="64" t="str">
        <x:v>Eligible</x:v>
      </x:c>
      <x:c r="U553" s="47" t="str"/>
      <x:c r="V553" s="47" t="str"/>
      <x:c r="W553" s="47" t="str"/>
      <x:c r="X553" s="50" t="str"/>
      <x:c r="Y553" s="50" t="str"/>
      <x:c r="Z553" s="47" t="str"/>
      <x:c r="AA553" s="47" t="str">
        <x:v>No direct published reference located; do not display a crimp value.</x:v>
      </x:c>
      <x:c r="AB553" s="161" t="str">
        <x:v>Pending</x:v>
      </x:c>
    </x:row>
    <x:row r="554" ht="42" customHeight="1">
      <x:c r="A554" s="33" t="str">
        <x:v>Draft</x:v>
      </x:c>
      <x:c r="B554" s="47" t="str">
        <x:v>COMP_0550</x:v>
      </x:c>
      <x:c r="C554" s="47" t="str">
        <x:v>EN1SC_006</x:v>
      </x:c>
      <x:c r="D554" s="47" t="str">
        <x:v>JIC_F_SW_12_12</x:v>
      </x:c>
      <x:c r="E554" s="47" t="str">
        <x:v>EN1SC_1WB_006</x:v>
      </x:c>
      <x:c r="F554" s="47" t="str"/>
      <x:c r="G554" s="33" t="str"/>
      <x:c r="H554" s="50" t="str"/>
      <x:c r="I554" s="50" t="str"/>
      <x:c r="J554" s="50" t="str"/>
      <x:c r="K554" s="47" t="str"/>
      <x:c r="L554" s="50" t="str"/>
      <x:c r="M554" s="50" t="str"/>
      <x:c r="N554" s="47" t="str"/>
      <x:c r="O554" s="50" t="str"/>
      <x:c r="P554" s="64" t="str">
        <x:f>IF(O554="","",O554*2)</x:f>
      </x:c>
      <x:c r="Q554" s="50" t="str"/>
      <x:c r="R554" s="47" t="str"/>
      <x:c r="S554" s="33" t="str">
        <x:v>Not Tested</x:v>
      </x:c>
      <x:c r="T554" s="64" t="str">
        <x:v>Eligible</x:v>
      </x:c>
      <x:c r="U554" s="47" t="str"/>
      <x:c r="V554" s="47" t="str"/>
      <x:c r="W554" s="47" t="str"/>
      <x:c r="X554" s="50" t="str"/>
      <x:c r="Y554" s="50" t="str"/>
      <x:c r="Z554" s="47" t="str"/>
      <x:c r="AA554" s="47" t="str">
        <x:v>No direct published reference located; do not display a crimp value.</x:v>
      </x:c>
      <x:c r="AB554" s="161" t="str">
        <x:v>Pending</x:v>
      </x:c>
    </x:row>
    <x:row r="555" ht="42" customHeight="1">
      <x:c r="A555" s="33" t="str">
        <x:v>Draft</x:v>
      </x:c>
      <x:c r="B555" s="47" t="str">
        <x:v>COMP_0551</x:v>
      </x:c>
      <x:c r="C555" s="47" t="str">
        <x:v>EN1SC_006</x:v>
      </x:c>
      <x:c r="D555" s="47" t="str">
        <x:v>JIC_F_SW_14_12</x:v>
      </x:c>
      <x:c r="E555" s="47" t="str">
        <x:v>EN1SC_1WB_006</x:v>
      </x:c>
      <x:c r="F555" s="47" t="str"/>
      <x:c r="G555" s="33" t="str"/>
      <x:c r="H555" s="50" t="str"/>
      <x:c r="I555" s="50" t="str"/>
      <x:c r="J555" s="50" t="str"/>
      <x:c r="K555" s="47" t="str"/>
      <x:c r="L555" s="50" t="str"/>
      <x:c r="M555" s="50" t="str"/>
      <x:c r="N555" s="47" t="str"/>
      <x:c r="O555" s="50" t="str"/>
      <x:c r="P555" s="64" t="str">
        <x:f>IF(O555="","",O555*2)</x:f>
      </x:c>
      <x:c r="Q555" s="50" t="str"/>
      <x:c r="R555" s="47" t="str"/>
      <x:c r="S555" s="33" t="str">
        <x:v>Not Tested</x:v>
      </x:c>
      <x:c r="T555" s="64" t="str">
        <x:v>Eligible</x:v>
      </x:c>
      <x:c r="U555" s="47" t="str"/>
      <x:c r="V555" s="47" t="str"/>
      <x:c r="W555" s="47" t="str"/>
      <x:c r="X555" s="50" t="str"/>
      <x:c r="Y555" s="50" t="str"/>
      <x:c r="Z555" s="47" t="str"/>
      <x:c r="AA555" s="47" t="str">
        <x:v>No direct published reference located; do not display a crimp value.</x:v>
      </x:c>
      <x:c r="AB555" s="161" t="str">
        <x:v>Pending</x:v>
      </x:c>
    </x:row>
    <x:row r="556" ht="42" customHeight="1">
      <x:c r="A556" s="33" t="str">
        <x:v>Draft</x:v>
      </x:c>
      <x:c r="B556" s="47" t="str">
        <x:v>COMP_0552</x:v>
      </x:c>
      <x:c r="C556" s="47" t="str">
        <x:v>EN1SC_006</x:v>
      </x:c>
      <x:c r="D556" s="47" t="str">
        <x:v>JIC_F_SW_16_12</x:v>
      </x:c>
      <x:c r="E556" s="47" t="str">
        <x:v>EN1SC_1WB_006</x:v>
      </x:c>
      <x:c r="F556" s="47" t="str"/>
      <x:c r="G556" s="33" t="str"/>
      <x:c r="H556" s="50" t="str"/>
      <x:c r="I556" s="50" t="str"/>
      <x:c r="J556" s="50" t="str"/>
      <x:c r="K556" s="47" t="str"/>
      <x:c r="L556" s="50" t="str"/>
      <x:c r="M556" s="50" t="str"/>
      <x:c r="N556" s="47" t="str"/>
      <x:c r="O556" s="50" t="str"/>
      <x:c r="P556" s="64" t="str">
        <x:f>IF(O556="","",O556*2)</x:f>
      </x:c>
      <x:c r="Q556" s="50" t="str"/>
      <x:c r="R556" s="47" t="str"/>
      <x:c r="S556" s="33" t="str">
        <x:v>Not Tested</x:v>
      </x:c>
      <x:c r="T556" s="64" t="str">
        <x:v>Eligible</x:v>
      </x:c>
      <x:c r="U556" s="47" t="str"/>
      <x:c r="V556" s="47" t="str"/>
      <x:c r="W556" s="47" t="str"/>
      <x:c r="X556" s="50" t="str"/>
      <x:c r="Y556" s="50" t="str"/>
      <x:c r="Z556" s="47" t="str"/>
      <x:c r="AA556" s="47" t="str">
        <x:v>No direct published reference located; do not display a crimp value.</x:v>
      </x:c>
      <x:c r="AB556" s="161" t="str">
        <x:v>Pending</x:v>
      </x:c>
    </x:row>
    <x:row r="557" ht="42" customHeight="1">
      <x:c r="A557" s="33" t="str">
        <x:v>Draft</x:v>
      </x:c>
      <x:c r="B557" s="47" t="str">
        <x:v>COMP_0553</x:v>
      </x:c>
      <x:c r="C557" s="47" t="str">
        <x:v>EN1SC_006</x:v>
      </x:c>
      <x:c r="D557" s="47" t="str">
        <x:v>JIC_M_FX_12_12</x:v>
      </x:c>
      <x:c r="E557" s="47" t="str">
        <x:v>EN1SC_1WB_006</x:v>
      </x:c>
      <x:c r="F557" s="47" t="str"/>
      <x:c r="G557" s="33" t="str"/>
      <x:c r="H557" s="50" t="str"/>
      <x:c r="I557" s="50" t="str"/>
      <x:c r="J557" s="50" t="str"/>
      <x:c r="K557" s="47" t="str"/>
      <x:c r="L557" s="50" t="str"/>
      <x:c r="M557" s="50" t="str"/>
      <x:c r="N557" s="47" t="str"/>
      <x:c r="O557" s="50" t="str"/>
      <x:c r="P557" s="64" t="str">
        <x:f>IF(O557="","",O557*2)</x:f>
      </x:c>
      <x:c r="Q557" s="50" t="str"/>
      <x:c r="R557" s="47" t="str"/>
      <x:c r="S557" s="33" t="str">
        <x:v>Not Tested</x:v>
      </x:c>
      <x:c r="T557" s="64" t="str">
        <x:v>Eligible</x:v>
      </x:c>
      <x:c r="U557" s="47" t="str"/>
      <x:c r="V557" s="47" t="str"/>
      <x:c r="W557" s="47" t="str"/>
      <x:c r="X557" s="50" t="str"/>
      <x:c r="Y557" s="50" t="str"/>
      <x:c r="Z557" s="47" t="str"/>
      <x:c r="AA557" s="47" t="str">
        <x:v>No direct published reference located; do not display a crimp value.</x:v>
      </x:c>
      <x:c r="AB557" s="161" t="str">
        <x:v>Pending</x:v>
      </x:c>
    </x:row>
    <x:row r="558" ht="42" customHeight="1">
      <x:c r="A558" s="33" t="str">
        <x:v>Draft</x:v>
      </x:c>
      <x:c r="B558" s="47" t="str">
        <x:v>COMP_0554</x:v>
      </x:c>
      <x:c r="C558" s="47" t="str">
        <x:v>EN1SC_006</x:v>
      </x:c>
      <x:c r="D558" s="47" t="str">
        <x:v>JIC_M_FX_14_12</x:v>
      </x:c>
      <x:c r="E558" s="47" t="str">
        <x:v>EN1SC_1WB_006</x:v>
      </x:c>
      <x:c r="F558" s="47" t="str"/>
      <x:c r="G558" s="33" t="str"/>
      <x:c r="H558" s="50" t="str"/>
      <x:c r="I558" s="50" t="str"/>
      <x:c r="J558" s="50" t="str"/>
      <x:c r="K558" s="47" t="str"/>
      <x:c r="L558" s="50" t="str"/>
      <x:c r="M558" s="50" t="str"/>
      <x:c r="N558" s="47" t="str"/>
      <x:c r="O558" s="50" t="str"/>
      <x:c r="P558" s="64" t="str">
        <x:f>IF(O558="","",O558*2)</x:f>
      </x:c>
      <x:c r="Q558" s="50" t="str"/>
      <x:c r="R558" s="47" t="str"/>
      <x:c r="S558" s="33" t="str">
        <x:v>Not Tested</x:v>
      </x:c>
      <x:c r="T558" s="64" t="str">
        <x:v>Eligible</x:v>
      </x:c>
      <x:c r="U558" s="47" t="str"/>
      <x:c r="V558" s="47" t="str"/>
      <x:c r="W558" s="47" t="str"/>
      <x:c r="X558" s="50" t="str"/>
      <x:c r="Y558" s="50" t="str"/>
      <x:c r="Z558" s="47" t="str"/>
      <x:c r="AA558" s="47" t="str">
        <x:v>No direct published reference located; do not display a crimp value.</x:v>
      </x:c>
      <x:c r="AB558" s="161" t="str">
        <x:v>Pending</x:v>
      </x:c>
    </x:row>
    <x:row r="559" ht="42" customHeight="1">
      <x:c r="A559" s="33" t="str">
        <x:v>Draft</x:v>
      </x:c>
      <x:c r="B559" s="47" t="str">
        <x:v>COMP_0555</x:v>
      </x:c>
      <x:c r="C559" s="47" t="str">
        <x:v>EN1SC_006</x:v>
      </x:c>
      <x:c r="D559" s="47" t="str">
        <x:v>JIC_M_FX_16_12</x:v>
      </x:c>
      <x:c r="E559" s="47" t="str">
        <x:v>EN1SC_1WB_006</x:v>
      </x:c>
      <x:c r="F559" s="47" t="str"/>
      <x:c r="G559" s="33" t="str"/>
      <x:c r="H559" s="50" t="str"/>
      <x:c r="I559" s="50" t="str"/>
      <x:c r="J559" s="50" t="str"/>
      <x:c r="K559" s="47" t="str"/>
      <x:c r="L559" s="50" t="str"/>
      <x:c r="M559" s="50" t="str"/>
      <x:c r="N559" s="47" t="str"/>
      <x:c r="O559" s="50" t="str"/>
      <x:c r="P559" s="64" t="str">
        <x:f>IF(O559="","",O559*2)</x:f>
      </x:c>
      <x:c r="Q559" s="50" t="str"/>
      <x:c r="R559" s="47" t="str"/>
      <x:c r="S559" s="33" t="str">
        <x:v>Not Tested</x:v>
      </x:c>
      <x:c r="T559" s="64" t="str">
        <x:v>Eligible</x:v>
      </x:c>
      <x:c r="U559" s="47" t="str"/>
      <x:c r="V559" s="47" t="str"/>
      <x:c r="W559" s="47" t="str"/>
      <x:c r="X559" s="50" t="str"/>
      <x:c r="Y559" s="50" t="str"/>
      <x:c r="Z559" s="47" t="str"/>
      <x:c r="AA559" s="47" t="str">
        <x:v>No direct published reference located; do not display a crimp value.</x:v>
      </x:c>
      <x:c r="AB559" s="161" t="str">
        <x:v>Pending</x:v>
      </x:c>
    </x:row>
    <x:row r="560" ht="42" customHeight="1">
      <x:c r="A560" s="33" t="str">
        <x:v>Draft</x:v>
      </x:c>
      <x:c r="B560" s="47" t="str">
        <x:v>COMP_0556</x:v>
      </x:c>
      <x:c r="C560" s="47" t="str">
        <x:v>EN1SC_006</x:v>
      </x:c>
      <x:c r="D560" s="47" t="str">
        <x:v>JIC45_F_SW_12_12</x:v>
      </x:c>
      <x:c r="E560" s="47" t="str">
        <x:v>EN1SC_1WB_006</x:v>
      </x:c>
      <x:c r="F560" s="47" t="str"/>
      <x:c r="G560" s="33" t="str"/>
      <x:c r="H560" s="50" t="str"/>
      <x:c r="I560" s="50" t="str"/>
      <x:c r="J560" s="50" t="str"/>
      <x:c r="K560" s="47" t="str"/>
      <x:c r="L560" s="50" t="str"/>
      <x:c r="M560" s="50" t="str"/>
      <x:c r="N560" s="47" t="str"/>
      <x:c r="O560" s="50" t="str"/>
      <x:c r="P560" s="64" t="str">
        <x:f>IF(O560="","",O560*2)</x:f>
      </x:c>
      <x:c r="Q560" s="50" t="str"/>
      <x:c r="R560" s="47" t="str"/>
      <x:c r="S560" s="33" t="str">
        <x:v>Not Tested</x:v>
      </x:c>
      <x:c r="T560" s="64" t="str">
        <x:v>Eligible</x:v>
      </x:c>
      <x:c r="U560" s="47" t="str"/>
      <x:c r="V560" s="47" t="str"/>
      <x:c r="W560" s="47" t="str"/>
      <x:c r="X560" s="50" t="str"/>
      <x:c r="Y560" s="50" t="str"/>
      <x:c r="Z560" s="47" t="str"/>
      <x:c r="AA560" s="47" t="str">
        <x:v>No direct published reference located; do not display a crimp value.</x:v>
      </x:c>
      <x:c r="AB560" s="161" t="str">
        <x:v>Pending</x:v>
      </x:c>
    </x:row>
    <x:row r="561" ht="42" customHeight="1">
      <x:c r="A561" s="33" t="str">
        <x:v>Draft</x:v>
      </x:c>
      <x:c r="B561" s="47" t="str">
        <x:v>COMP_0557</x:v>
      </x:c>
      <x:c r="C561" s="47" t="str">
        <x:v>EN1SC_006</x:v>
      </x:c>
      <x:c r="D561" s="47" t="str">
        <x:v>JIC45_F_SW_16_12</x:v>
      </x:c>
      <x:c r="E561" s="47" t="str">
        <x:v>EN1SC_1WB_006</x:v>
      </x:c>
      <x:c r="F561" s="47" t="str"/>
      <x:c r="G561" s="33" t="str"/>
      <x:c r="H561" s="50" t="str"/>
      <x:c r="I561" s="50" t="str"/>
      <x:c r="J561" s="50" t="str"/>
      <x:c r="K561" s="47" t="str"/>
      <x:c r="L561" s="50" t="str"/>
      <x:c r="M561" s="50" t="str"/>
      <x:c r="N561" s="47" t="str"/>
      <x:c r="O561" s="50" t="str"/>
      <x:c r="P561" s="64" t="str">
        <x:f>IF(O561="","",O561*2)</x:f>
      </x:c>
      <x:c r="Q561" s="50" t="str"/>
      <x:c r="R561" s="47" t="str"/>
      <x:c r="S561" s="33" t="str">
        <x:v>Not Tested</x:v>
      </x:c>
      <x:c r="T561" s="64" t="str">
        <x:v>Eligible</x:v>
      </x:c>
      <x:c r="U561" s="47" t="str"/>
      <x:c r="V561" s="47" t="str"/>
      <x:c r="W561" s="47" t="str"/>
      <x:c r="X561" s="50" t="str"/>
      <x:c r="Y561" s="50" t="str"/>
      <x:c r="Z561" s="47" t="str"/>
      <x:c r="AA561" s="47" t="str">
        <x:v>No direct published reference located; do not display a crimp value.</x:v>
      </x:c>
      <x:c r="AB561" s="161" t="str">
        <x:v>Pending</x:v>
      </x:c>
    </x:row>
    <x:row r="562" ht="42" customHeight="1">
      <x:c r="A562" s="33" t="str">
        <x:v>Draft</x:v>
      </x:c>
      <x:c r="B562" s="47" t="str">
        <x:v>COMP_0558</x:v>
      </x:c>
      <x:c r="C562" s="47" t="str">
        <x:v>EN1SC_006</x:v>
      </x:c>
      <x:c r="D562" s="47" t="str">
        <x:v>JIC90_F_SW_12_12</x:v>
      </x:c>
      <x:c r="E562" s="47" t="str">
        <x:v>EN1SC_1WB_006</x:v>
      </x:c>
      <x:c r="F562" s="47" t="str"/>
      <x:c r="G562" s="33" t="str"/>
      <x:c r="H562" s="50" t="str"/>
      <x:c r="I562" s="50" t="str"/>
      <x:c r="J562" s="50" t="str"/>
      <x:c r="K562" s="47" t="str"/>
      <x:c r="L562" s="50" t="str"/>
      <x:c r="M562" s="50" t="str"/>
      <x:c r="N562" s="47" t="str"/>
      <x:c r="O562" s="50" t="str"/>
      <x:c r="P562" s="64" t="str">
        <x:f>IF(O562="","",O562*2)</x:f>
      </x:c>
      <x:c r="Q562" s="50" t="str"/>
      <x:c r="R562" s="47" t="str"/>
      <x:c r="S562" s="33" t="str">
        <x:v>Not Tested</x:v>
      </x:c>
      <x:c r="T562" s="64" t="str">
        <x:v>Eligible</x:v>
      </x:c>
      <x:c r="U562" s="47" t="str"/>
      <x:c r="V562" s="47" t="str"/>
      <x:c r="W562" s="47" t="str"/>
      <x:c r="X562" s="50" t="str"/>
      <x:c r="Y562" s="50" t="str"/>
      <x:c r="Z562" s="47" t="str"/>
      <x:c r="AA562" s="47" t="str">
        <x:v>No direct published reference located; do not display a crimp value.</x:v>
      </x:c>
      <x:c r="AB562" s="161" t="str">
        <x:v>Pending</x:v>
      </x:c>
    </x:row>
    <x:row r="563" ht="42" customHeight="1">
      <x:c r="A563" s="33" t="str">
        <x:v>Draft</x:v>
      </x:c>
      <x:c r="B563" s="47" t="str">
        <x:v>COMP_0559</x:v>
      </x:c>
      <x:c r="C563" s="47" t="str">
        <x:v>EN1SC_006</x:v>
      </x:c>
      <x:c r="D563" s="47" t="str">
        <x:v>JIC90_F_SW_16_12</x:v>
      </x:c>
      <x:c r="E563" s="47" t="str">
        <x:v>EN1SC_1WB_006</x:v>
      </x:c>
      <x:c r="F563" s="47" t="str"/>
      <x:c r="G563" s="33" t="str"/>
      <x:c r="H563" s="50" t="str"/>
      <x:c r="I563" s="50" t="str"/>
      <x:c r="J563" s="50" t="str"/>
      <x:c r="K563" s="47" t="str"/>
      <x:c r="L563" s="50" t="str"/>
      <x:c r="M563" s="50" t="str"/>
      <x:c r="N563" s="47" t="str"/>
      <x:c r="O563" s="50" t="str"/>
      <x:c r="P563" s="64" t="str">
        <x:f>IF(O563="","",O563*2)</x:f>
      </x:c>
      <x:c r="Q563" s="50" t="str"/>
      <x:c r="R563" s="47" t="str"/>
      <x:c r="S563" s="33" t="str">
        <x:v>Not Tested</x:v>
      </x:c>
      <x:c r="T563" s="64" t="str">
        <x:v>Eligible</x:v>
      </x:c>
      <x:c r="U563" s="47" t="str"/>
      <x:c r="V563" s="47" t="str"/>
      <x:c r="W563" s="47" t="str"/>
      <x:c r="X563" s="50" t="str"/>
      <x:c r="Y563" s="50" t="str"/>
      <x:c r="Z563" s="47" t="str"/>
      <x:c r="AA563" s="47" t="str">
        <x:v>No direct published reference located; do not display a crimp value.</x:v>
      </x:c>
      <x:c r="AB563" s="161" t="str">
        <x:v>Pending</x:v>
      </x:c>
    </x:row>
    <x:row r="564" ht="42" customHeight="1">
      <x:c r="A564" s="33" t="str">
        <x:v>Draft</x:v>
      </x:c>
      <x:c r="B564" s="47" t="str">
        <x:v>COMP_0560</x:v>
      </x:c>
      <x:c r="C564" s="47" t="str">
        <x:v>EN1SC_006</x:v>
      </x:c>
      <x:c r="D564" s="47" t="str">
        <x:v>NPT_F_FX_12_12</x:v>
      </x:c>
      <x:c r="E564" s="47" t="str">
        <x:v>EN1SC_1WB_006</x:v>
      </x:c>
      <x:c r="F564" s="47" t="str"/>
      <x:c r="G564" s="33" t="str"/>
      <x:c r="H564" s="50" t="str"/>
      <x:c r="I564" s="50" t="str"/>
      <x:c r="J564" s="50" t="str"/>
      <x:c r="K564" s="47" t="str"/>
      <x:c r="L564" s="50" t="str"/>
      <x:c r="M564" s="50" t="str"/>
      <x:c r="N564" s="47" t="str"/>
      <x:c r="O564" s="50" t="str"/>
      <x:c r="P564" s="64" t="str">
        <x:f>IF(O564="","",O564*2)</x:f>
      </x:c>
      <x:c r="Q564" s="50" t="str"/>
      <x:c r="R564" s="47" t="str"/>
      <x:c r="S564" s="33" t="str">
        <x:v>Not Tested</x:v>
      </x:c>
      <x:c r="T564" s="64" t="str">
        <x:v>Eligible</x:v>
      </x:c>
      <x:c r="U564" s="47" t="str"/>
      <x:c r="V564" s="47" t="str"/>
      <x:c r="W564" s="47" t="str"/>
      <x:c r="X564" s="50" t="str"/>
      <x:c r="Y564" s="50" t="str"/>
      <x:c r="Z564" s="47" t="str"/>
      <x:c r="AA564" s="47" t="str">
        <x:v>No direct published reference located; do not display a crimp value.</x:v>
      </x:c>
      <x:c r="AB564" s="161" t="str">
        <x:v>Pending</x:v>
      </x:c>
    </x:row>
    <x:row r="565" ht="42" customHeight="1">
      <x:c r="A565" s="33" t="str">
        <x:v>Draft</x:v>
      </x:c>
      <x:c r="B565" s="47" t="str">
        <x:v>COMP_0561</x:v>
      </x:c>
      <x:c r="C565" s="47" t="str">
        <x:v>EN1SC_006</x:v>
      </x:c>
      <x:c r="D565" s="47" t="str">
        <x:v>NPT_M_FX_08_12</x:v>
      </x:c>
      <x:c r="E565" s="47" t="str">
        <x:v>EN1SC_1WB_006</x:v>
      </x:c>
      <x:c r="F565" s="47" t="str"/>
      <x:c r="G565" s="33" t="str"/>
      <x:c r="H565" s="50" t="str"/>
      <x:c r="I565" s="50" t="str"/>
      <x:c r="J565" s="50" t="str"/>
      <x:c r="K565" s="47" t="str"/>
      <x:c r="L565" s="50" t="str"/>
      <x:c r="M565" s="50" t="str"/>
      <x:c r="N565" s="47" t="str"/>
      <x:c r="O565" s="50" t="str"/>
      <x:c r="P565" s="64" t="str">
        <x:f>IF(O565="","",O565*2)</x:f>
      </x:c>
      <x:c r="Q565" s="50" t="str"/>
      <x:c r="R565" s="47" t="str"/>
      <x:c r="S565" s="33" t="str">
        <x:v>Not Tested</x:v>
      </x:c>
      <x:c r="T565" s="64" t="str">
        <x:v>Eligible</x:v>
      </x:c>
      <x:c r="U565" s="47" t="str"/>
      <x:c r="V565" s="47" t="str"/>
      <x:c r="W565" s="47" t="str"/>
      <x:c r="X565" s="50" t="str"/>
      <x:c r="Y565" s="50" t="str"/>
      <x:c r="Z565" s="47" t="str"/>
      <x:c r="AA565" s="47" t="str">
        <x:v>No direct published reference located; do not display a crimp value.</x:v>
      </x:c>
      <x:c r="AB565" s="161" t="str">
        <x:v>Pending</x:v>
      </x:c>
    </x:row>
    <x:row r="566" ht="42" customHeight="1">
      <x:c r="A566" s="33" t="str">
        <x:v>Draft</x:v>
      </x:c>
      <x:c r="B566" s="47" t="str">
        <x:v>COMP_0562</x:v>
      </x:c>
      <x:c r="C566" s="47" t="str">
        <x:v>EN1SC_006</x:v>
      </x:c>
      <x:c r="D566" s="47" t="str">
        <x:v>NPT_M_FX_12_12</x:v>
      </x:c>
      <x:c r="E566" s="47" t="str">
        <x:v>EN1SC_1WB_006</x:v>
      </x:c>
      <x:c r="F566" s="47" t="str"/>
      <x:c r="G566" s="33" t="str"/>
      <x:c r="H566" s="50" t="str"/>
      <x:c r="I566" s="50" t="str"/>
      <x:c r="J566" s="50" t="str"/>
      <x:c r="K566" s="47" t="str"/>
      <x:c r="L566" s="50" t="str"/>
      <x:c r="M566" s="50" t="str"/>
      <x:c r="N566" s="47" t="str"/>
      <x:c r="O566" s="50" t="str"/>
      <x:c r="P566" s="64" t="str">
        <x:f>IF(O566="","",O566*2)</x:f>
      </x:c>
      <x:c r="Q566" s="50" t="str"/>
      <x:c r="R566" s="47" t="str"/>
      <x:c r="S566" s="33" t="str">
        <x:v>Not Tested</x:v>
      </x:c>
      <x:c r="T566" s="64" t="str">
        <x:v>Eligible</x:v>
      </x:c>
      <x:c r="U566" s="47" t="str"/>
      <x:c r="V566" s="47" t="str"/>
      <x:c r="W566" s="47" t="str"/>
      <x:c r="X566" s="50" t="str"/>
      <x:c r="Y566" s="50" t="str"/>
      <x:c r="Z566" s="47" t="str"/>
      <x:c r="AA566" s="47" t="str">
        <x:v>No direct published reference located; do not display a crimp value.</x:v>
      </x:c>
      <x:c r="AB566" s="161" t="str">
        <x:v>Pending</x:v>
      </x:c>
    </x:row>
    <x:row r="567" ht="42" customHeight="1">
      <x:c r="A567" s="33" t="str">
        <x:v>Draft</x:v>
      </x:c>
      <x:c r="B567" s="47" t="str">
        <x:v>COMP_0563</x:v>
      </x:c>
      <x:c r="C567" s="47" t="str">
        <x:v>EN1SC_006</x:v>
      </x:c>
      <x:c r="D567" s="47" t="str">
        <x:v>NPT_M_FX_16_12</x:v>
      </x:c>
      <x:c r="E567" s="47" t="str">
        <x:v>EN1SC_1WB_006</x:v>
      </x:c>
      <x:c r="F567" s="47" t="str"/>
      <x:c r="G567" s="33" t="str"/>
      <x:c r="H567" s="50" t="str"/>
      <x:c r="I567" s="50" t="str"/>
      <x:c r="J567" s="50" t="str"/>
      <x:c r="K567" s="47" t="str"/>
      <x:c r="L567" s="50" t="str"/>
      <x:c r="M567" s="50" t="str"/>
      <x:c r="N567" s="47" t="str"/>
      <x:c r="O567" s="50" t="str"/>
      <x:c r="P567" s="64" t="str">
        <x:f>IF(O567="","",O567*2)</x:f>
      </x:c>
      <x:c r="Q567" s="50" t="str"/>
      <x:c r="R567" s="47" t="str"/>
      <x:c r="S567" s="33" t="str">
        <x:v>Not Tested</x:v>
      </x:c>
      <x:c r="T567" s="64" t="str">
        <x:v>Eligible</x:v>
      </x:c>
      <x:c r="U567" s="47" t="str"/>
      <x:c r="V567" s="47" t="str"/>
      <x:c r="W567" s="47" t="str"/>
      <x:c r="X567" s="50" t="str"/>
      <x:c r="Y567" s="50" t="str"/>
      <x:c r="Z567" s="47" t="str"/>
      <x:c r="AA567" s="47" t="str">
        <x:v>No direct published reference located; do not display a crimp value.</x:v>
      </x:c>
      <x:c r="AB567" s="161" t="str">
        <x:v>Pending</x:v>
      </x:c>
    </x:row>
    <x:row r="568" ht="42" customHeight="1">
      <x:c r="A568" s="33" t="str">
        <x:v>Draft</x:v>
      </x:c>
      <x:c r="B568" s="47" t="str">
        <x:v>COMP_0564</x:v>
      </x:c>
      <x:c r="C568" s="47" t="str">
        <x:v>EN1SC_006</x:v>
      </x:c>
      <x:c r="D568" s="47" t="str">
        <x:v>NPT90_M_SW_12_12</x:v>
      </x:c>
      <x:c r="E568" s="47" t="str">
        <x:v>EN1SC_1WB_006</x:v>
      </x:c>
      <x:c r="F568" s="47" t="str"/>
      <x:c r="G568" s="33" t="str"/>
      <x:c r="H568" s="50" t="str"/>
      <x:c r="I568" s="50" t="str"/>
      <x:c r="J568" s="50" t="str"/>
      <x:c r="K568" s="47" t="str"/>
      <x:c r="L568" s="50" t="str"/>
      <x:c r="M568" s="50" t="str"/>
      <x:c r="N568" s="47" t="str"/>
      <x:c r="O568" s="50" t="str"/>
      <x:c r="P568" s="64" t="str">
        <x:f>IF(O568="","",O568*2)</x:f>
      </x:c>
      <x:c r="Q568" s="50" t="str"/>
      <x:c r="R568" s="47" t="str"/>
      <x:c r="S568" s="33" t="str">
        <x:v>Not Tested</x:v>
      </x:c>
      <x:c r="T568" s="64" t="str">
        <x:v>Eligible</x:v>
      </x:c>
      <x:c r="U568" s="47" t="str"/>
      <x:c r="V568" s="47" t="str"/>
      <x:c r="W568" s="47" t="str"/>
      <x:c r="X568" s="50" t="str"/>
      <x:c r="Y568" s="50" t="str"/>
      <x:c r="Z568" s="47" t="str"/>
      <x:c r="AA568" s="47" t="str">
        <x:v>No direct published reference located; do not display a crimp value.</x:v>
      </x:c>
      <x:c r="AB568" s="161" t="str">
        <x:v>Pending</x:v>
      </x:c>
    </x:row>
    <x:row r="569" ht="42" customHeight="1">
      <x:c r="A569" s="33" t="str">
        <x:v>Draft</x:v>
      </x:c>
      <x:c r="B569" s="47" t="str">
        <x:v>COMP_0565</x:v>
      </x:c>
      <x:c r="C569" s="47" t="str">
        <x:v>EN1SC_006</x:v>
      </x:c>
      <x:c r="D569" s="47" t="str">
        <x:v>ORFS_F_SW_10_12</x:v>
      </x:c>
      <x:c r="E569" s="47" t="str">
        <x:v>EN1SC_1WB_006</x:v>
      </x:c>
      <x:c r="F569" s="47" t="str"/>
      <x:c r="G569" s="33" t="str"/>
      <x:c r="H569" s="50" t="str"/>
      <x:c r="I569" s="50" t="str"/>
      <x:c r="J569" s="50" t="str"/>
      <x:c r="K569" s="47" t="str"/>
      <x:c r="L569" s="50" t="str"/>
      <x:c r="M569" s="50" t="str"/>
      <x:c r="N569" s="47" t="str"/>
      <x:c r="O569" s="50" t="str"/>
      <x:c r="P569" s="64" t="str">
        <x:f>IF(O569="","",O569*2)</x:f>
      </x:c>
      <x:c r="Q569" s="50" t="str"/>
      <x:c r="R569" s="47" t="str"/>
      <x:c r="S569" s="33" t="str">
        <x:v>Not Tested</x:v>
      </x:c>
      <x:c r="T569" s="64" t="str">
        <x:v>Eligible</x:v>
      </x:c>
      <x:c r="U569" s="47" t="str"/>
      <x:c r="V569" s="47" t="str"/>
      <x:c r="W569" s="47" t="str"/>
      <x:c r="X569" s="50" t="str"/>
      <x:c r="Y569" s="50" t="str"/>
      <x:c r="Z569" s="47" t="str"/>
      <x:c r="AA569" s="47" t="str">
        <x:v>No direct published reference located; do not display a crimp value.</x:v>
      </x:c>
      <x:c r="AB569" s="161" t="str">
        <x:v>Pending</x:v>
      </x:c>
    </x:row>
    <x:row r="570" ht="42" customHeight="1">
      <x:c r="A570" s="33" t="str">
        <x:v>Draft</x:v>
      </x:c>
      <x:c r="B570" s="47" t="str">
        <x:v>COMP_0566</x:v>
      </x:c>
      <x:c r="C570" s="47" t="str">
        <x:v>EN1SC_006</x:v>
      </x:c>
      <x:c r="D570" s="47" t="str">
        <x:v>ORFS_F_SW_12_12</x:v>
      </x:c>
      <x:c r="E570" s="47" t="str">
        <x:v>EN1SC_1WB_006</x:v>
      </x:c>
      <x:c r="F570" s="47" t="str"/>
      <x:c r="G570" s="33" t="str"/>
      <x:c r="H570" s="50" t="str"/>
      <x:c r="I570" s="50" t="str"/>
      <x:c r="J570" s="50" t="str"/>
      <x:c r="K570" s="47" t="str"/>
      <x:c r="L570" s="50" t="str"/>
      <x:c r="M570" s="50" t="str"/>
      <x:c r="N570" s="47" t="str"/>
      <x:c r="O570" s="50" t="str"/>
      <x:c r="P570" s="64" t="str">
        <x:f>IF(O570="","",O570*2)</x:f>
      </x:c>
      <x:c r="Q570" s="50" t="str"/>
      <x:c r="R570" s="47" t="str"/>
      <x:c r="S570" s="33" t="str">
        <x:v>Not Tested</x:v>
      </x:c>
      <x:c r="T570" s="64" t="str">
        <x:v>Eligible</x:v>
      </x:c>
      <x:c r="U570" s="47" t="str"/>
      <x:c r="V570" s="47" t="str"/>
      <x:c r="W570" s="47" t="str"/>
      <x:c r="X570" s="50" t="str"/>
      <x:c r="Y570" s="50" t="str"/>
      <x:c r="Z570" s="47" t="str"/>
      <x:c r="AA570" s="47" t="str">
        <x:v>No direct published reference located; do not display a crimp value.</x:v>
      </x:c>
      <x:c r="AB570" s="161" t="str">
        <x:v>Pending</x:v>
      </x:c>
    </x:row>
    <x:row r="571" ht="42" customHeight="1">
      <x:c r="A571" s="33" t="str">
        <x:v>Draft</x:v>
      </x:c>
      <x:c r="B571" s="47" t="str">
        <x:v>COMP_0567</x:v>
      </x:c>
      <x:c r="C571" s="47" t="str">
        <x:v>EN1SC_006</x:v>
      </x:c>
      <x:c r="D571" s="47" t="str">
        <x:v>ORFS_F_SW_16_12</x:v>
      </x:c>
      <x:c r="E571" s="47" t="str">
        <x:v>EN1SC_1WB_006</x:v>
      </x:c>
      <x:c r="F571" s="47" t="str"/>
      <x:c r="G571" s="33" t="str"/>
      <x:c r="H571" s="50" t="str"/>
      <x:c r="I571" s="50" t="str"/>
      <x:c r="J571" s="50" t="str"/>
      <x:c r="K571" s="47" t="str"/>
      <x:c r="L571" s="50" t="str"/>
      <x:c r="M571" s="50" t="str"/>
      <x:c r="N571" s="47" t="str"/>
      <x:c r="O571" s="50" t="str"/>
      <x:c r="P571" s="64" t="str">
        <x:f>IF(O571="","",O571*2)</x:f>
      </x:c>
      <x:c r="Q571" s="50" t="str"/>
      <x:c r="R571" s="47" t="str"/>
      <x:c r="S571" s="33" t="str">
        <x:v>Not Tested</x:v>
      </x:c>
      <x:c r="T571" s="64" t="str">
        <x:v>Eligible</x:v>
      </x:c>
      <x:c r="U571" s="47" t="str"/>
      <x:c r="V571" s="47" t="str"/>
      <x:c r="W571" s="47" t="str"/>
      <x:c r="X571" s="50" t="str"/>
      <x:c r="Y571" s="50" t="str"/>
      <x:c r="Z571" s="47" t="str"/>
      <x:c r="AA571" s="47" t="str">
        <x:v>No direct published reference located; do not display a crimp value.</x:v>
      </x:c>
      <x:c r="AB571" s="161" t="str">
        <x:v>Pending</x:v>
      </x:c>
    </x:row>
    <x:row r="572" ht="42" customHeight="1">
      <x:c r="A572" s="33" t="str">
        <x:v>Draft</x:v>
      </x:c>
      <x:c r="B572" s="47" t="str">
        <x:v>COMP_0568</x:v>
      </x:c>
      <x:c r="C572" s="47" t="str">
        <x:v>EN1SC_006</x:v>
      </x:c>
      <x:c r="D572" s="47" t="str">
        <x:v>ORFS_M_FX_12_12</x:v>
      </x:c>
      <x:c r="E572" s="47" t="str">
        <x:v>EN1SC_1WB_006</x:v>
      </x:c>
      <x:c r="F572" s="47" t="str"/>
      <x:c r="G572" s="33" t="str"/>
      <x:c r="H572" s="50" t="str"/>
      <x:c r="I572" s="50" t="str"/>
      <x:c r="J572" s="50" t="str"/>
      <x:c r="K572" s="47" t="str"/>
      <x:c r="L572" s="50" t="str"/>
      <x:c r="M572" s="50" t="str"/>
      <x:c r="N572" s="47" t="str"/>
      <x:c r="O572" s="50" t="str"/>
      <x:c r="P572" s="64" t="str">
        <x:f>IF(O572="","",O572*2)</x:f>
      </x:c>
      <x:c r="Q572" s="50" t="str"/>
      <x:c r="R572" s="47" t="str"/>
      <x:c r="S572" s="33" t="str">
        <x:v>Not Tested</x:v>
      </x:c>
      <x:c r="T572" s="64" t="str">
        <x:v>Eligible</x:v>
      </x:c>
      <x:c r="U572" s="47" t="str"/>
      <x:c r="V572" s="47" t="str"/>
      <x:c r="W572" s="47" t="str"/>
      <x:c r="X572" s="50" t="str"/>
      <x:c r="Y572" s="50" t="str"/>
      <x:c r="Z572" s="47" t="str"/>
      <x:c r="AA572" s="47" t="str">
        <x:v>No direct published reference located; do not display a crimp value.</x:v>
      </x:c>
      <x:c r="AB572" s="161" t="str">
        <x:v>Pending</x:v>
      </x:c>
    </x:row>
    <x:row r="573" ht="42" customHeight="1">
      <x:c r="A573" s="33" t="str">
        <x:v>Draft</x:v>
      </x:c>
      <x:c r="B573" s="47" t="str">
        <x:v>COMP_0569</x:v>
      </x:c>
      <x:c r="C573" s="47" t="str">
        <x:v>EN1SC_006</x:v>
      </x:c>
      <x:c r="D573" s="47" t="str">
        <x:v>ORFS_M_FX_16_12</x:v>
      </x:c>
      <x:c r="E573" s="47" t="str">
        <x:v>EN1SC_1WB_006</x:v>
      </x:c>
      <x:c r="F573" s="47" t="str"/>
      <x:c r="G573" s="33" t="str"/>
      <x:c r="H573" s="50" t="str"/>
      <x:c r="I573" s="50" t="str"/>
      <x:c r="J573" s="50" t="str"/>
      <x:c r="K573" s="47" t="str"/>
      <x:c r="L573" s="50" t="str"/>
      <x:c r="M573" s="50" t="str"/>
      <x:c r="N573" s="47" t="str"/>
      <x:c r="O573" s="50" t="str"/>
      <x:c r="P573" s="64" t="str">
        <x:f>IF(O573="","",O573*2)</x:f>
      </x:c>
      <x:c r="Q573" s="50" t="str"/>
      <x:c r="R573" s="47" t="str"/>
      <x:c r="S573" s="33" t="str">
        <x:v>Not Tested</x:v>
      </x:c>
      <x:c r="T573" s="64" t="str">
        <x:v>Eligible</x:v>
      </x:c>
      <x:c r="U573" s="47" t="str"/>
      <x:c r="V573" s="47" t="str"/>
      <x:c r="W573" s="47" t="str"/>
      <x:c r="X573" s="50" t="str"/>
      <x:c r="Y573" s="50" t="str"/>
      <x:c r="Z573" s="47" t="str"/>
      <x:c r="AA573" s="47" t="str">
        <x:v>No direct published reference located; do not display a crimp value.</x:v>
      </x:c>
      <x:c r="AB573" s="161" t="str">
        <x:v>Pending</x:v>
      </x:c>
    </x:row>
    <x:row r="574" ht="42" customHeight="1">
      <x:c r="A574" s="33" t="str">
        <x:v>Draft</x:v>
      </x:c>
      <x:c r="B574" s="47" t="str">
        <x:v>COMP_0570</x:v>
      </x:c>
      <x:c r="C574" s="47" t="str">
        <x:v>EN1SC_006</x:v>
      </x:c>
      <x:c r="D574" s="47" t="str">
        <x:v>ORFS45_F_SW_10_12</x:v>
      </x:c>
      <x:c r="E574" s="47" t="str">
        <x:v>EN1SC_1WB_006</x:v>
      </x:c>
      <x:c r="F574" s="47" t="str"/>
      <x:c r="G574" s="33" t="str"/>
      <x:c r="H574" s="50" t="str"/>
      <x:c r="I574" s="50" t="str"/>
      <x:c r="J574" s="50" t="str"/>
      <x:c r="K574" s="47" t="str"/>
      <x:c r="L574" s="50" t="str"/>
      <x:c r="M574" s="50" t="str"/>
      <x:c r="N574" s="47" t="str"/>
      <x:c r="O574" s="50" t="str"/>
      <x:c r="P574" s="64" t="str">
        <x:f>IF(O574="","",O574*2)</x:f>
      </x:c>
      <x:c r="Q574" s="50" t="str"/>
      <x:c r="R574" s="47" t="str"/>
      <x:c r="S574" s="33" t="str">
        <x:v>Not Tested</x:v>
      </x:c>
      <x:c r="T574" s="64" t="str">
        <x:v>Eligible</x:v>
      </x:c>
      <x:c r="U574" s="47" t="str"/>
      <x:c r="V574" s="47" t="str"/>
      <x:c r="W574" s="47" t="str"/>
      <x:c r="X574" s="50" t="str"/>
      <x:c r="Y574" s="50" t="str"/>
      <x:c r="Z574" s="47" t="str"/>
      <x:c r="AA574" s="47" t="str">
        <x:v>No direct published reference located; do not display a crimp value.</x:v>
      </x:c>
      <x:c r="AB574" s="161" t="str">
        <x:v>Pending</x:v>
      </x:c>
    </x:row>
    <x:row r="575" ht="42" customHeight="1">
      <x:c r="A575" s="33" t="str">
        <x:v>Draft</x:v>
      </x:c>
      <x:c r="B575" s="47" t="str">
        <x:v>COMP_0571</x:v>
      </x:c>
      <x:c r="C575" s="47" t="str">
        <x:v>EN1SC_006</x:v>
      </x:c>
      <x:c r="D575" s="47" t="str">
        <x:v>ORFS45_F_SW_12_12</x:v>
      </x:c>
      <x:c r="E575" s="47" t="str">
        <x:v>EN1SC_1WB_006</x:v>
      </x:c>
      <x:c r="F575" s="47" t="str"/>
      <x:c r="G575" s="33" t="str"/>
      <x:c r="H575" s="50" t="str"/>
      <x:c r="I575" s="50" t="str"/>
      <x:c r="J575" s="50" t="str"/>
      <x:c r="K575" s="47" t="str"/>
      <x:c r="L575" s="50" t="str"/>
      <x:c r="M575" s="50" t="str"/>
      <x:c r="N575" s="47" t="str"/>
      <x:c r="O575" s="50" t="str"/>
      <x:c r="P575" s="64" t="str">
        <x:f>IF(O575="","",O575*2)</x:f>
      </x:c>
      <x:c r="Q575" s="50" t="str"/>
      <x:c r="R575" s="47" t="str"/>
      <x:c r="S575" s="33" t="str">
        <x:v>Not Tested</x:v>
      </x:c>
      <x:c r="T575" s="64" t="str">
        <x:v>Eligible</x:v>
      </x:c>
      <x:c r="U575" s="47" t="str"/>
      <x:c r="V575" s="47" t="str"/>
      <x:c r="W575" s="47" t="str"/>
      <x:c r="X575" s="50" t="str"/>
      <x:c r="Y575" s="50" t="str"/>
      <x:c r="Z575" s="47" t="str"/>
      <x:c r="AA575" s="47" t="str">
        <x:v>No direct published reference located; do not display a crimp value.</x:v>
      </x:c>
      <x:c r="AB575" s="161" t="str">
        <x:v>Pending</x:v>
      </x:c>
    </x:row>
    <x:row r="576" ht="42" customHeight="1">
      <x:c r="A576" s="33" t="str">
        <x:v>Draft</x:v>
      </x:c>
      <x:c r="B576" s="47" t="str">
        <x:v>COMP_0572</x:v>
      </x:c>
      <x:c r="C576" s="47" t="str">
        <x:v>EN1SC_006</x:v>
      </x:c>
      <x:c r="D576" s="47" t="str">
        <x:v>ORFS45_F_SW_16_12</x:v>
      </x:c>
      <x:c r="E576" s="47" t="str">
        <x:v>EN1SC_1WB_006</x:v>
      </x:c>
      <x:c r="F576" s="47" t="str"/>
      <x:c r="G576" s="33" t="str"/>
      <x:c r="H576" s="50" t="str"/>
      <x:c r="I576" s="50" t="str"/>
      <x:c r="J576" s="50" t="str"/>
      <x:c r="K576" s="47" t="str"/>
      <x:c r="L576" s="50" t="str"/>
      <x:c r="M576" s="50" t="str"/>
      <x:c r="N576" s="47" t="str"/>
      <x:c r="O576" s="50" t="str"/>
      <x:c r="P576" s="64" t="str">
        <x:f>IF(O576="","",O576*2)</x:f>
      </x:c>
      <x:c r="Q576" s="50" t="str"/>
      <x:c r="R576" s="47" t="str"/>
      <x:c r="S576" s="33" t="str">
        <x:v>Not Tested</x:v>
      </x:c>
      <x:c r="T576" s="64" t="str">
        <x:v>Eligible</x:v>
      </x:c>
      <x:c r="U576" s="47" t="str"/>
      <x:c r="V576" s="47" t="str"/>
      <x:c r="W576" s="47" t="str"/>
      <x:c r="X576" s="50" t="str"/>
      <x:c r="Y576" s="50" t="str"/>
      <x:c r="Z576" s="47" t="str"/>
      <x:c r="AA576" s="47" t="str">
        <x:v>No direct published reference located; do not display a crimp value.</x:v>
      </x:c>
      <x:c r="AB576" s="161" t="str">
        <x:v>Pending</x:v>
      </x:c>
    </x:row>
    <x:row r="577" ht="42" customHeight="1">
      <x:c r="A577" s="33" t="str">
        <x:v>Draft</x:v>
      </x:c>
      <x:c r="B577" s="47" t="str">
        <x:v>COMP_0573</x:v>
      </x:c>
      <x:c r="C577" s="47" t="str">
        <x:v>EN1SC_006</x:v>
      </x:c>
      <x:c r="D577" s="47" t="str">
        <x:v>ORFS90_F_SW_10_12</x:v>
      </x:c>
      <x:c r="E577" s="47" t="str">
        <x:v>EN1SC_1WB_006</x:v>
      </x:c>
      <x:c r="F577" s="47" t="str"/>
      <x:c r="G577" s="33" t="str"/>
      <x:c r="H577" s="50" t="str"/>
      <x:c r="I577" s="50" t="str"/>
      <x:c r="J577" s="50" t="str"/>
      <x:c r="K577" s="47" t="str"/>
      <x:c r="L577" s="50" t="str"/>
      <x:c r="M577" s="50" t="str"/>
      <x:c r="N577" s="47" t="str"/>
      <x:c r="O577" s="50" t="str"/>
      <x:c r="P577" s="64" t="str">
        <x:f>IF(O577="","",O577*2)</x:f>
      </x:c>
      <x:c r="Q577" s="50" t="str"/>
      <x:c r="R577" s="47" t="str"/>
      <x:c r="S577" s="33" t="str">
        <x:v>Not Tested</x:v>
      </x:c>
      <x:c r="T577" s="64" t="str">
        <x:v>Eligible</x:v>
      </x:c>
      <x:c r="U577" s="47" t="str"/>
      <x:c r="V577" s="47" t="str"/>
      <x:c r="W577" s="47" t="str"/>
      <x:c r="X577" s="50" t="str"/>
      <x:c r="Y577" s="50" t="str"/>
      <x:c r="Z577" s="47" t="str"/>
      <x:c r="AA577" s="47" t="str">
        <x:v>No direct published reference located; do not display a crimp value.</x:v>
      </x:c>
      <x:c r="AB577" s="161" t="str">
        <x:v>Pending</x:v>
      </x:c>
    </x:row>
    <x:row r="578" ht="42" customHeight="1">
      <x:c r="A578" s="33" t="str">
        <x:v>Draft</x:v>
      </x:c>
      <x:c r="B578" s="47" t="str">
        <x:v>COMP_0574</x:v>
      </x:c>
      <x:c r="C578" s="47" t="str">
        <x:v>EN1SC_006</x:v>
      </x:c>
      <x:c r="D578" s="47" t="str">
        <x:v>ORFS90_F_SW_12_12</x:v>
      </x:c>
      <x:c r="E578" s="47" t="str">
        <x:v>EN1SC_1WB_006</x:v>
      </x:c>
      <x:c r="F578" s="47" t="str"/>
      <x:c r="G578" s="33" t="str"/>
      <x:c r="H578" s="50" t="str"/>
      <x:c r="I578" s="50" t="str"/>
      <x:c r="J578" s="50" t="str"/>
      <x:c r="K578" s="47" t="str"/>
      <x:c r="L578" s="50" t="str"/>
      <x:c r="M578" s="50" t="str"/>
      <x:c r="N578" s="47" t="str"/>
      <x:c r="O578" s="50" t="str"/>
      <x:c r="P578" s="64" t="str">
        <x:f>IF(O578="","",O578*2)</x:f>
      </x:c>
      <x:c r="Q578" s="50" t="str"/>
      <x:c r="R578" s="47" t="str"/>
      <x:c r="S578" s="33" t="str">
        <x:v>Not Tested</x:v>
      </x:c>
      <x:c r="T578" s="64" t="str">
        <x:v>Eligible</x:v>
      </x:c>
      <x:c r="U578" s="47" t="str"/>
      <x:c r="V578" s="47" t="str"/>
      <x:c r="W578" s="47" t="str"/>
      <x:c r="X578" s="50" t="str"/>
      <x:c r="Y578" s="50" t="str"/>
      <x:c r="Z578" s="47" t="str"/>
      <x:c r="AA578" s="47" t="str">
        <x:v>No direct published reference located; do not display a crimp value.</x:v>
      </x:c>
      <x:c r="AB578" s="161" t="str">
        <x:v>Pending</x:v>
      </x:c>
    </x:row>
    <x:row r="579" ht="42" customHeight="1">
      <x:c r="A579" s="33" t="str">
        <x:v>Draft</x:v>
      </x:c>
      <x:c r="B579" s="47" t="str">
        <x:v>COMP_0575</x:v>
      </x:c>
      <x:c r="C579" s="47" t="str">
        <x:v>EN1SC_006</x:v>
      </x:c>
      <x:c r="D579" s="47" t="str">
        <x:v>ORFS90_F_SW_16_12</x:v>
      </x:c>
      <x:c r="E579" s="47" t="str">
        <x:v>EN1SC_1WB_006</x:v>
      </x:c>
      <x:c r="F579" s="47" t="str"/>
      <x:c r="G579" s="33" t="str"/>
      <x:c r="H579" s="50" t="str"/>
      <x:c r="I579" s="50" t="str"/>
      <x:c r="J579" s="50" t="str"/>
      <x:c r="K579" s="47" t="str"/>
      <x:c r="L579" s="50" t="str"/>
      <x:c r="M579" s="50" t="str"/>
      <x:c r="N579" s="47" t="str"/>
      <x:c r="O579" s="50" t="str"/>
      <x:c r="P579" s="64" t="str">
        <x:f>IF(O579="","",O579*2)</x:f>
      </x:c>
      <x:c r="Q579" s="50" t="str"/>
      <x:c r="R579" s="47" t="str"/>
      <x:c r="S579" s="33" t="str">
        <x:v>Not Tested</x:v>
      </x:c>
      <x:c r="T579" s="64" t="str">
        <x:v>Eligible</x:v>
      </x:c>
      <x:c r="U579" s="47" t="str"/>
      <x:c r="V579" s="47" t="str"/>
      <x:c r="W579" s="47" t="str"/>
      <x:c r="X579" s="50" t="str"/>
      <x:c r="Y579" s="50" t="str"/>
      <x:c r="Z579" s="47" t="str"/>
      <x:c r="AA579" s="47" t="str">
        <x:v>No direct published reference located; do not display a crimp value.</x:v>
      </x:c>
      <x:c r="AB579" s="161" t="str">
        <x:v>Pending</x:v>
      </x:c>
    </x:row>
    <x:row r="580" ht="42" customHeight="1">
      <x:c r="A580" s="33" t="str">
        <x:v>Draft</x:v>
      </x:c>
      <x:c r="B580" s="47" t="str">
        <x:v>COMP_0576</x:v>
      </x:c>
      <x:c r="C580" s="47" t="str">
        <x:v>EN1SC_007</x:v>
      </x:c>
      <x:c r="D580" s="47" t="str">
        <x:v>BSPP_F_SW_16_16</x:v>
      </x:c>
      <x:c r="E580" s="47" t="str">
        <x:v>EN1SC_1WB_007</x:v>
      </x:c>
      <x:c r="F580" s="47" t="str"/>
      <x:c r="G580" s="33" t="str"/>
      <x:c r="H580" s="50" t="str"/>
      <x:c r="I580" s="50" t="str"/>
      <x:c r="J580" s="50" t="str"/>
      <x:c r="K580" s="47" t="str"/>
      <x:c r="L580" s="50" t="str"/>
      <x:c r="M580" s="50" t="str"/>
      <x:c r="N580" s="47" t="str"/>
      <x:c r="O580" s="50" t="str"/>
      <x:c r="P580" s="64" t="str">
        <x:f>IF(O580="","",O580*2)</x:f>
      </x:c>
      <x:c r="Q580" s="50" t="str"/>
      <x:c r="R580" s="47" t="str"/>
      <x:c r="S580" s="33" t="str">
        <x:v>Not Tested</x:v>
      </x:c>
      <x:c r="T580" s="64" t="str">
        <x:v>Eligible</x:v>
      </x:c>
      <x:c r="U580" s="47" t="str"/>
      <x:c r="V580" s="47" t="str"/>
      <x:c r="W580" s="47" t="str"/>
      <x:c r="X580" s="50" t="str"/>
      <x:c r="Y580" s="50" t="str"/>
      <x:c r="Z580" s="47" t="str"/>
      <x:c r="AA580" s="47" t="str">
        <x:v>No direct published reference located; do not display a crimp value.</x:v>
      </x:c>
      <x:c r="AB580" s="161" t="str">
        <x:v>Pending</x:v>
      </x:c>
    </x:row>
    <x:row r="581" ht="42" customHeight="1">
      <x:c r="A581" s="33" t="str">
        <x:v>Draft</x:v>
      </x:c>
      <x:c r="B581" s="47" t="str">
        <x:v>COMP_0577</x:v>
      </x:c>
      <x:c r="C581" s="47" t="str">
        <x:v>EN1SC_007</x:v>
      </x:c>
      <x:c r="D581" s="47" t="str">
        <x:v>BSPP45_F_SW_16_16</x:v>
      </x:c>
      <x:c r="E581" s="47" t="str">
        <x:v>EN1SC_1WB_007</x:v>
      </x:c>
      <x:c r="F581" s="47" t="str"/>
      <x:c r="G581" s="33" t="str"/>
      <x:c r="H581" s="50" t="str"/>
      <x:c r="I581" s="50" t="str"/>
      <x:c r="J581" s="50" t="str"/>
      <x:c r="K581" s="47" t="str"/>
      <x:c r="L581" s="50" t="str"/>
      <x:c r="M581" s="50" t="str"/>
      <x:c r="N581" s="47" t="str"/>
      <x:c r="O581" s="50" t="str"/>
      <x:c r="P581" s="64" t="str">
        <x:f>IF(O581="","",O581*2)</x:f>
      </x:c>
      <x:c r="Q581" s="50" t="str"/>
      <x:c r="R581" s="47" t="str"/>
      <x:c r="S581" s="33" t="str">
        <x:v>Not Tested</x:v>
      </x:c>
      <x:c r="T581" s="64" t="str">
        <x:v>Eligible</x:v>
      </x:c>
      <x:c r="U581" s="47" t="str"/>
      <x:c r="V581" s="47" t="str"/>
      <x:c r="W581" s="47" t="str"/>
      <x:c r="X581" s="50" t="str"/>
      <x:c r="Y581" s="50" t="str"/>
      <x:c r="Z581" s="47" t="str"/>
      <x:c r="AA581" s="47" t="str">
        <x:v>No direct published reference located; do not display a crimp value.</x:v>
      </x:c>
      <x:c r="AB581" s="161" t="str">
        <x:v>Pending</x:v>
      </x:c>
    </x:row>
    <x:row r="582" ht="42" customHeight="1">
      <x:c r="A582" s="33" t="str">
        <x:v>Draft</x:v>
      </x:c>
      <x:c r="B582" s="47" t="str">
        <x:v>COMP_0578</x:v>
      </x:c>
      <x:c r="C582" s="47" t="str">
        <x:v>EN1SC_007</x:v>
      </x:c>
      <x:c r="D582" s="47" t="str">
        <x:v>BSPP90_F_SW_16_16</x:v>
      </x:c>
      <x:c r="E582" s="47" t="str">
        <x:v>EN1SC_1WB_007</x:v>
      </x:c>
      <x:c r="F582" s="47" t="str"/>
      <x:c r="G582" s="33" t="str"/>
      <x:c r="H582" s="50" t="str"/>
      <x:c r="I582" s="50" t="str"/>
      <x:c r="J582" s="50" t="str"/>
      <x:c r="K582" s="47" t="str"/>
      <x:c r="L582" s="50" t="str"/>
      <x:c r="M582" s="50" t="str"/>
      <x:c r="N582" s="47" t="str"/>
      <x:c r="O582" s="50" t="str"/>
      <x:c r="P582" s="64" t="str">
        <x:f>IF(O582="","",O582*2)</x:f>
      </x:c>
      <x:c r="Q582" s="50" t="str"/>
      <x:c r="R582" s="47" t="str"/>
      <x:c r="S582" s="33" t="str">
        <x:v>Not Tested</x:v>
      </x:c>
      <x:c r="T582" s="64" t="str">
        <x:v>Eligible</x:v>
      </x:c>
      <x:c r="U582" s="47" t="str"/>
      <x:c r="V582" s="47" t="str"/>
      <x:c r="W582" s="47" t="str"/>
      <x:c r="X582" s="50" t="str"/>
      <x:c r="Y582" s="50" t="str"/>
      <x:c r="Z582" s="47" t="str"/>
      <x:c r="AA582" s="47" t="str">
        <x:v>No direct published reference located; do not display a crimp value.</x:v>
      </x:c>
      <x:c r="AB582" s="161" t="str">
        <x:v>Pending</x:v>
      </x:c>
    </x:row>
    <x:row r="583" ht="42" customHeight="1">
      <x:c r="A583" s="33" t="str">
        <x:v>Draft</x:v>
      </x:c>
      <x:c r="B583" s="47" t="str">
        <x:v>COMP_0579</x:v>
      </x:c>
      <x:c r="C583" s="47" t="str">
        <x:v>EN1SC_007</x:v>
      </x:c>
      <x:c r="D583" s="47" t="str">
        <x:v>BSPT_M_FX_16_16</x:v>
      </x:c>
      <x:c r="E583" s="47" t="str">
        <x:v>EN1SC_1WB_007</x:v>
      </x:c>
      <x:c r="F583" s="47" t="str"/>
      <x:c r="G583" s="33" t="str"/>
      <x:c r="H583" s="50" t="str"/>
      <x:c r="I583" s="50" t="str"/>
      <x:c r="J583" s="50" t="str"/>
      <x:c r="K583" s="47" t="str"/>
      <x:c r="L583" s="50" t="str"/>
      <x:c r="M583" s="50" t="str"/>
      <x:c r="N583" s="47" t="str"/>
      <x:c r="O583" s="50" t="str"/>
      <x:c r="P583" s="64" t="str">
        <x:f>IF(O583="","",O583*2)</x:f>
      </x:c>
      <x:c r="Q583" s="50" t="str"/>
      <x:c r="R583" s="47" t="str"/>
      <x:c r="S583" s="33" t="str">
        <x:v>Not Tested</x:v>
      </x:c>
      <x:c r="T583" s="64" t="str">
        <x:v>Eligible</x:v>
      </x:c>
      <x:c r="U583" s="47" t="str"/>
      <x:c r="V583" s="47" t="str"/>
      <x:c r="W583" s="47" t="str"/>
      <x:c r="X583" s="50" t="str"/>
      <x:c r="Y583" s="50" t="str"/>
      <x:c r="Z583" s="47" t="str"/>
      <x:c r="AA583" s="47" t="str">
        <x:v>No direct published reference located; do not display a crimp value.</x:v>
      </x:c>
      <x:c r="AB583" s="161" t="str">
        <x:v>Pending</x:v>
      </x:c>
    </x:row>
    <x:row r="584" ht="42" customHeight="1">
      <x:c r="A584" s="33" t="str">
        <x:v>Draft</x:v>
      </x:c>
      <x:c r="B584" s="47" t="str">
        <x:v>COMP_0580</x:v>
      </x:c>
      <x:c r="C584" s="47" t="str">
        <x:v>EN1SC_007</x:v>
      </x:c>
      <x:c r="D584" s="47" t="str">
        <x:v>JIC_F_SW_12_16</x:v>
      </x:c>
      <x:c r="E584" s="47" t="str">
        <x:v>EN1SC_1WB_007</x:v>
      </x:c>
      <x:c r="F584" s="47" t="str"/>
      <x:c r="G584" s="33" t="str"/>
      <x:c r="H584" s="50" t="str"/>
      <x:c r="I584" s="50" t="str"/>
      <x:c r="J584" s="50" t="str"/>
      <x:c r="K584" s="47" t="str"/>
      <x:c r="L584" s="50" t="str"/>
      <x:c r="M584" s="50" t="str"/>
      <x:c r="N584" s="47" t="str"/>
      <x:c r="O584" s="50" t="str"/>
      <x:c r="P584" s="64" t="str">
        <x:f>IF(O584="","",O584*2)</x:f>
      </x:c>
      <x:c r="Q584" s="50" t="str"/>
      <x:c r="R584" s="47" t="str"/>
      <x:c r="S584" s="33" t="str">
        <x:v>Not Tested</x:v>
      </x:c>
      <x:c r="T584" s="64" t="str">
        <x:v>Eligible</x:v>
      </x:c>
      <x:c r="U584" s="47" t="str"/>
      <x:c r="V584" s="47" t="str"/>
      <x:c r="W584" s="47" t="str"/>
      <x:c r="X584" s="50" t="str"/>
      <x:c r="Y584" s="50" t="str"/>
      <x:c r="Z584" s="47" t="str"/>
      <x:c r="AA584" s="47" t="str">
        <x:v>No direct published reference located; do not display a crimp value.</x:v>
      </x:c>
      <x:c r="AB584" s="161" t="str">
        <x:v>Pending</x:v>
      </x:c>
    </x:row>
    <x:row r="585" ht="42" customHeight="1">
      <x:c r="A585" s="33" t="str">
        <x:v>Draft</x:v>
      </x:c>
      <x:c r="B585" s="47" t="str">
        <x:v>COMP_0581</x:v>
      </x:c>
      <x:c r="C585" s="47" t="str">
        <x:v>EN1SC_007</x:v>
      </x:c>
      <x:c r="D585" s="47" t="str">
        <x:v>JIC_F_SW_16_16</x:v>
      </x:c>
      <x:c r="E585" s="47" t="str">
        <x:v>EN1SC_1WB_007</x:v>
      </x:c>
      <x:c r="F585" s="47" t="str"/>
      <x:c r="G585" s="33" t="str"/>
      <x:c r="H585" s="50" t="str"/>
      <x:c r="I585" s="50" t="str"/>
      <x:c r="J585" s="50" t="str"/>
      <x:c r="K585" s="47" t="str"/>
      <x:c r="L585" s="50" t="str"/>
      <x:c r="M585" s="50" t="str"/>
      <x:c r="N585" s="47" t="str"/>
      <x:c r="O585" s="50" t="str"/>
      <x:c r="P585" s="64" t="str">
        <x:f>IF(O585="","",O585*2)</x:f>
      </x:c>
      <x:c r="Q585" s="50" t="str"/>
      <x:c r="R585" s="47" t="str"/>
      <x:c r="S585" s="33" t="str">
        <x:v>Not Tested</x:v>
      </x:c>
      <x:c r="T585" s="64" t="str">
        <x:v>Eligible</x:v>
      </x:c>
      <x:c r="U585" s="47" t="str"/>
      <x:c r="V585" s="47" t="str"/>
      <x:c r="W585" s="47" t="str"/>
      <x:c r="X585" s="50" t="str"/>
      <x:c r="Y585" s="50" t="str"/>
      <x:c r="Z585" s="47" t="str"/>
      <x:c r="AA585" s="47" t="str">
        <x:v>No direct published reference located; do not display a crimp value.</x:v>
      </x:c>
      <x:c r="AB585" s="161" t="str">
        <x:v>Pending</x:v>
      </x:c>
    </x:row>
    <x:row r="586" ht="42" customHeight="1">
      <x:c r="A586" s="33" t="str">
        <x:v>Draft</x:v>
      </x:c>
      <x:c r="B586" s="47" t="str">
        <x:v>COMP_0582</x:v>
      </x:c>
      <x:c r="C586" s="47" t="str">
        <x:v>EN1SC_007</x:v>
      </x:c>
      <x:c r="D586" s="47" t="str">
        <x:v>JIC_F_SW_20_16</x:v>
      </x:c>
      <x:c r="E586" s="47" t="str">
        <x:v>EN1SC_1WB_007</x:v>
      </x:c>
      <x:c r="F586" s="47" t="str"/>
      <x:c r="G586" s="33" t="str"/>
      <x:c r="H586" s="50" t="str"/>
      <x:c r="I586" s="50" t="str"/>
      <x:c r="J586" s="50" t="str"/>
      <x:c r="K586" s="47" t="str"/>
      <x:c r="L586" s="50" t="str"/>
      <x:c r="M586" s="50" t="str"/>
      <x:c r="N586" s="47" t="str"/>
      <x:c r="O586" s="50" t="str"/>
      <x:c r="P586" s="64" t="str">
        <x:f>IF(O586="","",O586*2)</x:f>
      </x:c>
      <x:c r="Q586" s="50" t="str"/>
      <x:c r="R586" s="47" t="str"/>
      <x:c r="S586" s="33" t="str">
        <x:v>Not Tested</x:v>
      </x:c>
      <x:c r="T586" s="64" t="str">
        <x:v>Eligible</x:v>
      </x:c>
      <x:c r="U586" s="47" t="str"/>
      <x:c r="V586" s="47" t="str"/>
      <x:c r="W586" s="47" t="str"/>
      <x:c r="X586" s="50" t="str"/>
      <x:c r="Y586" s="50" t="str"/>
      <x:c r="Z586" s="47" t="str"/>
      <x:c r="AA586" s="47" t="str">
        <x:v>No direct published reference located; do not display a crimp value.</x:v>
      </x:c>
      <x:c r="AB586" s="161" t="str">
        <x:v>Pending</x:v>
      </x:c>
    </x:row>
    <x:row r="587" ht="42" customHeight="1">
      <x:c r="A587" s="33" t="str">
        <x:v>Draft</x:v>
      </x:c>
      <x:c r="B587" s="47" t="str">
        <x:v>COMP_0583</x:v>
      </x:c>
      <x:c r="C587" s="47" t="str">
        <x:v>EN1SC_007</x:v>
      </x:c>
      <x:c r="D587" s="47" t="str">
        <x:v>JIC_M_FX_16_16</x:v>
      </x:c>
      <x:c r="E587" s="47" t="str">
        <x:v>EN1SC_1WB_007</x:v>
      </x:c>
      <x:c r="F587" s="47" t="str"/>
      <x:c r="G587" s="33" t="str"/>
      <x:c r="H587" s="50" t="str"/>
      <x:c r="I587" s="50" t="str"/>
      <x:c r="J587" s="50" t="str"/>
      <x:c r="K587" s="47" t="str"/>
      <x:c r="L587" s="50" t="str"/>
      <x:c r="M587" s="50" t="str"/>
      <x:c r="N587" s="47" t="str"/>
      <x:c r="O587" s="50" t="str"/>
      <x:c r="P587" s="64" t="str">
        <x:f>IF(O587="","",O587*2)</x:f>
      </x:c>
      <x:c r="Q587" s="50" t="str"/>
      <x:c r="R587" s="47" t="str"/>
      <x:c r="S587" s="33" t="str">
        <x:v>Not Tested</x:v>
      </x:c>
      <x:c r="T587" s="64" t="str">
        <x:v>Eligible</x:v>
      </x:c>
      <x:c r="U587" s="47" t="str"/>
      <x:c r="V587" s="47" t="str"/>
      <x:c r="W587" s="47" t="str"/>
      <x:c r="X587" s="50" t="str"/>
      <x:c r="Y587" s="50" t="str"/>
      <x:c r="Z587" s="47" t="str"/>
      <x:c r="AA587" s="47" t="str">
        <x:v>No direct published reference located; do not display a crimp value.</x:v>
      </x:c>
      <x:c r="AB587" s="161" t="str">
        <x:v>Pending</x:v>
      </x:c>
    </x:row>
    <x:row r="588" ht="42" customHeight="1">
      <x:c r="A588" s="33" t="str">
        <x:v>Draft</x:v>
      </x:c>
      <x:c r="B588" s="47" t="str">
        <x:v>COMP_0584</x:v>
      </x:c>
      <x:c r="C588" s="47" t="str">
        <x:v>EN1SC_007</x:v>
      </x:c>
      <x:c r="D588" s="47" t="str">
        <x:v>JIC_M_FX_20_16</x:v>
      </x:c>
      <x:c r="E588" s="47" t="str">
        <x:v>EN1SC_1WB_007</x:v>
      </x:c>
      <x:c r="F588" s="47" t="str"/>
      <x:c r="G588" s="33" t="str"/>
      <x:c r="H588" s="50" t="str"/>
      <x:c r="I588" s="50" t="str"/>
      <x:c r="J588" s="50" t="str"/>
      <x:c r="K588" s="47" t="str"/>
      <x:c r="L588" s="50" t="str"/>
      <x:c r="M588" s="50" t="str"/>
      <x:c r="N588" s="47" t="str"/>
      <x:c r="O588" s="50" t="str"/>
      <x:c r="P588" s="64" t="str">
        <x:f>IF(O588="","",O588*2)</x:f>
      </x:c>
      <x:c r="Q588" s="50" t="str"/>
      <x:c r="R588" s="47" t="str"/>
      <x:c r="S588" s="33" t="str">
        <x:v>Not Tested</x:v>
      </x:c>
      <x:c r="T588" s="64" t="str">
        <x:v>Eligible</x:v>
      </x:c>
      <x:c r="U588" s="47" t="str"/>
      <x:c r="V588" s="47" t="str"/>
      <x:c r="W588" s="47" t="str"/>
      <x:c r="X588" s="50" t="str"/>
      <x:c r="Y588" s="50" t="str"/>
      <x:c r="Z588" s="47" t="str"/>
      <x:c r="AA588" s="47" t="str">
        <x:v>No direct published reference located; do not display a crimp value.</x:v>
      </x:c>
      <x:c r="AB588" s="161" t="str">
        <x:v>Pending</x:v>
      </x:c>
    </x:row>
    <x:row r="589" ht="42" customHeight="1">
      <x:c r="A589" s="33" t="str">
        <x:v>Draft</x:v>
      </x:c>
      <x:c r="B589" s="47" t="str">
        <x:v>COMP_0585</x:v>
      </x:c>
      <x:c r="C589" s="47" t="str">
        <x:v>EN1SC_007</x:v>
      </x:c>
      <x:c r="D589" s="47" t="str">
        <x:v>JIC45_F_SW_16_16</x:v>
      </x:c>
      <x:c r="E589" s="47" t="str">
        <x:v>EN1SC_1WB_007</x:v>
      </x:c>
      <x:c r="F589" s="47" t="str"/>
      <x:c r="G589" s="33" t="str"/>
      <x:c r="H589" s="50" t="str"/>
      <x:c r="I589" s="50" t="str"/>
      <x:c r="J589" s="50" t="str"/>
      <x:c r="K589" s="47" t="str"/>
      <x:c r="L589" s="50" t="str"/>
      <x:c r="M589" s="50" t="str"/>
      <x:c r="N589" s="47" t="str"/>
      <x:c r="O589" s="50" t="str"/>
      <x:c r="P589" s="64" t="str">
        <x:f>IF(O589="","",O589*2)</x:f>
      </x:c>
      <x:c r="Q589" s="50" t="str"/>
      <x:c r="R589" s="47" t="str"/>
      <x:c r="S589" s="33" t="str">
        <x:v>Not Tested</x:v>
      </x:c>
      <x:c r="T589" s="64" t="str">
        <x:v>Eligible</x:v>
      </x:c>
      <x:c r="U589" s="47" t="str"/>
      <x:c r="V589" s="47" t="str"/>
      <x:c r="W589" s="47" t="str"/>
      <x:c r="X589" s="50" t="str"/>
      <x:c r="Y589" s="50" t="str"/>
      <x:c r="Z589" s="47" t="str"/>
      <x:c r="AA589" s="47" t="str">
        <x:v>No direct published reference located; do not display a crimp value.</x:v>
      </x:c>
      <x:c r="AB589" s="161" t="str">
        <x:v>Pending</x:v>
      </x:c>
    </x:row>
    <x:row r="590" ht="42" customHeight="1">
      <x:c r="A590" s="33" t="str">
        <x:v>Draft</x:v>
      </x:c>
      <x:c r="B590" s="47" t="str">
        <x:v>COMP_0586</x:v>
      </x:c>
      <x:c r="C590" s="47" t="str">
        <x:v>EN1SC_007</x:v>
      </x:c>
      <x:c r="D590" s="47" t="str">
        <x:v>JIC45_F_SW_20_16</x:v>
      </x:c>
      <x:c r="E590" s="47" t="str">
        <x:v>EN1SC_1WB_007</x:v>
      </x:c>
      <x:c r="F590" s="47" t="str"/>
      <x:c r="G590" s="33" t="str"/>
      <x:c r="H590" s="50" t="str"/>
      <x:c r="I590" s="50" t="str"/>
      <x:c r="J590" s="50" t="str"/>
      <x:c r="K590" s="47" t="str"/>
      <x:c r="L590" s="50" t="str"/>
      <x:c r="M590" s="50" t="str"/>
      <x:c r="N590" s="47" t="str"/>
      <x:c r="O590" s="50" t="str"/>
      <x:c r="P590" s="64" t="str">
        <x:f>IF(O590="","",O590*2)</x:f>
      </x:c>
      <x:c r="Q590" s="50" t="str"/>
      <x:c r="R590" s="47" t="str"/>
      <x:c r="S590" s="33" t="str">
        <x:v>Not Tested</x:v>
      </x:c>
      <x:c r="T590" s="64" t="str">
        <x:v>Eligible</x:v>
      </x:c>
      <x:c r="U590" s="47" t="str"/>
      <x:c r="V590" s="47" t="str"/>
      <x:c r="W590" s="47" t="str"/>
      <x:c r="X590" s="50" t="str"/>
      <x:c r="Y590" s="50" t="str"/>
      <x:c r="Z590" s="47" t="str"/>
      <x:c r="AA590" s="47" t="str">
        <x:v>No direct published reference located; do not display a crimp value.</x:v>
      </x:c>
      <x:c r="AB590" s="161" t="str">
        <x:v>Pending</x:v>
      </x:c>
    </x:row>
    <x:row r="591" ht="42" customHeight="1">
      <x:c r="A591" s="33" t="str">
        <x:v>Draft</x:v>
      </x:c>
      <x:c r="B591" s="47" t="str">
        <x:v>COMP_0587</x:v>
      </x:c>
      <x:c r="C591" s="47" t="str">
        <x:v>EN1SC_007</x:v>
      </x:c>
      <x:c r="D591" s="47" t="str">
        <x:v>JIC90_F_SW_16_16</x:v>
      </x:c>
      <x:c r="E591" s="47" t="str">
        <x:v>EN1SC_1WB_007</x:v>
      </x:c>
      <x:c r="F591" s="47" t="str"/>
      <x:c r="G591" s="33" t="str"/>
      <x:c r="H591" s="50" t="str"/>
      <x:c r="I591" s="50" t="str"/>
      <x:c r="J591" s="50" t="str"/>
      <x:c r="K591" s="47" t="str"/>
      <x:c r="L591" s="50" t="str"/>
      <x:c r="M591" s="50" t="str"/>
      <x:c r="N591" s="47" t="str"/>
      <x:c r="O591" s="50" t="str"/>
      <x:c r="P591" s="64" t="str">
        <x:f>IF(O591="","",O591*2)</x:f>
      </x:c>
      <x:c r="Q591" s="50" t="str"/>
      <x:c r="R591" s="47" t="str"/>
      <x:c r="S591" s="33" t="str">
        <x:v>Not Tested</x:v>
      </x:c>
      <x:c r="T591" s="64" t="str">
        <x:v>Eligible</x:v>
      </x:c>
      <x:c r="U591" s="47" t="str"/>
      <x:c r="V591" s="47" t="str"/>
      <x:c r="W591" s="47" t="str"/>
      <x:c r="X591" s="50" t="str"/>
      <x:c r="Y591" s="50" t="str"/>
      <x:c r="Z591" s="47" t="str"/>
      <x:c r="AA591" s="47" t="str">
        <x:v>No direct published reference located; do not display a crimp value.</x:v>
      </x:c>
      <x:c r="AB591" s="161" t="str">
        <x:v>Pending</x:v>
      </x:c>
    </x:row>
    <x:row r="592" ht="42" customHeight="1">
      <x:c r="A592" s="33" t="str">
        <x:v>Draft</x:v>
      </x:c>
      <x:c r="B592" s="47" t="str">
        <x:v>COMP_0588</x:v>
      </x:c>
      <x:c r="C592" s="47" t="str">
        <x:v>EN1SC_007</x:v>
      </x:c>
      <x:c r="D592" s="47" t="str">
        <x:v>JIC90_F_SW_20_16</x:v>
      </x:c>
      <x:c r="E592" s="47" t="str">
        <x:v>EN1SC_1WB_007</x:v>
      </x:c>
      <x:c r="F592" s="47" t="str"/>
      <x:c r="G592" s="33" t="str"/>
      <x:c r="H592" s="50" t="str"/>
      <x:c r="I592" s="50" t="str"/>
      <x:c r="J592" s="50" t="str"/>
      <x:c r="K592" s="47" t="str"/>
      <x:c r="L592" s="50" t="str"/>
      <x:c r="M592" s="50" t="str"/>
      <x:c r="N592" s="47" t="str"/>
      <x:c r="O592" s="50" t="str"/>
      <x:c r="P592" s="64" t="str">
        <x:f>IF(O592="","",O592*2)</x:f>
      </x:c>
      <x:c r="Q592" s="50" t="str"/>
      <x:c r="R592" s="47" t="str"/>
      <x:c r="S592" s="33" t="str">
        <x:v>Not Tested</x:v>
      </x:c>
      <x:c r="T592" s="64" t="str">
        <x:v>Eligible</x:v>
      </x:c>
      <x:c r="U592" s="47" t="str"/>
      <x:c r="V592" s="47" t="str"/>
      <x:c r="W592" s="47" t="str"/>
      <x:c r="X592" s="50" t="str"/>
      <x:c r="Y592" s="50" t="str"/>
      <x:c r="Z592" s="47" t="str"/>
      <x:c r="AA592" s="47" t="str">
        <x:v>No direct published reference located; do not display a crimp value.</x:v>
      </x:c>
      <x:c r="AB592" s="161" t="str">
        <x:v>Pending</x:v>
      </x:c>
    </x:row>
    <x:row r="593" ht="42" customHeight="1">
      <x:c r="A593" s="33" t="str">
        <x:v>Draft</x:v>
      </x:c>
      <x:c r="B593" s="47" t="str">
        <x:v>COMP_0589</x:v>
      </x:c>
      <x:c r="C593" s="47" t="str">
        <x:v>EN1SC_007</x:v>
      </x:c>
      <x:c r="D593" s="47" t="str">
        <x:v>NPT_M_FX_12_16</x:v>
      </x:c>
      <x:c r="E593" s="47" t="str">
        <x:v>EN1SC_1WB_007</x:v>
      </x:c>
      <x:c r="F593" s="47" t="str"/>
      <x:c r="G593" s="33" t="str"/>
      <x:c r="H593" s="50" t="str"/>
      <x:c r="I593" s="50" t="str"/>
      <x:c r="J593" s="50" t="str"/>
      <x:c r="K593" s="47" t="str"/>
      <x:c r="L593" s="50" t="str"/>
      <x:c r="M593" s="50" t="str"/>
      <x:c r="N593" s="47" t="str"/>
      <x:c r="O593" s="50" t="str"/>
      <x:c r="P593" s="64" t="str">
        <x:f>IF(O593="","",O593*2)</x:f>
      </x:c>
      <x:c r="Q593" s="50" t="str"/>
      <x:c r="R593" s="47" t="str"/>
      <x:c r="S593" s="33" t="str">
        <x:v>Not Tested</x:v>
      </x:c>
      <x:c r="T593" s="64" t="str">
        <x:v>Eligible</x:v>
      </x:c>
      <x:c r="U593" s="47" t="str"/>
      <x:c r="V593" s="47" t="str"/>
      <x:c r="W593" s="47" t="str"/>
      <x:c r="X593" s="50" t="str"/>
      <x:c r="Y593" s="50" t="str"/>
      <x:c r="Z593" s="47" t="str"/>
      <x:c r="AA593" s="47" t="str">
        <x:v>No direct published reference located; do not display a crimp value.</x:v>
      </x:c>
      <x:c r="AB593" s="161" t="str">
        <x:v>Pending</x:v>
      </x:c>
    </x:row>
    <x:row r="594" ht="42" customHeight="1">
      <x:c r="A594" s="33" t="str">
        <x:v>Draft</x:v>
      </x:c>
      <x:c r="B594" s="47" t="str">
        <x:v>COMP_0590</x:v>
      </x:c>
      <x:c r="C594" s="47" t="str">
        <x:v>EN1SC_007</x:v>
      </x:c>
      <x:c r="D594" s="47" t="str">
        <x:v>NPT_M_FX_16_16</x:v>
      </x:c>
      <x:c r="E594" s="47" t="str">
        <x:v>EN1SC_1WB_007</x:v>
      </x:c>
      <x:c r="F594" s="47" t="str"/>
      <x:c r="G594" s="33" t="str"/>
      <x:c r="H594" s="50" t="str"/>
      <x:c r="I594" s="50" t="str"/>
      <x:c r="J594" s="50" t="str"/>
      <x:c r="K594" s="47" t="str"/>
      <x:c r="L594" s="50" t="str"/>
      <x:c r="M594" s="50" t="str"/>
      <x:c r="N594" s="47" t="str"/>
      <x:c r="O594" s="50" t="str"/>
      <x:c r="P594" s="64" t="str">
        <x:f>IF(O594="","",O594*2)</x:f>
      </x:c>
      <x:c r="Q594" s="50" t="str"/>
      <x:c r="R594" s="47" t="str"/>
      <x:c r="S594" s="33" t="str">
        <x:v>Not Tested</x:v>
      </x:c>
      <x:c r="T594" s="64" t="str">
        <x:v>Eligible</x:v>
      </x:c>
      <x:c r="U594" s="47" t="str"/>
      <x:c r="V594" s="47" t="str"/>
      <x:c r="W594" s="47" t="str"/>
      <x:c r="X594" s="50" t="str"/>
      <x:c r="Y594" s="50" t="str"/>
      <x:c r="Z594" s="47" t="str"/>
      <x:c r="AA594" s="47" t="str">
        <x:v>No direct published reference located; do not display a crimp value.</x:v>
      </x:c>
      <x:c r="AB594" s="161" t="str">
        <x:v>Pending</x:v>
      </x:c>
    </x:row>
    <x:row r="595" ht="42" customHeight="1">
      <x:c r="A595" s="33" t="str">
        <x:v>Draft</x:v>
      </x:c>
      <x:c r="B595" s="47" t="str">
        <x:v>COMP_0591</x:v>
      </x:c>
      <x:c r="C595" s="47" t="str">
        <x:v>EN1SC_007</x:v>
      </x:c>
      <x:c r="D595" s="47" t="str">
        <x:v>NPT_M_FX_20_16</x:v>
      </x:c>
      <x:c r="E595" s="47" t="str">
        <x:v>EN1SC_1WB_007</x:v>
      </x:c>
      <x:c r="F595" s="47" t="str"/>
      <x:c r="G595" s="33" t="str"/>
      <x:c r="H595" s="50" t="str"/>
      <x:c r="I595" s="50" t="str"/>
      <x:c r="J595" s="50" t="str"/>
      <x:c r="K595" s="47" t="str"/>
      <x:c r="L595" s="50" t="str"/>
      <x:c r="M595" s="50" t="str"/>
      <x:c r="N595" s="47" t="str"/>
      <x:c r="O595" s="50" t="str"/>
      <x:c r="P595" s="64" t="str">
        <x:f>IF(O595="","",O595*2)</x:f>
      </x:c>
      <x:c r="Q595" s="50" t="str"/>
      <x:c r="R595" s="47" t="str"/>
      <x:c r="S595" s="33" t="str">
        <x:v>Not Tested</x:v>
      </x:c>
      <x:c r="T595" s="64" t="str">
        <x:v>Eligible</x:v>
      </x:c>
      <x:c r="U595" s="47" t="str"/>
      <x:c r="V595" s="47" t="str"/>
      <x:c r="W595" s="47" t="str"/>
      <x:c r="X595" s="50" t="str"/>
      <x:c r="Y595" s="50" t="str"/>
      <x:c r="Z595" s="47" t="str"/>
      <x:c r="AA595" s="47" t="str">
        <x:v>No direct published reference located; do not display a crimp value.</x:v>
      </x:c>
      <x:c r="AB595" s="161" t="str">
        <x:v>Pending</x:v>
      </x:c>
    </x:row>
    <x:row r="596" ht="42" customHeight="1">
      <x:c r="A596" s="33" t="str">
        <x:v>Draft</x:v>
      </x:c>
      <x:c r="B596" s="47" t="str">
        <x:v>COMP_0592</x:v>
      </x:c>
      <x:c r="C596" s="47" t="str">
        <x:v>EN1SC_007</x:v>
      </x:c>
      <x:c r="D596" s="47" t="str">
        <x:v>ORFS_F_SW_12_16</x:v>
      </x:c>
      <x:c r="E596" s="47" t="str">
        <x:v>EN1SC_1WB_007</x:v>
      </x:c>
      <x:c r="F596" s="47" t="str"/>
      <x:c r="G596" s="33" t="str"/>
      <x:c r="H596" s="50" t="str"/>
      <x:c r="I596" s="50" t="str"/>
      <x:c r="J596" s="50" t="str"/>
      <x:c r="K596" s="47" t="str"/>
      <x:c r="L596" s="50" t="str"/>
      <x:c r="M596" s="50" t="str"/>
      <x:c r="N596" s="47" t="str"/>
      <x:c r="O596" s="50" t="str"/>
      <x:c r="P596" s="64" t="str">
        <x:f>IF(O596="","",O596*2)</x:f>
      </x:c>
      <x:c r="Q596" s="50" t="str"/>
      <x:c r="R596" s="47" t="str"/>
      <x:c r="S596" s="33" t="str">
        <x:v>Not Tested</x:v>
      </x:c>
      <x:c r="T596" s="64" t="str">
        <x:v>Eligible</x:v>
      </x:c>
      <x:c r="U596" s="47" t="str"/>
      <x:c r="V596" s="47" t="str"/>
      <x:c r="W596" s="47" t="str"/>
      <x:c r="X596" s="50" t="str"/>
      <x:c r="Y596" s="50" t="str"/>
      <x:c r="Z596" s="47" t="str"/>
      <x:c r="AA596" s="47" t="str">
        <x:v>No direct published reference located; do not display a crimp value.</x:v>
      </x:c>
      <x:c r="AB596" s="161" t="str">
        <x:v>Pending</x:v>
      </x:c>
    </x:row>
    <x:row r="597" ht="42" customHeight="1">
      <x:c r="A597" s="33" t="str">
        <x:v>Draft</x:v>
      </x:c>
      <x:c r="B597" s="47" t="str">
        <x:v>COMP_0593</x:v>
      </x:c>
      <x:c r="C597" s="47" t="str">
        <x:v>EN1SC_007</x:v>
      </x:c>
      <x:c r="D597" s="47" t="str">
        <x:v>ORFS_F_SW_16_16</x:v>
      </x:c>
      <x:c r="E597" s="47" t="str">
        <x:v>EN1SC_1WB_007</x:v>
      </x:c>
      <x:c r="F597" s="47" t="str"/>
      <x:c r="G597" s="33" t="str"/>
      <x:c r="H597" s="50" t="str"/>
      <x:c r="I597" s="50" t="str"/>
      <x:c r="J597" s="50" t="str"/>
      <x:c r="K597" s="47" t="str"/>
      <x:c r="L597" s="50" t="str"/>
      <x:c r="M597" s="50" t="str"/>
      <x:c r="N597" s="47" t="str"/>
      <x:c r="O597" s="50" t="str"/>
      <x:c r="P597" s="64" t="str">
        <x:f>IF(O597="","",O597*2)</x:f>
      </x:c>
      <x:c r="Q597" s="50" t="str"/>
      <x:c r="R597" s="47" t="str"/>
      <x:c r="S597" s="33" t="str">
        <x:v>Not Tested</x:v>
      </x:c>
      <x:c r="T597" s="64" t="str">
        <x:v>Eligible</x:v>
      </x:c>
      <x:c r="U597" s="47" t="str"/>
      <x:c r="V597" s="47" t="str"/>
      <x:c r="W597" s="47" t="str"/>
      <x:c r="X597" s="50" t="str"/>
      <x:c r="Y597" s="50" t="str"/>
      <x:c r="Z597" s="47" t="str"/>
      <x:c r="AA597" s="47" t="str">
        <x:v>No direct published reference located; do not display a crimp value.</x:v>
      </x:c>
      <x:c r="AB597" s="161" t="str">
        <x:v>Pending</x:v>
      </x:c>
    </x:row>
    <x:row r="598" ht="42" customHeight="1">
      <x:c r="A598" s="33" t="str">
        <x:v>Draft</x:v>
      </x:c>
      <x:c r="B598" s="47" t="str">
        <x:v>COMP_0594</x:v>
      </x:c>
      <x:c r="C598" s="47" t="str">
        <x:v>EN1SC_007</x:v>
      </x:c>
      <x:c r="D598" s="47" t="str">
        <x:v>ORFS_F_SW_20_16</x:v>
      </x:c>
      <x:c r="E598" s="47" t="str">
        <x:v>EN1SC_1WB_007</x:v>
      </x:c>
      <x:c r="F598" s="47" t="str"/>
      <x:c r="G598" s="33" t="str"/>
      <x:c r="H598" s="50" t="str"/>
      <x:c r="I598" s="50" t="str"/>
      <x:c r="J598" s="50" t="str"/>
      <x:c r="K598" s="47" t="str"/>
      <x:c r="L598" s="50" t="str"/>
      <x:c r="M598" s="50" t="str"/>
      <x:c r="N598" s="47" t="str"/>
      <x:c r="O598" s="50" t="str"/>
      <x:c r="P598" s="64" t="str">
        <x:f>IF(O598="","",O598*2)</x:f>
      </x:c>
      <x:c r="Q598" s="50" t="str"/>
      <x:c r="R598" s="47" t="str"/>
      <x:c r="S598" s="33" t="str">
        <x:v>Not Tested</x:v>
      </x:c>
      <x:c r="T598" s="64" t="str">
        <x:v>Eligible</x:v>
      </x:c>
      <x:c r="U598" s="47" t="str"/>
      <x:c r="V598" s="47" t="str"/>
      <x:c r="W598" s="47" t="str"/>
      <x:c r="X598" s="50" t="str"/>
      <x:c r="Y598" s="50" t="str"/>
      <x:c r="Z598" s="47" t="str"/>
      <x:c r="AA598" s="47" t="str">
        <x:v>No direct published reference located; do not display a crimp value.</x:v>
      </x:c>
      <x:c r="AB598" s="161" t="str">
        <x:v>Pending</x:v>
      </x:c>
    </x:row>
    <x:row r="599" ht="42" customHeight="1">
      <x:c r="A599" s="33" t="str">
        <x:v>Draft</x:v>
      </x:c>
      <x:c r="B599" s="47" t="str">
        <x:v>COMP_0595</x:v>
      </x:c>
      <x:c r="C599" s="47" t="str">
        <x:v>EN1SC_007</x:v>
      </x:c>
      <x:c r="D599" s="47" t="str">
        <x:v>ORFS_M_FX_12_16</x:v>
      </x:c>
      <x:c r="E599" s="47" t="str">
        <x:v>EN1SC_1WB_007</x:v>
      </x:c>
      <x:c r="F599" s="47" t="str"/>
      <x:c r="G599" s="33" t="str"/>
      <x:c r="H599" s="50" t="str"/>
      <x:c r="I599" s="50" t="str"/>
      <x:c r="J599" s="50" t="str"/>
      <x:c r="K599" s="47" t="str"/>
      <x:c r="L599" s="50" t="str"/>
      <x:c r="M599" s="50" t="str"/>
      <x:c r="N599" s="47" t="str"/>
      <x:c r="O599" s="50" t="str"/>
      <x:c r="P599" s="64" t="str">
        <x:f>IF(O599="","",O599*2)</x:f>
      </x:c>
      <x:c r="Q599" s="50" t="str"/>
      <x:c r="R599" s="47" t="str"/>
      <x:c r="S599" s="33" t="str">
        <x:v>Not Tested</x:v>
      </x:c>
      <x:c r="T599" s="64" t="str">
        <x:v>Eligible</x:v>
      </x:c>
      <x:c r="U599" s="47" t="str"/>
      <x:c r="V599" s="47" t="str"/>
      <x:c r="W599" s="47" t="str"/>
      <x:c r="X599" s="50" t="str"/>
      <x:c r="Y599" s="50" t="str"/>
      <x:c r="Z599" s="47" t="str"/>
      <x:c r="AA599" s="47" t="str">
        <x:v>No direct published reference located; do not display a crimp value.</x:v>
      </x:c>
      <x:c r="AB599" s="161" t="str">
        <x:v>Pending</x:v>
      </x:c>
    </x:row>
    <x:row r="600" ht="42" customHeight="1">
      <x:c r="A600" s="33" t="str">
        <x:v>Draft</x:v>
      </x:c>
      <x:c r="B600" s="47" t="str">
        <x:v>COMP_0596</x:v>
      </x:c>
      <x:c r="C600" s="47" t="str">
        <x:v>EN1SC_007</x:v>
      </x:c>
      <x:c r="D600" s="47" t="str">
        <x:v>ORFS_M_FX_16_16</x:v>
      </x:c>
      <x:c r="E600" s="47" t="str">
        <x:v>EN1SC_1WB_007</x:v>
      </x:c>
      <x:c r="F600" s="47" t="str"/>
      <x:c r="G600" s="33" t="str"/>
      <x:c r="H600" s="50" t="str"/>
      <x:c r="I600" s="50" t="str"/>
      <x:c r="J600" s="50" t="str"/>
      <x:c r="K600" s="47" t="str"/>
      <x:c r="L600" s="50" t="str"/>
      <x:c r="M600" s="50" t="str"/>
      <x:c r="N600" s="47" t="str"/>
      <x:c r="O600" s="50" t="str"/>
      <x:c r="P600" s="64" t="str">
        <x:f>IF(O600="","",O600*2)</x:f>
      </x:c>
      <x:c r="Q600" s="50" t="str"/>
      <x:c r="R600" s="47" t="str"/>
      <x:c r="S600" s="33" t="str">
        <x:v>Not Tested</x:v>
      </x:c>
      <x:c r="T600" s="64" t="str">
        <x:v>Eligible</x:v>
      </x:c>
      <x:c r="U600" s="47" t="str"/>
      <x:c r="V600" s="47" t="str"/>
      <x:c r="W600" s="47" t="str"/>
      <x:c r="X600" s="50" t="str"/>
      <x:c r="Y600" s="50" t="str"/>
      <x:c r="Z600" s="47" t="str"/>
      <x:c r="AA600" s="47" t="str">
        <x:v>No direct published reference located; do not display a crimp value.</x:v>
      </x:c>
      <x:c r="AB600" s="161" t="str">
        <x:v>Pending</x:v>
      </x:c>
    </x:row>
    <x:row r="601" ht="42" customHeight="1">
      <x:c r="A601" s="33" t="str">
        <x:v>Draft</x:v>
      </x:c>
      <x:c r="B601" s="47" t="str">
        <x:v>COMP_0597</x:v>
      </x:c>
      <x:c r="C601" s="47" t="str">
        <x:v>EN1SC_007</x:v>
      </x:c>
      <x:c r="D601" s="47" t="str">
        <x:v>ORFS45_F_SW_16_16</x:v>
      </x:c>
      <x:c r="E601" s="47" t="str">
        <x:v>EN1SC_1WB_007</x:v>
      </x:c>
      <x:c r="F601" s="47" t="str"/>
      <x:c r="G601" s="33" t="str"/>
      <x:c r="H601" s="50" t="str"/>
      <x:c r="I601" s="50" t="str"/>
      <x:c r="J601" s="50" t="str"/>
      <x:c r="K601" s="47" t="str"/>
      <x:c r="L601" s="50" t="str"/>
      <x:c r="M601" s="50" t="str"/>
      <x:c r="N601" s="47" t="str"/>
      <x:c r="O601" s="50" t="str"/>
      <x:c r="P601" s="64" t="str">
        <x:f>IF(O601="","",O601*2)</x:f>
      </x:c>
      <x:c r="Q601" s="50" t="str"/>
      <x:c r="R601" s="47" t="str"/>
      <x:c r="S601" s="33" t="str">
        <x:v>Not Tested</x:v>
      </x:c>
      <x:c r="T601" s="64" t="str">
        <x:v>Eligible</x:v>
      </x:c>
      <x:c r="U601" s="47" t="str"/>
      <x:c r="V601" s="47" t="str"/>
      <x:c r="W601" s="47" t="str"/>
      <x:c r="X601" s="50" t="str"/>
      <x:c r="Y601" s="50" t="str"/>
      <x:c r="Z601" s="47" t="str"/>
      <x:c r="AA601" s="47" t="str">
        <x:v>No direct published reference located; do not display a crimp value.</x:v>
      </x:c>
      <x:c r="AB601" s="161" t="str">
        <x:v>Pending</x:v>
      </x:c>
    </x:row>
    <x:row r="602" ht="42" customHeight="1">
      <x:c r="A602" s="33" t="str">
        <x:v>Draft</x:v>
      </x:c>
      <x:c r="B602" s="47" t="str">
        <x:v>COMP_0598</x:v>
      </x:c>
      <x:c r="C602" s="47" t="str">
        <x:v>EN1SC_007</x:v>
      </x:c>
      <x:c r="D602" s="47" t="str">
        <x:v>ORFS45_F_SW_20_16</x:v>
      </x:c>
      <x:c r="E602" s="47" t="str">
        <x:v>EN1SC_1WB_007</x:v>
      </x:c>
      <x:c r="F602" s="47" t="str"/>
      <x:c r="G602" s="33" t="str"/>
      <x:c r="H602" s="50" t="str"/>
      <x:c r="I602" s="50" t="str"/>
      <x:c r="J602" s="50" t="str"/>
      <x:c r="K602" s="47" t="str"/>
      <x:c r="L602" s="50" t="str"/>
      <x:c r="M602" s="50" t="str"/>
      <x:c r="N602" s="47" t="str"/>
      <x:c r="O602" s="50" t="str"/>
      <x:c r="P602" s="64" t="str">
        <x:f>IF(O602="","",O602*2)</x:f>
      </x:c>
      <x:c r="Q602" s="50" t="str"/>
      <x:c r="R602" s="47" t="str"/>
      <x:c r="S602" s="33" t="str">
        <x:v>Not Tested</x:v>
      </x:c>
      <x:c r="T602" s="64" t="str">
        <x:v>Eligible</x:v>
      </x:c>
      <x:c r="U602" s="47" t="str"/>
      <x:c r="V602" s="47" t="str"/>
      <x:c r="W602" s="47" t="str"/>
      <x:c r="X602" s="50" t="str"/>
      <x:c r="Y602" s="50" t="str"/>
      <x:c r="Z602" s="47" t="str"/>
      <x:c r="AA602" s="47" t="str">
        <x:v>No direct published reference located; do not display a crimp value.</x:v>
      </x:c>
      <x:c r="AB602" s="161" t="str">
        <x:v>Pending</x:v>
      </x:c>
    </x:row>
    <x:row r="603" ht="42" customHeight="1">
      <x:c r="A603" s="33" t="str">
        <x:v>Draft</x:v>
      </x:c>
      <x:c r="B603" s="47" t="str">
        <x:v>COMP_0599</x:v>
      </x:c>
      <x:c r="C603" s="47" t="str">
        <x:v>EN1SC_007</x:v>
      </x:c>
      <x:c r="D603" s="47" t="str">
        <x:v>ORFS90_F_SW_16_16</x:v>
      </x:c>
      <x:c r="E603" s="47" t="str">
        <x:v>EN1SC_1WB_007</x:v>
      </x:c>
      <x:c r="F603" s="47" t="str"/>
      <x:c r="G603" s="33" t="str"/>
      <x:c r="H603" s="50" t="str"/>
      <x:c r="I603" s="50" t="str"/>
      <x:c r="J603" s="50" t="str"/>
      <x:c r="K603" s="47" t="str"/>
      <x:c r="L603" s="50" t="str"/>
      <x:c r="M603" s="50" t="str"/>
      <x:c r="N603" s="47" t="str"/>
      <x:c r="O603" s="50" t="str"/>
      <x:c r="P603" s="64" t="str">
        <x:f>IF(O603="","",O603*2)</x:f>
      </x:c>
      <x:c r="Q603" s="50" t="str"/>
      <x:c r="R603" s="47" t="str"/>
      <x:c r="S603" s="33" t="str">
        <x:v>Not Tested</x:v>
      </x:c>
      <x:c r="T603" s="64" t="str">
        <x:v>Eligible</x:v>
      </x:c>
      <x:c r="U603" s="47" t="str"/>
      <x:c r="V603" s="47" t="str"/>
      <x:c r="W603" s="47" t="str"/>
      <x:c r="X603" s="50" t="str"/>
      <x:c r="Y603" s="50" t="str"/>
      <x:c r="Z603" s="47" t="str"/>
      <x:c r="AA603" s="47" t="str">
        <x:v>No direct published reference located; do not display a crimp value.</x:v>
      </x:c>
      <x:c r="AB603" s="161" t="str">
        <x:v>Pending</x:v>
      </x:c>
    </x:row>
    <x:row r="604" ht="42" customHeight="1">
      <x:c r="A604" s="33" t="str">
        <x:v>Draft</x:v>
      </x:c>
      <x:c r="B604" s="47" t="str">
        <x:v>COMP_0600</x:v>
      </x:c>
      <x:c r="C604" s="47" t="str">
        <x:v>EN1SC_007</x:v>
      </x:c>
      <x:c r="D604" s="47" t="str">
        <x:v>ORFS90_F_SW_20_16</x:v>
      </x:c>
      <x:c r="E604" s="47" t="str">
        <x:v>EN1SC_1WB_007</x:v>
      </x:c>
      <x:c r="F604" s="47" t="str"/>
      <x:c r="G604" s="33" t="str"/>
      <x:c r="H604" s="50" t="str"/>
      <x:c r="I604" s="50" t="str"/>
      <x:c r="J604" s="50" t="str"/>
      <x:c r="K604" s="47" t="str"/>
      <x:c r="L604" s="50" t="str"/>
      <x:c r="M604" s="50" t="str"/>
      <x:c r="N604" s="47" t="str"/>
      <x:c r="O604" s="50" t="str"/>
      <x:c r="P604" s="64" t="str">
        <x:f>IF(O604="","",O604*2)</x:f>
      </x:c>
      <x:c r="Q604" s="50" t="str"/>
      <x:c r="R604" s="47" t="str"/>
      <x:c r="S604" s="33" t="str">
        <x:v>Not Tested</x:v>
      </x:c>
      <x:c r="T604" s="64" t="str">
        <x:v>Eligible</x:v>
      </x:c>
      <x:c r="U604" s="47" t="str"/>
      <x:c r="V604" s="47" t="str"/>
      <x:c r="W604" s="47" t="str"/>
      <x:c r="X604" s="50" t="str"/>
      <x:c r="Y604" s="50" t="str"/>
      <x:c r="Z604" s="47" t="str"/>
      <x:c r="AA604" s="47" t="str">
        <x:v>No direct published reference located; do not display a crimp value.</x:v>
      </x:c>
      <x:c r="AB604" s="161" t="str">
        <x:v>Pending</x:v>
      </x:c>
    </x:row>
    <x:row r="605" ht="42" customHeight="1">
      <x:c r="A605" s="33" t="str">
        <x:v>Draft</x:v>
      </x:c>
      <x:c r="B605" s="47" t="str">
        <x:v>COMP_0601</x:v>
      </x:c>
      <x:c r="C605" s="47" t="str">
        <x:v>EN2SC_001</x:v>
      </x:c>
      <x:c r="D605" s="47" t="str">
        <x:v>BSPP_F_SW_04_04</x:v>
      </x:c>
      <x:c r="E605" s="47" t="str">
        <x:v>EN2SC_2WB_001</x:v>
      </x:c>
      <x:c r="F605" s="47" t="str"/>
      <x:c r="G605" s="33" t="str"/>
      <x:c r="H605" s="50" t="str"/>
      <x:c r="I605" s="50" t="str"/>
      <x:c r="J605" s="50" t="str"/>
      <x:c r="K605" s="47" t="str"/>
      <x:c r="L605" s="50" t="str"/>
      <x:c r="M605" s="50" t="str"/>
      <x:c r="N605" s="47" t="str"/>
      <x:c r="O605" s="50" t="str"/>
      <x:c r="P605" s="64" t="str">
        <x:f>IF(O605="","",O605*2)</x:f>
      </x:c>
      <x:c r="Q605" s="50" t="str"/>
      <x:c r="R605" s="47" t="str"/>
      <x:c r="S605" s="33" t="str">
        <x:v>Not Tested</x:v>
      </x:c>
      <x:c r="T605" s="64" t="str">
        <x:v>Eligible</x:v>
      </x:c>
      <x:c r="U605" s="47" t="str"/>
      <x:c r="V605" s="47" t="str"/>
      <x:c r="W605" s="47" t="str"/>
      <x:c r="X605" s="50" t="str"/>
      <x:c r="Y605" s="50" t="str"/>
      <x:c r="Z605" s="47" t="str"/>
      <x:c r="AA605" s="47" t="str">
        <x:v>No direct published reference located; do not display a crimp value.</x:v>
      </x:c>
      <x:c r="AB605" s="161" t="str">
        <x:v>Pending</x:v>
      </x:c>
    </x:row>
    <x:row r="606" ht="42" customHeight="1">
      <x:c r="A606" s="33" t="str">
        <x:v>Draft</x:v>
      </x:c>
      <x:c r="B606" s="47" t="str">
        <x:v>COMP_0602</x:v>
      </x:c>
      <x:c r="C606" s="47" t="str">
        <x:v>EN2SC_001</x:v>
      </x:c>
      <x:c r="D606" s="47" t="str">
        <x:v>BSPP_F_SW_06_04</x:v>
      </x:c>
      <x:c r="E606" s="47" t="str">
        <x:v>EN2SC_2WB_001</x:v>
      </x:c>
      <x:c r="F606" s="47" t="str"/>
      <x:c r="G606" s="33" t="str"/>
      <x:c r="H606" s="50" t="str"/>
      <x:c r="I606" s="50" t="str"/>
      <x:c r="J606" s="50" t="str"/>
      <x:c r="K606" s="47" t="str"/>
      <x:c r="L606" s="50" t="str"/>
      <x:c r="M606" s="50" t="str"/>
      <x:c r="N606" s="47" t="str"/>
      <x:c r="O606" s="50" t="str"/>
      <x:c r="P606" s="64" t="str">
        <x:f>IF(O606="","",O606*2)</x:f>
      </x:c>
      <x:c r="Q606" s="50" t="str"/>
      <x:c r="R606" s="47" t="str"/>
      <x:c r="S606" s="33" t="str">
        <x:v>Not Tested</x:v>
      </x:c>
      <x:c r="T606" s="64" t="str">
        <x:v>Eligible</x:v>
      </x:c>
      <x:c r="U606" s="47" t="str"/>
      <x:c r="V606" s="47" t="str"/>
      <x:c r="W606" s="47" t="str"/>
      <x:c r="X606" s="50" t="str"/>
      <x:c r="Y606" s="50" t="str"/>
      <x:c r="Z606" s="47" t="str"/>
      <x:c r="AA606" s="47" t="str">
        <x:v>No direct published reference located; do not display a crimp value.</x:v>
      </x:c>
      <x:c r="AB606" s="161" t="str">
        <x:v>Pending</x:v>
      </x:c>
    </x:row>
    <x:row r="607" ht="42" customHeight="1">
      <x:c r="A607" s="33" t="str">
        <x:v>Draft</x:v>
      </x:c>
      <x:c r="B607" s="47" t="str">
        <x:v>COMP_0603</x:v>
      </x:c>
      <x:c r="C607" s="47" t="str">
        <x:v>EN2SC_001</x:v>
      </x:c>
      <x:c r="D607" s="47" t="str">
        <x:v>BSPP_M_FX_04_04</x:v>
      </x:c>
      <x:c r="E607" s="47" t="str">
        <x:v>EN2SC_2WB_001</x:v>
      </x:c>
      <x:c r="F607" s="47" t="str"/>
      <x:c r="G607" s="33" t="str"/>
      <x:c r="H607" s="50" t="str"/>
      <x:c r="I607" s="50" t="str"/>
      <x:c r="J607" s="50" t="str"/>
      <x:c r="K607" s="47" t="str"/>
      <x:c r="L607" s="50" t="str"/>
      <x:c r="M607" s="50" t="str"/>
      <x:c r="N607" s="47" t="str"/>
      <x:c r="O607" s="50" t="str"/>
      <x:c r="P607" s="64" t="str">
        <x:f>IF(O607="","",O607*2)</x:f>
      </x:c>
      <x:c r="Q607" s="50" t="str"/>
      <x:c r="R607" s="47" t="str"/>
      <x:c r="S607" s="33" t="str">
        <x:v>Not Tested</x:v>
      </x:c>
      <x:c r="T607" s="64" t="str">
        <x:v>Eligible</x:v>
      </x:c>
      <x:c r="U607" s="47" t="str"/>
      <x:c r="V607" s="47" t="str"/>
      <x:c r="W607" s="47" t="str"/>
      <x:c r="X607" s="50" t="str"/>
      <x:c r="Y607" s="50" t="str"/>
      <x:c r="Z607" s="47" t="str"/>
      <x:c r="AA607" s="47" t="str">
        <x:v>No direct published reference located; do not display a crimp value.</x:v>
      </x:c>
      <x:c r="AB607" s="161" t="str">
        <x:v>Pending</x:v>
      </x:c>
    </x:row>
    <x:row r="608" ht="42" customHeight="1">
      <x:c r="A608" s="33" t="str">
        <x:v>Draft</x:v>
      </x:c>
      <x:c r="B608" s="47" t="str">
        <x:v>COMP_0604</x:v>
      </x:c>
      <x:c r="C608" s="47" t="str">
        <x:v>EN2SC_001</x:v>
      </x:c>
      <x:c r="D608" s="47" t="str">
        <x:v>BSPP_M_FX_06_04</x:v>
      </x:c>
      <x:c r="E608" s="47" t="str">
        <x:v>EN2SC_2WB_001</x:v>
      </x:c>
      <x:c r="F608" s="47" t="str"/>
      <x:c r="G608" s="33" t="str"/>
      <x:c r="H608" s="50" t="str"/>
      <x:c r="I608" s="50" t="str"/>
      <x:c r="J608" s="50" t="str"/>
      <x:c r="K608" s="47" t="str"/>
      <x:c r="L608" s="50" t="str"/>
      <x:c r="M608" s="50" t="str"/>
      <x:c r="N608" s="47" t="str"/>
      <x:c r="O608" s="50" t="str"/>
      <x:c r="P608" s="64" t="str">
        <x:f>IF(O608="","",O608*2)</x:f>
      </x:c>
      <x:c r="Q608" s="50" t="str"/>
      <x:c r="R608" s="47" t="str"/>
      <x:c r="S608" s="33" t="str">
        <x:v>Not Tested</x:v>
      </x:c>
      <x:c r="T608" s="64" t="str">
        <x:v>Eligible</x:v>
      </x:c>
      <x:c r="U608" s="47" t="str"/>
      <x:c r="V608" s="47" t="str"/>
      <x:c r="W608" s="47" t="str"/>
      <x:c r="X608" s="50" t="str"/>
      <x:c r="Y608" s="50" t="str"/>
      <x:c r="Z608" s="47" t="str"/>
      <x:c r="AA608" s="47" t="str">
        <x:v>No direct published reference located; do not display a crimp value.</x:v>
      </x:c>
      <x:c r="AB608" s="161" t="str">
        <x:v>Pending</x:v>
      </x:c>
    </x:row>
    <x:row r="609" ht="42" customHeight="1">
      <x:c r="A609" s="33" t="str">
        <x:v>Draft</x:v>
      </x:c>
      <x:c r="B609" s="47" t="str">
        <x:v>COMP_0605</x:v>
      </x:c>
      <x:c r="C609" s="47" t="str">
        <x:v>EN2SC_001</x:v>
      </x:c>
      <x:c r="D609" s="47" t="str">
        <x:v>BSPP45_F_SW_04_04</x:v>
      </x:c>
      <x:c r="E609" s="47" t="str">
        <x:v>EN2SC_2WB_001</x:v>
      </x:c>
      <x:c r="F609" s="47" t="str"/>
      <x:c r="G609" s="33" t="str"/>
      <x:c r="H609" s="50" t="str"/>
      <x:c r="I609" s="50" t="str"/>
      <x:c r="J609" s="50" t="str"/>
      <x:c r="K609" s="47" t="str"/>
      <x:c r="L609" s="50" t="str"/>
      <x:c r="M609" s="50" t="str"/>
      <x:c r="N609" s="47" t="str"/>
      <x:c r="O609" s="50" t="str"/>
      <x:c r="P609" s="64" t="str">
        <x:f>IF(O609="","",O609*2)</x:f>
      </x:c>
      <x:c r="Q609" s="50" t="str"/>
      <x:c r="R609" s="47" t="str"/>
      <x:c r="S609" s="33" t="str">
        <x:v>Not Tested</x:v>
      </x:c>
      <x:c r="T609" s="64" t="str">
        <x:v>Eligible</x:v>
      </x:c>
      <x:c r="U609" s="47" t="str"/>
      <x:c r="V609" s="47" t="str"/>
      <x:c r="W609" s="47" t="str"/>
      <x:c r="X609" s="50" t="str"/>
      <x:c r="Y609" s="50" t="str"/>
      <x:c r="Z609" s="47" t="str"/>
      <x:c r="AA609" s="47" t="str">
        <x:v>No direct published reference located; do not display a crimp value.</x:v>
      </x:c>
      <x:c r="AB609" s="161" t="str">
        <x:v>Pending</x:v>
      </x:c>
    </x:row>
    <x:row r="610" ht="42" customHeight="1">
      <x:c r="A610" s="33" t="str">
        <x:v>Draft</x:v>
      </x:c>
      <x:c r="B610" s="47" t="str">
        <x:v>COMP_0606</x:v>
      </x:c>
      <x:c r="C610" s="47" t="str">
        <x:v>EN2SC_001</x:v>
      </x:c>
      <x:c r="D610" s="47" t="str">
        <x:v>BSPP90_F_SW_04_04</x:v>
      </x:c>
      <x:c r="E610" s="47" t="str">
        <x:v>EN2SC_2WB_001</x:v>
      </x:c>
      <x:c r="F610" s="47" t="str"/>
      <x:c r="G610" s="33" t="str"/>
      <x:c r="H610" s="50" t="str"/>
      <x:c r="I610" s="50" t="str"/>
      <x:c r="J610" s="50" t="str"/>
      <x:c r="K610" s="47" t="str"/>
      <x:c r="L610" s="50" t="str"/>
      <x:c r="M610" s="50" t="str"/>
      <x:c r="N610" s="47" t="str"/>
      <x:c r="O610" s="50" t="str"/>
      <x:c r="P610" s="64" t="str">
        <x:f>IF(O610="","",O610*2)</x:f>
      </x:c>
      <x:c r="Q610" s="50" t="str"/>
      <x:c r="R610" s="47" t="str"/>
      <x:c r="S610" s="33" t="str">
        <x:v>Not Tested</x:v>
      </x:c>
      <x:c r="T610" s="64" t="str">
        <x:v>Eligible</x:v>
      </x:c>
      <x:c r="U610" s="47" t="str"/>
      <x:c r="V610" s="47" t="str"/>
      <x:c r="W610" s="47" t="str"/>
      <x:c r="X610" s="50" t="str"/>
      <x:c r="Y610" s="50" t="str"/>
      <x:c r="Z610" s="47" t="str"/>
      <x:c r="AA610" s="47" t="str">
        <x:v>No direct published reference located; do not display a crimp value.</x:v>
      </x:c>
      <x:c r="AB610" s="161" t="str">
        <x:v>Pending</x:v>
      </x:c>
    </x:row>
    <x:row r="611" ht="42" customHeight="1">
      <x:c r="A611" s="33" t="str">
        <x:v>Draft</x:v>
      </x:c>
      <x:c r="B611" s="47" t="str">
        <x:v>COMP_0607</x:v>
      </x:c>
      <x:c r="C611" s="47" t="str">
        <x:v>EN2SC_001</x:v>
      </x:c>
      <x:c r="D611" s="47" t="str">
        <x:v>BSPP90_F_SW_06_04</x:v>
      </x:c>
      <x:c r="E611" s="47" t="str">
        <x:v>EN2SC_2WB_001</x:v>
      </x:c>
      <x:c r="F611" s="47" t="str"/>
      <x:c r="G611" s="33" t="str"/>
      <x:c r="H611" s="50" t="str"/>
      <x:c r="I611" s="50" t="str"/>
      <x:c r="J611" s="50" t="str"/>
      <x:c r="K611" s="47" t="str"/>
      <x:c r="L611" s="50" t="str"/>
      <x:c r="M611" s="50" t="str"/>
      <x:c r="N611" s="47" t="str"/>
      <x:c r="O611" s="50" t="str"/>
      <x:c r="P611" s="64" t="str">
        <x:f>IF(O611="","",O611*2)</x:f>
      </x:c>
      <x:c r="Q611" s="50" t="str"/>
      <x:c r="R611" s="47" t="str"/>
      <x:c r="S611" s="33" t="str">
        <x:v>Not Tested</x:v>
      </x:c>
      <x:c r="T611" s="64" t="str">
        <x:v>Eligible</x:v>
      </x:c>
      <x:c r="U611" s="47" t="str"/>
      <x:c r="V611" s="47" t="str"/>
      <x:c r="W611" s="47" t="str"/>
      <x:c r="X611" s="50" t="str"/>
      <x:c r="Y611" s="50" t="str"/>
      <x:c r="Z611" s="47" t="str"/>
      <x:c r="AA611" s="47" t="str">
        <x:v>No direct published reference located; do not display a crimp value.</x:v>
      </x:c>
      <x:c r="AB611" s="161" t="str">
        <x:v>Pending</x:v>
      </x:c>
    </x:row>
    <x:row r="612" ht="42" customHeight="1">
      <x:c r="A612" s="33" t="str">
        <x:v>Draft</x:v>
      </x:c>
      <x:c r="B612" s="47" t="str">
        <x:v>COMP_0608</x:v>
      </x:c>
      <x:c r="C612" s="47" t="str">
        <x:v>EN2SC_001</x:v>
      </x:c>
      <x:c r="D612" s="47" t="str">
        <x:v>BSPT_M_FX_02_04</x:v>
      </x:c>
      <x:c r="E612" s="47" t="str">
        <x:v>EN2SC_2WB_001</x:v>
      </x:c>
      <x:c r="F612" s="47" t="str"/>
      <x:c r="G612" s="33" t="str"/>
      <x:c r="H612" s="50" t="str"/>
      <x:c r="I612" s="50" t="str"/>
      <x:c r="J612" s="50" t="str"/>
      <x:c r="K612" s="47" t="str"/>
      <x:c r="L612" s="50" t="str"/>
      <x:c r="M612" s="50" t="str"/>
      <x:c r="N612" s="47" t="str"/>
      <x:c r="O612" s="50" t="str"/>
      <x:c r="P612" s="64" t="str">
        <x:f>IF(O612="","",O612*2)</x:f>
      </x:c>
      <x:c r="Q612" s="50" t="str"/>
      <x:c r="R612" s="47" t="str"/>
      <x:c r="S612" s="33" t="str">
        <x:v>Not Tested</x:v>
      </x:c>
      <x:c r="T612" s="64" t="str">
        <x:v>Eligible</x:v>
      </x:c>
      <x:c r="U612" s="47" t="str"/>
      <x:c r="V612" s="47" t="str"/>
      <x:c r="W612" s="47" t="str"/>
      <x:c r="X612" s="50" t="str"/>
      <x:c r="Y612" s="50" t="str"/>
      <x:c r="Z612" s="47" t="str"/>
      <x:c r="AA612" s="47" t="str">
        <x:v>No direct published reference located; do not display a crimp value.</x:v>
      </x:c>
      <x:c r="AB612" s="161" t="str">
        <x:v>Pending</x:v>
      </x:c>
    </x:row>
    <x:row r="613" ht="42" customHeight="1">
      <x:c r="A613" s="33" t="str">
        <x:v>Draft</x:v>
      </x:c>
      <x:c r="B613" s="47" t="str">
        <x:v>COMP_0609</x:v>
      </x:c>
      <x:c r="C613" s="47" t="str">
        <x:v>EN2SC_001</x:v>
      </x:c>
      <x:c r="D613" s="47" t="str">
        <x:v>BSPT_M_FX_04_04</x:v>
      </x:c>
      <x:c r="E613" s="47" t="str">
        <x:v>EN2SC_2WB_001</x:v>
      </x:c>
      <x:c r="F613" s="47" t="str"/>
      <x:c r="G613" s="33" t="str"/>
      <x:c r="H613" s="50" t="str"/>
      <x:c r="I613" s="50" t="str"/>
      <x:c r="J613" s="50" t="str"/>
      <x:c r="K613" s="47" t="str"/>
      <x:c r="L613" s="50" t="str"/>
      <x:c r="M613" s="50" t="str"/>
      <x:c r="N613" s="47" t="str"/>
      <x:c r="O613" s="50" t="str"/>
      <x:c r="P613" s="64" t="str">
        <x:f>IF(O613="","",O613*2)</x:f>
      </x:c>
      <x:c r="Q613" s="50" t="str"/>
      <x:c r="R613" s="47" t="str"/>
      <x:c r="S613" s="33" t="str">
        <x:v>Not Tested</x:v>
      </x:c>
      <x:c r="T613" s="64" t="str">
        <x:v>Eligible</x:v>
      </x:c>
      <x:c r="U613" s="47" t="str"/>
      <x:c r="V613" s="47" t="str"/>
      <x:c r="W613" s="47" t="str"/>
      <x:c r="X613" s="50" t="str"/>
      <x:c r="Y613" s="50" t="str"/>
      <x:c r="Z613" s="47" t="str"/>
      <x:c r="AA613" s="47" t="str">
        <x:v>No direct published reference located; do not display a crimp value.</x:v>
      </x:c>
      <x:c r="AB613" s="161" t="str">
        <x:v>Pending</x:v>
      </x:c>
    </x:row>
    <x:row r="614" ht="42" customHeight="1">
      <x:c r="A614" s="33" t="str">
        <x:v>Draft</x:v>
      </x:c>
      <x:c r="B614" s="47" t="str">
        <x:v>COMP_0610</x:v>
      </x:c>
      <x:c r="C614" s="47" t="str">
        <x:v>EN2SC_001</x:v>
      </x:c>
      <x:c r="D614" s="47" t="str">
        <x:v>BSPT_M_FX_06_04</x:v>
      </x:c>
      <x:c r="E614" s="47" t="str">
        <x:v>EN2SC_2WB_001</x:v>
      </x:c>
      <x:c r="F614" s="47" t="str"/>
      <x:c r="G614" s="33" t="str"/>
      <x:c r="H614" s="50" t="str"/>
      <x:c r="I614" s="50" t="str"/>
      <x:c r="J614" s="50" t="str"/>
      <x:c r="K614" s="47" t="str"/>
      <x:c r="L614" s="50" t="str"/>
      <x:c r="M614" s="50" t="str"/>
      <x:c r="N614" s="47" t="str"/>
      <x:c r="O614" s="50" t="str"/>
      <x:c r="P614" s="64" t="str">
        <x:f>IF(O614="","",O614*2)</x:f>
      </x:c>
      <x:c r="Q614" s="50" t="str"/>
      <x:c r="R614" s="47" t="str"/>
      <x:c r="S614" s="33" t="str">
        <x:v>Not Tested</x:v>
      </x:c>
      <x:c r="T614" s="64" t="str">
        <x:v>Eligible</x:v>
      </x:c>
      <x:c r="U614" s="47" t="str"/>
      <x:c r="V614" s="47" t="str"/>
      <x:c r="W614" s="47" t="str"/>
      <x:c r="X614" s="50" t="str"/>
      <x:c r="Y614" s="50" t="str"/>
      <x:c r="Z614" s="47" t="str"/>
      <x:c r="AA614" s="47" t="str">
        <x:v>No direct published reference located; do not display a crimp value.</x:v>
      </x:c>
      <x:c r="AB614" s="161" t="str">
        <x:v>Pending</x:v>
      </x:c>
    </x:row>
    <x:row r="615" ht="42" customHeight="1">
      <x:c r="A615" s="33" t="str">
        <x:v>Draft</x:v>
      </x:c>
      <x:c r="B615" s="47" t="str">
        <x:v>COMP_0611</x:v>
      </x:c>
      <x:c r="C615" s="47" t="str">
        <x:v>EN2SC_001</x:v>
      </x:c>
      <x:c r="D615" s="47" t="str">
        <x:v>JIC_F_SW_04_04</x:v>
      </x:c>
      <x:c r="E615" s="47" t="str">
        <x:v>EN2SC_2WB_001</x:v>
      </x:c>
      <x:c r="F615" s="47" t="str"/>
      <x:c r="G615" s="33" t="str"/>
      <x:c r="H615" s="50" t="str"/>
      <x:c r="I615" s="50" t="str"/>
      <x:c r="J615" s="50" t="str"/>
      <x:c r="K615" s="47" t="str"/>
      <x:c r="L615" s="50" t="str"/>
      <x:c r="M615" s="50" t="str"/>
      <x:c r="N615" s="47" t="str"/>
      <x:c r="O615" s="50" t="str"/>
      <x:c r="P615" s="64" t="str">
        <x:f>IF(O615="","",O615*2)</x:f>
      </x:c>
      <x:c r="Q615" s="50" t="str"/>
      <x:c r="R615" s="47" t="str"/>
      <x:c r="S615" s="33" t="str">
        <x:v>Not Tested</x:v>
      </x:c>
      <x:c r="T615" s="64" t="str">
        <x:v>Eligible</x:v>
      </x:c>
      <x:c r="U615" s="47" t="str"/>
      <x:c r="V615" s="47" t="str"/>
      <x:c r="W615" s="47" t="str"/>
      <x:c r="X615" s="50" t="str"/>
      <x:c r="Y615" s="50" t="str"/>
      <x:c r="Z615" s="47" t="str"/>
      <x:c r="AA615" s="47" t="str">
        <x:v>No direct published reference located; do not display a crimp value.</x:v>
      </x:c>
      <x:c r="AB615" s="161" t="str">
        <x:v>Pending</x:v>
      </x:c>
    </x:row>
    <x:row r="616" ht="42" customHeight="1">
      <x:c r="A616" s="33" t="str">
        <x:v>Draft</x:v>
      </x:c>
      <x:c r="B616" s="47" t="str">
        <x:v>COMP_0612</x:v>
      </x:c>
      <x:c r="C616" s="47" t="str">
        <x:v>EN2SC_001</x:v>
      </x:c>
      <x:c r="D616" s="47" t="str">
        <x:v>JIC_F_SW_05_04</x:v>
      </x:c>
      <x:c r="E616" s="47" t="str">
        <x:v>EN2SC_2WB_001</x:v>
      </x:c>
      <x:c r="F616" s="47" t="str"/>
      <x:c r="G616" s="33" t="str"/>
      <x:c r="H616" s="50" t="str"/>
      <x:c r="I616" s="50" t="str"/>
      <x:c r="J616" s="50" t="str"/>
      <x:c r="K616" s="47" t="str"/>
      <x:c r="L616" s="50" t="str"/>
      <x:c r="M616" s="50" t="str"/>
      <x:c r="N616" s="47" t="str"/>
      <x:c r="O616" s="50" t="str"/>
      <x:c r="P616" s="64" t="str">
        <x:f>IF(O616="","",O616*2)</x:f>
      </x:c>
      <x:c r="Q616" s="50" t="str"/>
      <x:c r="R616" s="47" t="str"/>
      <x:c r="S616" s="33" t="str">
        <x:v>Not Tested</x:v>
      </x:c>
      <x:c r="T616" s="64" t="str">
        <x:v>Eligible</x:v>
      </x:c>
      <x:c r="U616" s="47" t="str"/>
      <x:c r="V616" s="47" t="str"/>
      <x:c r="W616" s="47" t="str"/>
      <x:c r="X616" s="50" t="str"/>
      <x:c r="Y616" s="50" t="str"/>
      <x:c r="Z616" s="47" t="str"/>
      <x:c r="AA616" s="47" t="str">
        <x:v>No direct published reference located; do not display a crimp value.</x:v>
      </x:c>
      <x:c r="AB616" s="161" t="str">
        <x:v>Pending</x:v>
      </x:c>
    </x:row>
    <x:row r="617" ht="42" customHeight="1">
      <x:c r="A617" s="33" t="str">
        <x:v>Draft</x:v>
      </x:c>
      <x:c r="B617" s="47" t="str">
        <x:v>COMP_0613</x:v>
      </x:c>
      <x:c r="C617" s="47" t="str">
        <x:v>EN2SC_001</x:v>
      </x:c>
      <x:c r="D617" s="47" t="str">
        <x:v>JIC_F_SW_06_04</x:v>
      </x:c>
      <x:c r="E617" s="47" t="str">
        <x:v>EN2SC_2WB_001</x:v>
      </x:c>
      <x:c r="F617" s="47" t="str"/>
      <x:c r="G617" s="33" t="str"/>
      <x:c r="H617" s="50" t="str"/>
      <x:c r="I617" s="50" t="str"/>
      <x:c r="J617" s="50" t="str"/>
      <x:c r="K617" s="47" t="str"/>
      <x:c r="L617" s="50" t="str"/>
      <x:c r="M617" s="50" t="str"/>
      <x:c r="N617" s="47" t="str"/>
      <x:c r="O617" s="50" t="str"/>
      <x:c r="P617" s="64" t="str">
        <x:f>IF(O617="","",O617*2)</x:f>
      </x:c>
      <x:c r="Q617" s="50" t="str"/>
      <x:c r="R617" s="47" t="str"/>
      <x:c r="S617" s="33" t="str">
        <x:v>Not Tested</x:v>
      </x:c>
      <x:c r="T617" s="64" t="str">
        <x:v>Eligible</x:v>
      </x:c>
      <x:c r="U617" s="47" t="str"/>
      <x:c r="V617" s="47" t="str"/>
      <x:c r="W617" s="47" t="str"/>
      <x:c r="X617" s="50" t="str"/>
      <x:c r="Y617" s="50" t="str"/>
      <x:c r="Z617" s="47" t="str"/>
      <x:c r="AA617" s="47" t="str">
        <x:v>No direct published reference located; do not display a crimp value.</x:v>
      </x:c>
      <x:c r="AB617" s="161" t="str">
        <x:v>Pending</x:v>
      </x:c>
    </x:row>
    <x:row r="618" ht="42" customHeight="1">
      <x:c r="A618" s="33" t="str">
        <x:v>Draft</x:v>
      </x:c>
      <x:c r="B618" s="47" t="str">
        <x:v>COMP_0614</x:v>
      </x:c>
      <x:c r="C618" s="47" t="str">
        <x:v>EN2SC_001</x:v>
      </x:c>
      <x:c r="D618" s="47" t="str">
        <x:v>JIC_M_FX_04_04</x:v>
      </x:c>
      <x:c r="E618" s="47" t="str">
        <x:v>EN2SC_2WB_001</x:v>
      </x:c>
      <x:c r="F618" s="47" t="str"/>
      <x:c r="G618" s="33" t="str"/>
      <x:c r="H618" s="50" t="str"/>
      <x:c r="I618" s="50" t="str"/>
      <x:c r="J618" s="50" t="str"/>
      <x:c r="K618" s="47" t="str"/>
      <x:c r="L618" s="50" t="str"/>
      <x:c r="M618" s="50" t="str"/>
      <x:c r="N618" s="47" t="str"/>
      <x:c r="O618" s="50" t="str"/>
      <x:c r="P618" s="64" t="str">
        <x:f>IF(O618="","",O618*2)</x:f>
      </x:c>
      <x:c r="Q618" s="50" t="str"/>
      <x:c r="R618" s="47" t="str"/>
      <x:c r="S618" s="33" t="str">
        <x:v>Not Tested</x:v>
      </x:c>
      <x:c r="T618" s="64" t="str">
        <x:v>Eligible</x:v>
      </x:c>
      <x:c r="U618" s="47" t="str"/>
      <x:c r="V618" s="47" t="str"/>
      <x:c r="W618" s="47" t="str"/>
      <x:c r="X618" s="50" t="str"/>
      <x:c r="Y618" s="50" t="str"/>
      <x:c r="Z618" s="47" t="str"/>
      <x:c r="AA618" s="47" t="str">
        <x:v>No direct published reference located; do not display a crimp value.</x:v>
      </x:c>
      <x:c r="AB618" s="161" t="str">
        <x:v>Pending</x:v>
      </x:c>
    </x:row>
    <x:row r="619" ht="42" customHeight="1">
      <x:c r="A619" s="33" t="str">
        <x:v>Draft</x:v>
      </x:c>
      <x:c r="B619" s="47" t="str">
        <x:v>COMP_0615</x:v>
      </x:c>
      <x:c r="C619" s="47" t="str">
        <x:v>EN2SC_001</x:v>
      </x:c>
      <x:c r="D619" s="47" t="str">
        <x:v>JIC_M_FX_05_04</x:v>
      </x:c>
      <x:c r="E619" s="47" t="str">
        <x:v>EN2SC_2WB_001</x:v>
      </x:c>
      <x:c r="F619" s="47" t="str"/>
      <x:c r="G619" s="33" t="str"/>
      <x:c r="H619" s="50" t="str"/>
      <x:c r="I619" s="50" t="str"/>
      <x:c r="J619" s="50" t="str"/>
      <x:c r="K619" s="47" t="str"/>
      <x:c r="L619" s="50" t="str"/>
      <x:c r="M619" s="50" t="str"/>
      <x:c r="N619" s="47" t="str"/>
      <x:c r="O619" s="50" t="str"/>
      <x:c r="P619" s="64" t="str">
        <x:f>IF(O619="","",O619*2)</x:f>
      </x:c>
      <x:c r="Q619" s="50" t="str"/>
      <x:c r="R619" s="47" t="str"/>
      <x:c r="S619" s="33" t="str">
        <x:v>Not Tested</x:v>
      </x:c>
      <x:c r="T619" s="64" t="str">
        <x:v>Eligible</x:v>
      </x:c>
      <x:c r="U619" s="47" t="str"/>
      <x:c r="V619" s="47" t="str"/>
      <x:c r="W619" s="47" t="str"/>
      <x:c r="X619" s="50" t="str"/>
      <x:c r="Y619" s="50" t="str"/>
      <x:c r="Z619" s="47" t="str"/>
      <x:c r="AA619" s="47" t="str">
        <x:v>No direct published reference located; do not display a crimp value.</x:v>
      </x:c>
      <x:c r="AB619" s="161" t="str">
        <x:v>Pending</x:v>
      </x:c>
    </x:row>
    <x:row r="620" ht="42" customHeight="1">
      <x:c r="A620" s="33" t="str">
        <x:v>Draft</x:v>
      </x:c>
      <x:c r="B620" s="47" t="str">
        <x:v>COMP_0616</x:v>
      </x:c>
      <x:c r="C620" s="47" t="str">
        <x:v>EN2SC_001</x:v>
      </x:c>
      <x:c r="D620" s="47" t="str">
        <x:v>JIC_M_FX_06_04</x:v>
      </x:c>
      <x:c r="E620" s="47" t="str">
        <x:v>EN2SC_2WB_001</x:v>
      </x:c>
      <x:c r="F620" s="47" t="str"/>
      <x:c r="G620" s="33" t="str"/>
      <x:c r="H620" s="50" t="str"/>
      <x:c r="I620" s="50" t="str"/>
      <x:c r="J620" s="50" t="str"/>
      <x:c r="K620" s="47" t="str"/>
      <x:c r="L620" s="50" t="str"/>
      <x:c r="M620" s="50" t="str"/>
      <x:c r="N620" s="47" t="str"/>
      <x:c r="O620" s="50" t="str"/>
      <x:c r="P620" s="64" t="str">
        <x:f>IF(O620="","",O620*2)</x:f>
      </x:c>
      <x:c r="Q620" s="50" t="str"/>
      <x:c r="R620" s="47" t="str"/>
      <x:c r="S620" s="33" t="str">
        <x:v>Not Tested</x:v>
      </x:c>
      <x:c r="T620" s="64" t="str">
        <x:v>Eligible</x:v>
      </x:c>
      <x:c r="U620" s="47" t="str"/>
      <x:c r="V620" s="47" t="str"/>
      <x:c r="W620" s="47" t="str"/>
      <x:c r="X620" s="50" t="str"/>
      <x:c r="Y620" s="50" t="str"/>
      <x:c r="Z620" s="47" t="str"/>
      <x:c r="AA620" s="47" t="str">
        <x:v>No direct published reference located; do not display a crimp value.</x:v>
      </x:c>
      <x:c r="AB620" s="161" t="str">
        <x:v>Pending</x:v>
      </x:c>
    </x:row>
    <x:row r="621" ht="42" customHeight="1">
      <x:c r="A621" s="33" t="str">
        <x:v>Draft</x:v>
      </x:c>
      <x:c r="B621" s="47" t="str">
        <x:v>COMP_0617</x:v>
      </x:c>
      <x:c r="C621" s="47" t="str">
        <x:v>EN2SC_001</x:v>
      </x:c>
      <x:c r="D621" s="47" t="str">
        <x:v>JIC45_F_SW_04_04</x:v>
      </x:c>
      <x:c r="E621" s="47" t="str">
        <x:v>EN2SC_2WB_001</x:v>
      </x:c>
      <x:c r="F621" s="47" t="str"/>
      <x:c r="G621" s="33" t="str"/>
      <x:c r="H621" s="50" t="str"/>
      <x:c r="I621" s="50" t="str"/>
      <x:c r="J621" s="50" t="str"/>
      <x:c r="K621" s="47" t="str"/>
      <x:c r="L621" s="50" t="str"/>
      <x:c r="M621" s="50" t="str"/>
      <x:c r="N621" s="47" t="str"/>
      <x:c r="O621" s="50" t="str"/>
      <x:c r="P621" s="64" t="str">
        <x:f>IF(O621="","",O621*2)</x:f>
      </x:c>
      <x:c r="Q621" s="50" t="str"/>
      <x:c r="R621" s="47" t="str"/>
      <x:c r="S621" s="33" t="str">
        <x:v>Not Tested</x:v>
      </x:c>
      <x:c r="T621" s="64" t="str">
        <x:v>Eligible</x:v>
      </x:c>
      <x:c r="U621" s="47" t="str"/>
      <x:c r="V621" s="47" t="str"/>
      <x:c r="W621" s="47" t="str"/>
      <x:c r="X621" s="50" t="str"/>
      <x:c r="Y621" s="50" t="str"/>
      <x:c r="Z621" s="47" t="str"/>
      <x:c r="AA621" s="47" t="str">
        <x:v>No direct published reference located; do not display a crimp value.</x:v>
      </x:c>
      <x:c r="AB621" s="161" t="str">
        <x:v>Pending</x:v>
      </x:c>
    </x:row>
    <x:row r="622" ht="42" customHeight="1">
      <x:c r="A622" s="33" t="str">
        <x:v>Draft</x:v>
      </x:c>
      <x:c r="B622" s="47" t="str">
        <x:v>COMP_0618</x:v>
      </x:c>
      <x:c r="C622" s="47" t="str">
        <x:v>EN2SC_001</x:v>
      </x:c>
      <x:c r="D622" s="47" t="str">
        <x:v>JIC45_F_SW_06_04</x:v>
      </x:c>
      <x:c r="E622" s="47" t="str">
        <x:v>EN2SC_2WB_001</x:v>
      </x:c>
      <x:c r="F622" s="47" t="str"/>
      <x:c r="G622" s="33" t="str"/>
      <x:c r="H622" s="50" t="str"/>
      <x:c r="I622" s="50" t="str"/>
      <x:c r="J622" s="50" t="str"/>
      <x:c r="K622" s="47" t="str"/>
      <x:c r="L622" s="50" t="str"/>
      <x:c r="M622" s="50" t="str"/>
      <x:c r="N622" s="47" t="str"/>
      <x:c r="O622" s="50" t="str"/>
      <x:c r="P622" s="64" t="str">
        <x:f>IF(O622="","",O622*2)</x:f>
      </x:c>
      <x:c r="Q622" s="50" t="str"/>
      <x:c r="R622" s="47" t="str"/>
      <x:c r="S622" s="33" t="str">
        <x:v>Not Tested</x:v>
      </x:c>
      <x:c r="T622" s="64" t="str">
        <x:v>Eligible</x:v>
      </x:c>
      <x:c r="U622" s="47" t="str"/>
      <x:c r="V622" s="47" t="str"/>
      <x:c r="W622" s="47" t="str"/>
      <x:c r="X622" s="50" t="str"/>
      <x:c r="Y622" s="50" t="str"/>
      <x:c r="Z622" s="47" t="str"/>
      <x:c r="AA622" s="47" t="str">
        <x:v>No direct published reference located; do not display a crimp value.</x:v>
      </x:c>
      <x:c r="AB622" s="161" t="str">
        <x:v>Pending</x:v>
      </x:c>
    </x:row>
    <x:row r="623" ht="42" customHeight="1">
      <x:c r="A623" s="33" t="str">
        <x:v>Draft</x:v>
      </x:c>
      <x:c r="B623" s="47" t="str">
        <x:v>COMP_0619</x:v>
      </x:c>
      <x:c r="C623" s="47" t="str">
        <x:v>EN2SC_001</x:v>
      </x:c>
      <x:c r="D623" s="47" t="str">
        <x:v>JIC90_F_SW_04_04</x:v>
      </x:c>
      <x:c r="E623" s="47" t="str">
        <x:v>EN2SC_2WB_001</x:v>
      </x:c>
      <x:c r="F623" s="47" t="str"/>
      <x:c r="G623" s="33" t="str"/>
      <x:c r="H623" s="50" t="str"/>
      <x:c r="I623" s="50" t="str"/>
      <x:c r="J623" s="50" t="str"/>
      <x:c r="K623" s="47" t="str"/>
      <x:c r="L623" s="50" t="str"/>
      <x:c r="M623" s="50" t="str"/>
      <x:c r="N623" s="47" t="str"/>
      <x:c r="O623" s="50" t="str"/>
      <x:c r="P623" s="64" t="str">
        <x:f>IF(O623="","",O623*2)</x:f>
      </x:c>
      <x:c r="Q623" s="50" t="str"/>
      <x:c r="R623" s="47" t="str"/>
      <x:c r="S623" s="33" t="str">
        <x:v>Not Tested</x:v>
      </x:c>
      <x:c r="T623" s="64" t="str">
        <x:v>Eligible</x:v>
      </x:c>
      <x:c r="U623" s="47" t="str"/>
      <x:c r="V623" s="47" t="str"/>
      <x:c r="W623" s="47" t="str"/>
      <x:c r="X623" s="50" t="str"/>
      <x:c r="Y623" s="50" t="str"/>
      <x:c r="Z623" s="47" t="str"/>
      <x:c r="AA623" s="47" t="str">
        <x:v>No direct published reference located; do not display a crimp value.</x:v>
      </x:c>
      <x:c r="AB623" s="161" t="str">
        <x:v>Pending</x:v>
      </x:c>
    </x:row>
    <x:row r="624" ht="42" customHeight="1">
      <x:c r="A624" s="33" t="str">
        <x:v>Draft</x:v>
      </x:c>
      <x:c r="B624" s="47" t="str">
        <x:v>COMP_0620</x:v>
      </x:c>
      <x:c r="C624" s="47" t="str">
        <x:v>EN2SC_001</x:v>
      </x:c>
      <x:c r="D624" s="47" t="str">
        <x:v>JIC90_F_SW_05_04</x:v>
      </x:c>
      <x:c r="E624" s="47" t="str">
        <x:v>EN2SC_2WB_001</x:v>
      </x:c>
      <x:c r="F624" s="47" t="str"/>
      <x:c r="G624" s="33" t="str"/>
      <x:c r="H624" s="50" t="str"/>
      <x:c r="I624" s="50" t="str"/>
      <x:c r="J624" s="50" t="str"/>
      <x:c r="K624" s="47" t="str"/>
      <x:c r="L624" s="50" t="str"/>
      <x:c r="M624" s="50" t="str"/>
      <x:c r="N624" s="47" t="str"/>
      <x:c r="O624" s="50" t="str"/>
      <x:c r="P624" s="64" t="str">
        <x:f>IF(O624="","",O624*2)</x:f>
      </x:c>
      <x:c r="Q624" s="50" t="str"/>
      <x:c r="R624" s="47" t="str"/>
      <x:c r="S624" s="33" t="str">
        <x:v>Not Tested</x:v>
      </x:c>
      <x:c r="T624" s="64" t="str">
        <x:v>Eligible</x:v>
      </x:c>
      <x:c r="U624" s="47" t="str"/>
      <x:c r="V624" s="47" t="str"/>
      <x:c r="W624" s="47" t="str"/>
      <x:c r="X624" s="50" t="str"/>
      <x:c r="Y624" s="50" t="str"/>
      <x:c r="Z624" s="47" t="str"/>
      <x:c r="AA624" s="47" t="str">
        <x:v>No direct published reference located; do not display a crimp value.</x:v>
      </x:c>
      <x:c r="AB624" s="161" t="str">
        <x:v>Pending</x:v>
      </x:c>
    </x:row>
    <x:row r="625" ht="42" customHeight="1">
      <x:c r="A625" s="33" t="str">
        <x:v>Draft</x:v>
      </x:c>
      <x:c r="B625" s="47" t="str">
        <x:v>COMP_0621</x:v>
      </x:c>
      <x:c r="C625" s="47" t="str">
        <x:v>EN2SC_001</x:v>
      </x:c>
      <x:c r="D625" s="47" t="str">
        <x:v>JIC90_F_SW_06_04</x:v>
      </x:c>
      <x:c r="E625" s="47" t="str">
        <x:v>EN2SC_2WB_001</x:v>
      </x:c>
      <x:c r="F625" s="47" t="str"/>
      <x:c r="G625" s="33" t="str"/>
      <x:c r="H625" s="50" t="str"/>
      <x:c r="I625" s="50" t="str"/>
      <x:c r="J625" s="50" t="str"/>
      <x:c r="K625" s="47" t="str"/>
      <x:c r="L625" s="50" t="str"/>
      <x:c r="M625" s="50" t="str"/>
      <x:c r="N625" s="47" t="str"/>
      <x:c r="O625" s="50" t="str"/>
      <x:c r="P625" s="64" t="str">
        <x:f>IF(O625="","",O625*2)</x:f>
      </x:c>
      <x:c r="Q625" s="50" t="str"/>
      <x:c r="R625" s="47" t="str"/>
      <x:c r="S625" s="33" t="str">
        <x:v>Not Tested</x:v>
      </x:c>
      <x:c r="T625" s="64" t="str">
        <x:v>Eligible</x:v>
      </x:c>
      <x:c r="U625" s="47" t="str"/>
      <x:c r="V625" s="47" t="str"/>
      <x:c r="W625" s="47" t="str"/>
      <x:c r="X625" s="50" t="str"/>
      <x:c r="Y625" s="50" t="str"/>
      <x:c r="Z625" s="47" t="str"/>
      <x:c r="AA625" s="47" t="str">
        <x:v>No direct published reference located; do not display a crimp value.</x:v>
      </x:c>
      <x:c r="AB625" s="161" t="str">
        <x:v>Pending</x:v>
      </x:c>
    </x:row>
    <x:row r="626" ht="42" customHeight="1">
      <x:c r="A626" s="33" t="str">
        <x:v>Draft</x:v>
      </x:c>
      <x:c r="B626" s="47" t="str">
        <x:v>COMP_0622</x:v>
      </x:c>
      <x:c r="C626" s="47" t="str">
        <x:v>EN2SC_001</x:v>
      </x:c>
      <x:c r="D626" s="47" t="str">
        <x:v>NPT_F_FX_02_04</x:v>
      </x:c>
      <x:c r="E626" s="47" t="str">
        <x:v>EN2SC_2WB_001</x:v>
      </x:c>
      <x:c r="F626" s="47" t="str"/>
      <x:c r="G626" s="33" t="str"/>
      <x:c r="H626" s="50" t="str"/>
      <x:c r="I626" s="50" t="str"/>
      <x:c r="J626" s="50" t="str"/>
      <x:c r="K626" s="47" t="str"/>
      <x:c r="L626" s="50" t="str"/>
      <x:c r="M626" s="50" t="str"/>
      <x:c r="N626" s="47" t="str"/>
      <x:c r="O626" s="50" t="str"/>
      <x:c r="P626" s="64" t="str">
        <x:f>IF(O626="","",O626*2)</x:f>
      </x:c>
      <x:c r="Q626" s="50" t="str"/>
      <x:c r="R626" s="47" t="str"/>
      <x:c r="S626" s="33" t="str">
        <x:v>Not Tested</x:v>
      </x:c>
      <x:c r="T626" s="64" t="str">
        <x:v>Eligible</x:v>
      </x:c>
      <x:c r="U626" s="47" t="str"/>
      <x:c r="V626" s="47" t="str"/>
      <x:c r="W626" s="47" t="str"/>
      <x:c r="X626" s="50" t="str"/>
      <x:c r="Y626" s="50" t="str"/>
      <x:c r="Z626" s="47" t="str"/>
      <x:c r="AA626" s="47" t="str">
        <x:v>No direct published reference located; do not display a crimp value.</x:v>
      </x:c>
      <x:c r="AB626" s="161" t="str">
        <x:v>Pending</x:v>
      </x:c>
    </x:row>
    <x:row r="627" ht="42" customHeight="1">
      <x:c r="A627" s="33" t="str">
        <x:v>Draft</x:v>
      </x:c>
      <x:c r="B627" s="47" t="str">
        <x:v>COMP_0623</x:v>
      </x:c>
      <x:c r="C627" s="47" t="str">
        <x:v>EN2SC_001</x:v>
      </x:c>
      <x:c r="D627" s="47" t="str">
        <x:v>NPT_F_FX_04_04</x:v>
      </x:c>
      <x:c r="E627" s="47" t="str">
        <x:v>EN2SC_2WB_001</x:v>
      </x:c>
      <x:c r="F627" s="47" t="str"/>
      <x:c r="G627" s="33" t="str"/>
      <x:c r="H627" s="50" t="str"/>
      <x:c r="I627" s="50" t="str"/>
      <x:c r="J627" s="50" t="str"/>
      <x:c r="K627" s="47" t="str"/>
      <x:c r="L627" s="50" t="str"/>
      <x:c r="M627" s="50" t="str"/>
      <x:c r="N627" s="47" t="str"/>
      <x:c r="O627" s="50" t="str"/>
      <x:c r="P627" s="64" t="str">
        <x:f>IF(O627="","",O627*2)</x:f>
      </x:c>
      <x:c r="Q627" s="50" t="str"/>
      <x:c r="R627" s="47" t="str"/>
      <x:c r="S627" s="33" t="str">
        <x:v>Not Tested</x:v>
      </x:c>
      <x:c r="T627" s="64" t="str">
        <x:v>Eligible</x:v>
      </x:c>
      <x:c r="U627" s="47" t="str"/>
      <x:c r="V627" s="47" t="str"/>
      <x:c r="W627" s="47" t="str"/>
      <x:c r="X627" s="50" t="str"/>
      <x:c r="Y627" s="50" t="str"/>
      <x:c r="Z627" s="47" t="str"/>
      <x:c r="AA627" s="47" t="str">
        <x:v>No direct published reference located; do not display a crimp value.</x:v>
      </x:c>
      <x:c r="AB627" s="161" t="str">
        <x:v>Pending</x:v>
      </x:c>
    </x:row>
    <x:row r="628" ht="42" customHeight="1">
      <x:c r="A628" s="33" t="str">
        <x:v>Draft</x:v>
      </x:c>
      <x:c r="B628" s="47" t="str">
        <x:v>COMP_0624</x:v>
      </x:c>
      <x:c r="C628" s="47" t="str">
        <x:v>EN2SC_001</x:v>
      </x:c>
      <x:c r="D628" s="47" t="str">
        <x:v>NPT_F_FX_06_04</x:v>
      </x:c>
      <x:c r="E628" s="47" t="str">
        <x:v>EN2SC_2WB_001</x:v>
      </x:c>
      <x:c r="F628" s="47" t="str"/>
      <x:c r="G628" s="33" t="str"/>
      <x:c r="H628" s="50" t="str"/>
      <x:c r="I628" s="50" t="str"/>
      <x:c r="J628" s="50" t="str"/>
      <x:c r="K628" s="47" t="str"/>
      <x:c r="L628" s="50" t="str"/>
      <x:c r="M628" s="50" t="str"/>
      <x:c r="N628" s="47" t="str"/>
      <x:c r="O628" s="50" t="str"/>
      <x:c r="P628" s="64" t="str">
        <x:f>IF(O628="","",O628*2)</x:f>
      </x:c>
      <x:c r="Q628" s="50" t="str"/>
      <x:c r="R628" s="47" t="str"/>
      <x:c r="S628" s="33" t="str">
        <x:v>Not Tested</x:v>
      </x:c>
      <x:c r="T628" s="64" t="str">
        <x:v>Eligible</x:v>
      </x:c>
      <x:c r="U628" s="47" t="str"/>
      <x:c r="V628" s="47" t="str"/>
      <x:c r="W628" s="47" t="str"/>
      <x:c r="X628" s="50" t="str"/>
      <x:c r="Y628" s="50" t="str"/>
      <x:c r="Z628" s="47" t="str"/>
      <x:c r="AA628" s="47" t="str">
        <x:v>No direct published reference located; do not display a crimp value.</x:v>
      </x:c>
      <x:c r="AB628" s="161" t="str">
        <x:v>Pending</x:v>
      </x:c>
    </x:row>
    <x:row r="629" ht="42" customHeight="1">
      <x:c r="A629" s="33" t="str">
        <x:v>Draft</x:v>
      </x:c>
      <x:c r="B629" s="47" t="str">
        <x:v>COMP_0625</x:v>
      </x:c>
      <x:c r="C629" s="47" t="str">
        <x:v>EN2SC_001</x:v>
      </x:c>
      <x:c r="D629" s="47" t="str">
        <x:v>NPT_M_FX_02_04</x:v>
      </x:c>
      <x:c r="E629" s="47" t="str">
        <x:v>EN2SC_2WB_001</x:v>
      </x:c>
      <x:c r="F629" s="47" t="str"/>
      <x:c r="G629" s="33" t="str"/>
      <x:c r="H629" s="50" t="str"/>
      <x:c r="I629" s="50" t="str"/>
      <x:c r="J629" s="50" t="str"/>
      <x:c r="K629" s="47" t="str"/>
      <x:c r="L629" s="50" t="str"/>
      <x:c r="M629" s="50" t="str"/>
      <x:c r="N629" s="47" t="str"/>
      <x:c r="O629" s="50" t="str"/>
      <x:c r="P629" s="64" t="str">
        <x:f>IF(O629="","",O629*2)</x:f>
      </x:c>
      <x:c r="Q629" s="50" t="str"/>
      <x:c r="R629" s="47" t="str"/>
      <x:c r="S629" s="33" t="str">
        <x:v>Not Tested</x:v>
      </x:c>
      <x:c r="T629" s="64" t="str">
        <x:v>Eligible</x:v>
      </x:c>
      <x:c r="U629" s="47" t="str"/>
      <x:c r="V629" s="47" t="str"/>
      <x:c r="W629" s="47" t="str"/>
      <x:c r="X629" s="50" t="str"/>
      <x:c r="Y629" s="50" t="str"/>
      <x:c r="Z629" s="47" t="str"/>
      <x:c r="AA629" s="47" t="str">
        <x:v>No direct published reference located; do not display a crimp value.</x:v>
      </x:c>
      <x:c r="AB629" s="161" t="str">
        <x:v>Pending</x:v>
      </x:c>
    </x:row>
    <x:row r="630" ht="42" customHeight="1">
      <x:c r="A630" s="33" t="str">
        <x:v>Draft</x:v>
      </x:c>
      <x:c r="B630" s="47" t="str">
        <x:v>COMP_0626</x:v>
      </x:c>
      <x:c r="C630" s="47" t="str">
        <x:v>EN2SC_001</x:v>
      </x:c>
      <x:c r="D630" s="47" t="str">
        <x:v>NPT_M_FX_04_04</x:v>
      </x:c>
      <x:c r="E630" s="47" t="str">
        <x:v>EN2SC_2WB_001</x:v>
      </x:c>
      <x:c r="F630" s="47" t="str"/>
      <x:c r="G630" s="33" t="str"/>
      <x:c r="H630" s="50" t="str"/>
      <x:c r="I630" s="50" t="str"/>
      <x:c r="J630" s="50" t="str"/>
      <x:c r="K630" s="47" t="str"/>
      <x:c r="L630" s="50" t="str"/>
      <x:c r="M630" s="50" t="str"/>
      <x:c r="N630" s="47" t="str"/>
      <x:c r="O630" s="50" t="str"/>
      <x:c r="P630" s="64" t="str">
        <x:f>IF(O630="","",O630*2)</x:f>
      </x:c>
      <x:c r="Q630" s="50" t="str"/>
      <x:c r="R630" s="47" t="str"/>
      <x:c r="S630" s="33" t="str">
        <x:v>Not Tested</x:v>
      </x:c>
      <x:c r="T630" s="64" t="str">
        <x:v>Eligible</x:v>
      </x:c>
      <x:c r="U630" s="47" t="str"/>
      <x:c r="V630" s="47" t="str"/>
      <x:c r="W630" s="47" t="str"/>
      <x:c r="X630" s="50" t="str"/>
      <x:c r="Y630" s="50" t="str"/>
      <x:c r="Z630" s="47" t="str"/>
      <x:c r="AA630" s="47" t="str">
        <x:v>No direct published reference located; do not display a crimp value.</x:v>
      </x:c>
      <x:c r="AB630" s="161" t="str">
        <x:v>Pending</x:v>
      </x:c>
    </x:row>
    <x:row r="631" ht="42" customHeight="1">
      <x:c r="A631" s="33" t="str">
        <x:v>Draft</x:v>
      </x:c>
      <x:c r="B631" s="47" t="str">
        <x:v>COMP_0627</x:v>
      </x:c>
      <x:c r="C631" s="47" t="str">
        <x:v>EN2SC_001</x:v>
      </x:c>
      <x:c r="D631" s="47" t="str">
        <x:v>NPT_M_FX_06_04</x:v>
      </x:c>
      <x:c r="E631" s="47" t="str">
        <x:v>EN2SC_2WB_001</x:v>
      </x:c>
      <x:c r="F631" s="47" t="str"/>
      <x:c r="G631" s="33" t="str"/>
      <x:c r="H631" s="50" t="str"/>
      <x:c r="I631" s="50" t="str"/>
      <x:c r="J631" s="50" t="str"/>
      <x:c r="K631" s="47" t="str"/>
      <x:c r="L631" s="50" t="str"/>
      <x:c r="M631" s="50" t="str"/>
      <x:c r="N631" s="47" t="str"/>
      <x:c r="O631" s="50" t="str"/>
      <x:c r="P631" s="64" t="str">
        <x:f>IF(O631="","",O631*2)</x:f>
      </x:c>
      <x:c r="Q631" s="50" t="str"/>
      <x:c r="R631" s="47" t="str"/>
      <x:c r="S631" s="33" t="str">
        <x:v>Not Tested</x:v>
      </x:c>
      <x:c r="T631" s="64" t="str">
        <x:v>Eligible</x:v>
      </x:c>
      <x:c r="U631" s="47" t="str"/>
      <x:c r="V631" s="47" t="str"/>
      <x:c r="W631" s="47" t="str"/>
      <x:c r="X631" s="50" t="str"/>
      <x:c r="Y631" s="50" t="str"/>
      <x:c r="Z631" s="47" t="str"/>
      <x:c r="AA631" s="47" t="str">
        <x:v>No direct published reference located; do not display a crimp value.</x:v>
      </x:c>
      <x:c r="AB631" s="161" t="str">
        <x:v>Pending</x:v>
      </x:c>
    </x:row>
    <x:row r="632" ht="42" customHeight="1">
      <x:c r="A632" s="33" t="str">
        <x:v>Draft</x:v>
      </x:c>
      <x:c r="B632" s="47" t="str">
        <x:v>COMP_0628</x:v>
      </x:c>
      <x:c r="C632" s="47" t="str">
        <x:v>EN2SC_001</x:v>
      </x:c>
      <x:c r="D632" s="47" t="str">
        <x:v>NPT_M_FX_08_04</x:v>
      </x:c>
      <x:c r="E632" s="47" t="str">
        <x:v>EN2SC_2WB_001</x:v>
      </x:c>
      <x:c r="F632" s="47" t="str"/>
      <x:c r="G632" s="33" t="str"/>
      <x:c r="H632" s="50" t="str"/>
      <x:c r="I632" s="50" t="str"/>
      <x:c r="J632" s="50" t="str"/>
      <x:c r="K632" s="47" t="str"/>
      <x:c r="L632" s="50" t="str"/>
      <x:c r="M632" s="50" t="str"/>
      <x:c r="N632" s="47" t="str"/>
      <x:c r="O632" s="50" t="str"/>
      <x:c r="P632" s="64" t="str">
        <x:f>IF(O632="","",O632*2)</x:f>
      </x:c>
      <x:c r="Q632" s="50" t="str"/>
      <x:c r="R632" s="47" t="str"/>
      <x:c r="S632" s="33" t="str">
        <x:v>Not Tested</x:v>
      </x:c>
      <x:c r="T632" s="64" t="str">
        <x:v>Eligible</x:v>
      </x:c>
      <x:c r="U632" s="47" t="str"/>
      <x:c r="V632" s="47" t="str"/>
      <x:c r="W632" s="47" t="str"/>
      <x:c r="X632" s="50" t="str"/>
      <x:c r="Y632" s="50" t="str"/>
      <x:c r="Z632" s="47" t="str"/>
      <x:c r="AA632" s="47" t="str">
        <x:v>No direct published reference located; do not display a crimp value.</x:v>
      </x:c>
      <x:c r="AB632" s="161" t="str">
        <x:v>Pending</x:v>
      </x:c>
    </x:row>
    <x:row r="633" ht="42" customHeight="1">
      <x:c r="A633" s="33" t="str">
        <x:v>Draft</x:v>
      </x:c>
      <x:c r="B633" s="47" t="str">
        <x:v>COMP_0629</x:v>
      </x:c>
      <x:c r="C633" s="47" t="str">
        <x:v>EN2SC_001</x:v>
      </x:c>
      <x:c r="D633" s="47" t="str">
        <x:v>NPT90_M_SW_04_04</x:v>
      </x:c>
      <x:c r="E633" s="47" t="str">
        <x:v>EN2SC_2WB_001</x:v>
      </x:c>
      <x:c r="F633" s="47" t="str"/>
      <x:c r="G633" s="33" t="str"/>
      <x:c r="H633" s="50" t="str"/>
      <x:c r="I633" s="50" t="str"/>
      <x:c r="J633" s="50" t="str"/>
      <x:c r="K633" s="47" t="str"/>
      <x:c r="L633" s="50" t="str"/>
      <x:c r="M633" s="50" t="str"/>
      <x:c r="N633" s="47" t="str"/>
      <x:c r="O633" s="50" t="str"/>
      <x:c r="P633" s="64" t="str">
        <x:f>IF(O633="","",O633*2)</x:f>
      </x:c>
      <x:c r="Q633" s="50" t="str"/>
      <x:c r="R633" s="47" t="str"/>
      <x:c r="S633" s="33" t="str">
        <x:v>Not Tested</x:v>
      </x:c>
      <x:c r="T633" s="64" t="str">
        <x:v>Eligible</x:v>
      </x:c>
      <x:c r="U633" s="47" t="str"/>
      <x:c r="V633" s="47" t="str"/>
      <x:c r="W633" s="47" t="str"/>
      <x:c r="X633" s="50" t="str"/>
      <x:c r="Y633" s="50" t="str"/>
      <x:c r="Z633" s="47" t="str"/>
      <x:c r="AA633" s="47" t="str">
        <x:v>No direct published reference located; do not display a crimp value.</x:v>
      </x:c>
      <x:c r="AB633" s="161" t="str">
        <x:v>Pending</x:v>
      </x:c>
    </x:row>
    <x:row r="634" ht="42" customHeight="1">
      <x:c r="A634" s="33" t="str">
        <x:v>Draft</x:v>
      </x:c>
      <x:c r="B634" s="47" t="str">
        <x:v>COMP_0630</x:v>
      </x:c>
      <x:c r="C634" s="47" t="str">
        <x:v>EN2SC_001</x:v>
      </x:c>
      <x:c r="D634" s="47" t="str">
        <x:v>ORFS_F_SW_04_04</x:v>
      </x:c>
      <x:c r="E634" s="47" t="str">
        <x:v>EN2SC_2WB_001</x:v>
      </x:c>
      <x:c r="F634" s="47" t="str"/>
      <x:c r="G634" s="33" t="str"/>
      <x:c r="H634" s="50" t="str"/>
      <x:c r="I634" s="50" t="str"/>
      <x:c r="J634" s="50" t="str"/>
      <x:c r="K634" s="47" t="str"/>
      <x:c r="L634" s="50" t="str"/>
      <x:c r="M634" s="50" t="str"/>
      <x:c r="N634" s="47" t="str"/>
      <x:c r="O634" s="50" t="str"/>
      <x:c r="P634" s="64" t="str">
        <x:f>IF(O634="","",O634*2)</x:f>
      </x:c>
      <x:c r="Q634" s="50" t="str"/>
      <x:c r="R634" s="47" t="str"/>
      <x:c r="S634" s="33" t="str">
        <x:v>Not Tested</x:v>
      </x:c>
      <x:c r="T634" s="64" t="str">
        <x:v>Eligible</x:v>
      </x:c>
      <x:c r="U634" s="47" t="str"/>
      <x:c r="V634" s="47" t="str"/>
      <x:c r="W634" s="47" t="str"/>
      <x:c r="X634" s="50" t="str"/>
      <x:c r="Y634" s="50" t="str"/>
      <x:c r="Z634" s="47" t="str"/>
      <x:c r="AA634" s="47" t="str">
        <x:v>No direct published reference located; do not display a crimp value.</x:v>
      </x:c>
      <x:c r="AB634" s="161" t="str">
        <x:v>Pending</x:v>
      </x:c>
    </x:row>
    <x:row r="635" ht="42" customHeight="1">
      <x:c r="A635" s="33" t="str">
        <x:v>Draft</x:v>
      </x:c>
      <x:c r="B635" s="47" t="str">
        <x:v>COMP_0631</x:v>
      </x:c>
      <x:c r="C635" s="47" t="str">
        <x:v>EN2SC_001</x:v>
      </x:c>
      <x:c r="D635" s="47" t="str">
        <x:v>ORFS_F_SW_06_04</x:v>
      </x:c>
      <x:c r="E635" s="47" t="str">
        <x:v>EN2SC_2WB_001</x:v>
      </x:c>
      <x:c r="F635" s="47" t="str"/>
      <x:c r="G635" s="33" t="str"/>
      <x:c r="H635" s="50" t="str"/>
      <x:c r="I635" s="50" t="str"/>
      <x:c r="J635" s="50" t="str"/>
      <x:c r="K635" s="47" t="str"/>
      <x:c r="L635" s="50" t="str"/>
      <x:c r="M635" s="50" t="str"/>
      <x:c r="N635" s="47" t="str"/>
      <x:c r="O635" s="50" t="str"/>
      <x:c r="P635" s="64" t="str">
        <x:f>IF(O635="","",O635*2)</x:f>
      </x:c>
      <x:c r="Q635" s="50" t="str"/>
      <x:c r="R635" s="47" t="str"/>
      <x:c r="S635" s="33" t="str">
        <x:v>Not Tested</x:v>
      </x:c>
      <x:c r="T635" s="64" t="str">
        <x:v>Eligible</x:v>
      </x:c>
      <x:c r="U635" s="47" t="str"/>
      <x:c r="V635" s="47" t="str"/>
      <x:c r="W635" s="47" t="str"/>
      <x:c r="X635" s="50" t="str"/>
      <x:c r="Y635" s="50" t="str"/>
      <x:c r="Z635" s="47" t="str"/>
      <x:c r="AA635" s="47" t="str">
        <x:v>No direct published reference located; do not display a crimp value.</x:v>
      </x:c>
      <x:c r="AB635" s="161" t="str">
        <x:v>Pending</x:v>
      </x:c>
    </x:row>
    <x:row r="636" ht="42" customHeight="1">
      <x:c r="A636" s="33" t="str">
        <x:v>Draft</x:v>
      </x:c>
      <x:c r="B636" s="47" t="str">
        <x:v>COMP_0632</x:v>
      </x:c>
      <x:c r="C636" s="47" t="str">
        <x:v>EN2SC_001</x:v>
      </x:c>
      <x:c r="D636" s="47" t="str">
        <x:v>ORFS_F_SW_08_04</x:v>
      </x:c>
      <x:c r="E636" s="47" t="str">
        <x:v>EN2SC_2WB_001</x:v>
      </x:c>
      <x:c r="F636" s="47" t="str"/>
      <x:c r="G636" s="33" t="str"/>
      <x:c r="H636" s="50" t="str"/>
      <x:c r="I636" s="50" t="str"/>
      <x:c r="J636" s="50" t="str"/>
      <x:c r="K636" s="47" t="str"/>
      <x:c r="L636" s="50" t="str"/>
      <x:c r="M636" s="50" t="str"/>
      <x:c r="N636" s="47" t="str"/>
      <x:c r="O636" s="50" t="str"/>
      <x:c r="P636" s="64" t="str">
        <x:f>IF(O636="","",O636*2)</x:f>
      </x:c>
      <x:c r="Q636" s="50" t="str"/>
      <x:c r="R636" s="47" t="str"/>
      <x:c r="S636" s="33" t="str">
        <x:v>Not Tested</x:v>
      </x:c>
      <x:c r="T636" s="64" t="str">
        <x:v>Eligible</x:v>
      </x:c>
      <x:c r="U636" s="47" t="str"/>
      <x:c r="V636" s="47" t="str"/>
      <x:c r="W636" s="47" t="str"/>
      <x:c r="X636" s="50" t="str"/>
      <x:c r="Y636" s="50" t="str"/>
      <x:c r="Z636" s="47" t="str"/>
      <x:c r="AA636" s="47" t="str">
        <x:v>No direct published reference located; do not display a crimp value.</x:v>
      </x:c>
      <x:c r="AB636" s="161" t="str">
        <x:v>Pending</x:v>
      </x:c>
    </x:row>
    <x:row r="637" ht="42" customHeight="1">
      <x:c r="A637" s="33" t="str">
        <x:v>Draft</x:v>
      </x:c>
      <x:c r="B637" s="47" t="str">
        <x:v>COMP_0633</x:v>
      </x:c>
      <x:c r="C637" s="47" t="str">
        <x:v>EN2SC_001</x:v>
      </x:c>
      <x:c r="D637" s="47" t="str">
        <x:v>ORFS_M_FX_04_04</x:v>
      </x:c>
      <x:c r="E637" s="47" t="str">
        <x:v>EN2SC_2WB_001</x:v>
      </x:c>
      <x:c r="F637" s="47" t="str"/>
      <x:c r="G637" s="33" t="str"/>
      <x:c r="H637" s="50" t="str"/>
      <x:c r="I637" s="50" t="str"/>
      <x:c r="J637" s="50" t="str"/>
      <x:c r="K637" s="47" t="str"/>
      <x:c r="L637" s="50" t="str"/>
      <x:c r="M637" s="50" t="str"/>
      <x:c r="N637" s="47" t="str"/>
      <x:c r="O637" s="50" t="str"/>
      <x:c r="P637" s="64" t="str">
        <x:f>IF(O637="","",O637*2)</x:f>
      </x:c>
      <x:c r="Q637" s="50" t="str"/>
      <x:c r="R637" s="47" t="str"/>
      <x:c r="S637" s="33" t="str">
        <x:v>Not Tested</x:v>
      </x:c>
      <x:c r="T637" s="64" t="str">
        <x:v>Eligible</x:v>
      </x:c>
      <x:c r="U637" s="47" t="str"/>
      <x:c r="V637" s="47" t="str"/>
      <x:c r="W637" s="47" t="str"/>
      <x:c r="X637" s="50" t="str"/>
      <x:c r="Y637" s="50" t="str"/>
      <x:c r="Z637" s="47" t="str"/>
      <x:c r="AA637" s="47" t="str">
        <x:v>No direct published reference located; do not display a crimp value.</x:v>
      </x:c>
      <x:c r="AB637" s="161" t="str">
        <x:v>Pending</x:v>
      </x:c>
    </x:row>
    <x:row r="638" ht="42" customHeight="1">
      <x:c r="A638" s="33" t="str">
        <x:v>Draft</x:v>
      </x:c>
      <x:c r="B638" s="47" t="str">
        <x:v>COMP_0634</x:v>
      </x:c>
      <x:c r="C638" s="47" t="str">
        <x:v>EN2SC_001</x:v>
      </x:c>
      <x:c r="D638" s="47" t="str">
        <x:v>ORFS_M_FX_06_04</x:v>
      </x:c>
      <x:c r="E638" s="47" t="str">
        <x:v>EN2SC_2WB_001</x:v>
      </x:c>
      <x:c r="F638" s="47" t="str"/>
      <x:c r="G638" s="33" t="str"/>
      <x:c r="H638" s="50" t="str"/>
      <x:c r="I638" s="50" t="str"/>
      <x:c r="J638" s="50" t="str"/>
      <x:c r="K638" s="47" t="str"/>
      <x:c r="L638" s="50" t="str"/>
      <x:c r="M638" s="50" t="str"/>
      <x:c r="N638" s="47" t="str"/>
      <x:c r="O638" s="50" t="str"/>
      <x:c r="P638" s="64" t="str">
        <x:f>IF(O638="","",O638*2)</x:f>
      </x:c>
      <x:c r="Q638" s="50" t="str"/>
      <x:c r="R638" s="47" t="str"/>
      <x:c r="S638" s="33" t="str">
        <x:v>Not Tested</x:v>
      </x:c>
      <x:c r="T638" s="64" t="str">
        <x:v>Eligible</x:v>
      </x:c>
      <x:c r="U638" s="47" t="str"/>
      <x:c r="V638" s="47" t="str"/>
      <x:c r="W638" s="47" t="str"/>
      <x:c r="X638" s="50" t="str"/>
      <x:c r="Y638" s="50" t="str"/>
      <x:c r="Z638" s="47" t="str"/>
      <x:c r="AA638" s="47" t="str">
        <x:v>No direct published reference located; do not display a crimp value.</x:v>
      </x:c>
      <x:c r="AB638" s="161" t="str">
        <x:v>Pending</x:v>
      </x:c>
    </x:row>
    <x:row r="639" ht="42" customHeight="1">
      <x:c r="A639" s="33" t="str">
        <x:v>Draft</x:v>
      </x:c>
      <x:c r="B639" s="47" t="str">
        <x:v>COMP_0635</x:v>
      </x:c>
      <x:c r="C639" s="47" t="str">
        <x:v>EN2SC_001</x:v>
      </x:c>
      <x:c r="D639" s="47" t="str">
        <x:v>ORFS45_F_SW_04_04</x:v>
      </x:c>
      <x:c r="E639" s="47" t="str">
        <x:v>EN2SC_2WB_001</x:v>
      </x:c>
      <x:c r="F639" s="47" t="str"/>
      <x:c r="G639" s="33" t="str"/>
      <x:c r="H639" s="50" t="str"/>
      <x:c r="I639" s="50" t="str"/>
      <x:c r="J639" s="50" t="str"/>
      <x:c r="K639" s="47" t="str"/>
      <x:c r="L639" s="50" t="str"/>
      <x:c r="M639" s="50" t="str"/>
      <x:c r="N639" s="47" t="str"/>
      <x:c r="O639" s="50" t="str"/>
      <x:c r="P639" s="64" t="str">
        <x:f>IF(O639="","",O639*2)</x:f>
      </x:c>
      <x:c r="Q639" s="50" t="str"/>
      <x:c r="R639" s="47" t="str"/>
      <x:c r="S639" s="33" t="str">
        <x:v>Not Tested</x:v>
      </x:c>
      <x:c r="T639" s="64" t="str">
        <x:v>Eligible</x:v>
      </x:c>
      <x:c r="U639" s="47" t="str"/>
      <x:c r="V639" s="47" t="str"/>
      <x:c r="W639" s="47" t="str"/>
      <x:c r="X639" s="50" t="str"/>
      <x:c r="Y639" s="50" t="str"/>
      <x:c r="Z639" s="47" t="str"/>
      <x:c r="AA639" s="47" t="str">
        <x:v>No direct published reference located; do not display a crimp value.</x:v>
      </x:c>
      <x:c r="AB639" s="161" t="str">
        <x:v>Pending</x:v>
      </x:c>
    </x:row>
    <x:row r="640" ht="42" customHeight="1">
      <x:c r="A640" s="33" t="str">
        <x:v>Draft</x:v>
      </x:c>
      <x:c r="B640" s="47" t="str">
        <x:v>COMP_0636</x:v>
      </x:c>
      <x:c r="C640" s="47" t="str">
        <x:v>EN2SC_001</x:v>
      </x:c>
      <x:c r="D640" s="47" t="str">
        <x:v>ORFS45_F_SW_06_04</x:v>
      </x:c>
      <x:c r="E640" s="47" t="str">
        <x:v>EN2SC_2WB_001</x:v>
      </x:c>
      <x:c r="F640" s="47" t="str"/>
      <x:c r="G640" s="33" t="str"/>
      <x:c r="H640" s="50" t="str"/>
      <x:c r="I640" s="50" t="str"/>
      <x:c r="J640" s="50" t="str"/>
      <x:c r="K640" s="47" t="str"/>
      <x:c r="L640" s="50" t="str"/>
      <x:c r="M640" s="50" t="str"/>
      <x:c r="N640" s="47" t="str"/>
      <x:c r="O640" s="50" t="str"/>
      <x:c r="P640" s="64" t="str">
        <x:f>IF(O640="","",O640*2)</x:f>
      </x:c>
      <x:c r="Q640" s="50" t="str"/>
      <x:c r="R640" s="47" t="str"/>
      <x:c r="S640" s="33" t="str">
        <x:v>Not Tested</x:v>
      </x:c>
      <x:c r="T640" s="64" t="str">
        <x:v>Eligible</x:v>
      </x:c>
      <x:c r="U640" s="47" t="str"/>
      <x:c r="V640" s="47" t="str"/>
      <x:c r="W640" s="47" t="str"/>
      <x:c r="X640" s="50" t="str"/>
      <x:c r="Y640" s="50" t="str"/>
      <x:c r="Z640" s="47" t="str"/>
      <x:c r="AA640" s="47" t="str">
        <x:v>No direct published reference located; do not display a crimp value.</x:v>
      </x:c>
      <x:c r="AB640" s="161" t="str">
        <x:v>Pending</x:v>
      </x:c>
    </x:row>
    <x:row r="641" ht="42" customHeight="1">
      <x:c r="A641" s="33" t="str">
        <x:v>Draft</x:v>
      </x:c>
      <x:c r="B641" s="47" t="str">
        <x:v>COMP_0637</x:v>
      </x:c>
      <x:c r="C641" s="47" t="str">
        <x:v>EN2SC_001</x:v>
      </x:c>
      <x:c r="D641" s="47" t="str">
        <x:v>ORFS90_F_SW_04_04</x:v>
      </x:c>
      <x:c r="E641" s="47" t="str">
        <x:v>EN2SC_2WB_001</x:v>
      </x:c>
      <x:c r="F641" s="47" t="str"/>
      <x:c r="G641" s="33" t="str"/>
      <x:c r="H641" s="50" t="str"/>
      <x:c r="I641" s="50" t="str"/>
      <x:c r="J641" s="50" t="str"/>
      <x:c r="K641" s="47" t="str"/>
      <x:c r="L641" s="50" t="str"/>
      <x:c r="M641" s="50" t="str"/>
      <x:c r="N641" s="47" t="str"/>
      <x:c r="O641" s="50" t="str"/>
      <x:c r="P641" s="64" t="str">
        <x:f>IF(O641="","",O641*2)</x:f>
      </x:c>
      <x:c r="Q641" s="50" t="str"/>
      <x:c r="R641" s="47" t="str"/>
      <x:c r="S641" s="33" t="str">
        <x:v>Not Tested</x:v>
      </x:c>
      <x:c r="T641" s="64" t="str">
        <x:v>Eligible</x:v>
      </x:c>
      <x:c r="U641" s="47" t="str"/>
      <x:c r="V641" s="47" t="str"/>
      <x:c r="W641" s="47" t="str"/>
      <x:c r="X641" s="50" t="str"/>
      <x:c r="Y641" s="50" t="str"/>
      <x:c r="Z641" s="47" t="str"/>
      <x:c r="AA641" s="47" t="str">
        <x:v>No direct published reference located; do not display a crimp value.</x:v>
      </x:c>
      <x:c r="AB641" s="161" t="str">
        <x:v>Pending</x:v>
      </x:c>
    </x:row>
    <x:row r="642" ht="42" customHeight="1">
      <x:c r="A642" s="33" t="str">
        <x:v>Draft</x:v>
      </x:c>
      <x:c r="B642" s="47" t="str">
        <x:v>COMP_0638</x:v>
      </x:c>
      <x:c r="C642" s="47" t="str">
        <x:v>EN2SC_001</x:v>
      </x:c>
      <x:c r="D642" s="47" t="str">
        <x:v>ORFS90_F_SW_06_04</x:v>
      </x:c>
      <x:c r="E642" s="47" t="str">
        <x:v>EN2SC_2WB_001</x:v>
      </x:c>
      <x:c r="F642" s="47" t="str"/>
      <x:c r="G642" s="33" t="str"/>
      <x:c r="H642" s="50" t="str"/>
      <x:c r="I642" s="50" t="str"/>
      <x:c r="J642" s="50" t="str"/>
      <x:c r="K642" s="47" t="str"/>
      <x:c r="L642" s="50" t="str"/>
      <x:c r="M642" s="50" t="str"/>
      <x:c r="N642" s="47" t="str"/>
      <x:c r="O642" s="50" t="str"/>
      <x:c r="P642" s="64" t="str">
        <x:f>IF(O642="","",O642*2)</x:f>
      </x:c>
      <x:c r="Q642" s="50" t="str"/>
      <x:c r="R642" s="47" t="str"/>
      <x:c r="S642" s="33" t="str">
        <x:v>Not Tested</x:v>
      </x:c>
      <x:c r="T642" s="64" t="str">
        <x:v>Eligible</x:v>
      </x:c>
      <x:c r="U642" s="47" t="str"/>
      <x:c r="V642" s="47" t="str"/>
      <x:c r="W642" s="47" t="str"/>
      <x:c r="X642" s="50" t="str"/>
      <x:c r="Y642" s="50" t="str"/>
      <x:c r="Z642" s="47" t="str"/>
      <x:c r="AA642" s="47" t="str">
        <x:v>No direct published reference located; do not display a crimp value.</x:v>
      </x:c>
      <x:c r="AB642" s="161" t="str">
        <x:v>Pending</x:v>
      </x:c>
    </x:row>
    <x:row r="643" ht="42" customHeight="1">
      <x:c r="A643" s="33" t="str">
        <x:v>Draft</x:v>
      </x:c>
      <x:c r="B643" s="47" t="str">
        <x:v>COMP_0639</x:v>
      </x:c>
      <x:c r="C643" s="47" t="str">
        <x:v>EN2SC_001</x:v>
      </x:c>
      <x:c r="D643" s="47" t="str">
        <x:v>ORFS90_F_SW_08_04</x:v>
      </x:c>
      <x:c r="E643" s="47" t="str">
        <x:v>EN2SC_2WB_001</x:v>
      </x:c>
      <x:c r="F643" s="47" t="str"/>
      <x:c r="G643" s="33" t="str"/>
      <x:c r="H643" s="50" t="str"/>
      <x:c r="I643" s="50" t="str"/>
      <x:c r="J643" s="50" t="str"/>
      <x:c r="K643" s="47" t="str"/>
      <x:c r="L643" s="50" t="str"/>
      <x:c r="M643" s="50" t="str"/>
      <x:c r="N643" s="47" t="str"/>
      <x:c r="O643" s="50" t="str"/>
      <x:c r="P643" s="64" t="str">
        <x:f>IF(O643="","",O643*2)</x:f>
      </x:c>
      <x:c r="Q643" s="50" t="str"/>
      <x:c r="R643" s="47" t="str"/>
      <x:c r="S643" s="33" t="str">
        <x:v>Not Tested</x:v>
      </x:c>
      <x:c r="T643" s="64" t="str">
        <x:v>Eligible</x:v>
      </x:c>
      <x:c r="U643" s="47" t="str"/>
      <x:c r="V643" s="47" t="str"/>
      <x:c r="W643" s="47" t="str"/>
      <x:c r="X643" s="50" t="str"/>
      <x:c r="Y643" s="50" t="str"/>
      <x:c r="Z643" s="47" t="str"/>
      <x:c r="AA643" s="47" t="str">
        <x:v>No direct published reference located; do not display a crimp value.</x:v>
      </x:c>
      <x:c r="AB643" s="161" t="str">
        <x:v>Pending</x:v>
      </x:c>
    </x:row>
    <x:row r="644" ht="42" customHeight="1">
      <x:c r="A644" s="33" t="str">
        <x:v>Draft</x:v>
      </x:c>
      <x:c r="B644" s="47" t="str">
        <x:v>COMP_0640</x:v>
      </x:c>
      <x:c r="C644" s="47" t="str">
        <x:v>EN2SC_003</x:v>
      </x:c>
      <x:c r="D644" s="47" t="str">
        <x:v>BSPP_F_SW_06_06</x:v>
      </x:c>
      <x:c r="E644" s="47" t="str">
        <x:v>EN2SC_2WB_003</x:v>
      </x:c>
      <x:c r="F644" s="47" t="str"/>
      <x:c r="G644" s="33" t="str"/>
      <x:c r="H644" s="50" t="str"/>
      <x:c r="I644" s="50" t="str"/>
      <x:c r="J644" s="50" t="str"/>
      <x:c r="K644" s="47" t="str"/>
      <x:c r="L644" s="50" t="str"/>
      <x:c r="M644" s="50" t="str"/>
      <x:c r="N644" s="47" t="str"/>
      <x:c r="O644" s="50" t="str"/>
      <x:c r="P644" s="64" t="str">
        <x:f>IF(O644="","",O644*2)</x:f>
      </x:c>
      <x:c r="Q644" s="50" t="str"/>
      <x:c r="R644" s="47" t="str"/>
      <x:c r="S644" s="33" t="str">
        <x:v>Not Tested</x:v>
      </x:c>
      <x:c r="T644" s="64" t="str">
        <x:v>Eligible</x:v>
      </x:c>
      <x:c r="U644" s="47" t="str"/>
      <x:c r="V644" s="47" t="str"/>
      <x:c r="W644" s="47" t="str"/>
      <x:c r="X644" s="50" t="str"/>
      <x:c r="Y644" s="50" t="str"/>
      <x:c r="Z644" s="47" t="str"/>
      <x:c r="AA644" s="47" t="str">
        <x:v>No direct published reference located; do not display a crimp value.</x:v>
      </x:c>
      <x:c r="AB644" s="161" t="str">
        <x:v>Pending</x:v>
      </x:c>
    </x:row>
    <x:row r="645" ht="42" customHeight="1">
      <x:c r="A645" s="33" t="str">
        <x:v>Draft</x:v>
      </x:c>
      <x:c r="B645" s="47" t="str">
        <x:v>COMP_0641</x:v>
      </x:c>
      <x:c r="C645" s="47" t="str">
        <x:v>EN2SC_003</x:v>
      </x:c>
      <x:c r="D645" s="47" t="str">
        <x:v>BSPP_F_SW_08_06</x:v>
      </x:c>
      <x:c r="E645" s="47" t="str">
        <x:v>EN2SC_2WB_003</x:v>
      </x:c>
      <x:c r="F645" s="47" t="str"/>
      <x:c r="G645" s="33" t="str"/>
      <x:c r="H645" s="50" t="str"/>
      <x:c r="I645" s="50" t="str"/>
      <x:c r="J645" s="50" t="str"/>
      <x:c r="K645" s="47" t="str"/>
      <x:c r="L645" s="50" t="str"/>
      <x:c r="M645" s="50" t="str"/>
      <x:c r="N645" s="47" t="str"/>
      <x:c r="O645" s="50" t="str"/>
      <x:c r="P645" s="64" t="str">
        <x:f>IF(O645="","",O645*2)</x:f>
      </x:c>
      <x:c r="Q645" s="50" t="str"/>
      <x:c r="R645" s="47" t="str"/>
      <x:c r="S645" s="33" t="str">
        <x:v>Not Tested</x:v>
      </x:c>
      <x:c r="T645" s="64" t="str">
        <x:v>Eligible</x:v>
      </x:c>
      <x:c r="U645" s="47" t="str"/>
      <x:c r="V645" s="47" t="str"/>
      <x:c r="W645" s="47" t="str"/>
      <x:c r="X645" s="50" t="str"/>
      <x:c r="Y645" s="50" t="str"/>
      <x:c r="Z645" s="47" t="str"/>
      <x:c r="AA645" s="47" t="str">
        <x:v>No direct published reference located; do not display a crimp value.</x:v>
      </x:c>
      <x:c r="AB645" s="161" t="str">
        <x:v>Pending</x:v>
      </x:c>
    </x:row>
    <x:row r="646" ht="42" customHeight="1">
      <x:c r="A646" s="33" t="str">
        <x:v>Draft</x:v>
      </x:c>
      <x:c r="B646" s="47" t="str">
        <x:v>COMP_0642</x:v>
      </x:c>
      <x:c r="C646" s="47" t="str">
        <x:v>EN2SC_003</x:v>
      </x:c>
      <x:c r="D646" s="47" t="str">
        <x:v>BSPP_M_FX_06_06</x:v>
      </x:c>
      <x:c r="E646" s="47" t="str">
        <x:v>EN2SC_2WB_003</x:v>
      </x:c>
      <x:c r="F646" s="47" t="str"/>
      <x:c r="G646" s="33" t="str"/>
      <x:c r="H646" s="50" t="str"/>
      <x:c r="I646" s="50" t="str"/>
      <x:c r="J646" s="50" t="str"/>
      <x:c r="K646" s="47" t="str"/>
      <x:c r="L646" s="50" t="str"/>
      <x:c r="M646" s="50" t="str"/>
      <x:c r="N646" s="47" t="str"/>
      <x:c r="O646" s="50" t="str"/>
      <x:c r="P646" s="64" t="str">
        <x:f>IF(O646="","",O646*2)</x:f>
      </x:c>
      <x:c r="Q646" s="50" t="str"/>
      <x:c r="R646" s="47" t="str"/>
      <x:c r="S646" s="33" t="str">
        <x:v>Not Tested</x:v>
      </x:c>
      <x:c r="T646" s="64" t="str">
        <x:v>Eligible</x:v>
      </x:c>
      <x:c r="U646" s="47" t="str"/>
      <x:c r="V646" s="47" t="str"/>
      <x:c r="W646" s="47" t="str"/>
      <x:c r="X646" s="50" t="str"/>
      <x:c r="Y646" s="50" t="str"/>
      <x:c r="Z646" s="47" t="str"/>
      <x:c r="AA646" s="47" t="str">
        <x:v>No direct published reference located; do not display a crimp value.</x:v>
      </x:c>
      <x:c r="AB646" s="161" t="str">
        <x:v>Pending</x:v>
      </x:c>
    </x:row>
    <x:row r="647" ht="42" customHeight="1">
      <x:c r="A647" s="33" t="str">
        <x:v>Draft</x:v>
      </x:c>
      <x:c r="B647" s="47" t="str">
        <x:v>COMP_0643</x:v>
      </x:c>
      <x:c r="C647" s="47" t="str">
        <x:v>EN2SC_003</x:v>
      </x:c>
      <x:c r="D647" s="47" t="str">
        <x:v>BSPP_M_FX_08_06</x:v>
      </x:c>
      <x:c r="E647" s="47" t="str">
        <x:v>EN2SC_2WB_003</x:v>
      </x:c>
      <x:c r="F647" s="47" t="str"/>
      <x:c r="G647" s="33" t="str"/>
      <x:c r="H647" s="50" t="str"/>
      <x:c r="I647" s="50" t="str"/>
      <x:c r="J647" s="50" t="str"/>
      <x:c r="K647" s="47" t="str"/>
      <x:c r="L647" s="50" t="str"/>
      <x:c r="M647" s="50" t="str"/>
      <x:c r="N647" s="47" t="str"/>
      <x:c r="O647" s="50" t="str"/>
      <x:c r="P647" s="64" t="str">
        <x:f>IF(O647="","",O647*2)</x:f>
      </x:c>
      <x:c r="Q647" s="50" t="str"/>
      <x:c r="R647" s="47" t="str"/>
      <x:c r="S647" s="33" t="str">
        <x:v>Not Tested</x:v>
      </x:c>
      <x:c r="T647" s="64" t="str">
        <x:v>Eligible</x:v>
      </x:c>
      <x:c r="U647" s="47" t="str"/>
      <x:c r="V647" s="47" t="str"/>
      <x:c r="W647" s="47" t="str"/>
      <x:c r="X647" s="50" t="str"/>
      <x:c r="Y647" s="50" t="str"/>
      <x:c r="Z647" s="47" t="str"/>
      <x:c r="AA647" s="47" t="str">
        <x:v>No direct published reference located; do not display a crimp value.</x:v>
      </x:c>
      <x:c r="AB647" s="161" t="str">
        <x:v>Pending</x:v>
      </x:c>
    </x:row>
    <x:row r="648" ht="42" customHeight="1">
      <x:c r="A648" s="33" t="str">
        <x:v>Draft</x:v>
      </x:c>
      <x:c r="B648" s="47" t="str">
        <x:v>COMP_0644</x:v>
      </x:c>
      <x:c r="C648" s="47" t="str">
        <x:v>EN2SC_003</x:v>
      </x:c>
      <x:c r="D648" s="47" t="str">
        <x:v>BSPP45_F_SW_06_06</x:v>
      </x:c>
      <x:c r="E648" s="47" t="str">
        <x:v>EN2SC_2WB_003</x:v>
      </x:c>
      <x:c r="F648" s="47" t="str"/>
      <x:c r="G648" s="33" t="str"/>
      <x:c r="H648" s="50" t="str"/>
      <x:c r="I648" s="50" t="str"/>
      <x:c r="J648" s="50" t="str"/>
      <x:c r="K648" s="47" t="str"/>
      <x:c r="L648" s="50" t="str"/>
      <x:c r="M648" s="50" t="str"/>
      <x:c r="N648" s="47" t="str"/>
      <x:c r="O648" s="50" t="str"/>
      <x:c r="P648" s="64" t="str">
        <x:f>IF(O648="","",O648*2)</x:f>
      </x:c>
      <x:c r="Q648" s="50" t="str"/>
      <x:c r="R648" s="47" t="str"/>
      <x:c r="S648" s="33" t="str">
        <x:v>Not Tested</x:v>
      </x:c>
      <x:c r="T648" s="64" t="str">
        <x:v>Eligible</x:v>
      </x:c>
      <x:c r="U648" s="47" t="str"/>
      <x:c r="V648" s="47" t="str"/>
      <x:c r="W648" s="47" t="str"/>
      <x:c r="X648" s="50" t="str"/>
      <x:c r="Y648" s="50" t="str"/>
      <x:c r="Z648" s="47" t="str"/>
      <x:c r="AA648" s="47" t="str">
        <x:v>No direct published reference located; do not display a crimp value.</x:v>
      </x:c>
      <x:c r="AB648" s="161" t="str">
        <x:v>Pending</x:v>
      </x:c>
    </x:row>
    <x:row r="649" ht="42" customHeight="1">
      <x:c r="A649" s="33" t="str">
        <x:v>Draft</x:v>
      </x:c>
      <x:c r="B649" s="47" t="str">
        <x:v>COMP_0645</x:v>
      </x:c>
      <x:c r="C649" s="47" t="str">
        <x:v>EN2SC_003</x:v>
      </x:c>
      <x:c r="D649" s="47" t="str">
        <x:v>BSPP90_F_SW_06_06</x:v>
      </x:c>
      <x:c r="E649" s="47" t="str">
        <x:v>EN2SC_2WB_003</x:v>
      </x:c>
      <x:c r="F649" s="47" t="str"/>
      <x:c r="G649" s="33" t="str"/>
      <x:c r="H649" s="50" t="str"/>
      <x:c r="I649" s="50" t="str"/>
      <x:c r="J649" s="50" t="str"/>
      <x:c r="K649" s="47" t="str"/>
      <x:c r="L649" s="50" t="str"/>
      <x:c r="M649" s="50" t="str"/>
      <x:c r="N649" s="47" t="str"/>
      <x:c r="O649" s="50" t="str"/>
      <x:c r="P649" s="64" t="str">
        <x:f>IF(O649="","",O649*2)</x:f>
      </x:c>
      <x:c r="Q649" s="50" t="str"/>
      <x:c r="R649" s="47" t="str"/>
      <x:c r="S649" s="33" t="str">
        <x:v>Not Tested</x:v>
      </x:c>
      <x:c r="T649" s="64" t="str">
        <x:v>Eligible</x:v>
      </x:c>
      <x:c r="U649" s="47" t="str"/>
      <x:c r="V649" s="47" t="str"/>
      <x:c r="W649" s="47" t="str"/>
      <x:c r="X649" s="50" t="str"/>
      <x:c r="Y649" s="50" t="str"/>
      <x:c r="Z649" s="47" t="str"/>
      <x:c r="AA649" s="47" t="str">
        <x:v>No direct published reference located; do not display a crimp value.</x:v>
      </x:c>
      <x:c r="AB649" s="161" t="str">
        <x:v>Pending</x:v>
      </x:c>
    </x:row>
    <x:row r="650" ht="42" customHeight="1">
      <x:c r="A650" s="33" t="str">
        <x:v>Draft</x:v>
      </x:c>
      <x:c r="B650" s="47" t="str">
        <x:v>COMP_0646</x:v>
      </x:c>
      <x:c r="C650" s="47" t="str">
        <x:v>EN2SC_003</x:v>
      </x:c>
      <x:c r="D650" s="47" t="str">
        <x:v>BSPP90_F_SW_08_06</x:v>
      </x:c>
      <x:c r="E650" s="47" t="str">
        <x:v>EN2SC_2WB_003</x:v>
      </x:c>
      <x:c r="F650" s="47" t="str"/>
      <x:c r="G650" s="33" t="str"/>
      <x:c r="H650" s="50" t="str"/>
      <x:c r="I650" s="50" t="str"/>
      <x:c r="J650" s="50" t="str"/>
      <x:c r="K650" s="47" t="str"/>
      <x:c r="L650" s="50" t="str"/>
      <x:c r="M650" s="50" t="str"/>
      <x:c r="N650" s="47" t="str"/>
      <x:c r="O650" s="50" t="str"/>
      <x:c r="P650" s="64" t="str">
        <x:f>IF(O650="","",O650*2)</x:f>
      </x:c>
      <x:c r="Q650" s="50" t="str"/>
      <x:c r="R650" s="47" t="str"/>
      <x:c r="S650" s="33" t="str">
        <x:v>Not Tested</x:v>
      </x:c>
      <x:c r="T650" s="64" t="str">
        <x:v>Eligible</x:v>
      </x:c>
      <x:c r="U650" s="47" t="str"/>
      <x:c r="V650" s="47" t="str"/>
      <x:c r="W650" s="47" t="str"/>
      <x:c r="X650" s="50" t="str"/>
      <x:c r="Y650" s="50" t="str"/>
      <x:c r="Z650" s="47" t="str"/>
      <x:c r="AA650" s="47" t="str">
        <x:v>No direct published reference located; do not display a crimp value.</x:v>
      </x:c>
      <x:c r="AB650" s="161" t="str">
        <x:v>Pending</x:v>
      </x:c>
    </x:row>
    <x:row r="651" ht="42" customHeight="1">
      <x:c r="A651" s="33" t="str">
        <x:v>Draft</x:v>
      </x:c>
      <x:c r="B651" s="47" t="str">
        <x:v>COMP_0647</x:v>
      </x:c>
      <x:c r="C651" s="47" t="str">
        <x:v>EN2SC_003</x:v>
      </x:c>
      <x:c r="D651" s="47" t="str">
        <x:v>BSPT_M_FX_06_06</x:v>
      </x:c>
      <x:c r="E651" s="47" t="str">
        <x:v>EN2SC_2WB_003</x:v>
      </x:c>
      <x:c r="F651" s="47" t="str"/>
      <x:c r="G651" s="33" t="str"/>
      <x:c r="H651" s="50" t="str"/>
      <x:c r="I651" s="50" t="str"/>
      <x:c r="J651" s="50" t="str"/>
      <x:c r="K651" s="47" t="str"/>
      <x:c r="L651" s="50" t="str"/>
      <x:c r="M651" s="50" t="str"/>
      <x:c r="N651" s="47" t="str"/>
      <x:c r="O651" s="50" t="str"/>
      <x:c r="P651" s="64" t="str">
        <x:f>IF(O651="","",O651*2)</x:f>
      </x:c>
      <x:c r="Q651" s="50" t="str"/>
      <x:c r="R651" s="47" t="str"/>
      <x:c r="S651" s="33" t="str">
        <x:v>Not Tested</x:v>
      </x:c>
      <x:c r="T651" s="64" t="str">
        <x:v>Eligible</x:v>
      </x:c>
      <x:c r="U651" s="47" t="str"/>
      <x:c r="V651" s="47" t="str"/>
      <x:c r="W651" s="47" t="str"/>
      <x:c r="X651" s="50" t="str"/>
      <x:c r="Y651" s="50" t="str"/>
      <x:c r="Z651" s="47" t="str"/>
      <x:c r="AA651" s="47" t="str">
        <x:v>No direct published reference located; do not display a crimp value.</x:v>
      </x:c>
      <x:c r="AB651" s="161" t="str">
        <x:v>Pending</x:v>
      </x:c>
    </x:row>
    <x:row r="652" ht="42" customHeight="1">
      <x:c r="A652" s="33" t="str">
        <x:v>Draft</x:v>
      </x:c>
      <x:c r="B652" s="47" t="str">
        <x:v>COMP_0648</x:v>
      </x:c>
      <x:c r="C652" s="47" t="str">
        <x:v>EN2SC_003</x:v>
      </x:c>
      <x:c r="D652" s="47" t="str">
        <x:v>BSPT_M_FX_08_06</x:v>
      </x:c>
      <x:c r="E652" s="47" t="str">
        <x:v>EN2SC_2WB_003</x:v>
      </x:c>
      <x:c r="F652" s="47" t="str"/>
      <x:c r="G652" s="33" t="str"/>
      <x:c r="H652" s="50" t="str"/>
      <x:c r="I652" s="50" t="str"/>
      <x:c r="J652" s="50" t="str"/>
      <x:c r="K652" s="47" t="str"/>
      <x:c r="L652" s="50" t="str"/>
      <x:c r="M652" s="50" t="str"/>
      <x:c r="N652" s="47" t="str"/>
      <x:c r="O652" s="50" t="str"/>
      <x:c r="P652" s="64" t="str">
        <x:f>IF(O652="","",O652*2)</x:f>
      </x:c>
      <x:c r="Q652" s="50" t="str"/>
      <x:c r="R652" s="47" t="str"/>
      <x:c r="S652" s="33" t="str">
        <x:v>Not Tested</x:v>
      </x:c>
      <x:c r="T652" s="64" t="str">
        <x:v>Eligible</x:v>
      </x:c>
      <x:c r="U652" s="47" t="str"/>
      <x:c r="V652" s="47" t="str"/>
      <x:c r="W652" s="47" t="str"/>
      <x:c r="X652" s="50" t="str"/>
      <x:c r="Y652" s="50" t="str"/>
      <x:c r="Z652" s="47" t="str"/>
      <x:c r="AA652" s="47" t="str">
        <x:v>No direct published reference located; do not display a crimp value.</x:v>
      </x:c>
      <x:c r="AB652" s="161" t="str">
        <x:v>Pending</x:v>
      </x:c>
    </x:row>
    <x:row r="653" ht="42" customHeight="1">
      <x:c r="A653" s="33" t="str">
        <x:v>Draft</x:v>
      </x:c>
      <x:c r="B653" s="47" t="str">
        <x:v>COMP_0649</x:v>
      </x:c>
      <x:c r="C653" s="47" t="str">
        <x:v>EN2SC_003</x:v>
      </x:c>
      <x:c r="D653" s="47" t="str">
        <x:v>JIC_F_SW_04_06</x:v>
      </x:c>
      <x:c r="E653" s="47" t="str">
        <x:v>EN2SC_2WB_003</x:v>
      </x:c>
      <x:c r="F653" s="47" t="str"/>
      <x:c r="G653" s="33" t="str"/>
      <x:c r="H653" s="50" t="str"/>
      <x:c r="I653" s="50" t="str"/>
      <x:c r="J653" s="50" t="str"/>
      <x:c r="K653" s="47" t="str"/>
      <x:c r="L653" s="50" t="str"/>
      <x:c r="M653" s="50" t="str"/>
      <x:c r="N653" s="47" t="str"/>
      <x:c r="O653" s="50" t="str"/>
      <x:c r="P653" s="64" t="str">
        <x:f>IF(O653="","",O653*2)</x:f>
      </x:c>
      <x:c r="Q653" s="50" t="str"/>
      <x:c r="R653" s="47" t="str"/>
      <x:c r="S653" s="33" t="str">
        <x:v>Not Tested</x:v>
      </x:c>
      <x:c r="T653" s="64" t="str">
        <x:v>Eligible</x:v>
      </x:c>
      <x:c r="U653" s="47" t="str"/>
      <x:c r="V653" s="47" t="str"/>
      <x:c r="W653" s="47" t="str"/>
      <x:c r="X653" s="50" t="str"/>
      <x:c r="Y653" s="50" t="str"/>
      <x:c r="Z653" s="47" t="str"/>
      <x:c r="AA653" s="47" t="str">
        <x:v>No direct published reference located; do not display a crimp value.</x:v>
      </x:c>
      <x:c r="AB653" s="161" t="str">
        <x:v>Pending</x:v>
      </x:c>
    </x:row>
    <x:row r="654" ht="42" customHeight="1">
      <x:c r="A654" s="33" t="str">
        <x:v>Draft</x:v>
      </x:c>
      <x:c r="B654" s="47" t="str">
        <x:v>COMP_0650</x:v>
      </x:c>
      <x:c r="C654" s="47" t="str">
        <x:v>EN2SC_003</x:v>
      </x:c>
      <x:c r="D654" s="47" t="str">
        <x:v>JIC_F_SW_05_06</x:v>
      </x:c>
      <x:c r="E654" s="47" t="str">
        <x:v>EN2SC_2WB_003</x:v>
      </x:c>
      <x:c r="F654" s="47" t="str"/>
      <x:c r="G654" s="33" t="str"/>
      <x:c r="H654" s="50" t="str"/>
      <x:c r="I654" s="50" t="str"/>
      <x:c r="J654" s="50" t="str"/>
      <x:c r="K654" s="47" t="str"/>
      <x:c r="L654" s="50" t="str"/>
      <x:c r="M654" s="50" t="str"/>
      <x:c r="N654" s="47" t="str"/>
      <x:c r="O654" s="50" t="str"/>
      <x:c r="P654" s="64" t="str">
        <x:f>IF(O654="","",O654*2)</x:f>
      </x:c>
      <x:c r="Q654" s="50" t="str"/>
      <x:c r="R654" s="47" t="str"/>
      <x:c r="S654" s="33" t="str">
        <x:v>Not Tested</x:v>
      </x:c>
      <x:c r="T654" s="64" t="str">
        <x:v>Eligible</x:v>
      </x:c>
      <x:c r="U654" s="47" t="str"/>
      <x:c r="V654" s="47" t="str"/>
      <x:c r="W654" s="47" t="str"/>
      <x:c r="X654" s="50" t="str"/>
      <x:c r="Y654" s="50" t="str"/>
      <x:c r="Z654" s="47" t="str"/>
      <x:c r="AA654" s="47" t="str">
        <x:v>No direct published reference located; do not display a crimp value.</x:v>
      </x:c>
      <x:c r="AB654" s="161" t="str">
        <x:v>Pending</x:v>
      </x:c>
    </x:row>
    <x:row r="655" ht="42" customHeight="1">
      <x:c r="A655" s="33" t="str">
        <x:v>Draft</x:v>
      </x:c>
      <x:c r="B655" s="47" t="str">
        <x:v>COMP_0651</x:v>
      </x:c>
      <x:c r="C655" s="47" t="str">
        <x:v>EN2SC_003</x:v>
      </x:c>
      <x:c r="D655" s="47" t="str">
        <x:v>JIC_F_SW_06_06</x:v>
      </x:c>
      <x:c r="E655" s="47" t="str">
        <x:v>EN2SC_2WB_003</x:v>
      </x:c>
      <x:c r="F655" s="47" t="str"/>
      <x:c r="G655" s="33" t="str"/>
      <x:c r="H655" s="50" t="str"/>
      <x:c r="I655" s="50" t="str"/>
      <x:c r="J655" s="50" t="str"/>
      <x:c r="K655" s="47" t="str"/>
      <x:c r="L655" s="50" t="str"/>
      <x:c r="M655" s="50" t="str"/>
      <x:c r="N655" s="47" t="str"/>
      <x:c r="O655" s="50" t="str"/>
      <x:c r="P655" s="64" t="str">
        <x:f>IF(O655="","",O655*2)</x:f>
      </x:c>
      <x:c r="Q655" s="50" t="str"/>
      <x:c r="R655" s="47" t="str"/>
      <x:c r="S655" s="33" t="str">
        <x:v>Not Tested</x:v>
      </x:c>
      <x:c r="T655" s="64" t="str">
        <x:v>Eligible</x:v>
      </x:c>
      <x:c r="U655" s="47" t="str"/>
      <x:c r="V655" s="47" t="str"/>
      <x:c r="W655" s="47" t="str"/>
      <x:c r="X655" s="50" t="str"/>
      <x:c r="Y655" s="50" t="str"/>
      <x:c r="Z655" s="47" t="str"/>
      <x:c r="AA655" s="47" t="str">
        <x:v>No direct published reference located; do not display a crimp value.</x:v>
      </x:c>
      <x:c r="AB655" s="161" t="str">
        <x:v>Pending</x:v>
      </x:c>
    </x:row>
    <x:row r="656" ht="42" customHeight="1">
      <x:c r="A656" s="33" t="str">
        <x:v>Draft</x:v>
      </x:c>
      <x:c r="B656" s="47" t="str">
        <x:v>COMP_0652</x:v>
      </x:c>
      <x:c r="C656" s="47" t="str">
        <x:v>EN2SC_003</x:v>
      </x:c>
      <x:c r="D656" s="47" t="str">
        <x:v>JIC_F_SW_08_06</x:v>
      </x:c>
      <x:c r="E656" s="47" t="str">
        <x:v>EN2SC_2WB_003</x:v>
      </x:c>
      <x:c r="F656" s="47" t="str"/>
      <x:c r="G656" s="33" t="str"/>
      <x:c r="H656" s="50" t="str"/>
      <x:c r="I656" s="50" t="str"/>
      <x:c r="J656" s="50" t="str"/>
      <x:c r="K656" s="47" t="str"/>
      <x:c r="L656" s="50" t="str"/>
      <x:c r="M656" s="50" t="str"/>
      <x:c r="N656" s="47" t="str"/>
      <x:c r="O656" s="50" t="str"/>
      <x:c r="P656" s="64" t="str">
        <x:f>IF(O656="","",O656*2)</x:f>
      </x:c>
      <x:c r="Q656" s="50" t="str"/>
      <x:c r="R656" s="47" t="str"/>
      <x:c r="S656" s="33" t="str">
        <x:v>Not Tested</x:v>
      </x:c>
      <x:c r="T656" s="64" t="str">
        <x:v>Eligible</x:v>
      </x:c>
      <x:c r="U656" s="47" t="str"/>
      <x:c r="V656" s="47" t="str"/>
      <x:c r="W656" s="47" t="str"/>
      <x:c r="X656" s="50" t="str"/>
      <x:c r="Y656" s="50" t="str"/>
      <x:c r="Z656" s="47" t="str"/>
      <x:c r="AA656" s="47" t="str">
        <x:v>No direct published reference located; do not display a crimp value.</x:v>
      </x:c>
      <x:c r="AB656" s="161" t="str">
        <x:v>Pending</x:v>
      </x:c>
    </x:row>
    <x:row r="657" ht="42" customHeight="1">
      <x:c r="A657" s="33" t="str">
        <x:v>Draft</x:v>
      </x:c>
      <x:c r="B657" s="47" t="str">
        <x:v>COMP_0653</x:v>
      </x:c>
      <x:c r="C657" s="47" t="str">
        <x:v>EN2SC_003</x:v>
      </x:c>
      <x:c r="D657" s="47" t="str">
        <x:v>JIC_F_SW_10_06</x:v>
      </x:c>
      <x:c r="E657" s="47" t="str">
        <x:v>EN2SC_2WB_003</x:v>
      </x:c>
      <x:c r="F657" s="47" t="str"/>
      <x:c r="G657" s="33" t="str"/>
      <x:c r="H657" s="50" t="str"/>
      <x:c r="I657" s="50" t="str"/>
      <x:c r="J657" s="50" t="str"/>
      <x:c r="K657" s="47" t="str"/>
      <x:c r="L657" s="50" t="str"/>
      <x:c r="M657" s="50" t="str"/>
      <x:c r="N657" s="47" t="str"/>
      <x:c r="O657" s="50" t="str"/>
      <x:c r="P657" s="64" t="str">
        <x:f>IF(O657="","",O657*2)</x:f>
      </x:c>
      <x:c r="Q657" s="50" t="str"/>
      <x:c r="R657" s="47" t="str"/>
      <x:c r="S657" s="33" t="str">
        <x:v>Not Tested</x:v>
      </x:c>
      <x:c r="T657" s="64" t="str">
        <x:v>Eligible</x:v>
      </x:c>
      <x:c r="U657" s="47" t="str"/>
      <x:c r="V657" s="47" t="str"/>
      <x:c r="W657" s="47" t="str"/>
      <x:c r="X657" s="50" t="str"/>
      <x:c r="Y657" s="50" t="str"/>
      <x:c r="Z657" s="47" t="str"/>
      <x:c r="AA657" s="47" t="str">
        <x:v>No direct published reference located; do not display a crimp value.</x:v>
      </x:c>
      <x:c r="AB657" s="161" t="str">
        <x:v>Pending</x:v>
      </x:c>
    </x:row>
    <x:row r="658" ht="42" customHeight="1">
      <x:c r="A658" s="33" t="str">
        <x:v>Draft</x:v>
      </x:c>
      <x:c r="B658" s="47" t="str">
        <x:v>COMP_0654</x:v>
      </x:c>
      <x:c r="C658" s="47" t="str">
        <x:v>EN2SC_003</x:v>
      </x:c>
      <x:c r="D658" s="47" t="str">
        <x:v>JIC_M_FX_05_06</x:v>
      </x:c>
      <x:c r="E658" s="47" t="str">
        <x:v>EN2SC_2WB_003</x:v>
      </x:c>
      <x:c r="F658" s="47" t="str"/>
      <x:c r="G658" s="33" t="str"/>
      <x:c r="H658" s="50" t="str"/>
      <x:c r="I658" s="50" t="str"/>
      <x:c r="J658" s="50" t="str"/>
      <x:c r="K658" s="47" t="str"/>
      <x:c r="L658" s="50" t="str"/>
      <x:c r="M658" s="50" t="str"/>
      <x:c r="N658" s="47" t="str"/>
      <x:c r="O658" s="50" t="str"/>
      <x:c r="P658" s="64" t="str">
        <x:f>IF(O658="","",O658*2)</x:f>
      </x:c>
      <x:c r="Q658" s="50" t="str"/>
      <x:c r="R658" s="47" t="str"/>
      <x:c r="S658" s="33" t="str">
        <x:v>Not Tested</x:v>
      </x:c>
      <x:c r="T658" s="64" t="str">
        <x:v>Eligible</x:v>
      </x:c>
      <x:c r="U658" s="47" t="str"/>
      <x:c r="V658" s="47" t="str"/>
      <x:c r="W658" s="47" t="str"/>
      <x:c r="X658" s="50" t="str"/>
      <x:c r="Y658" s="50" t="str"/>
      <x:c r="Z658" s="47" t="str"/>
      <x:c r="AA658" s="47" t="str">
        <x:v>No direct published reference located; do not display a crimp value.</x:v>
      </x:c>
      <x:c r="AB658" s="161" t="str">
        <x:v>Pending</x:v>
      </x:c>
    </x:row>
    <x:row r="659" ht="42" customHeight="1">
      <x:c r="A659" s="33" t="str">
        <x:v>Draft</x:v>
      </x:c>
      <x:c r="B659" s="47" t="str">
        <x:v>COMP_0655</x:v>
      </x:c>
      <x:c r="C659" s="47" t="str">
        <x:v>EN2SC_003</x:v>
      </x:c>
      <x:c r="D659" s="47" t="str">
        <x:v>JIC_M_FX_06_06</x:v>
      </x:c>
      <x:c r="E659" s="47" t="str">
        <x:v>EN2SC_2WB_003</x:v>
      </x:c>
      <x:c r="F659" s="47" t="str"/>
      <x:c r="G659" s="33" t="str"/>
      <x:c r="H659" s="50" t="str"/>
      <x:c r="I659" s="50" t="str"/>
      <x:c r="J659" s="50" t="str"/>
      <x:c r="K659" s="47" t="str"/>
      <x:c r="L659" s="50" t="str"/>
      <x:c r="M659" s="50" t="str"/>
      <x:c r="N659" s="47" t="str"/>
      <x:c r="O659" s="50" t="str"/>
      <x:c r="P659" s="64" t="str">
        <x:f>IF(O659="","",O659*2)</x:f>
      </x:c>
      <x:c r="Q659" s="50" t="str"/>
      <x:c r="R659" s="47" t="str"/>
      <x:c r="S659" s="33" t="str">
        <x:v>Not Tested</x:v>
      </x:c>
      <x:c r="T659" s="64" t="str">
        <x:v>Eligible</x:v>
      </x:c>
      <x:c r="U659" s="47" t="str"/>
      <x:c r="V659" s="47" t="str"/>
      <x:c r="W659" s="47" t="str"/>
      <x:c r="X659" s="50" t="str"/>
      <x:c r="Y659" s="50" t="str"/>
      <x:c r="Z659" s="47" t="str"/>
      <x:c r="AA659" s="47" t="str">
        <x:v>No direct published reference located; do not display a crimp value.</x:v>
      </x:c>
      <x:c r="AB659" s="161" t="str">
        <x:v>Pending</x:v>
      </x:c>
    </x:row>
    <x:row r="660" ht="42" customHeight="1">
      <x:c r="A660" s="33" t="str">
        <x:v>Draft</x:v>
      </x:c>
      <x:c r="B660" s="47" t="str">
        <x:v>COMP_0656</x:v>
      </x:c>
      <x:c r="C660" s="47" t="str">
        <x:v>EN2SC_003</x:v>
      </x:c>
      <x:c r="D660" s="47" t="str">
        <x:v>JIC_M_FX_08_06</x:v>
      </x:c>
      <x:c r="E660" s="47" t="str">
        <x:v>EN2SC_2WB_003</x:v>
      </x:c>
      <x:c r="F660" s="47" t="str"/>
      <x:c r="G660" s="33" t="str"/>
      <x:c r="H660" s="50" t="str"/>
      <x:c r="I660" s="50" t="str"/>
      <x:c r="J660" s="50" t="str"/>
      <x:c r="K660" s="47" t="str"/>
      <x:c r="L660" s="50" t="str"/>
      <x:c r="M660" s="50" t="str"/>
      <x:c r="N660" s="47" t="str"/>
      <x:c r="O660" s="50" t="str"/>
      <x:c r="P660" s="64" t="str">
        <x:f>IF(O660="","",O660*2)</x:f>
      </x:c>
      <x:c r="Q660" s="50" t="str"/>
      <x:c r="R660" s="47" t="str"/>
      <x:c r="S660" s="33" t="str">
        <x:v>Not Tested</x:v>
      </x:c>
      <x:c r="T660" s="64" t="str">
        <x:v>Eligible</x:v>
      </x:c>
      <x:c r="U660" s="47" t="str"/>
      <x:c r="V660" s="47" t="str"/>
      <x:c r="W660" s="47" t="str"/>
      <x:c r="X660" s="50" t="str"/>
      <x:c r="Y660" s="50" t="str"/>
      <x:c r="Z660" s="47" t="str"/>
      <x:c r="AA660" s="47" t="str">
        <x:v>No direct published reference located; do not display a crimp value.</x:v>
      </x:c>
      <x:c r="AB660" s="161" t="str">
        <x:v>Pending</x:v>
      </x:c>
    </x:row>
    <x:row r="661" ht="42" customHeight="1">
      <x:c r="A661" s="33" t="str">
        <x:v>Draft</x:v>
      </x:c>
      <x:c r="B661" s="47" t="str">
        <x:v>COMP_0657</x:v>
      </x:c>
      <x:c r="C661" s="47" t="str">
        <x:v>EN2SC_003</x:v>
      </x:c>
      <x:c r="D661" s="47" t="str">
        <x:v>JIC_M_FX_10_06</x:v>
      </x:c>
      <x:c r="E661" s="47" t="str">
        <x:v>EN2SC_2WB_003</x:v>
      </x:c>
      <x:c r="F661" s="47" t="str"/>
      <x:c r="G661" s="33" t="str"/>
      <x:c r="H661" s="50" t="str"/>
      <x:c r="I661" s="50" t="str"/>
      <x:c r="J661" s="50" t="str"/>
      <x:c r="K661" s="47" t="str"/>
      <x:c r="L661" s="50" t="str"/>
      <x:c r="M661" s="50" t="str"/>
      <x:c r="N661" s="47" t="str"/>
      <x:c r="O661" s="50" t="str"/>
      <x:c r="P661" s="64" t="str">
        <x:f>IF(O661="","",O661*2)</x:f>
      </x:c>
      <x:c r="Q661" s="50" t="str"/>
      <x:c r="R661" s="47" t="str"/>
      <x:c r="S661" s="33" t="str">
        <x:v>Not Tested</x:v>
      </x:c>
      <x:c r="T661" s="64" t="str">
        <x:v>Eligible</x:v>
      </x:c>
      <x:c r="U661" s="47" t="str"/>
      <x:c r="V661" s="47" t="str"/>
      <x:c r="W661" s="47" t="str"/>
      <x:c r="X661" s="50" t="str"/>
      <x:c r="Y661" s="50" t="str"/>
      <x:c r="Z661" s="47" t="str"/>
      <x:c r="AA661" s="47" t="str">
        <x:v>No direct published reference located; do not display a crimp value.</x:v>
      </x:c>
      <x:c r="AB661" s="161" t="str">
        <x:v>Pending</x:v>
      </x:c>
    </x:row>
    <x:row r="662" ht="42" customHeight="1">
      <x:c r="A662" s="33" t="str">
        <x:v>Draft</x:v>
      </x:c>
      <x:c r="B662" s="47" t="str">
        <x:v>COMP_0658</x:v>
      </x:c>
      <x:c r="C662" s="47" t="str">
        <x:v>EN2SC_003</x:v>
      </x:c>
      <x:c r="D662" s="47" t="str">
        <x:v>JIC45_F_SW_06_06</x:v>
      </x:c>
      <x:c r="E662" s="47" t="str">
        <x:v>EN2SC_2WB_003</x:v>
      </x:c>
      <x:c r="F662" s="47" t="str"/>
      <x:c r="G662" s="33" t="str"/>
      <x:c r="H662" s="50" t="str"/>
      <x:c r="I662" s="50" t="str"/>
      <x:c r="J662" s="50" t="str"/>
      <x:c r="K662" s="47" t="str"/>
      <x:c r="L662" s="50" t="str"/>
      <x:c r="M662" s="50" t="str"/>
      <x:c r="N662" s="47" t="str"/>
      <x:c r="O662" s="50" t="str"/>
      <x:c r="P662" s="64" t="str">
        <x:f>IF(O662="","",O662*2)</x:f>
      </x:c>
      <x:c r="Q662" s="50" t="str"/>
      <x:c r="R662" s="47" t="str"/>
      <x:c r="S662" s="33" t="str">
        <x:v>Not Tested</x:v>
      </x:c>
      <x:c r="T662" s="64" t="str">
        <x:v>Eligible</x:v>
      </x:c>
      <x:c r="U662" s="47" t="str"/>
      <x:c r="V662" s="47" t="str"/>
      <x:c r="W662" s="47" t="str"/>
      <x:c r="X662" s="50" t="str"/>
      <x:c r="Y662" s="50" t="str"/>
      <x:c r="Z662" s="47" t="str"/>
      <x:c r="AA662" s="47" t="str">
        <x:v>No direct published reference located; do not display a crimp value.</x:v>
      </x:c>
      <x:c r="AB662" s="161" t="str">
        <x:v>Pending</x:v>
      </x:c>
    </x:row>
    <x:row r="663" ht="42" customHeight="1">
      <x:c r="A663" s="33" t="str">
        <x:v>Draft</x:v>
      </x:c>
      <x:c r="B663" s="47" t="str">
        <x:v>COMP_0659</x:v>
      </x:c>
      <x:c r="C663" s="47" t="str">
        <x:v>EN2SC_003</x:v>
      </x:c>
      <x:c r="D663" s="47" t="str">
        <x:v>JIC45_F_SW_08_06</x:v>
      </x:c>
      <x:c r="E663" s="47" t="str">
        <x:v>EN2SC_2WB_003</x:v>
      </x:c>
      <x:c r="F663" s="47" t="str"/>
      <x:c r="G663" s="33" t="str"/>
      <x:c r="H663" s="50" t="str"/>
      <x:c r="I663" s="50" t="str"/>
      <x:c r="J663" s="50" t="str"/>
      <x:c r="K663" s="47" t="str"/>
      <x:c r="L663" s="50" t="str"/>
      <x:c r="M663" s="50" t="str"/>
      <x:c r="N663" s="47" t="str"/>
      <x:c r="O663" s="50" t="str"/>
      <x:c r="P663" s="64" t="str">
        <x:f>IF(O663="","",O663*2)</x:f>
      </x:c>
      <x:c r="Q663" s="50" t="str"/>
      <x:c r="R663" s="47" t="str"/>
      <x:c r="S663" s="33" t="str">
        <x:v>Not Tested</x:v>
      </x:c>
      <x:c r="T663" s="64" t="str">
        <x:v>Eligible</x:v>
      </x:c>
      <x:c r="U663" s="47" t="str"/>
      <x:c r="V663" s="47" t="str"/>
      <x:c r="W663" s="47" t="str"/>
      <x:c r="X663" s="50" t="str"/>
      <x:c r="Y663" s="50" t="str"/>
      <x:c r="Z663" s="47" t="str"/>
      <x:c r="AA663" s="47" t="str">
        <x:v>No direct published reference located; do not display a crimp value.</x:v>
      </x:c>
      <x:c r="AB663" s="161" t="str">
        <x:v>Pending</x:v>
      </x:c>
    </x:row>
    <x:row r="664" ht="42" customHeight="1">
      <x:c r="A664" s="33" t="str">
        <x:v>Draft</x:v>
      </x:c>
      <x:c r="B664" s="47" t="str">
        <x:v>COMP_0660</x:v>
      </x:c>
      <x:c r="C664" s="47" t="str">
        <x:v>EN2SC_003</x:v>
      </x:c>
      <x:c r="D664" s="47" t="str">
        <x:v>JIC90_F_SW_04_06</x:v>
      </x:c>
      <x:c r="E664" s="47" t="str">
        <x:v>EN2SC_2WB_003</x:v>
      </x:c>
      <x:c r="F664" s="47" t="str"/>
      <x:c r="G664" s="33" t="str"/>
      <x:c r="H664" s="50" t="str"/>
      <x:c r="I664" s="50" t="str"/>
      <x:c r="J664" s="50" t="str"/>
      <x:c r="K664" s="47" t="str"/>
      <x:c r="L664" s="50" t="str"/>
      <x:c r="M664" s="50" t="str"/>
      <x:c r="N664" s="47" t="str"/>
      <x:c r="O664" s="50" t="str"/>
      <x:c r="P664" s="64" t="str">
        <x:f>IF(O664="","",O664*2)</x:f>
      </x:c>
      <x:c r="Q664" s="50" t="str"/>
      <x:c r="R664" s="47" t="str"/>
      <x:c r="S664" s="33" t="str">
        <x:v>Not Tested</x:v>
      </x:c>
      <x:c r="T664" s="64" t="str">
        <x:v>Eligible</x:v>
      </x:c>
      <x:c r="U664" s="47" t="str"/>
      <x:c r="V664" s="47" t="str"/>
      <x:c r="W664" s="47" t="str"/>
      <x:c r="X664" s="50" t="str"/>
      <x:c r="Y664" s="50" t="str"/>
      <x:c r="Z664" s="47" t="str"/>
      <x:c r="AA664" s="47" t="str">
        <x:v>No direct published reference located; do not display a crimp value.</x:v>
      </x:c>
      <x:c r="AB664" s="161" t="str">
        <x:v>Pending</x:v>
      </x:c>
    </x:row>
    <x:row r="665" ht="42" customHeight="1">
      <x:c r="A665" s="33" t="str">
        <x:v>Draft</x:v>
      </x:c>
      <x:c r="B665" s="47" t="str">
        <x:v>COMP_0661</x:v>
      </x:c>
      <x:c r="C665" s="47" t="str">
        <x:v>EN2SC_003</x:v>
      </x:c>
      <x:c r="D665" s="47" t="str">
        <x:v>JIC90_F_SW_06_06</x:v>
      </x:c>
      <x:c r="E665" s="47" t="str">
        <x:v>EN2SC_2WB_003</x:v>
      </x:c>
      <x:c r="F665" s="47" t="str"/>
      <x:c r="G665" s="33" t="str"/>
      <x:c r="H665" s="50" t="str"/>
      <x:c r="I665" s="50" t="str"/>
      <x:c r="J665" s="50" t="str"/>
      <x:c r="K665" s="47" t="str"/>
      <x:c r="L665" s="50" t="str"/>
      <x:c r="M665" s="50" t="str"/>
      <x:c r="N665" s="47" t="str"/>
      <x:c r="O665" s="50" t="str"/>
      <x:c r="P665" s="64" t="str">
        <x:f>IF(O665="","",O665*2)</x:f>
      </x:c>
      <x:c r="Q665" s="50" t="str"/>
      <x:c r="R665" s="47" t="str"/>
      <x:c r="S665" s="33" t="str">
        <x:v>Not Tested</x:v>
      </x:c>
      <x:c r="T665" s="64" t="str">
        <x:v>Eligible</x:v>
      </x:c>
      <x:c r="U665" s="47" t="str"/>
      <x:c r="V665" s="47" t="str"/>
      <x:c r="W665" s="47" t="str"/>
      <x:c r="X665" s="50" t="str"/>
      <x:c r="Y665" s="50" t="str"/>
      <x:c r="Z665" s="47" t="str"/>
      <x:c r="AA665" s="47" t="str">
        <x:v>No direct published reference located; do not display a crimp value.</x:v>
      </x:c>
      <x:c r="AB665" s="161" t="str">
        <x:v>Pending</x:v>
      </x:c>
    </x:row>
    <x:row r="666" ht="42" customHeight="1">
      <x:c r="A666" s="33" t="str">
        <x:v>Draft</x:v>
      </x:c>
      <x:c r="B666" s="47" t="str">
        <x:v>COMP_0662</x:v>
      </x:c>
      <x:c r="C666" s="47" t="str">
        <x:v>EN2SC_003</x:v>
      </x:c>
      <x:c r="D666" s="47" t="str">
        <x:v>JIC90_F_SW_08_06</x:v>
      </x:c>
      <x:c r="E666" s="47" t="str">
        <x:v>EN2SC_2WB_003</x:v>
      </x:c>
      <x:c r="F666" s="47" t="str"/>
      <x:c r="G666" s="33" t="str"/>
      <x:c r="H666" s="50" t="str"/>
      <x:c r="I666" s="50" t="str"/>
      <x:c r="J666" s="50" t="str"/>
      <x:c r="K666" s="47" t="str"/>
      <x:c r="L666" s="50" t="str"/>
      <x:c r="M666" s="50" t="str"/>
      <x:c r="N666" s="47" t="str"/>
      <x:c r="O666" s="50" t="str"/>
      <x:c r="P666" s="64" t="str">
        <x:f>IF(O666="","",O666*2)</x:f>
      </x:c>
      <x:c r="Q666" s="50" t="str"/>
      <x:c r="R666" s="47" t="str"/>
      <x:c r="S666" s="33" t="str">
        <x:v>Not Tested</x:v>
      </x:c>
      <x:c r="T666" s="64" t="str">
        <x:v>Eligible</x:v>
      </x:c>
      <x:c r="U666" s="47" t="str"/>
      <x:c r="V666" s="47" t="str"/>
      <x:c r="W666" s="47" t="str"/>
      <x:c r="X666" s="50" t="str"/>
      <x:c r="Y666" s="50" t="str"/>
      <x:c r="Z666" s="47" t="str"/>
      <x:c r="AA666" s="47" t="str">
        <x:v>No direct published reference located; do not display a crimp value.</x:v>
      </x:c>
      <x:c r="AB666" s="161" t="str">
        <x:v>Pending</x:v>
      </x:c>
    </x:row>
    <x:row r="667" ht="42" customHeight="1">
      <x:c r="A667" s="33" t="str">
        <x:v>Draft</x:v>
      </x:c>
      <x:c r="B667" s="47" t="str">
        <x:v>COMP_0663</x:v>
      </x:c>
      <x:c r="C667" s="47" t="str">
        <x:v>EN2SC_003</x:v>
      </x:c>
      <x:c r="D667" s="47" t="str">
        <x:v>NPT_F_FX_04_06</x:v>
      </x:c>
      <x:c r="E667" s="47" t="str">
        <x:v>EN2SC_2WB_003</x:v>
      </x:c>
      <x:c r="F667" s="47" t="str"/>
      <x:c r="G667" s="33" t="str"/>
      <x:c r="H667" s="50" t="str"/>
      <x:c r="I667" s="50" t="str"/>
      <x:c r="J667" s="50" t="str"/>
      <x:c r="K667" s="47" t="str"/>
      <x:c r="L667" s="50" t="str"/>
      <x:c r="M667" s="50" t="str"/>
      <x:c r="N667" s="47" t="str"/>
      <x:c r="O667" s="50" t="str"/>
      <x:c r="P667" s="64" t="str">
        <x:f>IF(O667="","",O667*2)</x:f>
      </x:c>
      <x:c r="Q667" s="50" t="str"/>
      <x:c r="R667" s="47" t="str"/>
      <x:c r="S667" s="33" t="str">
        <x:v>Not Tested</x:v>
      </x:c>
      <x:c r="T667" s="64" t="str">
        <x:v>Eligible</x:v>
      </x:c>
      <x:c r="U667" s="47" t="str"/>
      <x:c r="V667" s="47" t="str"/>
      <x:c r="W667" s="47" t="str"/>
      <x:c r="X667" s="50" t="str"/>
      <x:c r="Y667" s="50" t="str"/>
      <x:c r="Z667" s="47" t="str"/>
      <x:c r="AA667" s="47" t="str">
        <x:v>No direct published reference located; do not display a crimp value.</x:v>
      </x:c>
      <x:c r="AB667" s="161" t="str">
        <x:v>Pending</x:v>
      </x:c>
    </x:row>
    <x:row r="668" ht="42" customHeight="1">
      <x:c r="A668" s="33" t="str">
        <x:v>Draft</x:v>
      </x:c>
      <x:c r="B668" s="47" t="str">
        <x:v>COMP_0664</x:v>
      </x:c>
      <x:c r="C668" s="47" t="str">
        <x:v>EN2SC_003</x:v>
      </x:c>
      <x:c r="D668" s="47" t="str">
        <x:v>NPT_F_FX_06_06</x:v>
      </x:c>
      <x:c r="E668" s="47" t="str">
        <x:v>EN2SC_2WB_003</x:v>
      </x:c>
      <x:c r="F668" s="47" t="str"/>
      <x:c r="G668" s="33" t="str"/>
      <x:c r="H668" s="50" t="str"/>
      <x:c r="I668" s="50" t="str"/>
      <x:c r="J668" s="50" t="str"/>
      <x:c r="K668" s="47" t="str"/>
      <x:c r="L668" s="50" t="str"/>
      <x:c r="M668" s="50" t="str"/>
      <x:c r="N668" s="47" t="str"/>
      <x:c r="O668" s="50" t="str"/>
      <x:c r="P668" s="64" t="str">
        <x:f>IF(O668="","",O668*2)</x:f>
      </x:c>
      <x:c r="Q668" s="50" t="str"/>
      <x:c r="R668" s="47" t="str"/>
      <x:c r="S668" s="33" t="str">
        <x:v>Not Tested</x:v>
      </x:c>
      <x:c r="T668" s="64" t="str">
        <x:v>Eligible</x:v>
      </x:c>
      <x:c r="U668" s="47" t="str"/>
      <x:c r="V668" s="47" t="str"/>
      <x:c r="W668" s="47" t="str"/>
      <x:c r="X668" s="50" t="str"/>
      <x:c r="Y668" s="50" t="str"/>
      <x:c r="Z668" s="47" t="str"/>
      <x:c r="AA668" s="47" t="str">
        <x:v>No direct published reference located; do not display a crimp value.</x:v>
      </x:c>
      <x:c r="AB668" s="161" t="str">
        <x:v>Pending</x:v>
      </x:c>
    </x:row>
    <x:row r="669" ht="42" customHeight="1">
      <x:c r="A669" s="33" t="str">
        <x:v>Draft</x:v>
      </x:c>
      <x:c r="B669" s="47" t="str">
        <x:v>COMP_0665</x:v>
      </x:c>
      <x:c r="C669" s="47" t="str">
        <x:v>EN2SC_003</x:v>
      </x:c>
      <x:c r="D669" s="47" t="str">
        <x:v>NPT_F_FX_08_06</x:v>
      </x:c>
      <x:c r="E669" s="47" t="str">
        <x:v>EN2SC_2WB_003</x:v>
      </x:c>
      <x:c r="F669" s="47" t="str"/>
      <x:c r="G669" s="33" t="str"/>
      <x:c r="H669" s="50" t="str"/>
      <x:c r="I669" s="50" t="str"/>
      <x:c r="J669" s="50" t="str"/>
      <x:c r="K669" s="47" t="str"/>
      <x:c r="L669" s="50" t="str"/>
      <x:c r="M669" s="50" t="str"/>
      <x:c r="N669" s="47" t="str"/>
      <x:c r="O669" s="50" t="str"/>
      <x:c r="P669" s="64" t="str">
        <x:f>IF(O669="","",O669*2)</x:f>
      </x:c>
      <x:c r="Q669" s="50" t="str"/>
      <x:c r="R669" s="47" t="str"/>
      <x:c r="S669" s="33" t="str">
        <x:v>Not Tested</x:v>
      </x:c>
      <x:c r="T669" s="64" t="str">
        <x:v>Eligible</x:v>
      </x:c>
      <x:c r="U669" s="47" t="str"/>
      <x:c r="V669" s="47" t="str"/>
      <x:c r="W669" s="47" t="str"/>
      <x:c r="X669" s="50" t="str"/>
      <x:c r="Y669" s="50" t="str"/>
      <x:c r="Z669" s="47" t="str"/>
      <x:c r="AA669" s="47" t="str">
        <x:v>No direct published reference located; do not display a crimp value.</x:v>
      </x:c>
      <x:c r="AB669" s="161" t="str">
        <x:v>Pending</x:v>
      </x:c>
    </x:row>
    <x:row r="670" ht="42" customHeight="1">
      <x:c r="A670" s="33" t="str">
        <x:v>Draft</x:v>
      </x:c>
      <x:c r="B670" s="47" t="str">
        <x:v>COMP_0666</x:v>
      </x:c>
      <x:c r="C670" s="47" t="str">
        <x:v>EN2SC_003</x:v>
      </x:c>
      <x:c r="D670" s="47" t="str">
        <x:v>NPT_M_FX_04_06</x:v>
      </x:c>
      <x:c r="E670" s="47" t="str">
        <x:v>EN2SC_2WB_003</x:v>
      </x:c>
      <x:c r="F670" s="47" t="str"/>
      <x:c r="G670" s="33" t="str"/>
      <x:c r="H670" s="50" t="str"/>
      <x:c r="I670" s="50" t="str"/>
      <x:c r="J670" s="50" t="str"/>
      <x:c r="K670" s="47" t="str"/>
      <x:c r="L670" s="50" t="str"/>
      <x:c r="M670" s="50" t="str"/>
      <x:c r="N670" s="47" t="str"/>
      <x:c r="O670" s="50" t="str"/>
      <x:c r="P670" s="64" t="str">
        <x:f>IF(O670="","",O670*2)</x:f>
      </x:c>
      <x:c r="Q670" s="50" t="str"/>
      <x:c r="R670" s="47" t="str"/>
      <x:c r="S670" s="33" t="str">
        <x:v>Not Tested</x:v>
      </x:c>
      <x:c r="T670" s="64" t="str">
        <x:v>Eligible</x:v>
      </x:c>
      <x:c r="U670" s="47" t="str"/>
      <x:c r="V670" s="47" t="str"/>
      <x:c r="W670" s="47" t="str"/>
      <x:c r="X670" s="50" t="str"/>
      <x:c r="Y670" s="50" t="str"/>
      <x:c r="Z670" s="47" t="str"/>
      <x:c r="AA670" s="47" t="str">
        <x:v>No direct published reference located; do not display a crimp value.</x:v>
      </x:c>
      <x:c r="AB670" s="161" t="str">
        <x:v>Pending</x:v>
      </x:c>
    </x:row>
    <x:row r="671" ht="42" customHeight="1">
      <x:c r="A671" s="33" t="str">
        <x:v>Draft</x:v>
      </x:c>
      <x:c r="B671" s="47" t="str">
        <x:v>COMP_0667</x:v>
      </x:c>
      <x:c r="C671" s="47" t="str">
        <x:v>EN2SC_003</x:v>
      </x:c>
      <x:c r="D671" s="47" t="str">
        <x:v>NPT_M_FX_06_06</x:v>
      </x:c>
      <x:c r="E671" s="47" t="str">
        <x:v>EN2SC_2WB_003</x:v>
      </x:c>
      <x:c r="F671" s="47" t="str"/>
      <x:c r="G671" s="33" t="str"/>
      <x:c r="H671" s="50" t="str"/>
      <x:c r="I671" s="50" t="str"/>
      <x:c r="J671" s="50" t="str"/>
      <x:c r="K671" s="47" t="str"/>
      <x:c r="L671" s="50" t="str"/>
      <x:c r="M671" s="50" t="str"/>
      <x:c r="N671" s="47" t="str"/>
      <x:c r="O671" s="50" t="str"/>
      <x:c r="P671" s="64" t="str">
        <x:f>IF(O671="","",O671*2)</x:f>
      </x:c>
      <x:c r="Q671" s="50" t="str"/>
      <x:c r="R671" s="47" t="str"/>
      <x:c r="S671" s="33" t="str">
        <x:v>Not Tested</x:v>
      </x:c>
      <x:c r="T671" s="64" t="str">
        <x:v>Eligible</x:v>
      </x:c>
      <x:c r="U671" s="47" t="str"/>
      <x:c r="V671" s="47" t="str"/>
      <x:c r="W671" s="47" t="str"/>
      <x:c r="X671" s="50" t="str"/>
      <x:c r="Y671" s="50" t="str"/>
      <x:c r="Z671" s="47" t="str"/>
      <x:c r="AA671" s="47" t="str">
        <x:v>No direct published reference located; do not display a crimp value.</x:v>
      </x:c>
      <x:c r="AB671" s="161" t="str">
        <x:v>Pending</x:v>
      </x:c>
    </x:row>
    <x:row r="672" ht="42" customHeight="1">
      <x:c r="A672" s="33" t="str">
        <x:v>Draft</x:v>
      </x:c>
      <x:c r="B672" s="47" t="str">
        <x:v>COMP_0668</x:v>
      </x:c>
      <x:c r="C672" s="47" t="str">
        <x:v>EN2SC_003</x:v>
      </x:c>
      <x:c r="D672" s="47" t="str">
        <x:v>NPT_M_FX_08_06</x:v>
      </x:c>
      <x:c r="E672" s="47" t="str">
        <x:v>EN2SC_2WB_003</x:v>
      </x:c>
      <x:c r="F672" s="47" t="str"/>
      <x:c r="G672" s="33" t="str"/>
      <x:c r="H672" s="50" t="str"/>
      <x:c r="I672" s="50" t="str"/>
      <x:c r="J672" s="50" t="str"/>
      <x:c r="K672" s="47" t="str"/>
      <x:c r="L672" s="50" t="str"/>
      <x:c r="M672" s="50" t="str"/>
      <x:c r="N672" s="47" t="str"/>
      <x:c r="O672" s="50" t="str"/>
      <x:c r="P672" s="64" t="str">
        <x:f>IF(O672="","",O672*2)</x:f>
      </x:c>
      <x:c r="Q672" s="50" t="str"/>
      <x:c r="R672" s="47" t="str"/>
      <x:c r="S672" s="33" t="str">
        <x:v>Not Tested</x:v>
      </x:c>
      <x:c r="T672" s="64" t="str">
        <x:v>Eligible</x:v>
      </x:c>
      <x:c r="U672" s="47" t="str"/>
      <x:c r="V672" s="47" t="str"/>
      <x:c r="W672" s="47" t="str"/>
      <x:c r="X672" s="50" t="str"/>
      <x:c r="Y672" s="50" t="str"/>
      <x:c r="Z672" s="47" t="str"/>
      <x:c r="AA672" s="47" t="str">
        <x:v>No direct published reference located; do not display a crimp value.</x:v>
      </x:c>
      <x:c r="AB672" s="161" t="str">
        <x:v>Pending</x:v>
      </x:c>
    </x:row>
    <x:row r="673" ht="42" customHeight="1">
      <x:c r="A673" s="33" t="str">
        <x:v>Draft</x:v>
      </x:c>
      <x:c r="B673" s="47" t="str">
        <x:v>COMP_0669</x:v>
      </x:c>
      <x:c r="C673" s="47" t="str">
        <x:v>EN2SC_003</x:v>
      </x:c>
      <x:c r="D673" s="47" t="str">
        <x:v>NPT90_M_SW_06_06</x:v>
      </x:c>
      <x:c r="E673" s="47" t="str">
        <x:v>EN2SC_2WB_003</x:v>
      </x:c>
      <x:c r="F673" s="47" t="str"/>
      <x:c r="G673" s="33" t="str"/>
      <x:c r="H673" s="50" t="str"/>
      <x:c r="I673" s="50" t="str"/>
      <x:c r="J673" s="50" t="str"/>
      <x:c r="K673" s="47" t="str"/>
      <x:c r="L673" s="50" t="str"/>
      <x:c r="M673" s="50" t="str"/>
      <x:c r="N673" s="47" t="str"/>
      <x:c r="O673" s="50" t="str"/>
      <x:c r="P673" s="64" t="str">
        <x:f>IF(O673="","",O673*2)</x:f>
      </x:c>
      <x:c r="Q673" s="50" t="str"/>
      <x:c r="R673" s="47" t="str"/>
      <x:c r="S673" s="33" t="str">
        <x:v>Not Tested</x:v>
      </x:c>
      <x:c r="T673" s="64" t="str">
        <x:v>Eligible</x:v>
      </x:c>
      <x:c r="U673" s="47" t="str"/>
      <x:c r="V673" s="47" t="str"/>
      <x:c r="W673" s="47" t="str"/>
      <x:c r="X673" s="50" t="str"/>
      <x:c r="Y673" s="50" t="str"/>
      <x:c r="Z673" s="47" t="str"/>
      <x:c r="AA673" s="47" t="str">
        <x:v>No direct published reference located; do not display a crimp value.</x:v>
      </x:c>
      <x:c r="AB673" s="161" t="str">
        <x:v>Pending</x:v>
      </x:c>
    </x:row>
    <x:row r="674" ht="42" customHeight="1">
      <x:c r="A674" s="33" t="str">
        <x:v>Draft</x:v>
      </x:c>
      <x:c r="B674" s="47" t="str">
        <x:v>COMP_0670</x:v>
      </x:c>
      <x:c r="C674" s="47" t="str">
        <x:v>EN2SC_003</x:v>
      </x:c>
      <x:c r="D674" s="47" t="str">
        <x:v>NPT90_M_SW_08_06</x:v>
      </x:c>
      <x:c r="E674" s="47" t="str">
        <x:v>EN2SC_2WB_003</x:v>
      </x:c>
      <x:c r="F674" s="47" t="str"/>
      <x:c r="G674" s="33" t="str"/>
      <x:c r="H674" s="50" t="str"/>
      <x:c r="I674" s="50" t="str"/>
      <x:c r="J674" s="50" t="str"/>
      <x:c r="K674" s="47" t="str"/>
      <x:c r="L674" s="50" t="str"/>
      <x:c r="M674" s="50" t="str"/>
      <x:c r="N674" s="47" t="str"/>
      <x:c r="O674" s="50" t="str"/>
      <x:c r="P674" s="64" t="str">
        <x:f>IF(O674="","",O674*2)</x:f>
      </x:c>
      <x:c r="Q674" s="50" t="str"/>
      <x:c r="R674" s="47" t="str"/>
      <x:c r="S674" s="33" t="str">
        <x:v>Not Tested</x:v>
      </x:c>
      <x:c r="T674" s="64" t="str">
        <x:v>Eligible</x:v>
      </x:c>
      <x:c r="U674" s="47" t="str"/>
      <x:c r="V674" s="47" t="str"/>
      <x:c r="W674" s="47" t="str"/>
      <x:c r="X674" s="50" t="str"/>
      <x:c r="Y674" s="50" t="str"/>
      <x:c r="Z674" s="47" t="str"/>
      <x:c r="AA674" s="47" t="str">
        <x:v>No direct published reference located; do not display a crimp value.</x:v>
      </x:c>
      <x:c r="AB674" s="161" t="str">
        <x:v>Pending</x:v>
      </x:c>
    </x:row>
    <x:row r="675" ht="42" customHeight="1">
      <x:c r="A675" s="33" t="str">
        <x:v>Draft</x:v>
      </x:c>
      <x:c r="B675" s="47" t="str">
        <x:v>COMP_0671</x:v>
      </x:c>
      <x:c r="C675" s="47" t="str">
        <x:v>EN2SC_003</x:v>
      </x:c>
      <x:c r="D675" s="47" t="str">
        <x:v>ORFS_F_SW_06_06</x:v>
      </x:c>
      <x:c r="E675" s="47" t="str">
        <x:v>EN2SC_2WB_003</x:v>
      </x:c>
      <x:c r="F675" s="47" t="str"/>
      <x:c r="G675" s="33" t="str"/>
      <x:c r="H675" s="50" t="str"/>
      <x:c r="I675" s="50" t="str"/>
      <x:c r="J675" s="50" t="str"/>
      <x:c r="K675" s="47" t="str"/>
      <x:c r="L675" s="50" t="str"/>
      <x:c r="M675" s="50" t="str"/>
      <x:c r="N675" s="47" t="str"/>
      <x:c r="O675" s="50" t="str"/>
      <x:c r="P675" s="64" t="str">
        <x:f>IF(O675="","",O675*2)</x:f>
      </x:c>
      <x:c r="Q675" s="50" t="str"/>
      <x:c r="R675" s="47" t="str"/>
      <x:c r="S675" s="33" t="str">
        <x:v>Not Tested</x:v>
      </x:c>
      <x:c r="T675" s="64" t="str">
        <x:v>Eligible</x:v>
      </x:c>
      <x:c r="U675" s="47" t="str"/>
      <x:c r="V675" s="47" t="str"/>
      <x:c r="W675" s="47" t="str"/>
      <x:c r="X675" s="50" t="str"/>
      <x:c r="Y675" s="50" t="str"/>
      <x:c r="Z675" s="47" t="str"/>
      <x:c r="AA675" s="47" t="str">
        <x:v>No direct published reference located; do not display a crimp value.</x:v>
      </x:c>
      <x:c r="AB675" s="161" t="str">
        <x:v>Pending</x:v>
      </x:c>
    </x:row>
    <x:row r="676" ht="42" customHeight="1">
      <x:c r="A676" s="33" t="str">
        <x:v>Draft</x:v>
      </x:c>
      <x:c r="B676" s="47" t="str">
        <x:v>COMP_0672</x:v>
      </x:c>
      <x:c r="C676" s="47" t="str">
        <x:v>EN2SC_003</x:v>
      </x:c>
      <x:c r="D676" s="47" t="str">
        <x:v>ORFS_F_SW_08_06</x:v>
      </x:c>
      <x:c r="E676" s="47" t="str">
        <x:v>EN2SC_2WB_003</x:v>
      </x:c>
      <x:c r="F676" s="47" t="str"/>
      <x:c r="G676" s="33" t="str"/>
      <x:c r="H676" s="50" t="str"/>
      <x:c r="I676" s="50" t="str"/>
      <x:c r="J676" s="50" t="str"/>
      <x:c r="K676" s="47" t="str"/>
      <x:c r="L676" s="50" t="str"/>
      <x:c r="M676" s="50" t="str"/>
      <x:c r="N676" s="47" t="str"/>
      <x:c r="O676" s="50" t="str"/>
      <x:c r="P676" s="64" t="str">
        <x:f>IF(O676="","",O676*2)</x:f>
      </x:c>
      <x:c r="Q676" s="50" t="str"/>
      <x:c r="R676" s="47" t="str"/>
      <x:c r="S676" s="33" t="str">
        <x:v>Not Tested</x:v>
      </x:c>
      <x:c r="T676" s="64" t="str">
        <x:v>Eligible</x:v>
      </x:c>
      <x:c r="U676" s="47" t="str"/>
      <x:c r="V676" s="47" t="str"/>
      <x:c r="W676" s="47" t="str"/>
      <x:c r="X676" s="50" t="str"/>
      <x:c r="Y676" s="50" t="str"/>
      <x:c r="Z676" s="47" t="str"/>
      <x:c r="AA676" s="47" t="str">
        <x:v>No direct published reference located; do not display a crimp value.</x:v>
      </x:c>
      <x:c r="AB676" s="161" t="str">
        <x:v>Pending</x:v>
      </x:c>
    </x:row>
    <x:row r="677" ht="42" customHeight="1">
      <x:c r="A677" s="33" t="str">
        <x:v>Draft</x:v>
      </x:c>
      <x:c r="B677" s="47" t="str">
        <x:v>COMP_0673</x:v>
      </x:c>
      <x:c r="C677" s="47" t="str">
        <x:v>EN2SC_003</x:v>
      </x:c>
      <x:c r="D677" s="47" t="str">
        <x:v>ORFS_M_FX_06_06</x:v>
      </x:c>
      <x:c r="E677" s="47" t="str">
        <x:v>EN2SC_2WB_003</x:v>
      </x:c>
      <x:c r="F677" s="47" t="str"/>
      <x:c r="G677" s="33" t="str"/>
      <x:c r="H677" s="50" t="str"/>
      <x:c r="I677" s="50" t="str"/>
      <x:c r="J677" s="50" t="str"/>
      <x:c r="K677" s="47" t="str"/>
      <x:c r="L677" s="50" t="str"/>
      <x:c r="M677" s="50" t="str"/>
      <x:c r="N677" s="47" t="str"/>
      <x:c r="O677" s="50" t="str"/>
      <x:c r="P677" s="64" t="str">
        <x:f>IF(O677="","",O677*2)</x:f>
      </x:c>
      <x:c r="Q677" s="50" t="str"/>
      <x:c r="R677" s="47" t="str"/>
      <x:c r="S677" s="33" t="str">
        <x:v>Not Tested</x:v>
      </x:c>
      <x:c r="T677" s="64" t="str">
        <x:v>Eligible</x:v>
      </x:c>
      <x:c r="U677" s="47" t="str"/>
      <x:c r="V677" s="47" t="str"/>
      <x:c r="W677" s="47" t="str"/>
      <x:c r="X677" s="50" t="str"/>
      <x:c r="Y677" s="50" t="str"/>
      <x:c r="Z677" s="47" t="str"/>
      <x:c r="AA677" s="47" t="str">
        <x:v>No direct published reference located; do not display a crimp value.</x:v>
      </x:c>
      <x:c r="AB677" s="161" t="str">
        <x:v>Pending</x:v>
      </x:c>
    </x:row>
    <x:row r="678" ht="42" customHeight="1">
      <x:c r="A678" s="33" t="str">
        <x:v>Draft</x:v>
      </x:c>
      <x:c r="B678" s="47" t="str">
        <x:v>COMP_0674</x:v>
      </x:c>
      <x:c r="C678" s="47" t="str">
        <x:v>EN2SC_003</x:v>
      </x:c>
      <x:c r="D678" s="47" t="str">
        <x:v>ORFS_M_FX_08_06</x:v>
      </x:c>
      <x:c r="E678" s="47" t="str">
        <x:v>EN2SC_2WB_003</x:v>
      </x:c>
      <x:c r="F678" s="47" t="str"/>
      <x:c r="G678" s="33" t="str"/>
      <x:c r="H678" s="50" t="str"/>
      <x:c r="I678" s="50" t="str"/>
      <x:c r="J678" s="50" t="str"/>
      <x:c r="K678" s="47" t="str"/>
      <x:c r="L678" s="50" t="str"/>
      <x:c r="M678" s="50" t="str"/>
      <x:c r="N678" s="47" t="str"/>
      <x:c r="O678" s="50" t="str"/>
      <x:c r="P678" s="64" t="str">
        <x:f>IF(O678="","",O678*2)</x:f>
      </x:c>
      <x:c r="Q678" s="50" t="str"/>
      <x:c r="R678" s="47" t="str"/>
      <x:c r="S678" s="33" t="str">
        <x:v>Not Tested</x:v>
      </x:c>
      <x:c r="T678" s="64" t="str">
        <x:v>Eligible</x:v>
      </x:c>
      <x:c r="U678" s="47" t="str"/>
      <x:c r="V678" s="47" t="str"/>
      <x:c r="W678" s="47" t="str"/>
      <x:c r="X678" s="50" t="str"/>
      <x:c r="Y678" s="50" t="str"/>
      <x:c r="Z678" s="47" t="str"/>
      <x:c r="AA678" s="47" t="str">
        <x:v>No direct published reference located; do not display a crimp value.</x:v>
      </x:c>
      <x:c r="AB678" s="161" t="str">
        <x:v>Pending</x:v>
      </x:c>
    </x:row>
    <x:row r="679" ht="42" customHeight="1">
      <x:c r="A679" s="33" t="str">
        <x:v>Draft</x:v>
      </x:c>
      <x:c r="B679" s="47" t="str">
        <x:v>COMP_0675</x:v>
      </x:c>
      <x:c r="C679" s="47" t="str">
        <x:v>EN2SC_003</x:v>
      </x:c>
      <x:c r="D679" s="47" t="str">
        <x:v>ORFS45_F_SW_06_06</x:v>
      </x:c>
      <x:c r="E679" s="47" t="str">
        <x:v>EN2SC_2WB_003</x:v>
      </x:c>
      <x:c r="F679" s="47" t="str"/>
      <x:c r="G679" s="33" t="str"/>
      <x:c r="H679" s="50" t="str"/>
      <x:c r="I679" s="50" t="str"/>
      <x:c r="J679" s="50" t="str"/>
      <x:c r="K679" s="47" t="str"/>
      <x:c r="L679" s="50" t="str"/>
      <x:c r="M679" s="50" t="str"/>
      <x:c r="N679" s="47" t="str"/>
      <x:c r="O679" s="50" t="str"/>
      <x:c r="P679" s="64" t="str">
        <x:f>IF(O679="","",O679*2)</x:f>
      </x:c>
      <x:c r="Q679" s="50" t="str"/>
      <x:c r="R679" s="47" t="str"/>
      <x:c r="S679" s="33" t="str">
        <x:v>Not Tested</x:v>
      </x:c>
      <x:c r="T679" s="64" t="str">
        <x:v>Eligible</x:v>
      </x:c>
      <x:c r="U679" s="47" t="str"/>
      <x:c r="V679" s="47" t="str"/>
      <x:c r="W679" s="47" t="str"/>
      <x:c r="X679" s="50" t="str"/>
      <x:c r="Y679" s="50" t="str"/>
      <x:c r="Z679" s="47" t="str"/>
      <x:c r="AA679" s="47" t="str">
        <x:v>No direct published reference located; do not display a crimp value.</x:v>
      </x:c>
      <x:c r="AB679" s="161" t="str">
        <x:v>Pending</x:v>
      </x:c>
    </x:row>
    <x:row r="680" ht="42" customHeight="1">
      <x:c r="A680" s="33" t="str">
        <x:v>Draft</x:v>
      </x:c>
      <x:c r="B680" s="47" t="str">
        <x:v>COMP_0676</x:v>
      </x:c>
      <x:c r="C680" s="47" t="str">
        <x:v>EN2SC_003</x:v>
      </x:c>
      <x:c r="D680" s="47" t="str">
        <x:v>ORFS45_F_SW_08_06</x:v>
      </x:c>
      <x:c r="E680" s="47" t="str">
        <x:v>EN2SC_2WB_003</x:v>
      </x:c>
      <x:c r="F680" s="47" t="str"/>
      <x:c r="G680" s="33" t="str"/>
      <x:c r="H680" s="50" t="str"/>
      <x:c r="I680" s="50" t="str"/>
      <x:c r="J680" s="50" t="str"/>
      <x:c r="K680" s="47" t="str"/>
      <x:c r="L680" s="50" t="str"/>
      <x:c r="M680" s="50" t="str"/>
      <x:c r="N680" s="47" t="str"/>
      <x:c r="O680" s="50" t="str"/>
      <x:c r="P680" s="64" t="str">
        <x:f>IF(O680="","",O680*2)</x:f>
      </x:c>
      <x:c r="Q680" s="50" t="str"/>
      <x:c r="R680" s="47" t="str"/>
      <x:c r="S680" s="33" t="str">
        <x:v>Not Tested</x:v>
      </x:c>
      <x:c r="T680" s="64" t="str">
        <x:v>Eligible</x:v>
      </x:c>
      <x:c r="U680" s="47" t="str"/>
      <x:c r="V680" s="47" t="str"/>
      <x:c r="W680" s="47" t="str"/>
      <x:c r="X680" s="50" t="str"/>
      <x:c r="Y680" s="50" t="str"/>
      <x:c r="Z680" s="47" t="str"/>
      <x:c r="AA680" s="47" t="str">
        <x:v>No direct published reference located; do not display a crimp value.</x:v>
      </x:c>
      <x:c r="AB680" s="161" t="str">
        <x:v>Pending</x:v>
      </x:c>
    </x:row>
    <x:row r="681" ht="42" customHeight="1">
      <x:c r="A681" s="33" t="str">
        <x:v>Draft</x:v>
      </x:c>
      <x:c r="B681" s="47" t="str">
        <x:v>COMP_0677</x:v>
      </x:c>
      <x:c r="C681" s="47" t="str">
        <x:v>EN2SC_003</x:v>
      </x:c>
      <x:c r="D681" s="47" t="str">
        <x:v>ORFS90_F_SW_04_06</x:v>
      </x:c>
      <x:c r="E681" s="47" t="str">
        <x:v>EN2SC_2WB_003</x:v>
      </x:c>
      <x:c r="F681" s="47" t="str"/>
      <x:c r="G681" s="33" t="str"/>
      <x:c r="H681" s="50" t="str"/>
      <x:c r="I681" s="50" t="str"/>
      <x:c r="J681" s="50" t="str"/>
      <x:c r="K681" s="47" t="str"/>
      <x:c r="L681" s="50" t="str"/>
      <x:c r="M681" s="50" t="str"/>
      <x:c r="N681" s="47" t="str"/>
      <x:c r="O681" s="50" t="str"/>
      <x:c r="P681" s="64" t="str">
        <x:f>IF(O681="","",O681*2)</x:f>
      </x:c>
      <x:c r="Q681" s="50" t="str"/>
      <x:c r="R681" s="47" t="str"/>
      <x:c r="S681" s="33" t="str">
        <x:v>Not Tested</x:v>
      </x:c>
      <x:c r="T681" s="64" t="str">
        <x:v>Eligible</x:v>
      </x:c>
      <x:c r="U681" s="47" t="str"/>
      <x:c r="V681" s="47" t="str"/>
      <x:c r="W681" s="47" t="str"/>
      <x:c r="X681" s="50" t="str"/>
      <x:c r="Y681" s="50" t="str"/>
      <x:c r="Z681" s="47" t="str"/>
      <x:c r="AA681" s="47" t="str">
        <x:v>No direct published reference located; do not display a crimp value.</x:v>
      </x:c>
      <x:c r="AB681" s="161" t="str">
        <x:v>Pending</x:v>
      </x:c>
    </x:row>
    <x:row r="682" ht="42" customHeight="1">
      <x:c r="A682" s="33" t="str">
        <x:v>Draft</x:v>
      </x:c>
      <x:c r="B682" s="47" t="str">
        <x:v>COMP_0678</x:v>
      </x:c>
      <x:c r="C682" s="47" t="str">
        <x:v>EN2SC_003</x:v>
      </x:c>
      <x:c r="D682" s="47" t="str">
        <x:v>ORFS90_F_SW_06_06</x:v>
      </x:c>
      <x:c r="E682" s="47" t="str">
        <x:v>EN2SC_2WB_003</x:v>
      </x:c>
      <x:c r="F682" s="47" t="str"/>
      <x:c r="G682" s="33" t="str"/>
      <x:c r="H682" s="50" t="str"/>
      <x:c r="I682" s="50" t="str"/>
      <x:c r="J682" s="50" t="str"/>
      <x:c r="K682" s="47" t="str"/>
      <x:c r="L682" s="50" t="str"/>
      <x:c r="M682" s="50" t="str"/>
      <x:c r="N682" s="47" t="str"/>
      <x:c r="O682" s="50" t="str"/>
      <x:c r="P682" s="64" t="str">
        <x:f>IF(O682="","",O682*2)</x:f>
      </x:c>
      <x:c r="Q682" s="50" t="str"/>
      <x:c r="R682" s="47" t="str"/>
      <x:c r="S682" s="33" t="str">
        <x:v>Not Tested</x:v>
      </x:c>
      <x:c r="T682" s="64" t="str">
        <x:v>Eligible</x:v>
      </x:c>
      <x:c r="U682" s="47" t="str"/>
      <x:c r="V682" s="47" t="str"/>
      <x:c r="W682" s="47" t="str"/>
      <x:c r="X682" s="50" t="str"/>
      <x:c r="Y682" s="50" t="str"/>
      <x:c r="Z682" s="47" t="str"/>
      <x:c r="AA682" s="47" t="str">
        <x:v>No direct published reference located; do not display a crimp value.</x:v>
      </x:c>
      <x:c r="AB682" s="161" t="str">
        <x:v>Pending</x:v>
      </x:c>
    </x:row>
    <x:row r="683" ht="42" customHeight="1">
      <x:c r="A683" s="33" t="str">
        <x:v>Draft</x:v>
      </x:c>
      <x:c r="B683" s="47" t="str">
        <x:v>COMP_0679</x:v>
      </x:c>
      <x:c r="C683" s="47" t="str">
        <x:v>EN2SC_003</x:v>
      </x:c>
      <x:c r="D683" s="47" t="str">
        <x:v>ORFS90_F_SW_08_06</x:v>
      </x:c>
      <x:c r="E683" s="47" t="str">
        <x:v>EN2SC_2WB_003</x:v>
      </x:c>
      <x:c r="F683" s="47" t="str"/>
      <x:c r="G683" s="33" t="str"/>
      <x:c r="H683" s="50" t="str"/>
      <x:c r="I683" s="50" t="str"/>
      <x:c r="J683" s="50" t="str"/>
      <x:c r="K683" s="47" t="str"/>
      <x:c r="L683" s="50" t="str"/>
      <x:c r="M683" s="50" t="str"/>
      <x:c r="N683" s="47" t="str"/>
      <x:c r="O683" s="50" t="str"/>
      <x:c r="P683" s="64" t="str">
        <x:f>IF(O683="","",O683*2)</x:f>
      </x:c>
      <x:c r="Q683" s="50" t="str"/>
      <x:c r="R683" s="47" t="str"/>
      <x:c r="S683" s="33" t="str">
        <x:v>Not Tested</x:v>
      </x:c>
      <x:c r="T683" s="64" t="str">
        <x:v>Eligible</x:v>
      </x:c>
      <x:c r="U683" s="47" t="str"/>
      <x:c r="V683" s="47" t="str"/>
      <x:c r="W683" s="47" t="str"/>
      <x:c r="X683" s="50" t="str"/>
      <x:c r="Y683" s="50" t="str"/>
      <x:c r="Z683" s="47" t="str"/>
      <x:c r="AA683" s="47" t="str">
        <x:v>No direct published reference located; do not display a crimp value.</x:v>
      </x:c>
      <x:c r="AB683" s="161" t="str">
        <x:v>Pending</x:v>
      </x:c>
    </x:row>
    <x:row r="684" ht="42" customHeight="1">
      <x:c r="A684" s="33" t="str">
        <x:v>Draft</x:v>
      </x:c>
      <x:c r="B684" s="47" t="str">
        <x:v>COMP_0680</x:v>
      </x:c>
      <x:c r="C684" s="47" t="str">
        <x:v>EN2SC_004</x:v>
      </x:c>
      <x:c r="D684" s="47" t="str">
        <x:v>BSPP_F_SW_08_08</x:v>
      </x:c>
      <x:c r="E684" s="47" t="str">
        <x:v>EN2SC_2WB_004</x:v>
      </x:c>
      <x:c r="F684" s="47" t="str"/>
      <x:c r="G684" s="33" t="str"/>
      <x:c r="H684" s="50" t="str"/>
      <x:c r="I684" s="50" t="str"/>
      <x:c r="J684" s="50" t="str"/>
      <x:c r="K684" s="47" t="str"/>
      <x:c r="L684" s="50" t="str"/>
      <x:c r="M684" s="50" t="str"/>
      <x:c r="N684" s="47" t="str"/>
      <x:c r="O684" s="50" t="str"/>
      <x:c r="P684" s="64" t="str">
        <x:f>IF(O684="","",O684*2)</x:f>
      </x:c>
      <x:c r="Q684" s="50" t="str"/>
      <x:c r="R684" s="47" t="str"/>
      <x:c r="S684" s="33" t="str">
        <x:v>Not Tested</x:v>
      </x:c>
      <x:c r="T684" s="64" t="str">
        <x:v>Eligible</x:v>
      </x:c>
      <x:c r="U684" s="47" t="str"/>
      <x:c r="V684" s="47" t="str"/>
      <x:c r="W684" s="47" t="str"/>
      <x:c r="X684" s="50" t="str"/>
      <x:c r="Y684" s="50" t="str"/>
      <x:c r="Z684" s="47" t="str"/>
      <x:c r="AA684" s="47" t="str">
        <x:v>No direct published reference located; do not display a crimp value.</x:v>
      </x:c>
      <x:c r="AB684" s="161" t="str">
        <x:v>Pending</x:v>
      </x:c>
    </x:row>
    <x:row r="685" ht="42" customHeight="1">
      <x:c r="A685" s="33" t="str">
        <x:v>Draft</x:v>
      </x:c>
      <x:c r="B685" s="47" t="str">
        <x:v>COMP_0681</x:v>
      </x:c>
      <x:c r="C685" s="47" t="str">
        <x:v>EN2SC_004</x:v>
      </x:c>
      <x:c r="D685" s="47" t="str">
        <x:v>BSPP_F_SW_10_08</x:v>
      </x:c>
      <x:c r="E685" s="47" t="str">
        <x:v>EN2SC_2WB_004</x:v>
      </x:c>
      <x:c r="F685" s="47" t="str"/>
      <x:c r="G685" s="33" t="str"/>
      <x:c r="H685" s="50" t="str"/>
      <x:c r="I685" s="50" t="str"/>
      <x:c r="J685" s="50" t="str"/>
      <x:c r="K685" s="47" t="str"/>
      <x:c r="L685" s="50" t="str"/>
      <x:c r="M685" s="50" t="str"/>
      <x:c r="N685" s="47" t="str"/>
      <x:c r="O685" s="50" t="str"/>
      <x:c r="P685" s="64" t="str">
        <x:f>IF(O685="","",O685*2)</x:f>
      </x:c>
      <x:c r="Q685" s="50" t="str"/>
      <x:c r="R685" s="47" t="str"/>
      <x:c r="S685" s="33" t="str">
        <x:v>Not Tested</x:v>
      </x:c>
      <x:c r="T685" s="64" t="str">
        <x:v>Eligible</x:v>
      </x:c>
      <x:c r="U685" s="47" t="str"/>
      <x:c r="V685" s="47" t="str"/>
      <x:c r="W685" s="47" t="str"/>
      <x:c r="X685" s="50" t="str"/>
      <x:c r="Y685" s="50" t="str"/>
      <x:c r="Z685" s="47" t="str"/>
      <x:c r="AA685" s="47" t="str">
        <x:v>No direct published reference located; do not display a crimp value.</x:v>
      </x:c>
      <x:c r="AB685" s="161" t="str">
        <x:v>Pending</x:v>
      </x:c>
    </x:row>
    <x:row r="686" ht="42" customHeight="1">
      <x:c r="A686" s="33" t="str">
        <x:v>Draft</x:v>
      </x:c>
      <x:c r="B686" s="47" t="str">
        <x:v>COMP_0682</x:v>
      </x:c>
      <x:c r="C686" s="47" t="str">
        <x:v>EN2SC_004</x:v>
      </x:c>
      <x:c r="D686" s="47" t="str">
        <x:v>BSPP_M_FX_08_08</x:v>
      </x:c>
      <x:c r="E686" s="47" t="str">
        <x:v>EN2SC_2WB_004</x:v>
      </x:c>
      <x:c r="F686" s="47" t="str"/>
      <x:c r="G686" s="33" t="str"/>
      <x:c r="H686" s="50" t="str"/>
      <x:c r="I686" s="50" t="str"/>
      <x:c r="J686" s="50" t="str"/>
      <x:c r="K686" s="47" t="str"/>
      <x:c r="L686" s="50" t="str"/>
      <x:c r="M686" s="50" t="str"/>
      <x:c r="N686" s="47" t="str"/>
      <x:c r="O686" s="50" t="str"/>
      <x:c r="P686" s="64" t="str">
        <x:f>IF(O686="","",O686*2)</x:f>
      </x:c>
      <x:c r="Q686" s="50" t="str"/>
      <x:c r="R686" s="47" t="str"/>
      <x:c r="S686" s="33" t="str">
        <x:v>Not Tested</x:v>
      </x:c>
      <x:c r="T686" s="64" t="str">
        <x:v>Eligible</x:v>
      </x:c>
      <x:c r="U686" s="47" t="str"/>
      <x:c r="V686" s="47" t="str"/>
      <x:c r="W686" s="47" t="str"/>
      <x:c r="X686" s="50" t="str"/>
      <x:c r="Y686" s="50" t="str"/>
      <x:c r="Z686" s="47" t="str"/>
      <x:c r="AA686" s="47" t="str">
        <x:v>No direct published reference located; do not display a crimp value.</x:v>
      </x:c>
      <x:c r="AB686" s="161" t="str">
        <x:v>Pending</x:v>
      </x:c>
    </x:row>
    <x:row r="687" ht="42" customHeight="1">
      <x:c r="A687" s="33" t="str">
        <x:v>Draft</x:v>
      </x:c>
      <x:c r="B687" s="47" t="str">
        <x:v>COMP_0683</x:v>
      </x:c>
      <x:c r="C687" s="47" t="str">
        <x:v>EN2SC_004</x:v>
      </x:c>
      <x:c r="D687" s="47" t="str">
        <x:v>BSPP_M_FX_10_08</x:v>
      </x:c>
      <x:c r="E687" s="47" t="str">
        <x:v>EN2SC_2WB_004</x:v>
      </x:c>
      <x:c r="F687" s="47" t="str"/>
      <x:c r="G687" s="33" t="str"/>
      <x:c r="H687" s="50" t="str"/>
      <x:c r="I687" s="50" t="str"/>
      <x:c r="J687" s="50" t="str"/>
      <x:c r="K687" s="47" t="str"/>
      <x:c r="L687" s="50" t="str"/>
      <x:c r="M687" s="50" t="str"/>
      <x:c r="N687" s="47" t="str"/>
      <x:c r="O687" s="50" t="str"/>
      <x:c r="P687" s="64" t="str">
        <x:f>IF(O687="","",O687*2)</x:f>
      </x:c>
      <x:c r="Q687" s="50" t="str"/>
      <x:c r="R687" s="47" t="str"/>
      <x:c r="S687" s="33" t="str">
        <x:v>Not Tested</x:v>
      </x:c>
      <x:c r="T687" s="64" t="str">
        <x:v>Eligible</x:v>
      </x:c>
      <x:c r="U687" s="47" t="str"/>
      <x:c r="V687" s="47" t="str"/>
      <x:c r="W687" s="47" t="str"/>
      <x:c r="X687" s="50" t="str"/>
      <x:c r="Y687" s="50" t="str"/>
      <x:c r="Z687" s="47" t="str"/>
      <x:c r="AA687" s="47" t="str">
        <x:v>No direct published reference located; do not display a crimp value.</x:v>
      </x:c>
      <x:c r="AB687" s="161" t="str">
        <x:v>Pending</x:v>
      </x:c>
    </x:row>
    <x:row r="688" ht="42" customHeight="1">
      <x:c r="A688" s="33" t="str">
        <x:v>Draft</x:v>
      </x:c>
      <x:c r="B688" s="47" t="str">
        <x:v>COMP_0684</x:v>
      </x:c>
      <x:c r="C688" s="47" t="str">
        <x:v>EN2SC_004</x:v>
      </x:c>
      <x:c r="D688" s="47" t="str">
        <x:v>BSPP45_F_SW_08_08</x:v>
      </x:c>
      <x:c r="E688" s="47" t="str">
        <x:v>EN2SC_2WB_004</x:v>
      </x:c>
      <x:c r="F688" s="47" t="str"/>
      <x:c r="G688" s="33" t="str"/>
      <x:c r="H688" s="50" t="str"/>
      <x:c r="I688" s="50" t="str"/>
      <x:c r="J688" s="50" t="str"/>
      <x:c r="K688" s="47" t="str"/>
      <x:c r="L688" s="50" t="str"/>
      <x:c r="M688" s="50" t="str"/>
      <x:c r="N688" s="47" t="str"/>
      <x:c r="O688" s="50" t="str"/>
      <x:c r="P688" s="64" t="str">
        <x:f>IF(O688="","",O688*2)</x:f>
      </x:c>
      <x:c r="Q688" s="50" t="str"/>
      <x:c r="R688" s="47" t="str"/>
      <x:c r="S688" s="33" t="str">
        <x:v>Not Tested</x:v>
      </x:c>
      <x:c r="T688" s="64" t="str">
        <x:v>Eligible</x:v>
      </x:c>
      <x:c r="U688" s="47" t="str"/>
      <x:c r="V688" s="47" t="str"/>
      <x:c r="W688" s="47" t="str"/>
      <x:c r="X688" s="50" t="str"/>
      <x:c r="Y688" s="50" t="str"/>
      <x:c r="Z688" s="47" t="str"/>
      <x:c r="AA688" s="47" t="str">
        <x:v>No direct published reference located; do not display a crimp value.</x:v>
      </x:c>
      <x:c r="AB688" s="161" t="str">
        <x:v>Pending</x:v>
      </x:c>
    </x:row>
    <x:row r="689" ht="42" customHeight="1">
      <x:c r="A689" s="33" t="str">
        <x:v>Draft</x:v>
      </x:c>
      <x:c r="B689" s="47" t="str">
        <x:v>COMP_0685</x:v>
      </x:c>
      <x:c r="C689" s="47" t="str">
        <x:v>EN2SC_004</x:v>
      </x:c>
      <x:c r="D689" s="47" t="str">
        <x:v>BSPP90_F_SW_08_08</x:v>
      </x:c>
      <x:c r="E689" s="47" t="str">
        <x:v>EN2SC_2WB_004</x:v>
      </x:c>
      <x:c r="F689" s="47" t="str"/>
      <x:c r="G689" s="33" t="str"/>
      <x:c r="H689" s="50" t="str"/>
      <x:c r="I689" s="50" t="str"/>
      <x:c r="J689" s="50" t="str"/>
      <x:c r="K689" s="47" t="str"/>
      <x:c r="L689" s="50" t="str"/>
      <x:c r="M689" s="50" t="str"/>
      <x:c r="N689" s="47" t="str"/>
      <x:c r="O689" s="50" t="str"/>
      <x:c r="P689" s="64" t="str">
        <x:f>IF(O689="","",O689*2)</x:f>
      </x:c>
      <x:c r="Q689" s="50" t="str"/>
      <x:c r="R689" s="47" t="str"/>
      <x:c r="S689" s="33" t="str">
        <x:v>Not Tested</x:v>
      </x:c>
      <x:c r="T689" s="64" t="str">
        <x:v>Eligible</x:v>
      </x:c>
      <x:c r="U689" s="47" t="str"/>
      <x:c r="V689" s="47" t="str"/>
      <x:c r="W689" s="47" t="str"/>
      <x:c r="X689" s="50" t="str"/>
      <x:c r="Y689" s="50" t="str"/>
      <x:c r="Z689" s="47" t="str"/>
      <x:c r="AA689" s="47" t="str">
        <x:v>No direct published reference located; do not display a crimp value.</x:v>
      </x:c>
      <x:c r="AB689" s="161" t="str">
        <x:v>Pending</x:v>
      </x:c>
    </x:row>
    <x:row r="690" ht="42" customHeight="1">
      <x:c r="A690" s="33" t="str">
        <x:v>Draft</x:v>
      </x:c>
      <x:c r="B690" s="47" t="str">
        <x:v>COMP_0686</x:v>
      </x:c>
      <x:c r="C690" s="47" t="str">
        <x:v>EN2SC_004</x:v>
      </x:c>
      <x:c r="D690" s="47" t="str">
        <x:v>BSPT_M_FX_06_08</x:v>
      </x:c>
      <x:c r="E690" s="47" t="str">
        <x:v>EN2SC_2WB_004</x:v>
      </x:c>
      <x:c r="F690" s="47" t="str"/>
      <x:c r="G690" s="33" t="str"/>
      <x:c r="H690" s="50" t="str"/>
      <x:c r="I690" s="50" t="str"/>
      <x:c r="J690" s="50" t="str"/>
      <x:c r="K690" s="47" t="str"/>
      <x:c r="L690" s="50" t="str"/>
      <x:c r="M690" s="50" t="str"/>
      <x:c r="N690" s="47" t="str"/>
      <x:c r="O690" s="50" t="str"/>
      <x:c r="P690" s="64" t="str">
        <x:f>IF(O690="","",O690*2)</x:f>
      </x:c>
      <x:c r="Q690" s="50" t="str"/>
      <x:c r="R690" s="47" t="str"/>
      <x:c r="S690" s="33" t="str">
        <x:v>Not Tested</x:v>
      </x:c>
      <x:c r="T690" s="64" t="str">
        <x:v>Eligible</x:v>
      </x:c>
      <x:c r="U690" s="47" t="str"/>
      <x:c r="V690" s="47" t="str"/>
      <x:c r="W690" s="47" t="str"/>
      <x:c r="X690" s="50" t="str"/>
      <x:c r="Y690" s="50" t="str"/>
      <x:c r="Z690" s="47" t="str"/>
      <x:c r="AA690" s="47" t="str">
        <x:v>No direct published reference located; do not display a crimp value.</x:v>
      </x:c>
      <x:c r="AB690" s="161" t="str">
        <x:v>Pending</x:v>
      </x:c>
    </x:row>
    <x:row r="691" ht="42" customHeight="1">
      <x:c r="A691" s="33" t="str">
        <x:v>Draft</x:v>
      </x:c>
      <x:c r="B691" s="47" t="str">
        <x:v>COMP_0687</x:v>
      </x:c>
      <x:c r="C691" s="47" t="str">
        <x:v>EN2SC_004</x:v>
      </x:c>
      <x:c r="D691" s="47" t="str">
        <x:v>BSPT_M_FX_08_08</x:v>
      </x:c>
      <x:c r="E691" s="47" t="str">
        <x:v>EN2SC_2WB_004</x:v>
      </x:c>
      <x:c r="F691" s="47" t="str"/>
      <x:c r="G691" s="33" t="str"/>
      <x:c r="H691" s="50" t="str"/>
      <x:c r="I691" s="50" t="str"/>
      <x:c r="J691" s="50" t="str"/>
      <x:c r="K691" s="47" t="str"/>
      <x:c r="L691" s="50" t="str"/>
      <x:c r="M691" s="50" t="str"/>
      <x:c r="N691" s="47" t="str"/>
      <x:c r="O691" s="50" t="str"/>
      <x:c r="P691" s="64" t="str">
        <x:f>IF(O691="","",O691*2)</x:f>
      </x:c>
      <x:c r="Q691" s="50" t="str"/>
      <x:c r="R691" s="47" t="str"/>
      <x:c r="S691" s="33" t="str">
        <x:v>Not Tested</x:v>
      </x:c>
      <x:c r="T691" s="64" t="str">
        <x:v>Eligible</x:v>
      </x:c>
      <x:c r="U691" s="47" t="str"/>
      <x:c r="V691" s="47" t="str"/>
      <x:c r="W691" s="47" t="str"/>
      <x:c r="X691" s="50" t="str"/>
      <x:c r="Y691" s="50" t="str"/>
      <x:c r="Z691" s="47" t="str"/>
      <x:c r="AA691" s="47" t="str">
        <x:v>No direct published reference located; do not display a crimp value.</x:v>
      </x:c>
      <x:c r="AB691" s="161" t="str">
        <x:v>Pending</x:v>
      </x:c>
    </x:row>
    <x:row r="692" ht="42" customHeight="1">
      <x:c r="A692" s="33" t="str">
        <x:v>Draft</x:v>
      </x:c>
      <x:c r="B692" s="47" t="str">
        <x:v>COMP_0688</x:v>
      </x:c>
      <x:c r="C692" s="47" t="str">
        <x:v>EN2SC_004</x:v>
      </x:c>
      <x:c r="D692" s="47" t="str">
        <x:v>JIC_F_SW_06_08</x:v>
      </x:c>
      <x:c r="E692" s="47" t="str">
        <x:v>EN2SC_2WB_004</x:v>
      </x:c>
      <x:c r="F692" s="47" t="str"/>
      <x:c r="G692" s="33" t="str"/>
      <x:c r="H692" s="50" t="str"/>
      <x:c r="I692" s="50" t="str"/>
      <x:c r="J692" s="50" t="str"/>
      <x:c r="K692" s="47" t="str"/>
      <x:c r="L692" s="50" t="str"/>
      <x:c r="M692" s="50" t="str"/>
      <x:c r="N692" s="47" t="str"/>
      <x:c r="O692" s="50" t="str"/>
      <x:c r="P692" s="64" t="str">
        <x:f>IF(O692="","",O692*2)</x:f>
      </x:c>
      <x:c r="Q692" s="50" t="str"/>
      <x:c r="R692" s="47" t="str"/>
      <x:c r="S692" s="33" t="str">
        <x:v>Not Tested</x:v>
      </x:c>
      <x:c r="T692" s="64" t="str">
        <x:v>Eligible</x:v>
      </x:c>
      <x:c r="U692" s="47" t="str"/>
      <x:c r="V692" s="47" t="str"/>
      <x:c r="W692" s="47" t="str"/>
      <x:c r="X692" s="50" t="str"/>
      <x:c r="Y692" s="50" t="str"/>
      <x:c r="Z692" s="47" t="str"/>
      <x:c r="AA692" s="47" t="str">
        <x:v>No direct published reference located; do not display a crimp value.</x:v>
      </x:c>
      <x:c r="AB692" s="161" t="str">
        <x:v>Pending</x:v>
      </x:c>
    </x:row>
    <x:row r="693" ht="42" customHeight="1">
      <x:c r="A693" s="33" t="str">
        <x:v>Draft</x:v>
      </x:c>
      <x:c r="B693" s="47" t="str">
        <x:v>COMP_0689</x:v>
      </x:c>
      <x:c r="C693" s="47" t="str">
        <x:v>EN2SC_004</x:v>
      </x:c>
      <x:c r="D693" s="47" t="str">
        <x:v>JIC_F_SW_08_08</x:v>
      </x:c>
      <x:c r="E693" s="47" t="str">
        <x:v>EN2SC_2WB_004</x:v>
      </x:c>
      <x:c r="F693" s="47" t="str"/>
      <x:c r="G693" s="33" t="str"/>
      <x:c r="H693" s="50" t="str"/>
      <x:c r="I693" s="50" t="str"/>
      <x:c r="J693" s="50" t="str"/>
      <x:c r="K693" s="47" t="str"/>
      <x:c r="L693" s="50" t="str"/>
      <x:c r="M693" s="50" t="str"/>
      <x:c r="N693" s="47" t="str"/>
      <x:c r="O693" s="50" t="str"/>
      <x:c r="P693" s="64" t="str">
        <x:f>IF(O693="","",O693*2)</x:f>
      </x:c>
      <x:c r="Q693" s="50" t="str"/>
      <x:c r="R693" s="47" t="str"/>
      <x:c r="S693" s="33" t="str">
        <x:v>Not Tested</x:v>
      </x:c>
      <x:c r="T693" s="64" t="str">
        <x:v>Eligible</x:v>
      </x:c>
      <x:c r="U693" s="47" t="str"/>
      <x:c r="V693" s="47" t="str"/>
      <x:c r="W693" s="47" t="str"/>
      <x:c r="X693" s="50" t="str"/>
      <x:c r="Y693" s="50" t="str"/>
      <x:c r="Z693" s="47" t="str"/>
      <x:c r="AA693" s="47" t="str">
        <x:v>No direct published reference located; do not display a crimp value.</x:v>
      </x:c>
      <x:c r="AB693" s="161" t="str">
        <x:v>Pending</x:v>
      </x:c>
    </x:row>
    <x:row r="694" ht="42" customHeight="1">
      <x:c r="A694" s="33" t="str">
        <x:v>Draft</x:v>
      </x:c>
      <x:c r="B694" s="47" t="str">
        <x:v>COMP_0690</x:v>
      </x:c>
      <x:c r="C694" s="47" t="str">
        <x:v>EN2SC_004</x:v>
      </x:c>
      <x:c r="D694" s="47" t="str">
        <x:v>JIC_F_SW_10_08</x:v>
      </x:c>
      <x:c r="E694" s="47" t="str">
        <x:v>EN2SC_2WB_004</x:v>
      </x:c>
      <x:c r="F694" s="47" t="str"/>
      <x:c r="G694" s="33" t="str"/>
      <x:c r="H694" s="50" t="str"/>
      <x:c r="I694" s="50" t="str"/>
      <x:c r="J694" s="50" t="str"/>
      <x:c r="K694" s="47" t="str"/>
      <x:c r="L694" s="50" t="str"/>
      <x:c r="M694" s="50" t="str"/>
      <x:c r="N694" s="47" t="str"/>
      <x:c r="O694" s="50" t="str"/>
      <x:c r="P694" s="64" t="str">
        <x:f>IF(O694="","",O694*2)</x:f>
      </x:c>
      <x:c r="Q694" s="50" t="str"/>
      <x:c r="R694" s="47" t="str"/>
      <x:c r="S694" s="33" t="str">
        <x:v>Not Tested</x:v>
      </x:c>
      <x:c r="T694" s="64" t="str">
        <x:v>Eligible</x:v>
      </x:c>
      <x:c r="U694" s="47" t="str"/>
      <x:c r="V694" s="47" t="str"/>
      <x:c r="W694" s="47" t="str"/>
      <x:c r="X694" s="50" t="str"/>
      <x:c r="Y694" s="50" t="str"/>
      <x:c r="Z694" s="47" t="str"/>
      <x:c r="AA694" s="47" t="str">
        <x:v>No direct published reference located; do not display a crimp value.</x:v>
      </x:c>
      <x:c r="AB694" s="161" t="str">
        <x:v>Pending</x:v>
      </x:c>
    </x:row>
    <x:row r="695" ht="42" customHeight="1">
      <x:c r="A695" s="33" t="str">
        <x:v>Draft</x:v>
      </x:c>
      <x:c r="B695" s="47" t="str">
        <x:v>COMP_0691</x:v>
      </x:c>
      <x:c r="C695" s="47" t="str">
        <x:v>EN2SC_004</x:v>
      </x:c>
      <x:c r="D695" s="47" t="str">
        <x:v>JIC_F_SW_12_08</x:v>
      </x:c>
      <x:c r="E695" s="47" t="str">
        <x:v>EN2SC_2WB_004</x:v>
      </x:c>
      <x:c r="F695" s="47" t="str"/>
      <x:c r="G695" s="33" t="str"/>
      <x:c r="H695" s="50" t="str"/>
      <x:c r="I695" s="50" t="str"/>
      <x:c r="J695" s="50" t="str"/>
      <x:c r="K695" s="47" t="str"/>
      <x:c r="L695" s="50" t="str"/>
      <x:c r="M695" s="50" t="str"/>
      <x:c r="N695" s="47" t="str"/>
      <x:c r="O695" s="50" t="str"/>
      <x:c r="P695" s="64" t="str">
        <x:f>IF(O695="","",O695*2)</x:f>
      </x:c>
      <x:c r="Q695" s="50" t="str"/>
      <x:c r="R695" s="47" t="str"/>
      <x:c r="S695" s="33" t="str">
        <x:v>Not Tested</x:v>
      </x:c>
      <x:c r="T695" s="64" t="str">
        <x:v>Eligible</x:v>
      </x:c>
      <x:c r="U695" s="47" t="str"/>
      <x:c r="V695" s="47" t="str"/>
      <x:c r="W695" s="47" t="str"/>
      <x:c r="X695" s="50" t="str"/>
      <x:c r="Y695" s="50" t="str"/>
      <x:c r="Z695" s="47" t="str"/>
      <x:c r="AA695" s="47" t="str">
        <x:v>No direct published reference located; do not display a crimp value.</x:v>
      </x:c>
      <x:c r="AB695" s="161" t="str">
        <x:v>Pending</x:v>
      </x:c>
    </x:row>
    <x:row r="696" ht="42" customHeight="1">
      <x:c r="A696" s="33" t="str">
        <x:v>Draft</x:v>
      </x:c>
      <x:c r="B696" s="47" t="str">
        <x:v>COMP_0692</x:v>
      </x:c>
      <x:c r="C696" s="47" t="str">
        <x:v>EN2SC_004</x:v>
      </x:c>
      <x:c r="D696" s="47" t="str">
        <x:v>JIC_M_FX_06_08</x:v>
      </x:c>
      <x:c r="E696" s="47" t="str">
        <x:v>EN2SC_2WB_004</x:v>
      </x:c>
      <x:c r="F696" s="47" t="str"/>
      <x:c r="G696" s="33" t="str"/>
      <x:c r="H696" s="50" t="str"/>
      <x:c r="I696" s="50" t="str"/>
      <x:c r="J696" s="50" t="str"/>
      <x:c r="K696" s="47" t="str"/>
      <x:c r="L696" s="50" t="str"/>
      <x:c r="M696" s="50" t="str"/>
      <x:c r="N696" s="47" t="str"/>
      <x:c r="O696" s="50" t="str"/>
      <x:c r="P696" s="64" t="str">
        <x:f>IF(O696="","",O696*2)</x:f>
      </x:c>
      <x:c r="Q696" s="50" t="str"/>
      <x:c r="R696" s="47" t="str"/>
      <x:c r="S696" s="33" t="str">
        <x:v>Not Tested</x:v>
      </x:c>
      <x:c r="T696" s="64" t="str">
        <x:v>Eligible</x:v>
      </x:c>
      <x:c r="U696" s="47" t="str"/>
      <x:c r="V696" s="47" t="str"/>
      <x:c r="W696" s="47" t="str"/>
      <x:c r="X696" s="50" t="str"/>
      <x:c r="Y696" s="50" t="str"/>
      <x:c r="Z696" s="47" t="str"/>
      <x:c r="AA696" s="47" t="str">
        <x:v>No direct published reference located; do not display a crimp value.</x:v>
      </x:c>
      <x:c r="AB696" s="161" t="str">
        <x:v>Pending</x:v>
      </x:c>
    </x:row>
    <x:row r="697" ht="42" customHeight="1">
      <x:c r="A697" s="33" t="str">
        <x:v>Draft</x:v>
      </x:c>
      <x:c r="B697" s="47" t="str">
        <x:v>COMP_0693</x:v>
      </x:c>
      <x:c r="C697" s="47" t="str">
        <x:v>EN2SC_004</x:v>
      </x:c>
      <x:c r="D697" s="47" t="str">
        <x:v>JIC_M_FX_08_08</x:v>
      </x:c>
      <x:c r="E697" s="47" t="str">
        <x:v>EN2SC_2WB_004</x:v>
      </x:c>
      <x:c r="F697" s="47" t="str"/>
      <x:c r="G697" s="33" t="str"/>
      <x:c r="H697" s="50" t="str"/>
      <x:c r="I697" s="50" t="str"/>
      <x:c r="J697" s="50" t="str"/>
      <x:c r="K697" s="47" t="str"/>
      <x:c r="L697" s="50" t="str"/>
      <x:c r="M697" s="50" t="str"/>
      <x:c r="N697" s="47" t="str"/>
      <x:c r="O697" s="50" t="str"/>
      <x:c r="P697" s="64" t="str">
        <x:f>IF(O697="","",O697*2)</x:f>
      </x:c>
      <x:c r="Q697" s="50" t="str"/>
      <x:c r="R697" s="47" t="str"/>
      <x:c r="S697" s="33" t="str">
        <x:v>Not Tested</x:v>
      </x:c>
      <x:c r="T697" s="64" t="str">
        <x:v>Eligible</x:v>
      </x:c>
      <x:c r="U697" s="47" t="str"/>
      <x:c r="V697" s="47" t="str"/>
      <x:c r="W697" s="47" t="str"/>
      <x:c r="X697" s="50" t="str"/>
      <x:c r="Y697" s="50" t="str"/>
      <x:c r="Z697" s="47" t="str"/>
      <x:c r="AA697" s="47" t="str">
        <x:v>No direct published reference located; do not display a crimp value.</x:v>
      </x:c>
      <x:c r="AB697" s="161" t="str">
        <x:v>Pending</x:v>
      </x:c>
    </x:row>
    <x:row r="698" ht="42" customHeight="1">
      <x:c r="A698" s="33" t="str">
        <x:v>Draft</x:v>
      </x:c>
      <x:c r="B698" s="47" t="str">
        <x:v>COMP_0694</x:v>
      </x:c>
      <x:c r="C698" s="47" t="str">
        <x:v>EN2SC_004</x:v>
      </x:c>
      <x:c r="D698" s="47" t="str">
        <x:v>JIC_M_FX_10_08</x:v>
      </x:c>
      <x:c r="E698" s="47" t="str">
        <x:v>EN2SC_2WB_004</x:v>
      </x:c>
      <x:c r="F698" s="47" t="str"/>
      <x:c r="G698" s="33" t="str"/>
      <x:c r="H698" s="50" t="str"/>
      <x:c r="I698" s="50" t="str"/>
      <x:c r="J698" s="50" t="str"/>
      <x:c r="K698" s="47" t="str"/>
      <x:c r="L698" s="50" t="str"/>
      <x:c r="M698" s="50" t="str"/>
      <x:c r="N698" s="47" t="str"/>
      <x:c r="O698" s="50" t="str"/>
      <x:c r="P698" s="64" t="str">
        <x:f>IF(O698="","",O698*2)</x:f>
      </x:c>
      <x:c r="Q698" s="50" t="str"/>
      <x:c r="R698" s="47" t="str"/>
      <x:c r="S698" s="33" t="str">
        <x:v>Not Tested</x:v>
      </x:c>
      <x:c r="T698" s="64" t="str">
        <x:v>Eligible</x:v>
      </x:c>
      <x:c r="U698" s="47" t="str"/>
      <x:c r="V698" s="47" t="str"/>
      <x:c r="W698" s="47" t="str"/>
      <x:c r="X698" s="50" t="str"/>
      <x:c r="Y698" s="50" t="str"/>
      <x:c r="Z698" s="47" t="str"/>
      <x:c r="AA698" s="47" t="str">
        <x:v>No direct published reference located; do not display a crimp value.</x:v>
      </x:c>
      <x:c r="AB698" s="161" t="str">
        <x:v>Pending</x:v>
      </x:c>
    </x:row>
    <x:row r="699" ht="42" customHeight="1">
      <x:c r="A699" s="33" t="str">
        <x:v>Draft</x:v>
      </x:c>
      <x:c r="B699" s="47" t="str">
        <x:v>COMP_0695</x:v>
      </x:c>
      <x:c r="C699" s="47" t="str">
        <x:v>EN2SC_004</x:v>
      </x:c>
      <x:c r="D699" s="47" t="str">
        <x:v>JIC_M_FX_12_08</x:v>
      </x:c>
      <x:c r="E699" s="47" t="str">
        <x:v>EN2SC_2WB_004</x:v>
      </x:c>
      <x:c r="F699" s="47" t="str"/>
      <x:c r="G699" s="33" t="str"/>
      <x:c r="H699" s="50" t="str"/>
      <x:c r="I699" s="50" t="str"/>
      <x:c r="J699" s="50" t="str"/>
      <x:c r="K699" s="47" t="str"/>
      <x:c r="L699" s="50" t="str"/>
      <x:c r="M699" s="50" t="str"/>
      <x:c r="N699" s="47" t="str"/>
      <x:c r="O699" s="50" t="str"/>
      <x:c r="P699" s="64" t="str">
        <x:f>IF(O699="","",O699*2)</x:f>
      </x:c>
      <x:c r="Q699" s="50" t="str"/>
      <x:c r="R699" s="47" t="str"/>
      <x:c r="S699" s="33" t="str">
        <x:v>Not Tested</x:v>
      </x:c>
      <x:c r="T699" s="64" t="str">
        <x:v>Eligible</x:v>
      </x:c>
      <x:c r="U699" s="47" t="str"/>
      <x:c r="V699" s="47" t="str"/>
      <x:c r="W699" s="47" t="str"/>
      <x:c r="X699" s="50" t="str"/>
      <x:c r="Y699" s="50" t="str"/>
      <x:c r="Z699" s="47" t="str"/>
      <x:c r="AA699" s="47" t="str">
        <x:v>No direct published reference located; do not display a crimp value.</x:v>
      </x:c>
      <x:c r="AB699" s="161" t="str">
        <x:v>Pending</x:v>
      </x:c>
    </x:row>
    <x:row r="700" ht="42" customHeight="1">
      <x:c r="A700" s="33" t="str">
        <x:v>Draft</x:v>
      </x:c>
      <x:c r="B700" s="47" t="str">
        <x:v>COMP_0696</x:v>
      </x:c>
      <x:c r="C700" s="47" t="str">
        <x:v>EN2SC_004</x:v>
      </x:c>
      <x:c r="D700" s="47" t="str">
        <x:v>JIC45_F_SW_08_08</x:v>
      </x:c>
      <x:c r="E700" s="47" t="str">
        <x:v>EN2SC_2WB_004</x:v>
      </x:c>
      <x:c r="F700" s="47" t="str"/>
      <x:c r="G700" s="33" t="str"/>
      <x:c r="H700" s="50" t="str"/>
      <x:c r="I700" s="50" t="str"/>
      <x:c r="J700" s="50" t="str"/>
      <x:c r="K700" s="47" t="str"/>
      <x:c r="L700" s="50" t="str"/>
      <x:c r="M700" s="50" t="str"/>
      <x:c r="N700" s="47" t="str"/>
      <x:c r="O700" s="50" t="str"/>
      <x:c r="P700" s="64" t="str">
        <x:f>IF(O700="","",O700*2)</x:f>
      </x:c>
      <x:c r="Q700" s="50" t="str"/>
      <x:c r="R700" s="47" t="str"/>
      <x:c r="S700" s="33" t="str">
        <x:v>Not Tested</x:v>
      </x:c>
      <x:c r="T700" s="64" t="str">
        <x:v>Eligible</x:v>
      </x:c>
      <x:c r="U700" s="47" t="str"/>
      <x:c r="V700" s="47" t="str"/>
      <x:c r="W700" s="47" t="str"/>
      <x:c r="X700" s="50" t="str"/>
      <x:c r="Y700" s="50" t="str"/>
      <x:c r="Z700" s="47" t="str"/>
      <x:c r="AA700" s="47" t="str">
        <x:v>No direct published reference located; do not display a crimp value.</x:v>
      </x:c>
      <x:c r="AB700" s="161" t="str">
        <x:v>Pending</x:v>
      </x:c>
    </x:row>
    <x:row r="701" ht="42" customHeight="1">
      <x:c r="A701" s="33" t="str">
        <x:v>Draft</x:v>
      </x:c>
      <x:c r="B701" s="47" t="str">
        <x:v>COMP_0697</x:v>
      </x:c>
      <x:c r="C701" s="47" t="str">
        <x:v>EN2SC_004</x:v>
      </x:c>
      <x:c r="D701" s="47" t="str">
        <x:v>JIC45_F_SW_10_08</x:v>
      </x:c>
      <x:c r="E701" s="47" t="str">
        <x:v>EN2SC_2WB_004</x:v>
      </x:c>
      <x:c r="F701" s="47" t="str"/>
      <x:c r="G701" s="33" t="str"/>
      <x:c r="H701" s="50" t="str"/>
      <x:c r="I701" s="50" t="str"/>
      <x:c r="J701" s="50" t="str"/>
      <x:c r="K701" s="47" t="str"/>
      <x:c r="L701" s="50" t="str"/>
      <x:c r="M701" s="50" t="str"/>
      <x:c r="N701" s="47" t="str"/>
      <x:c r="O701" s="50" t="str"/>
      <x:c r="P701" s="64" t="str">
        <x:f>IF(O701="","",O701*2)</x:f>
      </x:c>
      <x:c r="Q701" s="50" t="str"/>
      <x:c r="R701" s="47" t="str"/>
      <x:c r="S701" s="33" t="str">
        <x:v>Not Tested</x:v>
      </x:c>
      <x:c r="T701" s="64" t="str">
        <x:v>Eligible</x:v>
      </x:c>
      <x:c r="U701" s="47" t="str"/>
      <x:c r="V701" s="47" t="str"/>
      <x:c r="W701" s="47" t="str"/>
      <x:c r="X701" s="50" t="str"/>
      <x:c r="Y701" s="50" t="str"/>
      <x:c r="Z701" s="47" t="str"/>
      <x:c r="AA701" s="47" t="str">
        <x:v>No direct published reference located; do not display a crimp value.</x:v>
      </x:c>
      <x:c r="AB701" s="161" t="str">
        <x:v>Pending</x:v>
      </x:c>
    </x:row>
    <x:row r="702" ht="42" customHeight="1">
      <x:c r="A702" s="33" t="str">
        <x:v>Draft</x:v>
      </x:c>
      <x:c r="B702" s="47" t="str">
        <x:v>COMP_0698</x:v>
      </x:c>
      <x:c r="C702" s="47" t="str">
        <x:v>EN2SC_004</x:v>
      </x:c>
      <x:c r="D702" s="47" t="str">
        <x:v>JIC90_F_SW_06_08</x:v>
      </x:c>
      <x:c r="E702" s="47" t="str">
        <x:v>EN2SC_2WB_004</x:v>
      </x:c>
      <x:c r="F702" s="47" t="str"/>
      <x:c r="G702" s="33" t="str"/>
      <x:c r="H702" s="50" t="str"/>
      <x:c r="I702" s="50" t="str"/>
      <x:c r="J702" s="50" t="str"/>
      <x:c r="K702" s="47" t="str"/>
      <x:c r="L702" s="50" t="str"/>
      <x:c r="M702" s="50" t="str"/>
      <x:c r="N702" s="47" t="str"/>
      <x:c r="O702" s="50" t="str"/>
      <x:c r="P702" s="64" t="str">
        <x:f>IF(O702="","",O702*2)</x:f>
      </x:c>
      <x:c r="Q702" s="50" t="str"/>
      <x:c r="R702" s="47" t="str"/>
      <x:c r="S702" s="33" t="str">
        <x:v>Not Tested</x:v>
      </x:c>
      <x:c r="T702" s="64" t="str">
        <x:v>Eligible</x:v>
      </x:c>
      <x:c r="U702" s="47" t="str"/>
      <x:c r="V702" s="47" t="str"/>
      <x:c r="W702" s="47" t="str"/>
      <x:c r="X702" s="50" t="str"/>
      <x:c r="Y702" s="50" t="str"/>
      <x:c r="Z702" s="47" t="str"/>
      <x:c r="AA702" s="47" t="str">
        <x:v>No direct published reference located; do not display a crimp value.</x:v>
      </x:c>
      <x:c r="AB702" s="161" t="str">
        <x:v>Pending</x:v>
      </x:c>
    </x:row>
    <x:row r="703" ht="42" customHeight="1">
      <x:c r="A703" s="33" t="str">
        <x:v>Draft</x:v>
      </x:c>
      <x:c r="B703" s="47" t="str">
        <x:v>COMP_0699</x:v>
      </x:c>
      <x:c r="C703" s="47" t="str">
        <x:v>EN2SC_004</x:v>
      </x:c>
      <x:c r="D703" s="47" t="str">
        <x:v>JIC90_F_SW_08_08</x:v>
      </x:c>
      <x:c r="E703" s="47" t="str">
        <x:v>EN2SC_2WB_004</x:v>
      </x:c>
      <x:c r="F703" s="47" t="str"/>
      <x:c r="G703" s="33" t="str"/>
      <x:c r="H703" s="50" t="str"/>
      <x:c r="I703" s="50" t="str"/>
      <x:c r="J703" s="50" t="str"/>
      <x:c r="K703" s="47" t="str"/>
      <x:c r="L703" s="50" t="str"/>
      <x:c r="M703" s="50" t="str"/>
      <x:c r="N703" s="47" t="str"/>
      <x:c r="O703" s="50" t="str"/>
      <x:c r="P703" s="64" t="str">
        <x:f>IF(O703="","",O703*2)</x:f>
      </x:c>
      <x:c r="Q703" s="50" t="str"/>
      <x:c r="R703" s="47" t="str"/>
      <x:c r="S703" s="33" t="str">
        <x:v>Not Tested</x:v>
      </x:c>
      <x:c r="T703" s="64" t="str">
        <x:v>Eligible</x:v>
      </x:c>
      <x:c r="U703" s="47" t="str"/>
      <x:c r="V703" s="47" t="str"/>
      <x:c r="W703" s="47" t="str"/>
      <x:c r="X703" s="50" t="str"/>
      <x:c r="Y703" s="50" t="str"/>
      <x:c r="Z703" s="47" t="str"/>
      <x:c r="AA703" s="47" t="str">
        <x:v>No direct published reference located; do not display a crimp value.</x:v>
      </x:c>
      <x:c r="AB703" s="161" t="str">
        <x:v>Pending</x:v>
      </x:c>
    </x:row>
    <x:row r="704" ht="42" customHeight="1">
      <x:c r="A704" s="33" t="str">
        <x:v>Draft</x:v>
      </x:c>
      <x:c r="B704" s="47" t="str">
        <x:v>COMP_0700</x:v>
      </x:c>
      <x:c r="C704" s="47" t="str">
        <x:v>EN2SC_004</x:v>
      </x:c>
      <x:c r="D704" s="47" t="str">
        <x:v>JIC90_F_SW_10_08</x:v>
      </x:c>
      <x:c r="E704" s="47" t="str">
        <x:v>EN2SC_2WB_004</x:v>
      </x:c>
      <x:c r="F704" s="47" t="str"/>
      <x:c r="G704" s="33" t="str"/>
      <x:c r="H704" s="50" t="str"/>
      <x:c r="I704" s="50" t="str"/>
      <x:c r="J704" s="50" t="str"/>
      <x:c r="K704" s="47" t="str"/>
      <x:c r="L704" s="50" t="str"/>
      <x:c r="M704" s="50" t="str"/>
      <x:c r="N704" s="47" t="str"/>
      <x:c r="O704" s="50" t="str"/>
      <x:c r="P704" s="64" t="str">
        <x:f>IF(O704="","",O704*2)</x:f>
      </x:c>
      <x:c r="Q704" s="50" t="str"/>
      <x:c r="R704" s="47" t="str"/>
      <x:c r="S704" s="33" t="str">
        <x:v>Not Tested</x:v>
      </x:c>
      <x:c r="T704" s="64" t="str">
        <x:v>Eligible</x:v>
      </x:c>
      <x:c r="U704" s="47" t="str"/>
      <x:c r="V704" s="47" t="str"/>
      <x:c r="W704" s="47" t="str"/>
      <x:c r="X704" s="50" t="str"/>
      <x:c r="Y704" s="50" t="str"/>
      <x:c r="Z704" s="47" t="str"/>
      <x:c r="AA704" s="47" t="str">
        <x:v>No direct published reference located; do not display a crimp value.</x:v>
      </x:c>
      <x:c r="AB704" s="161" t="str">
        <x:v>Pending</x:v>
      </x:c>
    </x:row>
    <x:row r="705" ht="42" customHeight="1">
      <x:c r="A705" s="33" t="str">
        <x:v>Draft</x:v>
      </x:c>
      <x:c r="B705" s="47" t="str">
        <x:v>COMP_0701</x:v>
      </x:c>
      <x:c r="C705" s="47" t="str">
        <x:v>EN2SC_004</x:v>
      </x:c>
      <x:c r="D705" s="47" t="str">
        <x:v>JIC90_F_SW_12_08</x:v>
      </x:c>
      <x:c r="E705" s="47" t="str">
        <x:v>EN2SC_2WB_004</x:v>
      </x:c>
      <x:c r="F705" s="47" t="str"/>
      <x:c r="G705" s="33" t="str"/>
      <x:c r="H705" s="50" t="str"/>
      <x:c r="I705" s="50" t="str"/>
      <x:c r="J705" s="50" t="str"/>
      <x:c r="K705" s="47" t="str"/>
      <x:c r="L705" s="50" t="str"/>
      <x:c r="M705" s="50" t="str"/>
      <x:c r="N705" s="47" t="str"/>
      <x:c r="O705" s="50" t="str"/>
      <x:c r="P705" s="64" t="str">
        <x:f>IF(O705="","",O705*2)</x:f>
      </x:c>
      <x:c r="Q705" s="50" t="str"/>
      <x:c r="R705" s="47" t="str"/>
      <x:c r="S705" s="33" t="str">
        <x:v>Not Tested</x:v>
      </x:c>
      <x:c r="T705" s="64" t="str">
        <x:v>Eligible</x:v>
      </x:c>
      <x:c r="U705" s="47" t="str"/>
      <x:c r="V705" s="47" t="str"/>
      <x:c r="W705" s="47" t="str"/>
      <x:c r="X705" s="50" t="str"/>
      <x:c r="Y705" s="50" t="str"/>
      <x:c r="Z705" s="47" t="str"/>
      <x:c r="AA705" s="47" t="str">
        <x:v>No direct published reference located; do not display a crimp value.</x:v>
      </x:c>
      <x:c r="AB705" s="161" t="str">
        <x:v>Pending</x:v>
      </x:c>
    </x:row>
    <x:row r="706" ht="42" customHeight="1">
      <x:c r="A706" s="33" t="str">
        <x:v>Draft</x:v>
      </x:c>
      <x:c r="B706" s="47" t="str">
        <x:v>COMP_0702</x:v>
      </x:c>
      <x:c r="C706" s="47" t="str">
        <x:v>EN2SC_004</x:v>
      </x:c>
      <x:c r="D706" s="47" t="str">
        <x:v>NPT_F_FX_08_08</x:v>
      </x:c>
      <x:c r="E706" s="47" t="str">
        <x:v>EN2SC_2WB_004</x:v>
      </x:c>
      <x:c r="F706" s="47" t="str"/>
      <x:c r="G706" s="33" t="str"/>
      <x:c r="H706" s="50" t="str"/>
      <x:c r="I706" s="50" t="str"/>
      <x:c r="J706" s="50" t="str"/>
      <x:c r="K706" s="47" t="str"/>
      <x:c r="L706" s="50" t="str"/>
      <x:c r="M706" s="50" t="str"/>
      <x:c r="N706" s="47" t="str"/>
      <x:c r="O706" s="50" t="str"/>
      <x:c r="P706" s="64" t="str">
        <x:f>IF(O706="","",O706*2)</x:f>
      </x:c>
      <x:c r="Q706" s="50" t="str"/>
      <x:c r="R706" s="47" t="str"/>
      <x:c r="S706" s="33" t="str">
        <x:v>Not Tested</x:v>
      </x:c>
      <x:c r="T706" s="64" t="str">
        <x:v>Eligible</x:v>
      </x:c>
      <x:c r="U706" s="47" t="str"/>
      <x:c r="V706" s="47" t="str"/>
      <x:c r="W706" s="47" t="str"/>
      <x:c r="X706" s="50" t="str"/>
      <x:c r="Y706" s="50" t="str"/>
      <x:c r="Z706" s="47" t="str"/>
      <x:c r="AA706" s="47" t="str">
        <x:v>No direct published reference located; do not display a crimp value.</x:v>
      </x:c>
      <x:c r="AB706" s="161" t="str">
        <x:v>Pending</x:v>
      </x:c>
    </x:row>
    <x:row r="707" ht="42" customHeight="1">
      <x:c r="A707" s="33" t="str">
        <x:v>Draft</x:v>
      </x:c>
      <x:c r="B707" s="47" t="str">
        <x:v>COMP_0703</x:v>
      </x:c>
      <x:c r="C707" s="47" t="str">
        <x:v>EN2SC_004</x:v>
      </x:c>
      <x:c r="D707" s="47" t="str">
        <x:v>NPT_M_FX_06_08</x:v>
      </x:c>
      <x:c r="E707" s="47" t="str">
        <x:v>EN2SC_2WB_004</x:v>
      </x:c>
      <x:c r="F707" s="47" t="str"/>
      <x:c r="G707" s="33" t="str"/>
      <x:c r="H707" s="50" t="str"/>
      <x:c r="I707" s="50" t="str"/>
      <x:c r="J707" s="50" t="str"/>
      <x:c r="K707" s="47" t="str"/>
      <x:c r="L707" s="50" t="str"/>
      <x:c r="M707" s="50" t="str"/>
      <x:c r="N707" s="47" t="str"/>
      <x:c r="O707" s="50" t="str"/>
      <x:c r="P707" s="64" t="str">
        <x:f>IF(O707="","",O707*2)</x:f>
      </x:c>
      <x:c r="Q707" s="50" t="str"/>
      <x:c r="R707" s="47" t="str"/>
      <x:c r="S707" s="33" t="str">
        <x:v>Not Tested</x:v>
      </x:c>
      <x:c r="T707" s="64" t="str">
        <x:v>Eligible</x:v>
      </x:c>
      <x:c r="U707" s="47" t="str"/>
      <x:c r="V707" s="47" t="str"/>
      <x:c r="W707" s="47" t="str"/>
      <x:c r="X707" s="50" t="str"/>
      <x:c r="Y707" s="50" t="str"/>
      <x:c r="Z707" s="47" t="str"/>
      <x:c r="AA707" s="47" t="str">
        <x:v>No direct published reference located; do not display a crimp value.</x:v>
      </x:c>
      <x:c r="AB707" s="161" t="str">
        <x:v>Pending</x:v>
      </x:c>
    </x:row>
    <x:row r="708" ht="42" customHeight="1">
      <x:c r="A708" s="33" t="str">
        <x:v>Draft</x:v>
      </x:c>
      <x:c r="B708" s="47" t="str">
        <x:v>COMP_0704</x:v>
      </x:c>
      <x:c r="C708" s="47" t="str">
        <x:v>EN2SC_004</x:v>
      </x:c>
      <x:c r="D708" s="47" t="str">
        <x:v>NPT_M_FX_08_08</x:v>
      </x:c>
      <x:c r="E708" s="47" t="str">
        <x:v>EN2SC_2WB_004</x:v>
      </x:c>
      <x:c r="F708" s="47" t="str"/>
      <x:c r="G708" s="33" t="str"/>
      <x:c r="H708" s="50" t="str"/>
      <x:c r="I708" s="50" t="str"/>
      <x:c r="J708" s="50" t="str"/>
      <x:c r="K708" s="47" t="str"/>
      <x:c r="L708" s="50" t="str"/>
      <x:c r="M708" s="50" t="str"/>
      <x:c r="N708" s="47" t="str"/>
      <x:c r="O708" s="50" t="str"/>
      <x:c r="P708" s="64" t="str">
        <x:f>IF(O708="","",O708*2)</x:f>
      </x:c>
      <x:c r="Q708" s="50" t="str"/>
      <x:c r="R708" s="47" t="str"/>
      <x:c r="S708" s="33" t="str">
        <x:v>Not Tested</x:v>
      </x:c>
      <x:c r="T708" s="64" t="str">
        <x:v>Eligible</x:v>
      </x:c>
      <x:c r="U708" s="47" t="str"/>
      <x:c r="V708" s="47" t="str"/>
      <x:c r="W708" s="47" t="str"/>
      <x:c r="X708" s="50" t="str"/>
      <x:c r="Y708" s="50" t="str"/>
      <x:c r="Z708" s="47" t="str"/>
      <x:c r="AA708" s="47" t="str">
        <x:v>No direct published reference located; do not display a crimp value.</x:v>
      </x:c>
      <x:c r="AB708" s="161" t="str">
        <x:v>Pending</x:v>
      </x:c>
    </x:row>
    <x:row r="709" ht="42" customHeight="1">
      <x:c r="A709" s="33" t="str">
        <x:v>Draft</x:v>
      </x:c>
      <x:c r="B709" s="47" t="str">
        <x:v>COMP_0705</x:v>
      </x:c>
      <x:c r="C709" s="47" t="str">
        <x:v>EN2SC_004</x:v>
      </x:c>
      <x:c r="D709" s="47" t="str">
        <x:v>NPT_M_FX_12_08</x:v>
      </x:c>
      <x:c r="E709" s="47" t="str">
        <x:v>EN2SC_2WB_004</x:v>
      </x:c>
      <x:c r="F709" s="47" t="str"/>
      <x:c r="G709" s="33" t="str"/>
      <x:c r="H709" s="50" t="str"/>
      <x:c r="I709" s="50" t="str"/>
      <x:c r="J709" s="50" t="str"/>
      <x:c r="K709" s="47" t="str"/>
      <x:c r="L709" s="50" t="str"/>
      <x:c r="M709" s="50" t="str"/>
      <x:c r="N709" s="47" t="str"/>
      <x:c r="O709" s="50" t="str"/>
      <x:c r="P709" s="64" t="str">
        <x:f>IF(O709="","",O709*2)</x:f>
      </x:c>
      <x:c r="Q709" s="50" t="str"/>
      <x:c r="R709" s="47" t="str"/>
      <x:c r="S709" s="33" t="str">
        <x:v>Not Tested</x:v>
      </x:c>
      <x:c r="T709" s="64" t="str">
        <x:v>Eligible</x:v>
      </x:c>
      <x:c r="U709" s="47" t="str"/>
      <x:c r="V709" s="47" t="str"/>
      <x:c r="W709" s="47" t="str"/>
      <x:c r="X709" s="50" t="str"/>
      <x:c r="Y709" s="50" t="str"/>
      <x:c r="Z709" s="47" t="str"/>
      <x:c r="AA709" s="47" t="str">
        <x:v>No direct published reference located; do not display a crimp value.</x:v>
      </x:c>
      <x:c r="AB709" s="161" t="str">
        <x:v>Pending</x:v>
      </x:c>
    </x:row>
    <x:row r="710" ht="42" customHeight="1">
      <x:c r="A710" s="33" t="str">
        <x:v>Draft</x:v>
      </x:c>
      <x:c r="B710" s="47" t="str">
        <x:v>COMP_0706</x:v>
      </x:c>
      <x:c r="C710" s="47" t="str">
        <x:v>EN2SC_004</x:v>
      </x:c>
      <x:c r="D710" s="47" t="str">
        <x:v>NPT90_M_SW_08_08</x:v>
      </x:c>
      <x:c r="E710" s="47" t="str">
        <x:v>EN2SC_2WB_004</x:v>
      </x:c>
      <x:c r="F710" s="47" t="str"/>
      <x:c r="G710" s="33" t="str"/>
      <x:c r="H710" s="50" t="str"/>
      <x:c r="I710" s="50" t="str"/>
      <x:c r="J710" s="50" t="str"/>
      <x:c r="K710" s="47" t="str"/>
      <x:c r="L710" s="50" t="str"/>
      <x:c r="M710" s="50" t="str"/>
      <x:c r="N710" s="47" t="str"/>
      <x:c r="O710" s="50" t="str"/>
      <x:c r="P710" s="64" t="str">
        <x:f>IF(O710="","",O710*2)</x:f>
      </x:c>
      <x:c r="Q710" s="50" t="str"/>
      <x:c r="R710" s="47" t="str"/>
      <x:c r="S710" s="33" t="str">
        <x:v>Not Tested</x:v>
      </x:c>
      <x:c r="T710" s="64" t="str">
        <x:v>Eligible</x:v>
      </x:c>
      <x:c r="U710" s="47" t="str"/>
      <x:c r="V710" s="47" t="str"/>
      <x:c r="W710" s="47" t="str"/>
      <x:c r="X710" s="50" t="str"/>
      <x:c r="Y710" s="50" t="str"/>
      <x:c r="Z710" s="47" t="str"/>
      <x:c r="AA710" s="47" t="str">
        <x:v>No direct published reference located; do not display a crimp value.</x:v>
      </x:c>
      <x:c r="AB710" s="161" t="str">
        <x:v>Pending</x:v>
      </x:c>
    </x:row>
    <x:row r="711" ht="42" customHeight="1">
      <x:c r="A711" s="33" t="str">
        <x:v>Draft</x:v>
      </x:c>
      <x:c r="B711" s="47" t="str">
        <x:v>COMP_0707</x:v>
      </x:c>
      <x:c r="C711" s="47" t="str">
        <x:v>EN2SC_004</x:v>
      </x:c>
      <x:c r="D711" s="47" t="str">
        <x:v>ORFS_F_SW_06_08</x:v>
      </x:c>
      <x:c r="E711" s="47" t="str">
        <x:v>EN2SC_2WB_004</x:v>
      </x:c>
      <x:c r="F711" s="47" t="str"/>
      <x:c r="G711" s="33" t="str"/>
      <x:c r="H711" s="50" t="str"/>
      <x:c r="I711" s="50" t="str"/>
      <x:c r="J711" s="50" t="str"/>
      <x:c r="K711" s="47" t="str"/>
      <x:c r="L711" s="50" t="str"/>
      <x:c r="M711" s="50" t="str"/>
      <x:c r="N711" s="47" t="str"/>
      <x:c r="O711" s="50" t="str"/>
      <x:c r="P711" s="64" t="str">
        <x:f>IF(O711="","",O711*2)</x:f>
      </x:c>
      <x:c r="Q711" s="50" t="str"/>
      <x:c r="R711" s="47" t="str"/>
      <x:c r="S711" s="33" t="str">
        <x:v>Not Tested</x:v>
      </x:c>
      <x:c r="T711" s="64" t="str">
        <x:v>Eligible</x:v>
      </x:c>
      <x:c r="U711" s="47" t="str"/>
      <x:c r="V711" s="47" t="str"/>
      <x:c r="W711" s="47" t="str"/>
      <x:c r="X711" s="50" t="str"/>
      <x:c r="Y711" s="50" t="str"/>
      <x:c r="Z711" s="47" t="str"/>
      <x:c r="AA711" s="47" t="str">
        <x:v>No direct published reference located; do not display a crimp value.</x:v>
      </x:c>
      <x:c r="AB711" s="161" t="str">
        <x:v>Pending</x:v>
      </x:c>
    </x:row>
    <x:row r="712" ht="42" customHeight="1">
      <x:c r="A712" s="33" t="str">
        <x:v>Draft</x:v>
      </x:c>
      <x:c r="B712" s="47" t="str">
        <x:v>COMP_0708</x:v>
      </x:c>
      <x:c r="C712" s="47" t="str">
        <x:v>EN2SC_004</x:v>
      </x:c>
      <x:c r="D712" s="47" t="str">
        <x:v>ORFS_F_SW_08_08</x:v>
      </x:c>
      <x:c r="E712" s="47" t="str">
        <x:v>EN2SC_2WB_004</x:v>
      </x:c>
      <x:c r="F712" s="47" t="str"/>
      <x:c r="G712" s="33" t="str"/>
      <x:c r="H712" s="50" t="str"/>
      <x:c r="I712" s="50" t="str"/>
      <x:c r="J712" s="50" t="str"/>
      <x:c r="K712" s="47" t="str"/>
      <x:c r="L712" s="50" t="str"/>
      <x:c r="M712" s="50" t="str"/>
      <x:c r="N712" s="47" t="str"/>
      <x:c r="O712" s="50" t="str"/>
      <x:c r="P712" s="64" t="str">
        <x:f>IF(O712="","",O712*2)</x:f>
      </x:c>
      <x:c r="Q712" s="50" t="str"/>
      <x:c r="R712" s="47" t="str"/>
      <x:c r="S712" s="33" t="str">
        <x:v>Not Tested</x:v>
      </x:c>
      <x:c r="T712" s="64" t="str">
        <x:v>Eligible</x:v>
      </x:c>
      <x:c r="U712" s="47" t="str"/>
      <x:c r="V712" s="47" t="str"/>
      <x:c r="W712" s="47" t="str"/>
      <x:c r="X712" s="50" t="str"/>
      <x:c r="Y712" s="50" t="str"/>
      <x:c r="Z712" s="47" t="str"/>
      <x:c r="AA712" s="47" t="str">
        <x:v>No direct published reference located; do not display a crimp value.</x:v>
      </x:c>
      <x:c r="AB712" s="161" t="str">
        <x:v>Pending</x:v>
      </x:c>
    </x:row>
    <x:row r="713" ht="42" customHeight="1">
      <x:c r="A713" s="33" t="str">
        <x:v>Draft</x:v>
      </x:c>
      <x:c r="B713" s="47" t="str">
        <x:v>COMP_0709</x:v>
      </x:c>
      <x:c r="C713" s="47" t="str">
        <x:v>EN2SC_004</x:v>
      </x:c>
      <x:c r="D713" s="47" t="str">
        <x:v>ORFS_F_SW_10_08</x:v>
      </x:c>
      <x:c r="E713" s="47" t="str">
        <x:v>EN2SC_2WB_004</x:v>
      </x:c>
      <x:c r="F713" s="47" t="str"/>
      <x:c r="G713" s="33" t="str"/>
      <x:c r="H713" s="50" t="str"/>
      <x:c r="I713" s="50" t="str"/>
      <x:c r="J713" s="50" t="str"/>
      <x:c r="K713" s="47" t="str"/>
      <x:c r="L713" s="50" t="str"/>
      <x:c r="M713" s="50" t="str"/>
      <x:c r="N713" s="47" t="str"/>
      <x:c r="O713" s="50" t="str"/>
      <x:c r="P713" s="64" t="str">
        <x:f>IF(O713="","",O713*2)</x:f>
      </x:c>
      <x:c r="Q713" s="50" t="str"/>
      <x:c r="R713" s="47" t="str"/>
      <x:c r="S713" s="33" t="str">
        <x:v>Not Tested</x:v>
      </x:c>
      <x:c r="T713" s="64" t="str">
        <x:v>Eligible</x:v>
      </x:c>
      <x:c r="U713" s="47" t="str"/>
      <x:c r="V713" s="47" t="str"/>
      <x:c r="W713" s="47" t="str"/>
      <x:c r="X713" s="50" t="str"/>
      <x:c r="Y713" s="50" t="str"/>
      <x:c r="Z713" s="47" t="str"/>
      <x:c r="AA713" s="47" t="str">
        <x:v>No direct published reference located; do not display a crimp value.</x:v>
      </x:c>
      <x:c r="AB713" s="161" t="str">
        <x:v>Pending</x:v>
      </x:c>
    </x:row>
    <x:row r="714" ht="42" customHeight="1">
      <x:c r="A714" s="33" t="str">
        <x:v>Draft</x:v>
      </x:c>
      <x:c r="B714" s="47" t="str">
        <x:v>COMP_0710</x:v>
      </x:c>
      <x:c r="C714" s="47" t="str">
        <x:v>EN2SC_004</x:v>
      </x:c>
      <x:c r="D714" s="47" t="str">
        <x:v>ORFS_F_SW_12_08</x:v>
      </x:c>
      <x:c r="E714" s="47" t="str">
        <x:v>EN2SC_2WB_004</x:v>
      </x:c>
      <x:c r="F714" s="47" t="str"/>
      <x:c r="G714" s="33" t="str"/>
      <x:c r="H714" s="50" t="str"/>
      <x:c r="I714" s="50" t="str"/>
      <x:c r="J714" s="50" t="str"/>
      <x:c r="K714" s="47" t="str"/>
      <x:c r="L714" s="50" t="str"/>
      <x:c r="M714" s="50" t="str"/>
      <x:c r="N714" s="47" t="str"/>
      <x:c r="O714" s="50" t="str"/>
      <x:c r="P714" s="64" t="str">
        <x:f>IF(O714="","",O714*2)</x:f>
      </x:c>
      <x:c r="Q714" s="50" t="str"/>
      <x:c r="R714" s="47" t="str"/>
      <x:c r="S714" s="33" t="str">
        <x:v>Not Tested</x:v>
      </x:c>
      <x:c r="T714" s="64" t="str">
        <x:v>Eligible</x:v>
      </x:c>
      <x:c r="U714" s="47" t="str"/>
      <x:c r="V714" s="47" t="str"/>
      <x:c r="W714" s="47" t="str"/>
      <x:c r="X714" s="50" t="str"/>
      <x:c r="Y714" s="50" t="str"/>
      <x:c r="Z714" s="47" t="str"/>
      <x:c r="AA714" s="47" t="str">
        <x:v>No direct published reference located; do not display a crimp value.</x:v>
      </x:c>
      <x:c r="AB714" s="161" t="str">
        <x:v>Pending</x:v>
      </x:c>
    </x:row>
    <x:row r="715" ht="42" customHeight="1">
      <x:c r="A715" s="33" t="str">
        <x:v>Draft</x:v>
      </x:c>
      <x:c r="B715" s="47" t="str">
        <x:v>COMP_0711</x:v>
      </x:c>
      <x:c r="C715" s="47" t="str">
        <x:v>EN2SC_004</x:v>
      </x:c>
      <x:c r="D715" s="47" t="str">
        <x:v>ORFS_M_FX_08_08</x:v>
      </x:c>
      <x:c r="E715" s="47" t="str">
        <x:v>EN2SC_2WB_004</x:v>
      </x:c>
      <x:c r="F715" s="47" t="str"/>
      <x:c r="G715" s="33" t="str"/>
      <x:c r="H715" s="50" t="str"/>
      <x:c r="I715" s="50" t="str"/>
      <x:c r="J715" s="50" t="str"/>
      <x:c r="K715" s="47" t="str"/>
      <x:c r="L715" s="50" t="str"/>
      <x:c r="M715" s="50" t="str"/>
      <x:c r="N715" s="47" t="str"/>
      <x:c r="O715" s="50" t="str"/>
      <x:c r="P715" s="64" t="str">
        <x:f>IF(O715="","",O715*2)</x:f>
      </x:c>
      <x:c r="Q715" s="50" t="str"/>
      <x:c r="R715" s="47" t="str"/>
      <x:c r="S715" s="33" t="str">
        <x:v>Not Tested</x:v>
      </x:c>
      <x:c r="T715" s="64" t="str">
        <x:v>Eligible</x:v>
      </x:c>
      <x:c r="U715" s="47" t="str"/>
      <x:c r="V715" s="47" t="str"/>
      <x:c r="W715" s="47" t="str"/>
      <x:c r="X715" s="50" t="str"/>
      <x:c r="Y715" s="50" t="str"/>
      <x:c r="Z715" s="47" t="str"/>
      <x:c r="AA715" s="47" t="str">
        <x:v>No direct published reference located; do not display a crimp value.</x:v>
      </x:c>
      <x:c r="AB715" s="161" t="str">
        <x:v>Pending</x:v>
      </x:c>
    </x:row>
    <x:row r="716" ht="42" customHeight="1">
      <x:c r="A716" s="33" t="str">
        <x:v>Draft</x:v>
      </x:c>
      <x:c r="B716" s="47" t="str">
        <x:v>COMP_0712</x:v>
      </x:c>
      <x:c r="C716" s="47" t="str">
        <x:v>EN2SC_004</x:v>
      </x:c>
      <x:c r="D716" s="47" t="str">
        <x:v>ORFS_M_FX_10_08</x:v>
      </x:c>
      <x:c r="E716" s="47" t="str">
        <x:v>EN2SC_2WB_004</x:v>
      </x:c>
      <x:c r="F716" s="47" t="str"/>
      <x:c r="G716" s="33" t="str"/>
      <x:c r="H716" s="50" t="str"/>
      <x:c r="I716" s="50" t="str"/>
      <x:c r="J716" s="50" t="str"/>
      <x:c r="K716" s="47" t="str"/>
      <x:c r="L716" s="50" t="str"/>
      <x:c r="M716" s="50" t="str"/>
      <x:c r="N716" s="47" t="str"/>
      <x:c r="O716" s="50" t="str"/>
      <x:c r="P716" s="64" t="str">
        <x:f>IF(O716="","",O716*2)</x:f>
      </x:c>
      <x:c r="Q716" s="50" t="str"/>
      <x:c r="R716" s="47" t="str"/>
      <x:c r="S716" s="33" t="str">
        <x:v>Not Tested</x:v>
      </x:c>
      <x:c r="T716" s="64" t="str">
        <x:v>Eligible</x:v>
      </x:c>
      <x:c r="U716" s="47" t="str"/>
      <x:c r="V716" s="47" t="str"/>
      <x:c r="W716" s="47" t="str"/>
      <x:c r="X716" s="50" t="str"/>
      <x:c r="Y716" s="50" t="str"/>
      <x:c r="Z716" s="47" t="str"/>
      <x:c r="AA716" s="47" t="str">
        <x:v>No direct published reference located; do not display a crimp value.</x:v>
      </x:c>
      <x:c r="AB716" s="161" t="str">
        <x:v>Pending</x:v>
      </x:c>
    </x:row>
    <x:row r="717" ht="42" customHeight="1">
      <x:c r="A717" s="33" t="str">
        <x:v>Draft</x:v>
      </x:c>
      <x:c r="B717" s="47" t="str">
        <x:v>COMP_0713</x:v>
      </x:c>
      <x:c r="C717" s="47" t="str">
        <x:v>EN2SC_004</x:v>
      </x:c>
      <x:c r="D717" s="47" t="str">
        <x:v>ORFS_M_FX_12_08</x:v>
      </x:c>
      <x:c r="E717" s="47" t="str">
        <x:v>EN2SC_2WB_004</x:v>
      </x:c>
      <x:c r="F717" s="47" t="str"/>
      <x:c r="G717" s="33" t="str"/>
      <x:c r="H717" s="50" t="str"/>
      <x:c r="I717" s="50" t="str"/>
      <x:c r="J717" s="50" t="str"/>
      <x:c r="K717" s="47" t="str"/>
      <x:c r="L717" s="50" t="str"/>
      <x:c r="M717" s="50" t="str"/>
      <x:c r="N717" s="47" t="str"/>
      <x:c r="O717" s="50" t="str"/>
      <x:c r="P717" s="64" t="str">
        <x:f>IF(O717="","",O717*2)</x:f>
      </x:c>
      <x:c r="Q717" s="50" t="str"/>
      <x:c r="R717" s="47" t="str"/>
      <x:c r="S717" s="33" t="str">
        <x:v>Not Tested</x:v>
      </x:c>
      <x:c r="T717" s="64" t="str">
        <x:v>Eligible</x:v>
      </x:c>
      <x:c r="U717" s="47" t="str"/>
      <x:c r="V717" s="47" t="str"/>
      <x:c r="W717" s="47" t="str"/>
      <x:c r="X717" s="50" t="str"/>
      <x:c r="Y717" s="50" t="str"/>
      <x:c r="Z717" s="47" t="str"/>
      <x:c r="AA717" s="47" t="str">
        <x:v>No direct published reference located; do not display a crimp value.</x:v>
      </x:c>
      <x:c r="AB717" s="161" t="str">
        <x:v>Pending</x:v>
      </x:c>
    </x:row>
    <x:row r="718" ht="42" customHeight="1">
      <x:c r="A718" s="33" t="str">
        <x:v>Draft</x:v>
      </x:c>
      <x:c r="B718" s="47" t="str">
        <x:v>COMP_0714</x:v>
      </x:c>
      <x:c r="C718" s="47" t="str">
        <x:v>EN2SC_004</x:v>
      </x:c>
      <x:c r="D718" s="47" t="str">
        <x:v>ORFS45_F_SW_08_08</x:v>
      </x:c>
      <x:c r="E718" s="47" t="str">
        <x:v>EN2SC_2WB_004</x:v>
      </x:c>
      <x:c r="F718" s="47" t="str"/>
      <x:c r="G718" s="33" t="str"/>
      <x:c r="H718" s="50" t="str"/>
      <x:c r="I718" s="50" t="str"/>
      <x:c r="J718" s="50" t="str"/>
      <x:c r="K718" s="47" t="str"/>
      <x:c r="L718" s="50" t="str"/>
      <x:c r="M718" s="50" t="str"/>
      <x:c r="N718" s="47" t="str"/>
      <x:c r="O718" s="50" t="str"/>
      <x:c r="P718" s="64" t="str">
        <x:f>IF(O718="","",O718*2)</x:f>
      </x:c>
      <x:c r="Q718" s="50" t="str"/>
      <x:c r="R718" s="47" t="str"/>
      <x:c r="S718" s="33" t="str">
        <x:v>Not Tested</x:v>
      </x:c>
      <x:c r="T718" s="64" t="str">
        <x:v>Eligible</x:v>
      </x:c>
      <x:c r="U718" s="47" t="str"/>
      <x:c r="V718" s="47" t="str"/>
      <x:c r="W718" s="47" t="str"/>
      <x:c r="X718" s="50" t="str"/>
      <x:c r="Y718" s="50" t="str"/>
      <x:c r="Z718" s="47" t="str"/>
      <x:c r="AA718" s="47" t="str">
        <x:v>No direct published reference located; do not display a crimp value.</x:v>
      </x:c>
      <x:c r="AB718" s="161" t="str">
        <x:v>Pending</x:v>
      </x:c>
    </x:row>
    <x:row r="719" ht="42" customHeight="1">
      <x:c r="A719" s="33" t="str">
        <x:v>Draft</x:v>
      </x:c>
      <x:c r="B719" s="47" t="str">
        <x:v>COMP_0715</x:v>
      </x:c>
      <x:c r="C719" s="47" t="str">
        <x:v>EN2SC_004</x:v>
      </x:c>
      <x:c r="D719" s="47" t="str">
        <x:v>ORFS45_F_SW_10_08</x:v>
      </x:c>
      <x:c r="E719" s="47" t="str">
        <x:v>EN2SC_2WB_004</x:v>
      </x:c>
      <x:c r="F719" s="47" t="str"/>
      <x:c r="G719" s="33" t="str"/>
      <x:c r="H719" s="50" t="str"/>
      <x:c r="I719" s="50" t="str"/>
      <x:c r="J719" s="50" t="str"/>
      <x:c r="K719" s="47" t="str"/>
      <x:c r="L719" s="50" t="str"/>
      <x:c r="M719" s="50" t="str"/>
      <x:c r="N719" s="47" t="str"/>
      <x:c r="O719" s="50" t="str"/>
      <x:c r="P719" s="64" t="str">
        <x:f>IF(O719="","",O719*2)</x:f>
      </x:c>
      <x:c r="Q719" s="50" t="str"/>
      <x:c r="R719" s="47" t="str"/>
      <x:c r="S719" s="33" t="str">
        <x:v>Not Tested</x:v>
      </x:c>
      <x:c r="T719" s="64" t="str">
        <x:v>Eligible</x:v>
      </x:c>
      <x:c r="U719" s="47" t="str"/>
      <x:c r="V719" s="47" t="str"/>
      <x:c r="W719" s="47" t="str"/>
      <x:c r="X719" s="50" t="str"/>
      <x:c r="Y719" s="50" t="str"/>
      <x:c r="Z719" s="47" t="str"/>
      <x:c r="AA719" s="47" t="str">
        <x:v>No direct published reference located; do not display a crimp value.</x:v>
      </x:c>
      <x:c r="AB719" s="161" t="str">
        <x:v>Pending</x:v>
      </x:c>
    </x:row>
    <x:row r="720" ht="42" customHeight="1">
      <x:c r="A720" s="33" t="str">
        <x:v>Draft</x:v>
      </x:c>
      <x:c r="B720" s="47" t="str">
        <x:v>COMP_0716</x:v>
      </x:c>
      <x:c r="C720" s="47" t="str">
        <x:v>EN2SC_004</x:v>
      </x:c>
      <x:c r="D720" s="47" t="str">
        <x:v>ORFS45_F_SW_12_08</x:v>
      </x:c>
      <x:c r="E720" s="47" t="str">
        <x:v>EN2SC_2WB_004</x:v>
      </x:c>
      <x:c r="F720" s="47" t="str"/>
      <x:c r="G720" s="33" t="str"/>
      <x:c r="H720" s="50" t="str"/>
      <x:c r="I720" s="50" t="str"/>
      <x:c r="J720" s="50" t="str"/>
      <x:c r="K720" s="47" t="str"/>
      <x:c r="L720" s="50" t="str"/>
      <x:c r="M720" s="50" t="str"/>
      <x:c r="N720" s="47" t="str"/>
      <x:c r="O720" s="50" t="str"/>
      <x:c r="P720" s="64" t="str">
        <x:f>IF(O720="","",O720*2)</x:f>
      </x:c>
      <x:c r="Q720" s="50" t="str"/>
      <x:c r="R720" s="47" t="str"/>
      <x:c r="S720" s="33" t="str">
        <x:v>Not Tested</x:v>
      </x:c>
      <x:c r="T720" s="64" t="str">
        <x:v>Eligible</x:v>
      </x:c>
      <x:c r="U720" s="47" t="str"/>
      <x:c r="V720" s="47" t="str"/>
      <x:c r="W720" s="47" t="str"/>
      <x:c r="X720" s="50" t="str"/>
      <x:c r="Y720" s="50" t="str"/>
      <x:c r="Z720" s="47" t="str"/>
      <x:c r="AA720" s="47" t="str">
        <x:v>No direct published reference located; do not display a crimp value.</x:v>
      </x:c>
      <x:c r="AB720" s="161" t="str">
        <x:v>Pending</x:v>
      </x:c>
    </x:row>
    <x:row r="721" ht="42" customHeight="1">
      <x:c r="A721" s="33" t="str">
        <x:v>Draft</x:v>
      </x:c>
      <x:c r="B721" s="47" t="str">
        <x:v>COMP_0717</x:v>
      </x:c>
      <x:c r="C721" s="47" t="str">
        <x:v>EN2SC_004</x:v>
      </x:c>
      <x:c r="D721" s="47" t="str">
        <x:v>ORFS90_F_SW_08_08</x:v>
      </x:c>
      <x:c r="E721" s="47" t="str">
        <x:v>EN2SC_2WB_004</x:v>
      </x:c>
      <x:c r="F721" s="47" t="str"/>
      <x:c r="G721" s="33" t="str"/>
      <x:c r="H721" s="50" t="str"/>
      <x:c r="I721" s="50" t="str"/>
      <x:c r="J721" s="50" t="str"/>
      <x:c r="K721" s="47" t="str"/>
      <x:c r="L721" s="50" t="str"/>
      <x:c r="M721" s="50" t="str"/>
      <x:c r="N721" s="47" t="str"/>
      <x:c r="O721" s="50" t="str"/>
      <x:c r="P721" s="64" t="str">
        <x:f>IF(O721="","",O721*2)</x:f>
      </x:c>
      <x:c r="Q721" s="50" t="str"/>
      <x:c r="R721" s="47" t="str"/>
      <x:c r="S721" s="33" t="str">
        <x:v>Not Tested</x:v>
      </x:c>
      <x:c r="T721" s="64" t="str">
        <x:v>Eligible</x:v>
      </x:c>
      <x:c r="U721" s="47" t="str"/>
      <x:c r="V721" s="47" t="str"/>
      <x:c r="W721" s="47" t="str"/>
      <x:c r="X721" s="50" t="str"/>
      <x:c r="Y721" s="50" t="str"/>
      <x:c r="Z721" s="47" t="str"/>
      <x:c r="AA721" s="47" t="str">
        <x:v>No direct published reference located; do not display a crimp value.</x:v>
      </x:c>
      <x:c r="AB721" s="161" t="str">
        <x:v>Pending</x:v>
      </x:c>
    </x:row>
    <x:row r="722" ht="42" customHeight="1">
      <x:c r="A722" s="33" t="str">
        <x:v>Draft</x:v>
      </x:c>
      <x:c r="B722" s="47" t="str">
        <x:v>COMP_0718</x:v>
      </x:c>
      <x:c r="C722" s="47" t="str">
        <x:v>EN2SC_004</x:v>
      </x:c>
      <x:c r="D722" s="47" t="str">
        <x:v>ORFS90_F_SW_10_08</x:v>
      </x:c>
      <x:c r="E722" s="47" t="str">
        <x:v>EN2SC_2WB_004</x:v>
      </x:c>
      <x:c r="F722" s="47" t="str"/>
      <x:c r="G722" s="33" t="str"/>
      <x:c r="H722" s="50" t="str"/>
      <x:c r="I722" s="50" t="str"/>
      <x:c r="J722" s="50" t="str"/>
      <x:c r="K722" s="47" t="str"/>
      <x:c r="L722" s="50" t="str"/>
      <x:c r="M722" s="50" t="str"/>
      <x:c r="N722" s="47" t="str"/>
      <x:c r="O722" s="50" t="str"/>
      <x:c r="P722" s="64" t="str">
        <x:f>IF(O722="","",O722*2)</x:f>
      </x:c>
      <x:c r="Q722" s="50" t="str"/>
      <x:c r="R722" s="47" t="str"/>
      <x:c r="S722" s="33" t="str">
        <x:v>Not Tested</x:v>
      </x:c>
      <x:c r="T722" s="64" t="str">
        <x:v>Eligible</x:v>
      </x:c>
      <x:c r="U722" s="47" t="str"/>
      <x:c r="V722" s="47" t="str"/>
      <x:c r="W722" s="47" t="str"/>
      <x:c r="X722" s="50" t="str"/>
      <x:c r="Y722" s="50" t="str"/>
      <x:c r="Z722" s="47" t="str"/>
      <x:c r="AA722" s="47" t="str">
        <x:v>No direct published reference located; do not display a crimp value.</x:v>
      </x:c>
      <x:c r="AB722" s="161" t="str">
        <x:v>Pending</x:v>
      </x:c>
    </x:row>
    <x:row r="723" ht="42" customHeight="1">
      <x:c r="A723" s="33" t="str">
        <x:v>Draft</x:v>
      </x:c>
      <x:c r="B723" s="47" t="str">
        <x:v>COMP_0719</x:v>
      </x:c>
      <x:c r="C723" s="47" t="str">
        <x:v>EN2SC_004</x:v>
      </x:c>
      <x:c r="D723" s="47" t="str">
        <x:v>ORFS90_F_SW_12_08</x:v>
      </x:c>
      <x:c r="E723" s="47" t="str">
        <x:v>EN2SC_2WB_004</x:v>
      </x:c>
      <x:c r="F723" s="47" t="str"/>
      <x:c r="G723" s="33" t="str"/>
      <x:c r="H723" s="50" t="str"/>
      <x:c r="I723" s="50" t="str"/>
      <x:c r="J723" s="50" t="str"/>
      <x:c r="K723" s="47" t="str"/>
      <x:c r="L723" s="50" t="str"/>
      <x:c r="M723" s="50" t="str"/>
      <x:c r="N723" s="47" t="str"/>
      <x:c r="O723" s="50" t="str"/>
      <x:c r="P723" s="64" t="str">
        <x:f>IF(O723="","",O723*2)</x:f>
      </x:c>
      <x:c r="Q723" s="50" t="str"/>
      <x:c r="R723" s="47" t="str"/>
      <x:c r="S723" s="33" t="str">
        <x:v>Not Tested</x:v>
      </x:c>
      <x:c r="T723" s="64" t="str">
        <x:v>Eligible</x:v>
      </x:c>
      <x:c r="U723" s="47" t="str"/>
      <x:c r="V723" s="47" t="str"/>
      <x:c r="W723" s="47" t="str"/>
      <x:c r="X723" s="50" t="str"/>
      <x:c r="Y723" s="50" t="str"/>
      <x:c r="Z723" s="47" t="str"/>
      <x:c r="AA723" s="47" t="str">
        <x:v>No direct published reference located; do not display a crimp value.</x:v>
      </x:c>
      <x:c r="AB723" s="161" t="str">
        <x:v>Pending</x:v>
      </x:c>
    </x:row>
    <x:row r="724" ht="42" customHeight="1">
      <x:c r="A724" s="33" t="str">
        <x:v>Draft</x:v>
      </x:c>
      <x:c r="B724" s="47" t="str">
        <x:v>COMP_0720</x:v>
      </x:c>
      <x:c r="C724" s="47" t="str">
        <x:v>EN2SC_005</x:v>
      </x:c>
      <x:c r="D724" s="47" t="str">
        <x:v>BSPP_F_SW_10_10</x:v>
      </x:c>
      <x:c r="E724" s="47" t="str">
        <x:v>EN2SC_2WB_005</x:v>
      </x:c>
      <x:c r="F724" s="47" t="str"/>
      <x:c r="G724" s="33" t="str"/>
      <x:c r="H724" s="50" t="str"/>
      <x:c r="I724" s="50" t="str"/>
      <x:c r="J724" s="50" t="str"/>
      <x:c r="K724" s="47" t="str"/>
      <x:c r="L724" s="50" t="str"/>
      <x:c r="M724" s="50" t="str"/>
      <x:c r="N724" s="47" t="str"/>
      <x:c r="O724" s="50" t="str"/>
      <x:c r="P724" s="64" t="str">
        <x:f>IF(O724="","",O724*2)</x:f>
      </x:c>
      <x:c r="Q724" s="50" t="str"/>
      <x:c r="R724" s="47" t="str"/>
      <x:c r="S724" s="33" t="str">
        <x:v>Not Tested</x:v>
      </x:c>
      <x:c r="T724" s="64" t="str">
        <x:v>Eligible</x:v>
      </x:c>
      <x:c r="U724" s="47" t="str"/>
      <x:c r="V724" s="47" t="str"/>
      <x:c r="W724" s="47" t="str"/>
      <x:c r="X724" s="50" t="str"/>
      <x:c r="Y724" s="50" t="str"/>
      <x:c r="Z724" s="47" t="str"/>
      <x:c r="AA724" s="47" t="str">
        <x:v>No direct published reference located; do not display a crimp value.</x:v>
      </x:c>
      <x:c r="AB724" s="161" t="str">
        <x:v>Pending</x:v>
      </x:c>
    </x:row>
    <x:row r="725" ht="42" customHeight="1">
      <x:c r="A725" s="33" t="str">
        <x:v>Draft</x:v>
      </x:c>
      <x:c r="B725" s="47" t="str">
        <x:v>COMP_0721</x:v>
      </x:c>
      <x:c r="C725" s="47" t="str">
        <x:v>EN2SC_005</x:v>
      </x:c>
      <x:c r="D725" s="47" t="str">
        <x:v>BSPP45_F_SW_10_10</x:v>
      </x:c>
      <x:c r="E725" s="47" t="str">
        <x:v>EN2SC_2WB_005</x:v>
      </x:c>
      <x:c r="F725" s="47" t="str"/>
      <x:c r="G725" s="33" t="str"/>
      <x:c r="H725" s="50" t="str"/>
      <x:c r="I725" s="50" t="str"/>
      <x:c r="J725" s="50" t="str"/>
      <x:c r="K725" s="47" t="str"/>
      <x:c r="L725" s="50" t="str"/>
      <x:c r="M725" s="50" t="str"/>
      <x:c r="N725" s="47" t="str"/>
      <x:c r="O725" s="50" t="str"/>
      <x:c r="P725" s="64" t="str">
        <x:f>IF(O725="","",O725*2)</x:f>
      </x:c>
      <x:c r="Q725" s="50" t="str"/>
      <x:c r="R725" s="47" t="str"/>
      <x:c r="S725" s="33" t="str">
        <x:v>Not Tested</x:v>
      </x:c>
      <x:c r="T725" s="64" t="str">
        <x:v>Eligible</x:v>
      </x:c>
      <x:c r="U725" s="47" t="str"/>
      <x:c r="V725" s="47" t="str"/>
      <x:c r="W725" s="47" t="str"/>
      <x:c r="X725" s="50" t="str"/>
      <x:c r="Y725" s="50" t="str"/>
      <x:c r="Z725" s="47" t="str"/>
      <x:c r="AA725" s="47" t="str">
        <x:v>No direct published reference located; do not display a crimp value.</x:v>
      </x:c>
      <x:c r="AB725" s="161" t="str">
        <x:v>Pending</x:v>
      </x:c>
    </x:row>
    <x:row r="726" ht="42" customHeight="1">
      <x:c r="A726" s="33" t="str">
        <x:v>Draft</x:v>
      </x:c>
      <x:c r="B726" s="47" t="str">
        <x:v>COMP_0722</x:v>
      </x:c>
      <x:c r="C726" s="47" t="str">
        <x:v>EN2SC_005</x:v>
      </x:c>
      <x:c r="D726" s="47" t="str">
        <x:v>BSPP90_F_SW_10_10</x:v>
      </x:c>
      <x:c r="E726" s="47" t="str">
        <x:v>EN2SC_2WB_005</x:v>
      </x:c>
      <x:c r="F726" s="47" t="str"/>
      <x:c r="G726" s="33" t="str"/>
      <x:c r="H726" s="50" t="str"/>
      <x:c r="I726" s="50" t="str"/>
      <x:c r="J726" s="50" t="str"/>
      <x:c r="K726" s="47" t="str"/>
      <x:c r="L726" s="50" t="str"/>
      <x:c r="M726" s="50" t="str"/>
      <x:c r="N726" s="47" t="str"/>
      <x:c r="O726" s="50" t="str"/>
      <x:c r="P726" s="64" t="str">
        <x:f>IF(O726="","",O726*2)</x:f>
      </x:c>
      <x:c r="Q726" s="50" t="str"/>
      <x:c r="R726" s="47" t="str"/>
      <x:c r="S726" s="33" t="str">
        <x:v>Not Tested</x:v>
      </x:c>
      <x:c r="T726" s="64" t="str">
        <x:v>Eligible</x:v>
      </x:c>
      <x:c r="U726" s="47" t="str"/>
      <x:c r="V726" s="47" t="str"/>
      <x:c r="W726" s="47" t="str"/>
      <x:c r="X726" s="50" t="str"/>
      <x:c r="Y726" s="50" t="str"/>
      <x:c r="Z726" s="47" t="str"/>
      <x:c r="AA726" s="47" t="str">
        <x:v>No direct published reference located; do not display a crimp value.</x:v>
      </x:c>
      <x:c r="AB726" s="161" t="str">
        <x:v>Pending</x:v>
      </x:c>
    </x:row>
    <x:row r="727" ht="42" customHeight="1">
      <x:c r="A727" s="33" t="str">
        <x:v>Draft</x:v>
      </x:c>
      <x:c r="B727" s="47" t="str">
        <x:v>COMP_0723</x:v>
      </x:c>
      <x:c r="C727" s="47" t="str">
        <x:v>EN2SC_005</x:v>
      </x:c>
      <x:c r="D727" s="47" t="str">
        <x:v>JIC_F_SW_08_10</x:v>
      </x:c>
      <x:c r="E727" s="47" t="str">
        <x:v>EN2SC_2WB_005</x:v>
      </x:c>
      <x:c r="F727" s="47" t="str"/>
      <x:c r="G727" s="33" t="str"/>
      <x:c r="H727" s="50" t="str"/>
      <x:c r="I727" s="50" t="str"/>
      <x:c r="J727" s="50" t="str"/>
      <x:c r="K727" s="47" t="str"/>
      <x:c r="L727" s="50" t="str"/>
      <x:c r="M727" s="50" t="str"/>
      <x:c r="N727" s="47" t="str"/>
      <x:c r="O727" s="50" t="str"/>
      <x:c r="P727" s="64" t="str">
        <x:f>IF(O727="","",O727*2)</x:f>
      </x:c>
      <x:c r="Q727" s="50" t="str"/>
      <x:c r="R727" s="47" t="str"/>
      <x:c r="S727" s="33" t="str">
        <x:v>Not Tested</x:v>
      </x:c>
      <x:c r="T727" s="64" t="str">
        <x:v>Eligible</x:v>
      </x:c>
      <x:c r="U727" s="47" t="str"/>
      <x:c r="V727" s="47" t="str"/>
      <x:c r="W727" s="47" t="str"/>
      <x:c r="X727" s="50" t="str"/>
      <x:c r="Y727" s="50" t="str"/>
      <x:c r="Z727" s="47" t="str"/>
      <x:c r="AA727" s="47" t="str">
        <x:v>No direct published reference located; do not display a crimp value.</x:v>
      </x:c>
      <x:c r="AB727" s="161" t="str">
        <x:v>Pending</x:v>
      </x:c>
    </x:row>
    <x:row r="728" ht="42" customHeight="1">
      <x:c r="A728" s="33" t="str">
        <x:v>Draft</x:v>
      </x:c>
      <x:c r="B728" s="47" t="str">
        <x:v>COMP_0724</x:v>
      </x:c>
      <x:c r="C728" s="47" t="str">
        <x:v>EN2SC_005</x:v>
      </x:c>
      <x:c r="D728" s="47" t="str">
        <x:v>JIC_F_SW_10_10</x:v>
      </x:c>
      <x:c r="E728" s="47" t="str">
        <x:v>EN2SC_2WB_005</x:v>
      </x:c>
      <x:c r="F728" s="47" t="str"/>
      <x:c r="G728" s="33" t="str"/>
      <x:c r="H728" s="50" t="str"/>
      <x:c r="I728" s="50" t="str"/>
      <x:c r="J728" s="50" t="str"/>
      <x:c r="K728" s="47" t="str"/>
      <x:c r="L728" s="50" t="str"/>
      <x:c r="M728" s="50" t="str"/>
      <x:c r="N728" s="47" t="str"/>
      <x:c r="O728" s="50" t="str"/>
      <x:c r="P728" s="64" t="str">
        <x:f>IF(O728="","",O728*2)</x:f>
      </x:c>
      <x:c r="Q728" s="50" t="str"/>
      <x:c r="R728" s="47" t="str"/>
      <x:c r="S728" s="33" t="str">
        <x:v>Not Tested</x:v>
      </x:c>
      <x:c r="T728" s="64" t="str">
        <x:v>Eligible</x:v>
      </x:c>
      <x:c r="U728" s="47" t="str"/>
      <x:c r="V728" s="47" t="str"/>
      <x:c r="W728" s="47" t="str"/>
      <x:c r="X728" s="50" t="str"/>
      <x:c r="Y728" s="50" t="str"/>
      <x:c r="Z728" s="47" t="str"/>
      <x:c r="AA728" s="47" t="str">
        <x:v>No direct published reference located; do not display a crimp value.</x:v>
      </x:c>
      <x:c r="AB728" s="161" t="str">
        <x:v>Pending</x:v>
      </x:c>
    </x:row>
    <x:row r="729" ht="42" customHeight="1">
      <x:c r="A729" s="33" t="str">
        <x:v>Draft</x:v>
      </x:c>
      <x:c r="B729" s="47" t="str">
        <x:v>COMP_0725</x:v>
      </x:c>
      <x:c r="C729" s="47" t="str">
        <x:v>EN2SC_005</x:v>
      </x:c>
      <x:c r="D729" s="47" t="str">
        <x:v>JIC_F_SW_12_10</x:v>
      </x:c>
      <x:c r="E729" s="47" t="str">
        <x:v>EN2SC_2WB_005</x:v>
      </x:c>
      <x:c r="F729" s="47" t="str"/>
      <x:c r="G729" s="33" t="str"/>
      <x:c r="H729" s="50" t="str"/>
      <x:c r="I729" s="50" t="str"/>
      <x:c r="J729" s="50" t="str"/>
      <x:c r="K729" s="47" t="str"/>
      <x:c r="L729" s="50" t="str"/>
      <x:c r="M729" s="50" t="str"/>
      <x:c r="N729" s="47" t="str"/>
      <x:c r="O729" s="50" t="str"/>
      <x:c r="P729" s="64" t="str">
        <x:f>IF(O729="","",O729*2)</x:f>
      </x:c>
      <x:c r="Q729" s="50" t="str"/>
      <x:c r="R729" s="47" t="str"/>
      <x:c r="S729" s="33" t="str">
        <x:v>Not Tested</x:v>
      </x:c>
      <x:c r="T729" s="64" t="str">
        <x:v>Eligible</x:v>
      </x:c>
      <x:c r="U729" s="47" t="str"/>
      <x:c r="V729" s="47" t="str"/>
      <x:c r="W729" s="47" t="str"/>
      <x:c r="X729" s="50" t="str"/>
      <x:c r="Y729" s="50" t="str"/>
      <x:c r="Z729" s="47" t="str"/>
      <x:c r="AA729" s="47" t="str">
        <x:v>No direct published reference located; do not display a crimp value.</x:v>
      </x:c>
      <x:c r="AB729" s="161" t="str">
        <x:v>Pending</x:v>
      </x:c>
    </x:row>
    <x:row r="730" ht="42" customHeight="1">
      <x:c r="A730" s="33" t="str">
        <x:v>Draft</x:v>
      </x:c>
      <x:c r="B730" s="47" t="str">
        <x:v>COMP_0726</x:v>
      </x:c>
      <x:c r="C730" s="47" t="str">
        <x:v>EN2SC_005</x:v>
      </x:c>
      <x:c r="D730" s="47" t="str">
        <x:v>JIC_M_FX_10_10</x:v>
      </x:c>
      <x:c r="E730" s="47" t="str">
        <x:v>EN2SC_2WB_005</x:v>
      </x:c>
      <x:c r="F730" s="47" t="str"/>
      <x:c r="G730" s="33" t="str"/>
      <x:c r="H730" s="50" t="str"/>
      <x:c r="I730" s="50" t="str"/>
      <x:c r="J730" s="50" t="str"/>
      <x:c r="K730" s="47" t="str"/>
      <x:c r="L730" s="50" t="str"/>
      <x:c r="M730" s="50" t="str"/>
      <x:c r="N730" s="47" t="str"/>
      <x:c r="O730" s="50" t="str"/>
      <x:c r="P730" s="64" t="str">
        <x:f>IF(O730="","",O730*2)</x:f>
      </x:c>
      <x:c r="Q730" s="50" t="str"/>
      <x:c r="R730" s="47" t="str"/>
      <x:c r="S730" s="33" t="str">
        <x:v>Not Tested</x:v>
      </x:c>
      <x:c r="T730" s="64" t="str">
        <x:v>Eligible</x:v>
      </x:c>
      <x:c r="U730" s="47" t="str"/>
      <x:c r="V730" s="47" t="str"/>
      <x:c r="W730" s="47" t="str"/>
      <x:c r="X730" s="50" t="str"/>
      <x:c r="Y730" s="50" t="str"/>
      <x:c r="Z730" s="47" t="str"/>
      <x:c r="AA730" s="47" t="str">
        <x:v>No direct published reference located; do not display a crimp value.</x:v>
      </x:c>
      <x:c r="AB730" s="161" t="str">
        <x:v>Pending</x:v>
      </x:c>
    </x:row>
    <x:row r="731" ht="42" customHeight="1">
      <x:c r="A731" s="33" t="str">
        <x:v>Draft</x:v>
      </x:c>
      <x:c r="B731" s="47" t="str">
        <x:v>COMP_0727</x:v>
      </x:c>
      <x:c r="C731" s="47" t="str">
        <x:v>EN2SC_005</x:v>
      </x:c>
      <x:c r="D731" s="47" t="str">
        <x:v>JIC45_F_SW_10_10</x:v>
      </x:c>
      <x:c r="E731" s="47" t="str">
        <x:v>EN2SC_2WB_005</x:v>
      </x:c>
      <x:c r="F731" s="47" t="str"/>
      <x:c r="G731" s="33" t="str"/>
      <x:c r="H731" s="50" t="str"/>
      <x:c r="I731" s="50" t="str"/>
      <x:c r="J731" s="50" t="str"/>
      <x:c r="K731" s="47" t="str"/>
      <x:c r="L731" s="50" t="str"/>
      <x:c r="M731" s="50" t="str"/>
      <x:c r="N731" s="47" t="str"/>
      <x:c r="O731" s="50" t="str"/>
      <x:c r="P731" s="64" t="str">
        <x:f>IF(O731="","",O731*2)</x:f>
      </x:c>
      <x:c r="Q731" s="50" t="str"/>
      <x:c r="R731" s="47" t="str"/>
      <x:c r="S731" s="33" t="str">
        <x:v>Not Tested</x:v>
      </x:c>
      <x:c r="T731" s="64" t="str">
        <x:v>Eligible</x:v>
      </x:c>
      <x:c r="U731" s="47" t="str"/>
      <x:c r="V731" s="47" t="str"/>
      <x:c r="W731" s="47" t="str"/>
      <x:c r="X731" s="50" t="str"/>
      <x:c r="Y731" s="50" t="str"/>
      <x:c r="Z731" s="47" t="str"/>
      <x:c r="AA731" s="47" t="str">
        <x:v>No direct published reference located; do not display a crimp value.</x:v>
      </x:c>
      <x:c r="AB731" s="161" t="str">
        <x:v>Pending</x:v>
      </x:c>
    </x:row>
    <x:row r="732" ht="42" customHeight="1">
      <x:c r="A732" s="33" t="str">
        <x:v>Draft</x:v>
      </x:c>
      <x:c r="B732" s="47" t="str">
        <x:v>COMP_0728</x:v>
      </x:c>
      <x:c r="C732" s="47" t="str">
        <x:v>EN2SC_005</x:v>
      </x:c>
      <x:c r="D732" s="47" t="str">
        <x:v>JIC45_F_SW_12_10</x:v>
      </x:c>
      <x:c r="E732" s="47" t="str">
        <x:v>EN2SC_2WB_005</x:v>
      </x:c>
      <x:c r="F732" s="47" t="str"/>
      <x:c r="G732" s="33" t="str"/>
      <x:c r="H732" s="50" t="str"/>
      <x:c r="I732" s="50" t="str"/>
      <x:c r="J732" s="50" t="str"/>
      <x:c r="K732" s="47" t="str"/>
      <x:c r="L732" s="50" t="str"/>
      <x:c r="M732" s="50" t="str"/>
      <x:c r="N732" s="47" t="str"/>
      <x:c r="O732" s="50" t="str"/>
      <x:c r="P732" s="64" t="str">
        <x:f>IF(O732="","",O732*2)</x:f>
      </x:c>
      <x:c r="Q732" s="50" t="str"/>
      <x:c r="R732" s="47" t="str"/>
      <x:c r="S732" s="33" t="str">
        <x:v>Not Tested</x:v>
      </x:c>
      <x:c r="T732" s="64" t="str">
        <x:v>Eligible</x:v>
      </x:c>
      <x:c r="U732" s="47" t="str"/>
      <x:c r="V732" s="47" t="str"/>
      <x:c r="W732" s="47" t="str"/>
      <x:c r="X732" s="50" t="str"/>
      <x:c r="Y732" s="50" t="str"/>
      <x:c r="Z732" s="47" t="str"/>
      <x:c r="AA732" s="47" t="str">
        <x:v>No direct published reference located; do not display a crimp value.</x:v>
      </x:c>
      <x:c r="AB732" s="161" t="str">
        <x:v>Pending</x:v>
      </x:c>
    </x:row>
    <x:row r="733" ht="42" customHeight="1">
      <x:c r="A733" s="33" t="str">
        <x:v>Draft</x:v>
      </x:c>
      <x:c r="B733" s="47" t="str">
        <x:v>COMP_0729</x:v>
      </x:c>
      <x:c r="C733" s="47" t="str">
        <x:v>EN2SC_005</x:v>
      </x:c>
      <x:c r="D733" s="47" t="str">
        <x:v>JIC90_F_SW_10_10</x:v>
      </x:c>
      <x:c r="E733" s="47" t="str">
        <x:v>EN2SC_2WB_005</x:v>
      </x:c>
      <x:c r="F733" s="47" t="str"/>
      <x:c r="G733" s="33" t="str"/>
      <x:c r="H733" s="50" t="str"/>
      <x:c r="I733" s="50" t="str"/>
      <x:c r="J733" s="50" t="str"/>
      <x:c r="K733" s="47" t="str"/>
      <x:c r="L733" s="50" t="str"/>
      <x:c r="M733" s="50" t="str"/>
      <x:c r="N733" s="47" t="str"/>
      <x:c r="O733" s="50" t="str"/>
      <x:c r="P733" s="64" t="str">
        <x:f>IF(O733="","",O733*2)</x:f>
      </x:c>
      <x:c r="Q733" s="50" t="str"/>
      <x:c r="R733" s="47" t="str"/>
      <x:c r="S733" s="33" t="str">
        <x:v>Not Tested</x:v>
      </x:c>
      <x:c r="T733" s="64" t="str">
        <x:v>Eligible</x:v>
      </x:c>
      <x:c r="U733" s="47" t="str"/>
      <x:c r="V733" s="47" t="str"/>
      <x:c r="W733" s="47" t="str"/>
      <x:c r="X733" s="50" t="str"/>
      <x:c r="Y733" s="50" t="str"/>
      <x:c r="Z733" s="47" t="str"/>
      <x:c r="AA733" s="47" t="str">
        <x:v>No direct published reference located; do not display a crimp value.</x:v>
      </x:c>
      <x:c r="AB733" s="161" t="str">
        <x:v>Pending</x:v>
      </x:c>
    </x:row>
    <x:row r="734" ht="42" customHeight="1">
      <x:c r="A734" s="33" t="str">
        <x:v>Draft</x:v>
      </x:c>
      <x:c r="B734" s="47" t="str">
        <x:v>COMP_0730</x:v>
      </x:c>
      <x:c r="C734" s="47" t="str">
        <x:v>EN2SC_005</x:v>
      </x:c>
      <x:c r="D734" s="47" t="str">
        <x:v>JIC90_F_SW_12_10</x:v>
      </x:c>
      <x:c r="E734" s="47" t="str">
        <x:v>EN2SC_2WB_005</x:v>
      </x:c>
      <x:c r="F734" s="47" t="str"/>
      <x:c r="G734" s="33" t="str"/>
      <x:c r="H734" s="50" t="str"/>
      <x:c r="I734" s="50" t="str"/>
      <x:c r="J734" s="50" t="str"/>
      <x:c r="K734" s="47" t="str"/>
      <x:c r="L734" s="50" t="str"/>
      <x:c r="M734" s="50" t="str"/>
      <x:c r="N734" s="47" t="str"/>
      <x:c r="O734" s="50" t="str"/>
      <x:c r="P734" s="64" t="str">
        <x:f>IF(O734="","",O734*2)</x:f>
      </x:c>
      <x:c r="Q734" s="50" t="str"/>
      <x:c r="R734" s="47" t="str"/>
      <x:c r="S734" s="33" t="str">
        <x:v>Not Tested</x:v>
      </x:c>
      <x:c r="T734" s="64" t="str">
        <x:v>Eligible</x:v>
      </x:c>
      <x:c r="U734" s="47" t="str"/>
      <x:c r="V734" s="47" t="str"/>
      <x:c r="W734" s="47" t="str"/>
      <x:c r="X734" s="50" t="str"/>
      <x:c r="Y734" s="50" t="str"/>
      <x:c r="Z734" s="47" t="str"/>
      <x:c r="AA734" s="47" t="str">
        <x:v>No direct published reference located; do not display a crimp value.</x:v>
      </x:c>
      <x:c r="AB734" s="161" t="str">
        <x:v>Pending</x:v>
      </x:c>
    </x:row>
    <x:row r="735" ht="42" customHeight="1">
      <x:c r="A735" s="33" t="str">
        <x:v>Draft</x:v>
      </x:c>
      <x:c r="B735" s="47" t="str">
        <x:v>COMP_0731</x:v>
      </x:c>
      <x:c r="C735" s="47" t="str">
        <x:v>EN2SC_005</x:v>
      </x:c>
      <x:c r="D735" s="47" t="str">
        <x:v>NPT_M_FX_06_10</x:v>
      </x:c>
      <x:c r="E735" s="47" t="str">
        <x:v>EN2SC_2WB_005</x:v>
      </x:c>
      <x:c r="F735" s="47" t="str"/>
      <x:c r="G735" s="33" t="str"/>
      <x:c r="H735" s="50" t="str"/>
      <x:c r="I735" s="50" t="str"/>
      <x:c r="J735" s="50" t="str"/>
      <x:c r="K735" s="47" t="str"/>
      <x:c r="L735" s="50" t="str"/>
      <x:c r="M735" s="50" t="str"/>
      <x:c r="N735" s="47" t="str"/>
      <x:c r="O735" s="50" t="str"/>
      <x:c r="P735" s="64" t="str">
        <x:f>IF(O735="","",O735*2)</x:f>
      </x:c>
      <x:c r="Q735" s="50" t="str"/>
      <x:c r="R735" s="47" t="str"/>
      <x:c r="S735" s="33" t="str">
        <x:v>Not Tested</x:v>
      </x:c>
      <x:c r="T735" s="64" t="str">
        <x:v>Eligible</x:v>
      </x:c>
      <x:c r="U735" s="47" t="str"/>
      <x:c r="V735" s="47" t="str"/>
      <x:c r="W735" s="47" t="str"/>
      <x:c r="X735" s="50" t="str"/>
      <x:c r="Y735" s="50" t="str"/>
      <x:c r="Z735" s="47" t="str"/>
      <x:c r="AA735" s="47" t="str">
        <x:v>No direct published reference located; do not display a crimp value.</x:v>
      </x:c>
      <x:c r="AB735" s="161" t="str">
        <x:v>Pending</x:v>
      </x:c>
    </x:row>
    <x:row r="736" ht="42" customHeight="1">
      <x:c r="A736" s="33" t="str">
        <x:v>Draft</x:v>
      </x:c>
      <x:c r="B736" s="47" t="str">
        <x:v>COMP_0732</x:v>
      </x:c>
      <x:c r="C736" s="47" t="str">
        <x:v>EN2SC_005</x:v>
      </x:c>
      <x:c r="D736" s="47" t="str">
        <x:v>NPT_M_FX_08_10</x:v>
      </x:c>
      <x:c r="E736" s="47" t="str">
        <x:v>EN2SC_2WB_005</x:v>
      </x:c>
      <x:c r="F736" s="47" t="str"/>
      <x:c r="G736" s="33" t="str"/>
      <x:c r="H736" s="50" t="str"/>
      <x:c r="I736" s="50" t="str"/>
      <x:c r="J736" s="50" t="str"/>
      <x:c r="K736" s="47" t="str"/>
      <x:c r="L736" s="50" t="str"/>
      <x:c r="M736" s="50" t="str"/>
      <x:c r="N736" s="47" t="str"/>
      <x:c r="O736" s="50" t="str"/>
      <x:c r="P736" s="64" t="str">
        <x:f>IF(O736="","",O736*2)</x:f>
      </x:c>
      <x:c r="Q736" s="50" t="str"/>
      <x:c r="R736" s="47" t="str"/>
      <x:c r="S736" s="33" t="str">
        <x:v>Not Tested</x:v>
      </x:c>
      <x:c r="T736" s="64" t="str">
        <x:v>Eligible</x:v>
      </x:c>
      <x:c r="U736" s="47" t="str"/>
      <x:c r="V736" s="47" t="str"/>
      <x:c r="W736" s="47" t="str"/>
      <x:c r="X736" s="50" t="str"/>
      <x:c r="Y736" s="50" t="str"/>
      <x:c r="Z736" s="47" t="str"/>
      <x:c r="AA736" s="47" t="str">
        <x:v>No direct published reference located; do not display a crimp value.</x:v>
      </x:c>
      <x:c r="AB736" s="161" t="str">
        <x:v>Pending</x:v>
      </x:c>
    </x:row>
    <x:row r="737" ht="42" customHeight="1">
      <x:c r="A737" s="33" t="str">
        <x:v>Draft</x:v>
      </x:c>
      <x:c r="B737" s="47" t="str">
        <x:v>COMP_0733</x:v>
      </x:c>
      <x:c r="C737" s="47" t="str">
        <x:v>EN2SC_005</x:v>
      </x:c>
      <x:c r="D737" s="47" t="str">
        <x:v>NPT_M_FX_12_10</x:v>
      </x:c>
      <x:c r="E737" s="47" t="str">
        <x:v>EN2SC_2WB_005</x:v>
      </x:c>
      <x:c r="F737" s="47" t="str"/>
      <x:c r="G737" s="33" t="str"/>
      <x:c r="H737" s="50" t="str"/>
      <x:c r="I737" s="50" t="str"/>
      <x:c r="J737" s="50" t="str"/>
      <x:c r="K737" s="47" t="str"/>
      <x:c r="L737" s="50" t="str"/>
      <x:c r="M737" s="50" t="str"/>
      <x:c r="N737" s="47" t="str"/>
      <x:c r="O737" s="50" t="str"/>
      <x:c r="P737" s="64" t="str">
        <x:f>IF(O737="","",O737*2)</x:f>
      </x:c>
      <x:c r="Q737" s="50" t="str"/>
      <x:c r="R737" s="47" t="str"/>
      <x:c r="S737" s="33" t="str">
        <x:v>Not Tested</x:v>
      </x:c>
      <x:c r="T737" s="64" t="str">
        <x:v>Eligible</x:v>
      </x:c>
      <x:c r="U737" s="47" t="str"/>
      <x:c r="V737" s="47" t="str"/>
      <x:c r="W737" s="47" t="str"/>
      <x:c r="X737" s="50" t="str"/>
      <x:c r="Y737" s="50" t="str"/>
      <x:c r="Z737" s="47" t="str"/>
      <x:c r="AA737" s="47" t="str">
        <x:v>No direct published reference located; do not display a crimp value.</x:v>
      </x:c>
      <x:c r="AB737" s="161" t="str">
        <x:v>Pending</x:v>
      </x:c>
    </x:row>
    <x:row r="738" ht="42" customHeight="1">
      <x:c r="A738" s="33" t="str">
        <x:v>Draft</x:v>
      </x:c>
      <x:c r="B738" s="47" t="str">
        <x:v>COMP_0734</x:v>
      </x:c>
      <x:c r="C738" s="47" t="str">
        <x:v>EN2SC_005</x:v>
      </x:c>
      <x:c r="D738" s="47" t="str">
        <x:v>ORFS_F_SW_08_10</x:v>
      </x:c>
      <x:c r="E738" s="47" t="str">
        <x:v>EN2SC_2WB_005</x:v>
      </x:c>
      <x:c r="F738" s="47" t="str"/>
      <x:c r="G738" s="33" t="str"/>
      <x:c r="H738" s="50" t="str"/>
      <x:c r="I738" s="50" t="str"/>
      <x:c r="J738" s="50" t="str"/>
      <x:c r="K738" s="47" t="str"/>
      <x:c r="L738" s="50" t="str"/>
      <x:c r="M738" s="50" t="str"/>
      <x:c r="N738" s="47" t="str"/>
      <x:c r="O738" s="50" t="str"/>
      <x:c r="P738" s="64" t="str">
        <x:f>IF(O738="","",O738*2)</x:f>
      </x:c>
      <x:c r="Q738" s="50" t="str"/>
      <x:c r="R738" s="47" t="str"/>
      <x:c r="S738" s="33" t="str">
        <x:v>Not Tested</x:v>
      </x:c>
      <x:c r="T738" s="64" t="str">
        <x:v>Eligible</x:v>
      </x:c>
      <x:c r="U738" s="47" t="str"/>
      <x:c r="V738" s="47" t="str"/>
      <x:c r="W738" s="47" t="str"/>
      <x:c r="X738" s="50" t="str"/>
      <x:c r="Y738" s="50" t="str"/>
      <x:c r="Z738" s="47" t="str"/>
      <x:c r="AA738" s="47" t="str">
        <x:v>No direct published reference located; do not display a crimp value.</x:v>
      </x:c>
      <x:c r="AB738" s="161" t="str">
        <x:v>Pending</x:v>
      </x:c>
    </x:row>
    <x:row r="739" ht="42" customHeight="1">
      <x:c r="A739" s="33" t="str">
        <x:v>Draft</x:v>
      </x:c>
      <x:c r="B739" s="47" t="str">
        <x:v>COMP_0735</x:v>
      </x:c>
      <x:c r="C739" s="47" t="str">
        <x:v>EN2SC_005</x:v>
      </x:c>
      <x:c r="D739" s="47" t="str">
        <x:v>ORFS_F_SW_10_10</x:v>
      </x:c>
      <x:c r="E739" s="47" t="str">
        <x:v>EN2SC_2WB_005</x:v>
      </x:c>
      <x:c r="F739" s="47" t="str"/>
      <x:c r="G739" s="33" t="str"/>
      <x:c r="H739" s="50" t="str"/>
      <x:c r="I739" s="50" t="str"/>
      <x:c r="J739" s="50" t="str"/>
      <x:c r="K739" s="47" t="str"/>
      <x:c r="L739" s="50" t="str"/>
      <x:c r="M739" s="50" t="str"/>
      <x:c r="N739" s="47" t="str"/>
      <x:c r="O739" s="50" t="str"/>
      <x:c r="P739" s="64" t="str">
        <x:f>IF(O739="","",O739*2)</x:f>
      </x:c>
      <x:c r="Q739" s="50" t="str"/>
      <x:c r="R739" s="47" t="str"/>
      <x:c r="S739" s="33" t="str">
        <x:v>Not Tested</x:v>
      </x:c>
      <x:c r="T739" s="64" t="str">
        <x:v>Eligible</x:v>
      </x:c>
      <x:c r="U739" s="47" t="str"/>
      <x:c r="V739" s="47" t="str"/>
      <x:c r="W739" s="47" t="str"/>
      <x:c r="X739" s="50" t="str"/>
      <x:c r="Y739" s="50" t="str"/>
      <x:c r="Z739" s="47" t="str"/>
      <x:c r="AA739" s="47" t="str">
        <x:v>No direct published reference located; do not display a crimp value.</x:v>
      </x:c>
      <x:c r="AB739" s="161" t="str">
        <x:v>Pending</x:v>
      </x:c>
    </x:row>
    <x:row r="740" ht="42" customHeight="1">
      <x:c r="A740" s="33" t="str">
        <x:v>Draft</x:v>
      </x:c>
      <x:c r="B740" s="47" t="str">
        <x:v>COMP_0736</x:v>
      </x:c>
      <x:c r="C740" s="47" t="str">
        <x:v>EN2SC_005</x:v>
      </x:c>
      <x:c r="D740" s="47" t="str">
        <x:v>ORFS_F_SW_12_10</x:v>
      </x:c>
      <x:c r="E740" s="47" t="str">
        <x:v>EN2SC_2WB_005</x:v>
      </x:c>
      <x:c r="F740" s="47" t="str"/>
      <x:c r="G740" s="33" t="str"/>
      <x:c r="H740" s="50" t="str"/>
      <x:c r="I740" s="50" t="str"/>
      <x:c r="J740" s="50" t="str"/>
      <x:c r="K740" s="47" t="str"/>
      <x:c r="L740" s="50" t="str"/>
      <x:c r="M740" s="50" t="str"/>
      <x:c r="N740" s="47" t="str"/>
      <x:c r="O740" s="50" t="str"/>
      <x:c r="P740" s="64" t="str">
        <x:f>IF(O740="","",O740*2)</x:f>
      </x:c>
      <x:c r="Q740" s="50" t="str"/>
      <x:c r="R740" s="47" t="str"/>
      <x:c r="S740" s="33" t="str">
        <x:v>Not Tested</x:v>
      </x:c>
      <x:c r="T740" s="64" t="str">
        <x:v>Eligible</x:v>
      </x:c>
      <x:c r="U740" s="47" t="str"/>
      <x:c r="V740" s="47" t="str"/>
      <x:c r="W740" s="47" t="str"/>
      <x:c r="X740" s="50" t="str"/>
      <x:c r="Y740" s="50" t="str"/>
      <x:c r="Z740" s="47" t="str"/>
      <x:c r="AA740" s="47" t="str">
        <x:v>No direct published reference located; do not display a crimp value.</x:v>
      </x:c>
      <x:c r="AB740" s="161" t="str">
        <x:v>Pending</x:v>
      </x:c>
    </x:row>
    <x:row r="741" ht="42" customHeight="1">
      <x:c r="A741" s="33" t="str">
        <x:v>Draft</x:v>
      </x:c>
      <x:c r="B741" s="47" t="str">
        <x:v>COMP_0737</x:v>
      </x:c>
      <x:c r="C741" s="47" t="str">
        <x:v>EN2SC_005</x:v>
      </x:c>
      <x:c r="D741" s="47" t="str">
        <x:v>ORFS_M_FX_10_10</x:v>
      </x:c>
      <x:c r="E741" s="47" t="str">
        <x:v>EN2SC_2WB_005</x:v>
      </x:c>
      <x:c r="F741" s="47" t="str"/>
      <x:c r="G741" s="33" t="str"/>
      <x:c r="H741" s="50" t="str"/>
      <x:c r="I741" s="50" t="str"/>
      <x:c r="J741" s="50" t="str"/>
      <x:c r="K741" s="47" t="str"/>
      <x:c r="L741" s="50" t="str"/>
      <x:c r="M741" s="50" t="str"/>
      <x:c r="N741" s="47" t="str"/>
      <x:c r="O741" s="50" t="str"/>
      <x:c r="P741" s="64" t="str">
        <x:f>IF(O741="","",O741*2)</x:f>
      </x:c>
      <x:c r="Q741" s="50" t="str"/>
      <x:c r="R741" s="47" t="str"/>
      <x:c r="S741" s="33" t="str">
        <x:v>Not Tested</x:v>
      </x:c>
      <x:c r="T741" s="64" t="str">
        <x:v>Eligible</x:v>
      </x:c>
      <x:c r="U741" s="47" t="str"/>
      <x:c r="V741" s="47" t="str"/>
      <x:c r="W741" s="47" t="str"/>
      <x:c r="X741" s="50" t="str"/>
      <x:c r="Y741" s="50" t="str"/>
      <x:c r="Z741" s="47" t="str"/>
      <x:c r="AA741" s="47" t="str">
        <x:v>No direct published reference located; do not display a crimp value.</x:v>
      </x:c>
      <x:c r="AB741" s="161" t="str">
        <x:v>Pending</x:v>
      </x:c>
    </x:row>
    <x:row r="742" ht="42" customHeight="1">
      <x:c r="A742" s="33" t="str">
        <x:v>Draft</x:v>
      </x:c>
      <x:c r="B742" s="47" t="str">
        <x:v>COMP_0738</x:v>
      </x:c>
      <x:c r="C742" s="47" t="str">
        <x:v>EN2SC_005</x:v>
      </x:c>
      <x:c r="D742" s="47" t="str">
        <x:v>ORFS_M_FX_12_10</x:v>
      </x:c>
      <x:c r="E742" s="47" t="str">
        <x:v>EN2SC_2WB_005</x:v>
      </x:c>
      <x:c r="F742" s="47" t="str"/>
      <x:c r="G742" s="33" t="str"/>
      <x:c r="H742" s="50" t="str"/>
      <x:c r="I742" s="50" t="str"/>
      <x:c r="J742" s="50" t="str"/>
      <x:c r="K742" s="47" t="str"/>
      <x:c r="L742" s="50" t="str"/>
      <x:c r="M742" s="50" t="str"/>
      <x:c r="N742" s="47" t="str"/>
      <x:c r="O742" s="50" t="str"/>
      <x:c r="P742" s="64" t="str">
        <x:f>IF(O742="","",O742*2)</x:f>
      </x:c>
      <x:c r="Q742" s="50" t="str"/>
      <x:c r="R742" s="47" t="str"/>
      <x:c r="S742" s="33" t="str">
        <x:v>Not Tested</x:v>
      </x:c>
      <x:c r="T742" s="64" t="str">
        <x:v>Eligible</x:v>
      </x:c>
      <x:c r="U742" s="47" t="str"/>
      <x:c r="V742" s="47" t="str"/>
      <x:c r="W742" s="47" t="str"/>
      <x:c r="X742" s="50" t="str"/>
      <x:c r="Y742" s="50" t="str"/>
      <x:c r="Z742" s="47" t="str"/>
      <x:c r="AA742" s="47" t="str">
        <x:v>No direct published reference located; do not display a crimp value.</x:v>
      </x:c>
      <x:c r="AB742" s="161" t="str">
        <x:v>Pending</x:v>
      </x:c>
    </x:row>
    <x:row r="743" ht="42" customHeight="1">
      <x:c r="A743" s="33" t="str">
        <x:v>Draft</x:v>
      </x:c>
      <x:c r="B743" s="47" t="str">
        <x:v>COMP_0739</x:v>
      </x:c>
      <x:c r="C743" s="47" t="str">
        <x:v>EN2SC_005</x:v>
      </x:c>
      <x:c r="D743" s="47" t="str">
        <x:v>ORFS45_F_SW_10_10</x:v>
      </x:c>
      <x:c r="E743" s="47" t="str">
        <x:v>EN2SC_2WB_005</x:v>
      </x:c>
      <x:c r="F743" s="47" t="str"/>
      <x:c r="G743" s="33" t="str"/>
      <x:c r="H743" s="50" t="str"/>
      <x:c r="I743" s="50" t="str"/>
      <x:c r="J743" s="50" t="str"/>
      <x:c r="K743" s="47" t="str"/>
      <x:c r="L743" s="50" t="str"/>
      <x:c r="M743" s="50" t="str"/>
      <x:c r="N743" s="47" t="str"/>
      <x:c r="O743" s="50" t="str"/>
      <x:c r="P743" s="64" t="str">
        <x:f>IF(O743="","",O743*2)</x:f>
      </x:c>
      <x:c r="Q743" s="50" t="str"/>
      <x:c r="R743" s="47" t="str"/>
      <x:c r="S743" s="33" t="str">
        <x:v>Not Tested</x:v>
      </x:c>
      <x:c r="T743" s="64" t="str">
        <x:v>Eligible</x:v>
      </x:c>
      <x:c r="U743" s="47" t="str"/>
      <x:c r="V743" s="47" t="str"/>
      <x:c r="W743" s="47" t="str"/>
      <x:c r="X743" s="50" t="str"/>
      <x:c r="Y743" s="50" t="str"/>
      <x:c r="Z743" s="47" t="str"/>
      <x:c r="AA743" s="47" t="str">
        <x:v>No direct published reference located; do not display a crimp value.</x:v>
      </x:c>
      <x:c r="AB743" s="161" t="str">
        <x:v>Pending</x:v>
      </x:c>
    </x:row>
    <x:row r="744" ht="42" customHeight="1">
      <x:c r="A744" s="33" t="str">
        <x:v>Draft</x:v>
      </x:c>
      <x:c r="B744" s="47" t="str">
        <x:v>COMP_0740</x:v>
      </x:c>
      <x:c r="C744" s="47" t="str">
        <x:v>EN2SC_005</x:v>
      </x:c>
      <x:c r="D744" s="47" t="str">
        <x:v>ORFS45_F_SW_12_10</x:v>
      </x:c>
      <x:c r="E744" s="47" t="str">
        <x:v>EN2SC_2WB_005</x:v>
      </x:c>
      <x:c r="F744" s="47" t="str"/>
      <x:c r="G744" s="33" t="str"/>
      <x:c r="H744" s="50" t="str"/>
      <x:c r="I744" s="50" t="str"/>
      <x:c r="J744" s="50" t="str"/>
      <x:c r="K744" s="47" t="str"/>
      <x:c r="L744" s="50" t="str"/>
      <x:c r="M744" s="50" t="str"/>
      <x:c r="N744" s="47" t="str"/>
      <x:c r="O744" s="50" t="str"/>
      <x:c r="P744" s="64" t="str">
        <x:f>IF(O744="","",O744*2)</x:f>
      </x:c>
      <x:c r="Q744" s="50" t="str"/>
      <x:c r="R744" s="47" t="str"/>
      <x:c r="S744" s="33" t="str">
        <x:v>Not Tested</x:v>
      </x:c>
      <x:c r="T744" s="64" t="str">
        <x:v>Eligible</x:v>
      </x:c>
      <x:c r="U744" s="47" t="str"/>
      <x:c r="V744" s="47" t="str"/>
      <x:c r="W744" s="47" t="str"/>
      <x:c r="X744" s="50" t="str"/>
      <x:c r="Y744" s="50" t="str"/>
      <x:c r="Z744" s="47" t="str"/>
      <x:c r="AA744" s="47" t="str">
        <x:v>No direct published reference located; do not display a crimp value.</x:v>
      </x:c>
      <x:c r="AB744" s="161" t="str">
        <x:v>Pending</x:v>
      </x:c>
    </x:row>
    <x:row r="745" ht="42" customHeight="1">
      <x:c r="A745" s="33" t="str">
        <x:v>Draft</x:v>
      </x:c>
      <x:c r="B745" s="47" t="str">
        <x:v>COMP_0741</x:v>
      </x:c>
      <x:c r="C745" s="47" t="str">
        <x:v>EN2SC_005</x:v>
      </x:c>
      <x:c r="D745" s="47" t="str">
        <x:v>ORFS90_F_SW_08_10</x:v>
      </x:c>
      <x:c r="E745" s="47" t="str">
        <x:v>EN2SC_2WB_005</x:v>
      </x:c>
      <x:c r="F745" s="47" t="str"/>
      <x:c r="G745" s="33" t="str"/>
      <x:c r="H745" s="50" t="str"/>
      <x:c r="I745" s="50" t="str"/>
      <x:c r="J745" s="50" t="str"/>
      <x:c r="K745" s="47" t="str"/>
      <x:c r="L745" s="50" t="str"/>
      <x:c r="M745" s="50" t="str"/>
      <x:c r="N745" s="47" t="str"/>
      <x:c r="O745" s="50" t="str"/>
      <x:c r="P745" s="64" t="str">
        <x:f>IF(O745="","",O745*2)</x:f>
      </x:c>
      <x:c r="Q745" s="50" t="str"/>
      <x:c r="R745" s="47" t="str"/>
      <x:c r="S745" s="33" t="str">
        <x:v>Not Tested</x:v>
      </x:c>
      <x:c r="T745" s="64" t="str">
        <x:v>Eligible</x:v>
      </x:c>
      <x:c r="U745" s="47" t="str"/>
      <x:c r="V745" s="47" t="str"/>
      <x:c r="W745" s="47" t="str"/>
      <x:c r="X745" s="50" t="str"/>
      <x:c r="Y745" s="50" t="str"/>
      <x:c r="Z745" s="47" t="str"/>
      <x:c r="AA745" s="47" t="str">
        <x:v>No direct published reference located; do not display a crimp value.</x:v>
      </x:c>
      <x:c r="AB745" s="161" t="str">
        <x:v>Pending</x:v>
      </x:c>
    </x:row>
    <x:row r="746" ht="42" customHeight="1">
      <x:c r="A746" s="33" t="str">
        <x:v>Draft</x:v>
      </x:c>
      <x:c r="B746" s="47" t="str">
        <x:v>COMP_0742</x:v>
      </x:c>
      <x:c r="C746" s="47" t="str">
        <x:v>EN2SC_005</x:v>
      </x:c>
      <x:c r="D746" s="47" t="str">
        <x:v>ORFS90_F_SW_10_10</x:v>
      </x:c>
      <x:c r="E746" s="47" t="str">
        <x:v>EN2SC_2WB_005</x:v>
      </x:c>
      <x:c r="F746" s="47" t="str"/>
      <x:c r="G746" s="33" t="str"/>
      <x:c r="H746" s="50" t="str"/>
      <x:c r="I746" s="50" t="str"/>
      <x:c r="J746" s="50" t="str"/>
      <x:c r="K746" s="47" t="str"/>
      <x:c r="L746" s="50" t="str"/>
      <x:c r="M746" s="50" t="str"/>
      <x:c r="N746" s="47" t="str"/>
      <x:c r="O746" s="50" t="str"/>
      <x:c r="P746" s="64" t="str">
        <x:f>IF(O746="","",O746*2)</x:f>
      </x:c>
      <x:c r="Q746" s="50" t="str"/>
      <x:c r="R746" s="47" t="str"/>
      <x:c r="S746" s="33" t="str">
        <x:v>Not Tested</x:v>
      </x:c>
      <x:c r="T746" s="64" t="str">
        <x:v>Eligible</x:v>
      </x:c>
      <x:c r="U746" s="47" t="str"/>
      <x:c r="V746" s="47" t="str"/>
      <x:c r="W746" s="47" t="str"/>
      <x:c r="X746" s="50" t="str"/>
      <x:c r="Y746" s="50" t="str"/>
      <x:c r="Z746" s="47" t="str"/>
      <x:c r="AA746" s="47" t="str">
        <x:v>No direct published reference located; do not display a crimp value.</x:v>
      </x:c>
      <x:c r="AB746" s="161" t="str">
        <x:v>Pending</x:v>
      </x:c>
    </x:row>
    <x:row r="747" ht="42" customHeight="1">
      <x:c r="A747" s="33" t="str">
        <x:v>Draft</x:v>
      </x:c>
      <x:c r="B747" s="47" t="str">
        <x:v>COMP_0743</x:v>
      </x:c>
      <x:c r="C747" s="47" t="str">
        <x:v>EN2SC_006</x:v>
      </x:c>
      <x:c r="D747" s="47" t="str">
        <x:v>BSPP_F_SW_12_12</x:v>
      </x:c>
      <x:c r="E747" s="47" t="str">
        <x:v>EN2SC_2WB_006</x:v>
      </x:c>
      <x:c r="F747" s="47" t="str"/>
      <x:c r="G747" s="33" t="str"/>
      <x:c r="H747" s="50" t="str"/>
      <x:c r="I747" s="50" t="str"/>
      <x:c r="J747" s="50" t="str"/>
      <x:c r="K747" s="47" t="str"/>
      <x:c r="L747" s="50" t="str"/>
      <x:c r="M747" s="50" t="str"/>
      <x:c r="N747" s="47" t="str"/>
      <x:c r="O747" s="50" t="str"/>
      <x:c r="P747" s="64" t="str">
        <x:f>IF(O747="","",O747*2)</x:f>
      </x:c>
      <x:c r="Q747" s="50" t="str"/>
      <x:c r="R747" s="47" t="str"/>
      <x:c r="S747" s="33" t="str">
        <x:v>Not Tested</x:v>
      </x:c>
      <x:c r="T747" s="64" t="str">
        <x:v>Eligible</x:v>
      </x:c>
      <x:c r="U747" s="47" t="str"/>
      <x:c r="V747" s="47" t="str"/>
      <x:c r="W747" s="47" t="str"/>
      <x:c r="X747" s="50" t="str"/>
      <x:c r="Y747" s="50" t="str"/>
      <x:c r="Z747" s="47" t="str"/>
      <x:c r="AA747" s="47" t="str">
        <x:v>No direct published reference located; do not display a crimp value.</x:v>
      </x:c>
      <x:c r="AB747" s="161" t="str">
        <x:v>Pending</x:v>
      </x:c>
    </x:row>
    <x:row r="748" ht="42" customHeight="1">
      <x:c r="A748" s="33" t="str">
        <x:v>Draft</x:v>
      </x:c>
      <x:c r="B748" s="47" t="str">
        <x:v>COMP_0744</x:v>
      </x:c>
      <x:c r="C748" s="47" t="str">
        <x:v>EN2SC_006</x:v>
      </x:c>
      <x:c r="D748" s="47" t="str">
        <x:v>BSPP_M_FX_12_12</x:v>
      </x:c>
      <x:c r="E748" s="47" t="str">
        <x:v>EN2SC_2WB_006</x:v>
      </x:c>
      <x:c r="F748" s="47" t="str"/>
      <x:c r="G748" s="33" t="str"/>
      <x:c r="H748" s="50" t="str"/>
      <x:c r="I748" s="50" t="str"/>
      <x:c r="J748" s="50" t="str"/>
      <x:c r="K748" s="47" t="str"/>
      <x:c r="L748" s="50" t="str"/>
      <x:c r="M748" s="50" t="str"/>
      <x:c r="N748" s="47" t="str"/>
      <x:c r="O748" s="50" t="str"/>
      <x:c r="P748" s="64" t="str">
        <x:f>IF(O748="","",O748*2)</x:f>
      </x:c>
      <x:c r="Q748" s="50" t="str"/>
      <x:c r="R748" s="47" t="str"/>
      <x:c r="S748" s="33" t="str">
        <x:v>Not Tested</x:v>
      </x:c>
      <x:c r="T748" s="64" t="str">
        <x:v>Eligible</x:v>
      </x:c>
      <x:c r="U748" s="47" t="str"/>
      <x:c r="V748" s="47" t="str"/>
      <x:c r="W748" s="47" t="str"/>
      <x:c r="X748" s="50" t="str"/>
      <x:c r="Y748" s="50" t="str"/>
      <x:c r="Z748" s="47" t="str"/>
      <x:c r="AA748" s="47" t="str">
        <x:v>No direct published reference located; do not display a crimp value.</x:v>
      </x:c>
      <x:c r="AB748" s="161" t="str">
        <x:v>Pending</x:v>
      </x:c>
    </x:row>
    <x:row r="749" ht="42" customHeight="1">
      <x:c r="A749" s="33" t="str">
        <x:v>Draft</x:v>
      </x:c>
      <x:c r="B749" s="47" t="str">
        <x:v>COMP_0745</x:v>
      </x:c>
      <x:c r="C749" s="47" t="str">
        <x:v>EN2SC_006</x:v>
      </x:c>
      <x:c r="D749" s="47" t="str">
        <x:v>BSPP45_F_SW_12_12</x:v>
      </x:c>
      <x:c r="E749" s="47" t="str">
        <x:v>EN2SC_2WB_006</x:v>
      </x:c>
      <x:c r="F749" s="47" t="str"/>
      <x:c r="G749" s="33" t="str"/>
      <x:c r="H749" s="50" t="str"/>
      <x:c r="I749" s="50" t="str"/>
      <x:c r="J749" s="50" t="str"/>
      <x:c r="K749" s="47" t="str"/>
      <x:c r="L749" s="50" t="str"/>
      <x:c r="M749" s="50" t="str"/>
      <x:c r="N749" s="47" t="str"/>
      <x:c r="O749" s="50" t="str"/>
      <x:c r="P749" s="64" t="str">
        <x:f>IF(O749="","",O749*2)</x:f>
      </x:c>
      <x:c r="Q749" s="50" t="str"/>
      <x:c r="R749" s="47" t="str"/>
      <x:c r="S749" s="33" t="str">
        <x:v>Not Tested</x:v>
      </x:c>
      <x:c r="T749" s="64" t="str">
        <x:v>Eligible</x:v>
      </x:c>
      <x:c r="U749" s="47" t="str"/>
      <x:c r="V749" s="47" t="str"/>
      <x:c r="W749" s="47" t="str"/>
      <x:c r="X749" s="50" t="str"/>
      <x:c r="Y749" s="50" t="str"/>
      <x:c r="Z749" s="47" t="str"/>
      <x:c r="AA749" s="47" t="str">
        <x:v>No direct published reference located; do not display a crimp value.</x:v>
      </x:c>
      <x:c r="AB749" s="161" t="str">
        <x:v>Pending</x:v>
      </x:c>
    </x:row>
    <x:row r="750" ht="42" customHeight="1">
      <x:c r="A750" s="33" t="str">
        <x:v>Draft</x:v>
      </x:c>
      <x:c r="B750" s="47" t="str">
        <x:v>COMP_0746</x:v>
      </x:c>
      <x:c r="C750" s="47" t="str">
        <x:v>EN2SC_006</x:v>
      </x:c>
      <x:c r="D750" s="47" t="str">
        <x:v>BSPP90_F_SW_12_12</x:v>
      </x:c>
      <x:c r="E750" s="47" t="str">
        <x:v>EN2SC_2WB_006</x:v>
      </x:c>
      <x:c r="F750" s="47" t="str"/>
      <x:c r="G750" s="33" t="str"/>
      <x:c r="H750" s="50" t="str"/>
      <x:c r="I750" s="50" t="str"/>
      <x:c r="J750" s="50" t="str"/>
      <x:c r="K750" s="47" t="str"/>
      <x:c r="L750" s="50" t="str"/>
      <x:c r="M750" s="50" t="str"/>
      <x:c r="N750" s="47" t="str"/>
      <x:c r="O750" s="50" t="str"/>
      <x:c r="P750" s="64" t="str">
        <x:f>IF(O750="","",O750*2)</x:f>
      </x:c>
      <x:c r="Q750" s="50" t="str"/>
      <x:c r="R750" s="47" t="str"/>
      <x:c r="S750" s="33" t="str">
        <x:v>Not Tested</x:v>
      </x:c>
      <x:c r="T750" s="64" t="str">
        <x:v>Eligible</x:v>
      </x:c>
      <x:c r="U750" s="47" t="str"/>
      <x:c r="V750" s="47" t="str"/>
      <x:c r="W750" s="47" t="str"/>
      <x:c r="X750" s="50" t="str"/>
      <x:c r="Y750" s="50" t="str"/>
      <x:c r="Z750" s="47" t="str"/>
      <x:c r="AA750" s="47" t="str">
        <x:v>No direct published reference located; do not display a crimp value.</x:v>
      </x:c>
      <x:c r="AB750" s="161" t="str">
        <x:v>Pending</x:v>
      </x:c>
    </x:row>
    <x:row r="751" ht="42" customHeight="1">
      <x:c r="A751" s="33" t="str">
        <x:v>Draft</x:v>
      </x:c>
      <x:c r="B751" s="47" t="str">
        <x:v>COMP_0747</x:v>
      </x:c>
      <x:c r="C751" s="47" t="str">
        <x:v>EN2SC_006</x:v>
      </x:c>
      <x:c r="D751" s="47" t="str">
        <x:v>BSPT_M_FX_12_12</x:v>
      </x:c>
      <x:c r="E751" s="47" t="str">
        <x:v>EN2SC_2WB_006</x:v>
      </x:c>
      <x:c r="F751" s="47" t="str"/>
      <x:c r="G751" s="33" t="str"/>
      <x:c r="H751" s="50" t="str"/>
      <x:c r="I751" s="50" t="str"/>
      <x:c r="J751" s="50" t="str"/>
      <x:c r="K751" s="47" t="str"/>
      <x:c r="L751" s="50" t="str"/>
      <x:c r="M751" s="50" t="str"/>
      <x:c r="N751" s="47" t="str"/>
      <x:c r="O751" s="50" t="str"/>
      <x:c r="P751" s="64" t="str">
        <x:f>IF(O751="","",O751*2)</x:f>
      </x:c>
      <x:c r="Q751" s="50" t="str"/>
      <x:c r="R751" s="47" t="str"/>
      <x:c r="S751" s="33" t="str">
        <x:v>Not Tested</x:v>
      </x:c>
      <x:c r="T751" s="64" t="str">
        <x:v>Eligible</x:v>
      </x:c>
      <x:c r="U751" s="47" t="str"/>
      <x:c r="V751" s="47" t="str"/>
      <x:c r="W751" s="47" t="str"/>
      <x:c r="X751" s="50" t="str"/>
      <x:c r="Y751" s="50" t="str"/>
      <x:c r="Z751" s="47" t="str"/>
      <x:c r="AA751" s="47" t="str">
        <x:v>No direct published reference located; do not display a crimp value.</x:v>
      </x:c>
      <x:c r="AB751" s="161" t="str">
        <x:v>Pending</x:v>
      </x:c>
    </x:row>
    <x:row r="752" ht="42" customHeight="1">
      <x:c r="A752" s="33" t="str">
        <x:v>Draft</x:v>
      </x:c>
      <x:c r="B752" s="47" t="str">
        <x:v>COMP_0748</x:v>
      </x:c>
      <x:c r="C752" s="47" t="str">
        <x:v>EN2SC_006</x:v>
      </x:c>
      <x:c r="D752" s="47" t="str">
        <x:v>JIC_F_SW_08_12</x:v>
      </x:c>
      <x:c r="E752" s="47" t="str">
        <x:v>EN2SC_2WB_006</x:v>
      </x:c>
      <x:c r="F752" s="47" t="str"/>
      <x:c r="G752" s="33" t="str"/>
      <x:c r="H752" s="50" t="str"/>
      <x:c r="I752" s="50" t="str"/>
      <x:c r="J752" s="50" t="str"/>
      <x:c r="K752" s="47" t="str"/>
      <x:c r="L752" s="50" t="str"/>
      <x:c r="M752" s="50" t="str"/>
      <x:c r="N752" s="47" t="str"/>
      <x:c r="O752" s="50" t="str"/>
      <x:c r="P752" s="64" t="str">
        <x:f>IF(O752="","",O752*2)</x:f>
      </x:c>
      <x:c r="Q752" s="50" t="str"/>
      <x:c r="R752" s="47" t="str"/>
      <x:c r="S752" s="33" t="str">
        <x:v>Not Tested</x:v>
      </x:c>
      <x:c r="T752" s="64" t="str">
        <x:v>Eligible</x:v>
      </x:c>
      <x:c r="U752" s="47" t="str"/>
      <x:c r="V752" s="47" t="str"/>
      <x:c r="W752" s="47" t="str"/>
      <x:c r="X752" s="50" t="str"/>
      <x:c r="Y752" s="50" t="str"/>
      <x:c r="Z752" s="47" t="str"/>
      <x:c r="AA752" s="47" t="str">
        <x:v>No direct published reference located; do not display a crimp value.</x:v>
      </x:c>
      <x:c r="AB752" s="161" t="str">
        <x:v>Pending</x:v>
      </x:c>
    </x:row>
    <x:row r="753" ht="42" customHeight="1">
      <x:c r="A753" s="33" t="str">
        <x:v>Draft</x:v>
      </x:c>
      <x:c r="B753" s="47" t="str">
        <x:v>COMP_0749</x:v>
      </x:c>
      <x:c r="C753" s="47" t="str">
        <x:v>EN2SC_006</x:v>
      </x:c>
      <x:c r="D753" s="47" t="str">
        <x:v>JIC_F_SW_10_12</x:v>
      </x:c>
      <x:c r="E753" s="47" t="str">
        <x:v>EN2SC_2WB_006</x:v>
      </x:c>
      <x:c r="F753" s="47" t="str"/>
      <x:c r="G753" s="33" t="str"/>
      <x:c r="H753" s="50" t="str"/>
      <x:c r="I753" s="50" t="str"/>
      <x:c r="J753" s="50" t="str"/>
      <x:c r="K753" s="47" t="str"/>
      <x:c r="L753" s="50" t="str"/>
      <x:c r="M753" s="50" t="str"/>
      <x:c r="N753" s="47" t="str"/>
      <x:c r="O753" s="50" t="str"/>
      <x:c r="P753" s="64" t="str">
        <x:f>IF(O753="","",O753*2)</x:f>
      </x:c>
      <x:c r="Q753" s="50" t="str"/>
      <x:c r="R753" s="47" t="str"/>
      <x:c r="S753" s="33" t="str">
        <x:v>Not Tested</x:v>
      </x:c>
      <x:c r="T753" s="64" t="str">
        <x:v>Eligible</x:v>
      </x:c>
      <x:c r="U753" s="47" t="str"/>
      <x:c r="V753" s="47" t="str"/>
      <x:c r="W753" s="47" t="str"/>
      <x:c r="X753" s="50" t="str"/>
      <x:c r="Y753" s="50" t="str"/>
      <x:c r="Z753" s="47" t="str"/>
      <x:c r="AA753" s="47" t="str">
        <x:v>No direct published reference located; do not display a crimp value.</x:v>
      </x:c>
      <x:c r="AB753" s="161" t="str">
        <x:v>Pending</x:v>
      </x:c>
    </x:row>
    <x:row r="754" ht="42" customHeight="1">
      <x:c r="A754" s="33" t="str">
        <x:v>Draft</x:v>
      </x:c>
      <x:c r="B754" s="47" t="str">
        <x:v>COMP_0750</x:v>
      </x:c>
      <x:c r="C754" s="47" t="str">
        <x:v>EN2SC_006</x:v>
      </x:c>
      <x:c r="D754" s="47" t="str">
        <x:v>JIC_F_SW_12_12</x:v>
      </x:c>
      <x:c r="E754" s="47" t="str">
        <x:v>EN2SC_2WB_006</x:v>
      </x:c>
      <x:c r="F754" s="47" t="str"/>
      <x:c r="G754" s="33" t="str"/>
      <x:c r="H754" s="50" t="str"/>
      <x:c r="I754" s="50" t="str"/>
      <x:c r="J754" s="50" t="str"/>
      <x:c r="K754" s="47" t="str"/>
      <x:c r="L754" s="50" t="str"/>
      <x:c r="M754" s="50" t="str"/>
      <x:c r="N754" s="47" t="str"/>
      <x:c r="O754" s="50" t="str"/>
      <x:c r="P754" s="64" t="str">
        <x:f>IF(O754="","",O754*2)</x:f>
      </x:c>
      <x:c r="Q754" s="50" t="str"/>
      <x:c r="R754" s="47" t="str"/>
      <x:c r="S754" s="33" t="str">
        <x:v>Not Tested</x:v>
      </x:c>
      <x:c r="T754" s="64" t="str">
        <x:v>Eligible</x:v>
      </x:c>
      <x:c r="U754" s="47" t="str"/>
      <x:c r="V754" s="47" t="str"/>
      <x:c r="W754" s="47" t="str"/>
      <x:c r="X754" s="50" t="str"/>
      <x:c r="Y754" s="50" t="str"/>
      <x:c r="Z754" s="47" t="str"/>
      <x:c r="AA754" s="47" t="str">
        <x:v>No direct published reference located; do not display a crimp value.</x:v>
      </x:c>
      <x:c r="AB754" s="161" t="str">
        <x:v>Pending</x:v>
      </x:c>
    </x:row>
    <x:row r="755" ht="42" customHeight="1">
      <x:c r="A755" s="33" t="str">
        <x:v>Draft</x:v>
      </x:c>
      <x:c r="B755" s="47" t="str">
        <x:v>COMP_0751</x:v>
      </x:c>
      <x:c r="C755" s="47" t="str">
        <x:v>EN2SC_006</x:v>
      </x:c>
      <x:c r="D755" s="47" t="str">
        <x:v>JIC_F_SW_14_12</x:v>
      </x:c>
      <x:c r="E755" s="47" t="str">
        <x:v>EN2SC_2WB_006</x:v>
      </x:c>
      <x:c r="F755" s="47" t="str"/>
      <x:c r="G755" s="33" t="str"/>
      <x:c r="H755" s="50" t="str"/>
      <x:c r="I755" s="50" t="str"/>
      <x:c r="J755" s="50" t="str"/>
      <x:c r="K755" s="47" t="str"/>
      <x:c r="L755" s="50" t="str"/>
      <x:c r="M755" s="50" t="str"/>
      <x:c r="N755" s="47" t="str"/>
      <x:c r="O755" s="50" t="str"/>
      <x:c r="P755" s="64" t="str">
        <x:f>IF(O755="","",O755*2)</x:f>
      </x:c>
      <x:c r="Q755" s="50" t="str"/>
      <x:c r="R755" s="47" t="str"/>
      <x:c r="S755" s="33" t="str">
        <x:v>Not Tested</x:v>
      </x:c>
      <x:c r="T755" s="64" t="str">
        <x:v>Eligible</x:v>
      </x:c>
      <x:c r="U755" s="47" t="str"/>
      <x:c r="V755" s="47" t="str"/>
      <x:c r="W755" s="47" t="str"/>
      <x:c r="X755" s="50" t="str"/>
      <x:c r="Y755" s="50" t="str"/>
      <x:c r="Z755" s="47" t="str"/>
      <x:c r="AA755" s="47" t="str">
        <x:v>No direct published reference located; do not display a crimp value.</x:v>
      </x:c>
      <x:c r="AB755" s="161" t="str">
        <x:v>Pending</x:v>
      </x:c>
    </x:row>
    <x:row r="756" ht="42" customHeight="1">
      <x:c r="A756" s="33" t="str">
        <x:v>Draft</x:v>
      </x:c>
      <x:c r="B756" s="47" t="str">
        <x:v>COMP_0752</x:v>
      </x:c>
      <x:c r="C756" s="47" t="str">
        <x:v>EN2SC_006</x:v>
      </x:c>
      <x:c r="D756" s="47" t="str">
        <x:v>JIC_F_SW_16_12</x:v>
      </x:c>
      <x:c r="E756" s="47" t="str">
        <x:v>EN2SC_2WB_006</x:v>
      </x:c>
      <x:c r="F756" s="47" t="str"/>
      <x:c r="G756" s="33" t="str"/>
      <x:c r="H756" s="50" t="str"/>
      <x:c r="I756" s="50" t="str"/>
      <x:c r="J756" s="50" t="str"/>
      <x:c r="K756" s="47" t="str"/>
      <x:c r="L756" s="50" t="str"/>
      <x:c r="M756" s="50" t="str"/>
      <x:c r="N756" s="47" t="str"/>
      <x:c r="O756" s="50" t="str"/>
      <x:c r="P756" s="64" t="str">
        <x:f>IF(O756="","",O756*2)</x:f>
      </x:c>
      <x:c r="Q756" s="50" t="str"/>
      <x:c r="R756" s="47" t="str"/>
      <x:c r="S756" s="33" t="str">
        <x:v>Not Tested</x:v>
      </x:c>
      <x:c r="T756" s="64" t="str">
        <x:v>Eligible</x:v>
      </x:c>
      <x:c r="U756" s="47" t="str"/>
      <x:c r="V756" s="47" t="str"/>
      <x:c r="W756" s="47" t="str"/>
      <x:c r="X756" s="50" t="str"/>
      <x:c r="Y756" s="50" t="str"/>
      <x:c r="Z756" s="47" t="str"/>
      <x:c r="AA756" s="47" t="str">
        <x:v>No direct published reference located; do not display a crimp value.</x:v>
      </x:c>
      <x:c r="AB756" s="161" t="str">
        <x:v>Pending</x:v>
      </x:c>
    </x:row>
    <x:row r="757" ht="42" customHeight="1">
      <x:c r="A757" s="33" t="str">
        <x:v>Draft</x:v>
      </x:c>
      <x:c r="B757" s="47" t="str">
        <x:v>COMP_0753</x:v>
      </x:c>
      <x:c r="C757" s="47" t="str">
        <x:v>EN2SC_006</x:v>
      </x:c>
      <x:c r="D757" s="47" t="str">
        <x:v>JIC_M_FX_12_12</x:v>
      </x:c>
      <x:c r="E757" s="47" t="str">
        <x:v>EN2SC_2WB_006</x:v>
      </x:c>
      <x:c r="F757" s="47" t="str"/>
      <x:c r="G757" s="33" t="str"/>
      <x:c r="H757" s="50" t="str"/>
      <x:c r="I757" s="50" t="str"/>
      <x:c r="J757" s="50" t="str"/>
      <x:c r="K757" s="47" t="str"/>
      <x:c r="L757" s="50" t="str"/>
      <x:c r="M757" s="50" t="str"/>
      <x:c r="N757" s="47" t="str"/>
      <x:c r="O757" s="50" t="str"/>
      <x:c r="P757" s="64" t="str">
        <x:f>IF(O757="","",O757*2)</x:f>
      </x:c>
      <x:c r="Q757" s="50" t="str"/>
      <x:c r="R757" s="47" t="str"/>
      <x:c r="S757" s="33" t="str">
        <x:v>Not Tested</x:v>
      </x:c>
      <x:c r="T757" s="64" t="str">
        <x:v>Eligible</x:v>
      </x:c>
      <x:c r="U757" s="47" t="str"/>
      <x:c r="V757" s="47" t="str"/>
      <x:c r="W757" s="47" t="str"/>
      <x:c r="X757" s="50" t="str"/>
      <x:c r="Y757" s="50" t="str"/>
      <x:c r="Z757" s="47" t="str"/>
      <x:c r="AA757" s="47" t="str">
        <x:v>No direct published reference located; do not display a crimp value.</x:v>
      </x:c>
      <x:c r="AB757" s="161" t="str">
        <x:v>Pending</x:v>
      </x:c>
    </x:row>
    <x:row r="758" ht="42" customHeight="1">
      <x:c r="A758" s="33" t="str">
        <x:v>Draft</x:v>
      </x:c>
      <x:c r="B758" s="47" t="str">
        <x:v>COMP_0754</x:v>
      </x:c>
      <x:c r="C758" s="47" t="str">
        <x:v>EN2SC_006</x:v>
      </x:c>
      <x:c r="D758" s="47" t="str">
        <x:v>JIC_M_FX_14_12</x:v>
      </x:c>
      <x:c r="E758" s="47" t="str">
        <x:v>EN2SC_2WB_006</x:v>
      </x:c>
      <x:c r="F758" s="47" t="str"/>
      <x:c r="G758" s="33" t="str"/>
      <x:c r="H758" s="50" t="str"/>
      <x:c r="I758" s="50" t="str"/>
      <x:c r="J758" s="50" t="str"/>
      <x:c r="K758" s="47" t="str"/>
      <x:c r="L758" s="50" t="str"/>
      <x:c r="M758" s="50" t="str"/>
      <x:c r="N758" s="47" t="str"/>
      <x:c r="O758" s="50" t="str"/>
      <x:c r="P758" s="64" t="str">
        <x:f>IF(O758="","",O758*2)</x:f>
      </x:c>
      <x:c r="Q758" s="50" t="str"/>
      <x:c r="R758" s="47" t="str"/>
      <x:c r="S758" s="33" t="str">
        <x:v>Not Tested</x:v>
      </x:c>
      <x:c r="T758" s="64" t="str">
        <x:v>Eligible</x:v>
      </x:c>
      <x:c r="U758" s="47" t="str"/>
      <x:c r="V758" s="47" t="str"/>
      <x:c r="W758" s="47" t="str"/>
      <x:c r="X758" s="50" t="str"/>
      <x:c r="Y758" s="50" t="str"/>
      <x:c r="Z758" s="47" t="str"/>
      <x:c r="AA758" s="47" t="str">
        <x:v>No direct published reference located; do not display a crimp value.</x:v>
      </x:c>
      <x:c r="AB758" s="161" t="str">
        <x:v>Pending</x:v>
      </x:c>
    </x:row>
    <x:row r="759" ht="42" customHeight="1">
      <x:c r="A759" s="33" t="str">
        <x:v>Draft</x:v>
      </x:c>
      <x:c r="B759" s="47" t="str">
        <x:v>COMP_0755</x:v>
      </x:c>
      <x:c r="C759" s="47" t="str">
        <x:v>EN2SC_006</x:v>
      </x:c>
      <x:c r="D759" s="47" t="str">
        <x:v>JIC_M_FX_16_12</x:v>
      </x:c>
      <x:c r="E759" s="47" t="str">
        <x:v>EN2SC_2WB_006</x:v>
      </x:c>
      <x:c r="F759" s="47" t="str"/>
      <x:c r="G759" s="33" t="str"/>
      <x:c r="H759" s="50" t="str"/>
      <x:c r="I759" s="50" t="str"/>
      <x:c r="J759" s="50" t="str"/>
      <x:c r="K759" s="47" t="str"/>
      <x:c r="L759" s="50" t="str"/>
      <x:c r="M759" s="50" t="str"/>
      <x:c r="N759" s="47" t="str"/>
      <x:c r="O759" s="50" t="str"/>
      <x:c r="P759" s="64" t="str">
        <x:f>IF(O759="","",O759*2)</x:f>
      </x:c>
      <x:c r="Q759" s="50" t="str"/>
      <x:c r="R759" s="47" t="str"/>
      <x:c r="S759" s="33" t="str">
        <x:v>Not Tested</x:v>
      </x:c>
      <x:c r="T759" s="64" t="str">
        <x:v>Eligible</x:v>
      </x:c>
      <x:c r="U759" s="47" t="str"/>
      <x:c r="V759" s="47" t="str"/>
      <x:c r="W759" s="47" t="str"/>
      <x:c r="X759" s="50" t="str"/>
      <x:c r="Y759" s="50" t="str"/>
      <x:c r="Z759" s="47" t="str"/>
      <x:c r="AA759" s="47" t="str">
        <x:v>No direct published reference located; do not display a crimp value.</x:v>
      </x:c>
      <x:c r="AB759" s="161" t="str">
        <x:v>Pending</x:v>
      </x:c>
    </x:row>
    <x:row r="760" ht="42" customHeight="1">
      <x:c r="A760" s="33" t="str">
        <x:v>Draft</x:v>
      </x:c>
      <x:c r="B760" s="47" t="str">
        <x:v>COMP_0756</x:v>
      </x:c>
      <x:c r="C760" s="47" t="str">
        <x:v>EN2SC_006</x:v>
      </x:c>
      <x:c r="D760" s="47" t="str">
        <x:v>JIC45_F_SW_12_12</x:v>
      </x:c>
      <x:c r="E760" s="47" t="str">
        <x:v>EN2SC_2WB_006</x:v>
      </x:c>
      <x:c r="F760" s="47" t="str"/>
      <x:c r="G760" s="33" t="str"/>
      <x:c r="H760" s="50" t="str"/>
      <x:c r="I760" s="50" t="str"/>
      <x:c r="J760" s="50" t="str"/>
      <x:c r="K760" s="47" t="str"/>
      <x:c r="L760" s="50" t="str"/>
      <x:c r="M760" s="50" t="str"/>
      <x:c r="N760" s="47" t="str"/>
      <x:c r="O760" s="50" t="str"/>
      <x:c r="P760" s="64" t="str">
        <x:f>IF(O760="","",O760*2)</x:f>
      </x:c>
      <x:c r="Q760" s="50" t="str"/>
      <x:c r="R760" s="47" t="str"/>
      <x:c r="S760" s="33" t="str">
        <x:v>Not Tested</x:v>
      </x:c>
      <x:c r="T760" s="64" t="str">
        <x:v>Eligible</x:v>
      </x:c>
      <x:c r="U760" s="47" t="str"/>
      <x:c r="V760" s="47" t="str"/>
      <x:c r="W760" s="47" t="str"/>
      <x:c r="X760" s="50" t="str"/>
      <x:c r="Y760" s="50" t="str"/>
      <x:c r="Z760" s="47" t="str"/>
      <x:c r="AA760" s="47" t="str">
        <x:v>No direct published reference located; do not display a crimp value.</x:v>
      </x:c>
      <x:c r="AB760" s="161" t="str">
        <x:v>Pending</x:v>
      </x:c>
    </x:row>
    <x:row r="761" ht="42" customHeight="1">
      <x:c r="A761" s="33" t="str">
        <x:v>Draft</x:v>
      </x:c>
      <x:c r="B761" s="47" t="str">
        <x:v>COMP_0757</x:v>
      </x:c>
      <x:c r="C761" s="47" t="str">
        <x:v>EN2SC_006</x:v>
      </x:c>
      <x:c r="D761" s="47" t="str">
        <x:v>JIC45_F_SW_16_12</x:v>
      </x:c>
      <x:c r="E761" s="47" t="str">
        <x:v>EN2SC_2WB_006</x:v>
      </x:c>
      <x:c r="F761" s="47" t="str"/>
      <x:c r="G761" s="33" t="str"/>
      <x:c r="H761" s="50" t="str"/>
      <x:c r="I761" s="50" t="str"/>
      <x:c r="J761" s="50" t="str"/>
      <x:c r="K761" s="47" t="str"/>
      <x:c r="L761" s="50" t="str"/>
      <x:c r="M761" s="50" t="str"/>
      <x:c r="N761" s="47" t="str"/>
      <x:c r="O761" s="50" t="str"/>
      <x:c r="P761" s="64" t="str">
        <x:f>IF(O761="","",O761*2)</x:f>
      </x:c>
      <x:c r="Q761" s="50" t="str"/>
      <x:c r="R761" s="47" t="str"/>
      <x:c r="S761" s="33" t="str">
        <x:v>Not Tested</x:v>
      </x:c>
      <x:c r="T761" s="64" t="str">
        <x:v>Eligible</x:v>
      </x:c>
      <x:c r="U761" s="47" t="str"/>
      <x:c r="V761" s="47" t="str"/>
      <x:c r="W761" s="47" t="str"/>
      <x:c r="X761" s="50" t="str"/>
      <x:c r="Y761" s="50" t="str"/>
      <x:c r="Z761" s="47" t="str"/>
      <x:c r="AA761" s="47" t="str">
        <x:v>No direct published reference located; do not display a crimp value.</x:v>
      </x:c>
      <x:c r="AB761" s="161" t="str">
        <x:v>Pending</x:v>
      </x:c>
    </x:row>
    <x:row r="762" ht="42" customHeight="1">
      <x:c r="A762" s="33" t="str">
        <x:v>Draft</x:v>
      </x:c>
      <x:c r="B762" s="47" t="str">
        <x:v>COMP_0758</x:v>
      </x:c>
      <x:c r="C762" s="47" t="str">
        <x:v>EN2SC_006</x:v>
      </x:c>
      <x:c r="D762" s="47" t="str">
        <x:v>JIC90_F_SW_12_12</x:v>
      </x:c>
      <x:c r="E762" s="47" t="str">
        <x:v>EN2SC_2WB_006</x:v>
      </x:c>
      <x:c r="F762" s="47" t="str"/>
      <x:c r="G762" s="33" t="str"/>
      <x:c r="H762" s="50" t="str"/>
      <x:c r="I762" s="50" t="str"/>
      <x:c r="J762" s="50" t="str"/>
      <x:c r="K762" s="47" t="str"/>
      <x:c r="L762" s="50" t="str"/>
      <x:c r="M762" s="50" t="str"/>
      <x:c r="N762" s="47" t="str"/>
      <x:c r="O762" s="50" t="str"/>
      <x:c r="P762" s="64" t="str">
        <x:f>IF(O762="","",O762*2)</x:f>
      </x:c>
      <x:c r="Q762" s="50" t="str"/>
      <x:c r="R762" s="47" t="str"/>
      <x:c r="S762" s="33" t="str">
        <x:v>Not Tested</x:v>
      </x:c>
      <x:c r="T762" s="64" t="str">
        <x:v>Eligible</x:v>
      </x:c>
      <x:c r="U762" s="47" t="str"/>
      <x:c r="V762" s="47" t="str"/>
      <x:c r="W762" s="47" t="str"/>
      <x:c r="X762" s="50" t="str"/>
      <x:c r="Y762" s="50" t="str"/>
      <x:c r="Z762" s="47" t="str"/>
      <x:c r="AA762" s="47" t="str">
        <x:v>No direct published reference located; do not display a crimp value.</x:v>
      </x:c>
      <x:c r="AB762" s="161" t="str">
        <x:v>Pending</x:v>
      </x:c>
    </x:row>
    <x:row r="763" ht="42" customHeight="1">
      <x:c r="A763" s="33" t="str">
        <x:v>Draft</x:v>
      </x:c>
      <x:c r="B763" s="47" t="str">
        <x:v>COMP_0759</x:v>
      </x:c>
      <x:c r="C763" s="47" t="str">
        <x:v>EN2SC_006</x:v>
      </x:c>
      <x:c r="D763" s="47" t="str">
        <x:v>JIC90_F_SW_16_12</x:v>
      </x:c>
      <x:c r="E763" s="47" t="str">
        <x:v>EN2SC_2WB_006</x:v>
      </x:c>
      <x:c r="F763" s="47" t="str"/>
      <x:c r="G763" s="33" t="str"/>
      <x:c r="H763" s="50" t="str"/>
      <x:c r="I763" s="50" t="str"/>
      <x:c r="J763" s="50" t="str"/>
      <x:c r="K763" s="47" t="str"/>
      <x:c r="L763" s="50" t="str"/>
      <x:c r="M763" s="50" t="str"/>
      <x:c r="N763" s="47" t="str"/>
      <x:c r="O763" s="50" t="str"/>
      <x:c r="P763" s="64" t="str">
        <x:f>IF(O763="","",O763*2)</x:f>
      </x:c>
      <x:c r="Q763" s="50" t="str"/>
      <x:c r="R763" s="47" t="str"/>
      <x:c r="S763" s="33" t="str">
        <x:v>Not Tested</x:v>
      </x:c>
      <x:c r="T763" s="64" t="str">
        <x:v>Eligible</x:v>
      </x:c>
      <x:c r="U763" s="47" t="str"/>
      <x:c r="V763" s="47" t="str"/>
      <x:c r="W763" s="47" t="str"/>
      <x:c r="X763" s="50" t="str"/>
      <x:c r="Y763" s="50" t="str"/>
      <x:c r="Z763" s="47" t="str"/>
      <x:c r="AA763" s="47" t="str">
        <x:v>No direct published reference located; do not display a crimp value.</x:v>
      </x:c>
      <x:c r="AB763" s="161" t="str">
        <x:v>Pending</x:v>
      </x:c>
    </x:row>
    <x:row r="764" ht="42" customHeight="1">
      <x:c r="A764" s="33" t="str">
        <x:v>Draft</x:v>
      </x:c>
      <x:c r="B764" s="47" t="str">
        <x:v>COMP_0760</x:v>
      </x:c>
      <x:c r="C764" s="47" t="str">
        <x:v>EN2SC_006</x:v>
      </x:c>
      <x:c r="D764" s="47" t="str">
        <x:v>NPT_F_FX_12_12</x:v>
      </x:c>
      <x:c r="E764" s="47" t="str">
        <x:v>EN2SC_2WB_006</x:v>
      </x:c>
      <x:c r="F764" s="47" t="str"/>
      <x:c r="G764" s="33" t="str"/>
      <x:c r="H764" s="50" t="str"/>
      <x:c r="I764" s="50" t="str"/>
      <x:c r="J764" s="50" t="str"/>
      <x:c r="K764" s="47" t="str"/>
      <x:c r="L764" s="50" t="str"/>
      <x:c r="M764" s="50" t="str"/>
      <x:c r="N764" s="47" t="str"/>
      <x:c r="O764" s="50" t="str"/>
      <x:c r="P764" s="64" t="str">
        <x:f>IF(O764="","",O764*2)</x:f>
      </x:c>
      <x:c r="Q764" s="50" t="str"/>
      <x:c r="R764" s="47" t="str"/>
      <x:c r="S764" s="33" t="str">
        <x:v>Not Tested</x:v>
      </x:c>
      <x:c r="T764" s="64" t="str">
        <x:v>Eligible</x:v>
      </x:c>
      <x:c r="U764" s="47" t="str"/>
      <x:c r="V764" s="47" t="str"/>
      <x:c r="W764" s="47" t="str"/>
      <x:c r="X764" s="50" t="str"/>
      <x:c r="Y764" s="50" t="str"/>
      <x:c r="Z764" s="47" t="str"/>
      <x:c r="AA764" s="47" t="str">
        <x:v>No direct published reference located; do not display a crimp value.</x:v>
      </x:c>
      <x:c r="AB764" s="161" t="str">
        <x:v>Pending</x:v>
      </x:c>
    </x:row>
    <x:row r="765" ht="42" customHeight="1">
      <x:c r="A765" s="33" t="str">
        <x:v>Draft</x:v>
      </x:c>
      <x:c r="B765" s="47" t="str">
        <x:v>COMP_0761</x:v>
      </x:c>
      <x:c r="C765" s="47" t="str">
        <x:v>EN2SC_006</x:v>
      </x:c>
      <x:c r="D765" s="47" t="str">
        <x:v>NPT_M_FX_08_12</x:v>
      </x:c>
      <x:c r="E765" s="47" t="str">
        <x:v>EN2SC_2WB_006</x:v>
      </x:c>
      <x:c r="F765" s="47" t="str"/>
      <x:c r="G765" s="33" t="str"/>
      <x:c r="H765" s="50" t="str"/>
      <x:c r="I765" s="50" t="str"/>
      <x:c r="J765" s="50" t="str"/>
      <x:c r="K765" s="47" t="str"/>
      <x:c r="L765" s="50" t="str"/>
      <x:c r="M765" s="50" t="str"/>
      <x:c r="N765" s="47" t="str"/>
      <x:c r="O765" s="50" t="str"/>
      <x:c r="P765" s="64" t="str">
        <x:f>IF(O765="","",O765*2)</x:f>
      </x:c>
      <x:c r="Q765" s="50" t="str"/>
      <x:c r="R765" s="47" t="str"/>
      <x:c r="S765" s="33" t="str">
        <x:v>Not Tested</x:v>
      </x:c>
      <x:c r="T765" s="64" t="str">
        <x:v>Eligible</x:v>
      </x:c>
      <x:c r="U765" s="47" t="str"/>
      <x:c r="V765" s="47" t="str"/>
      <x:c r="W765" s="47" t="str"/>
      <x:c r="X765" s="50" t="str"/>
      <x:c r="Y765" s="50" t="str"/>
      <x:c r="Z765" s="47" t="str"/>
      <x:c r="AA765" s="47" t="str">
        <x:v>No direct published reference located; do not display a crimp value.</x:v>
      </x:c>
      <x:c r="AB765" s="161" t="str">
        <x:v>Pending</x:v>
      </x:c>
    </x:row>
    <x:row r="766" ht="42" customHeight="1">
      <x:c r="A766" s="33" t="str">
        <x:v>Draft</x:v>
      </x:c>
      <x:c r="B766" s="47" t="str">
        <x:v>COMP_0762</x:v>
      </x:c>
      <x:c r="C766" s="47" t="str">
        <x:v>EN2SC_006</x:v>
      </x:c>
      <x:c r="D766" s="47" t="str">
        <x:v>NPT_M_FX_12_12</x:v>
      </x:c>
      <x:c r="E766" s="47" t="str">
        <x:v>EN2SC_2WB_006</x:v>
      </x:c>
      <x:c r="F766" s="47" t="str"/>
      <x:c r="G766" s="33" t="str"/>
      <x:c r="H766" s="50" t="str"/>
      <x:c r="I766" s="50" t="str"/>
      <x:c r="J766" s="50" t="str"/>
      <x:c r="K766" s="47" t="str"/>
      <x:c r="L766" s="50" t="str"/>
      <x:c r="M766" s="50" t="str"/>
      <x:c r="N766" s="47" t="str"/>
      <x:c r="O766" s="50" t="str"/>
      <x:c r="P766" s="64" t="str">
        <x:f>IF(O766="","",O766*2)</x:f>
      </x:c>
      <x:c r="Q766" s="50" t="str"/>
      <x:c r="R766" s="47" t="str"/>
      <x:c r="S766" s="33" t="str">
        <x:v>Not Tested</x:v>
      </x:c>
      <x:c r="T766" s="64" t="str">
        <x:v>Eligible</x:v>
      </x:c>
      <x:c r="U766" s="47" t="str"/>
      <x:c r="V766" s="47" t="str"/>
      <x:c r="W766" s="47" t="str"/>
      <x:c r="X766" s="50" t="str"/>
      <x:c r="Y766" s="50" t="str"/>
      <x:c r="Z766" s="47" t="str"/>
      <x:c r="AA766" s="47" t="str">
        <x:v>No direct published reference located; do not display a crimp value.</x:v>
      </x:c>
      <x:c r="AB766" s="161" t="str">
        <x:v>Pending</x:v>
      </x:c>
    </x:row>
    <x:row r="767" ht="42" customHeight="1">
      <x:c r="A767" s="33" t="str">
        <x:v>Draft</x:v>
      </x:c>
      <x:c r="B767" s="47" t="str">
        <x:v>COMP_0763</x:v>
      </x:c>
      <x:c r="C767" s="47" t="str">
        <x:v>EN2SC_006</x:v>
      </x:c>
      <x:c r="D767" s="47" t="str">
        <x:v>NPT_M_FX_16_12</x:v>
      </x:c>
      <x:c r="E767" s="47" t="str">
        <x:v>EN2SC_2WB_006</x:v>
      </x:c>
      <x:c r="F767" s="47" t="str"/>
      <x:c r="G767" s="33" t="str"/>
      <x:c r="H767" s="50" t="str"/>
      <x:c r="I767" s="50" t="str"/>
      <x:c r="J767" s="50" t="str"/>
      <x:c r="K767" s="47" t="str"/>
      <x:c r="L767" s="50" t="str"/>
      <x:c r="M767" s="50" t="str"/>
      <x:c r="N767" s="47" t="str"/>
      <x:c r="O767" s="50" t="str"/>
      <x:c r="P767" s="64" t="str">
        <x:f>IF(O767="","",O767*2)</x:f>
      </x:c>
      <x:c r="Q767" s="50" t="str"/>
      <x:c r="R767" s="47" t="str"/>
      <x:c r="S767" s="33" t="str">
        <x:v>Not Tested</x:v>
      </x:c>
      <x:c r="T767" s="64" t="str">
        <x:v>Eligible</x:v>
      </x:c>
      <x:c r="U767" s="47" t="str"/>
      <x:c r="V767" s="47" t="str"/>
      <x:c r="W767" s="47" t="str"/>
      <x:c r="X767" s="50" t="str"/>
      <x:c r="Y767" s="50" t="str"/>
      <x:c r="Z767" s="47" t="str"/>
      <x:c r="AA767" s="47" t="str">
        <x:v>No direct published reference located; do not display a crimp value.</x:v>
      </x:c>
      <x:c r="AB767" s="161" t="str">
        <x:v>Pending</x:v>
      </x:c>
    </x:row>
    <x:row r="768" ht="42" customHeight="1">
      <x:c r="A768" s="33" t="str">
        <x:v>Draft</x:v>
      </x:c>
      <x:c r="B768" s="47" t="str">
        <x:v>COMP_0764</x:v>
      </x:c>
      <x:c r="C768" s="47" t="str">
        <x:v>EN2SC_006</x:v>
      </x:c>
      <x:c r="D768" s="47" t="str">
        <x:v>NPT90_M_SW_12_12</x:v>
      </x:c>
      <x:c r="E768" s="47" t="str">
        <x:v>EN2SC_2WB_006</x:v>
      </x:c>
      <x:c r="F768" s="47" t="str"/>
      <x:c r="G768" s="33" t="str"/>
      <x:c r="H768" s="50" t="str"/>
      <x:c r="I768" s="50" t="str"/>
      <x:c r="J768" s="50" t="str"/>
      <x:c r="K768" s="47" t="str"/>
      <x:c r="L768" s="50" t="str"/>
      <x:c r="M768" s="50" t="str"/>
      <x:c r="N768" s="47" t="str"/>
      <x:c r="O768" s="50" t="str"/>
      <x:c r="P768" s="64" t="str">
        <x:f>IF(O768="","",O768*2)</x:f>
      </x:c>
      <x:c r="Q768" s="50" t="str"/>
      <x:c r="R768" s="47" t="str"/>
      <x:c r="S768" s="33" t="str">
        <x:v>Not Tested</x:v>
      </x:c>
      <x:c r="T768" s="64" t="str">
        <x:v>Eligible</x:v>
      </x:c>
      <x:c r="U768" s="47" t="str"/>
      <x:c r="V768" s="47" t="str"/>
      <x:c r="W768" s="47" t="str"/>
      <x:c r="X768" s="50" t="str"/>
      <x:c r="Y768" s="50" t="str"/>
      <x:c r="Z768" s="47" t="str"/>
      <x:c r="AA768" s="47" t="str">
        <x:v>No direct published reference located; do not display a crimp value.</x:v>
      </x:c>
      <x:c r="AB768" s="161" t="str">
        <x:v>Pending</x:v>
      </x:c>
    </x:row>
    <x:row r="769" ht="42" customHeight="1">
      <x:c r="A769" s="33" t="str">
        <x:v>Draft</x:v>
      </x:c>
      <x:c r="B769" s="47" t="str">
        <x:v>COMP_0765</x:v>
      </x:c>
      <x:c r="C769" s="47" t="str">
        <x:v>EN2SC_006</x:v>
      </x:c>
      <x:c r="D769" s="47" t="str">
        <x:v>ORFS_F_SW_10_12</x:v>
      </x:c>
      <x:c r="E769" s="47" t="str">
        <x:v>EN2SC_2WB_006</x:v>
      </x:c>
      <x:c r="F769" s="47" t="str"/>
      <x:c r="G769" s="33" t="str"/>
      <x:c r="H769" s="50" t="str"/>
      <x:c r="I769" s="50" t="str"/>
      <x:c r="J769" s="50" t="str"/>
      <x:c r="K769" s="47" t="str"/>
      <x:c r="L769" s="50" t="str"/>
      <x:c r="M769" s="50" t="str"/>
      <x:c r="N769" s="47" t="str"/>
      <x:c r="O769" s="50" t="str"/>
      <x:c r="P769" s="64" t="str">
        <x:f>IF(O769="","",O769*2)</x:f>
      </x:c>
      <x:c r="Q769" s="50" t="str"/>
      <x:c r="R769" s="47" t="str"/>
      <x:c r="S769" s="33" t="str">
        <x:v>Not Tested</x:v>
      </x:c>
      <x:c r="T769" s="64" t="str">
        <x:v>Eligible</x:v>
      </x:c>
      <x:c r="U769" s="47" t="str"/>
      <x:c r="V769" s="47" t="str"/>
      <x:c r="W769" s="47" t="str"/>
      <x:c r="X769" s="50" t="str"/>
      <x:c r="Y769" s="50" t="str"/>
      <x:c r="Z769" s="47" t="str"/>
      <x:c r="AA769" s="47" t="str">
        <x:v>No direct published reference located; do not display a crimp value.</x:v>
      </x:c>
      <x:c r="AB769" s="161" t="str">
        <x:v>Pending</x:v>
      </x:c>
    </x:row>
    <x:row r="770" ht="42" customHeight="1">
      <x:c r="A770" s="33" t="str">
        <x:v>Draft</x:v>
      </x:c>
      <x:c r="B770" s="47" t="str">
        <x:v>COMP_0766</x:v>
      </x:c>
      <x:c r="C770" s="47" t="str">
        <x:v>EN2SC_006</x:v>
      </x:c>
      <x:c r="D770" s="47" t="str">
        <x:v>ORFS_F_SW_12_12</x:v>
      </x:c>
      <x:c r="E770" s="47" t="str">
        <x:v>EN2SC_2WB_006</x:v>
      </x:c>
      <x:c r="F770" s="47" t="str"/>
      <x:c r="G770" s="33" t="str"/>
      <x:c r="H770" s="50" t="str"/>
      <x:c r="I770" s="50" t="str"/>
      <x:c r="J770" s="50" t="str"/>
      <x:c r="K770" s="47" t="str"/>
      <x:c r="L770" s="50" t="str"/>
      <x:c r="M770" s="50" t="str"/>
      <x:c r="N770" s="47" t="str"/>
      <x:c r="O770" s="50" t="str"/>
      <x:c r="P770" s="64" t="str">
        <x:f>IF(O770="","",O770*2)</x:f>
      </x:c>
      <x:c r="Q770" s="50" t="str"/>
      <x:c r="R770" s="47" t="str"/>
      <x:c r="S770" s="33" t="str">
        <x:v>Not Tested</x:v>
      </x:c>
      <x:c r="T770" s="64" t="str">
        <x:v>Eligible</x:v>
      </x:c>
      <x:c r="U770" s="47" t="str"/>
      <x:c r="V770" s="47" t="str"/>
      <x:c r="W770" s="47" t="str"/>
      <x:c r="X770" s="50" t="str"/>
      <x:c r="Y770" s="50" t="str"/>
      <x:c r="Z770" s="47" t="str"/>
      <x:c r="AA770" s="47" t="str">
        <x:v>No direct published reference located; do not display a crimp value.</x:v>
      </x:c>
      <x:c r="AB770" s="161" t="str">
        <x:v>Pending</x:v>
      </x:c>
    </x:row>
    <x:row r="771" ht="42" customHeight="1">
      <x:c r="A771" s="33" t="str">
        <x:v>Draft</x:v>
      </x:c>
      <x:c r="B771" s="47" t="str">
        <x:v>COMP_0767</x:v>
      </x:c>
      <x:c r="C771" s="47" t="str">
        <x:v>EN2SC_006</x:v>
      </x:c>
      <x:c r="D771" s="47" t="str">
        <x:v>ORFS_F_SW_16_12</x:v>
      </x:c>
      <x:c r="E771" s="47" t="str">
        <x:v>EN2SC_2WB_006</x:v>
      </x:c>
      <x:c r="F771" s="47" t="str"/>
      <x:c r="G771" s="33" t="str"/>
      <x:c r="H771" s="50" t="str"/>
      <x:c r="I771" s="50" t="str"/>
      <x:c r="J771" s="50" t="str"/>
      <x:c r="K771" s="47" t="str"/>
      <x:c r="L771" s="50" t="str"/>
      <x:c r="M771" s="50" t="str"/>
      <x:c r="N771" s="47" t="str"/>
      <x:c r="O771" s="50" t="str"/>
      <x:c r="P771" s="64" t="str">
        <x:f>IF(O771="","",O771*2)</x:f>
      </x:c>
      <x:c r="Q771" s="50" t="str"/>
      <x:c r="R771" s="47" t="str"/>
      <x:c r="S771" s="33" t="str">
        <x:v>Not Tested</x:v>
      </x:c>
      <x:c r="T771" s="64" t="str">
        <x:v>Eligible</x:v>
      </x:c>
      <x:c r="U771" s="47" t="str"/>
      <x:c r="V771" s="47" t="str"/>
      <x:c r="W771" s="47" t="str"/>
      <x:c r="X771" s="50" t="str"/>
      <x:c r="Y771" s="50" t="str"/>
      <x:c r="Z771" s="47" t="str"/>
      <x:c r="AA771" s="47" t="str">
        <x:v>No direct published reference located; do not display a crimp value.</x:v>
      </x:c>
      <x:c r="AB771" s="161" t="str">
        <x:v>Pending</x:v>
      </x:c>
    </x:row>
    <x:row r="772" ht="42" customHeight="1">
      <x:c r="A772" s="33" t="str">
        <x:v>Draft</x:v>
      </x:c>
      <x:c r="B772" s="47" t="str">
        <x:v>COMP_0768</x:v>
      </x:c>
      <x:c r="C772" s="47" t="str">
        <x:v>EN2SC_006</x:v>
      </x:c>
      <x:c r="D772" s="47" t="str">
        <x:v>ORFS_M_FX_12_12</x:v>
      </x:c>
      <x:c r="E772" s="47" t="str">
        <x:v>EN2SC_2WB_006</x:v>
      </x:c>
      <x:c r="F772" s="47" t="str"/>
      <x:c r="G772" s="33" t="str"/>
      <x:c r="H772" s="50" t="str"/>
      <x:c r="I772" s="50" t="str"/>
      <x:c r="J772" s="50" t="str"/>
      <x:c r="K772" s="47" t="str"/>
      <x:c r="L772" s="50" t="str"/>
      <x:c r="M772" s="50" t="str"/>
      <x:c r="N772" s="47" t="str"/>
      <x:c r="O772" s="50" t="str"/>
      <x:c r="P772" s="64" t="str">
        <x:f>IF(O772="","",O772*2)</x:f>
      </x:c>
      <x:c r="Q772" s="50" t="str"/>
      <x:c r="R772" s="47" t="str"/>
      <x:c r="S772" s="33" t="str">
        <x:v>Not Tested</x:v>
      </x:c>
      <x:c r="T772" s="64" t="str">
        <x:v>Eligible</x:v>
      </x:c>
      <x:c r="U772" s="47" t="str"/>
      <x:c r="V772" s="47" t="str"/>
      <x:c r="W772" s="47" t="str"/>
      <x:c r="X772" s="50" t="str"/>
      <x:c r="Y772" s="50" t="str"/>
      <x:c r="Z772" s="47" t="str"/>
      <x:c r="AA772" s="47" t="str">
        <x:v>No direct published reference located; do not display a crimp value.</x:v>
      </x:c>
      <x:c r="AB772" s="161" t="str">
        <x:v>Pending</x:v>
      </x:c>
    </x:row>
    <x:row r="773" ht="42" customHeight="1">
      <x:c r="A773" s="33" t="str">
        <x:v>Draft</x:v>
      </x:c>
      <x:c r="B773" s="47" t="str">
        <x:v>COMP_0769</x:v>
      </x:c>
      <x:c r="C773" s="47" t="str">
        <x:v>EN2SC_006</x:v>
      </x:c>
      <x:c r="D773" s="47" t="str">
        <x:v>ORFS_M_FX_16_12</x:v>
      </x:c>
      <x:c r="E773" s="47" t="str">
        <x:v>EN2SC_2WB_006</x:v>
      </x:c>
      <x:c r="F773" s="47" t="str"/>
      <x:c r="G773" s="33" t="str"/>
      <x:c r="H773" s="50" t="str"/>
      <x:c r="I773" s="50" t="str"/>
      <x:c r="J773" s="50" t="str"/>
      <x:c r="K773" s="47" t="str"/>
      <x:c r="L773" s="50" t="str"/>
      <x:c r="M773" s="50" t="str"/>
      <x:c r="N773" s="47" t="str"/>
      <x:c r="O773" s="50" t="str"/>
      <x:c r="P773" s="64" t="str">
        <x:f>IF(O773="","",O773*2)</x:f>
      </x:c>
      <x:c r="Q773" s="50" t="str"/>
      <x:c r="R773" s="47" t="str"/>
      <x:c r="S773" s="33" t="str">
        <x:v>Not Tested</x:v>
      </x:c>
      <x:c r="T773" s="64" t="str">
        <x:v>Eligible</x:v>
      </x:c>
      <x:c r="U773" s="47" t="str"/>
      <x:c r="V773" s="47" t="str"/>
      <x:c r="W773" s="47" t="str"/>
      <x:c r="X773" s="50" t="str"/>
      <x:c r="Y773" s="50" t="str"/>
      <x:c r="Z773" s="47" t="str"/>
      <x:c r="AA773" s="47" t="str">
        <x:v>No direct published reference located; do not display a crimp value.</x:v>
      </x:c>
      <x:c r="AB773" s="161" t="str">
        <x:v>Pending</x:v>
      </x:c>
    </x:row>
    <x:row r="774" ht="42" customHeight="1">
      <x:c r="A774" s="33" t="str">
        <x:v>Draft</x:v>
      </x:c>
      <x:c r="B774" s="47" t="str">
        <x:v>COMP_0770</x:v>
      </x:c>
      <x:c r="C774" s="47" t="str">
        <x:v>EN2SC_006</x:v>
      </x:c>
      <x:c r="D774" s="47" t="str">
        <x:v>ORFS45_F_SW_10_12</x:v>
      </x:c>
      <x:c r="E774" s="47" t="str">
        <x:v>EN2SC_2WB_006</x:v>
      </x:c>
      <x:c r="F774" s="47" t="str"/>
      <x:c r="G774" s="33" t="str"/>
      <x:c r="H774" s="50" t="str"/>
      <x:c r="I774" s="50" t="str"/>
      <x:c r="J774" s="50" t="str"/>
      <x:c r="K774" s="47" t="str"/>
      <x:c r="L774" s="50" t="str"/>
      <x:c r="M774" s="50" t="str"/>
      <x:c r="N774" s="47" t="str"/>
      <x:c r="O774" s="50" t="str"/>
      <x:c r="P774" s="64" t="str">
        <x:f>IF(O774="","",O774*2)</x:f>
      </x:c>
      <x:c r="Q774" s="50" t="str"/>
      <x:c r="R774" s="47" t="str"/>
      <x:c r="S774" s="33" t="str">
        <x:v>Not Tested</x:v>
      </x:c>
      <x:c r="T774" s="64" t="str">
        <x:v>Eligible</x:v>
      </x:c>
      <x:c r="U774" s="47" t="str"/>
      <x:c r="V774" s="47" t="str"/>
      <x:c r="W774" s="47" t="str"/>
      <x:c r="X774" s="50" t="str"/>
      <x:c r="Y774" s="50" t="str"/>
      <x:c r="Z774" s="47" t="str"/>
      <x:c r="AA774" s="47" t="str">
        <x:v>No direct published reference located; do not display a crimp value.</x:v>
      </x:c>
      <x:c r="AB774" s="161" t="str">
        <x:v>Pending</x:v>
      </x:c>
    </x:row>
    <x:row r="775" ht="42" customHeight="1">
      <x:c r="A775" s="33" t="str">
        <x:v>Draft</x:v>
      </x:c>
      <x:c r="B775" s="47" t="str">
        <x:v>COMP_0771</x:v>
      </x:c>
      <x:c r="C775" s="47" t="str">
        <x:v>EN2SC_006</x:v>
      </x:c>
      <x:c r="D775" s="47" t="str">
        <x:v>ORFS45_F_SW_12_12</x:v>
      </x:c>
      <x:c r="E775" s="47" t="str">
        <x:v>EN2SC_2WB_006</x:v>
      </x:c>
      <x:c r="F775" s="47" t="str"/>
      <x:c r="G775" s="33" t="str"/>
      <x:c r="H775" s="50" t="str"/>
      <x:c r="I775" s="50" t="str"/>
      <x:c r="J775" s="50" t="str"/>
      <x:c r="K775" s="47" t="str"/>
      <x:c r="L775" s="50" t="str"/>
      <x:c r="M775" s="50" t="str"/>
      <x:c r="N775" s="47" t="str"/>
      <x:c r="O775" s="50" t="str"/>
      <x:c r="P775" s="64" t="str">
        <x:f>IF(O775="","",O775*2)</x:f>
      </x:c>
      <x:c r="Q775" s="50" t="str"/>
      <x:c r="R775" s="47" t="str"/>
      <x:c r="S775" s="33" t="str">
        <x:v>Not Tested</x:v>
      </x:c>
      <x:c r="T775" s="64" t="str">
        <x:v>Eligible</x:v>
      </x:c>
      <x:c r="U775" s="47" t="str"/>
      <x:c r="V775" s="47" t="str"/>
      <x:c r="W775" s="47" t="str"/>
      <x:c r="X775" s="50" t="str"/>
      <x:c r="Y775" s="50" t="str"/>
      <x:c r="Z775" s="47" t="str"/>
      <x:c r="AA775" s="47" t="str">
        <x:v>No direct published reference located; do not display a crimp value.</x:v>
      </x:c>
      <x:c r="AB775" s="161" t="str">
        <x:v>Pending</x:v>
      </x:c>
    </x:row>
    <x:row r="776" ht="42" customHeight="1">
      <x:c r="A776" s="33" t="str">
        <x:v>Draft</x:v>
      </x:c>
      <x:c r="B776" s="47" t="str">
        <x:v>COMP_0772</x:v>
      </x:c>
      <x:c r="C776" s="47" t="str">
        <x:v>EN2SC_006</x:v>
      </x:c>
      <x:c r="D776" s="47" t="str">
        <x:v>ORFS45_F_SW_16_12</x:v>
      </x:c>
      <x:c r="E776" s="47" t="str">
        <x:v>EN2SC_2WB_006</x:v>
      </x:c>
      <x:c r="F776" s="47" t="str"/>
      <x:c r="G776" s="33" t="str"/>
      <x:c r="H776" s="50" t="str"/>
      <x:c r="I776" s="50" t="str"/>
      <x:c r="J776" s="50" t="str"/>
      <x:c r="K776" s="47" t="str"/>
      <x:c r="L776" s="50" t="str"/>
      <x:c r="M776" s="50" t="str"/>
      <x:c r="N776" s="47" t="str"/>
      <x:c r="O776" s="50" t="str"/>
      <x:c r="P776" s="64" t="str">
        <x:f>IF(O776="","",O776*2)</x:f>
      </x:c>
      <x:c r="Q776" s="50" t="str"/>
      <x:c r="R776" s="47" t="str"/>
      <x:c r="S776" s="33" t="str">
        <x:v>Not Tested</x:v>
      </x:c>
      <x:c r="T776" s="64" t="str">
        <x:v>Eligible</x:v>
      </x:c>
      <x:c r="U776" s="47" t="str"/>
      <x:c r="V776" s="47" t="str"/>
      <x:c r="W776" s="47" t="str"/>
      <x:c r="X776" s="50" t="str"/>
      <x:c r="Y776" s="50" t="str"/>
      <x:c r="Z776" s="47" t="str"/>
      <x:c r="AA776" s="47" t="str">
        <x:v>No direct published reference located; do not display a crimp value.</x:v>
      </x:c>
      <x:c r="AB776" s="161" t="str">
        <x:v>Pending</x:v>
      </x:c>
    </x:row>
    <x:row r="777" ht="42" customHeight="1">
      <x:c r="A777" s="33" t="str">
        <x:v>Draft</x:v>
      </x:c>
      <x:c r="B777" s="47" t="str">
        <x:v>COMP_0773</x:v>
      </x:c>
      <x:c r="C777" s="47" t="str">
        <x:v>EN2SC_006</x:v>
      </x:c>
      <x:c r="D777" s="47" t="str">
        <x:v>ORFS90_F_SW_10_12</x:v>
      </x:c>
      <x:c r="E777" s="47" t="str">
        <x:v>EN2SC_2WB_006</x:v>
      </x:c>
      <x:c r="F777" s="47" t="str"/>
      <x:c r="G777" s="33" t="str"/>
      <x:c r="H777" s="50" t="str"/>
      <x:c r="I777" s="50" t="str"/>
      <x:c r="J777" s="50" t="str"/>
      <x:c r="K777" s="47" t="str"/>
      <x:c r="L777" s="50" t="str"/>
      <x:c r="M777" s="50" t="str"/>
      <x:c r="N777" s="47" t="str"/>
      <x:c r="O777" s="50" t="str"/>
      <x:c r="P777" s="64" t="str">
        <x:f>IF(O777="","",O777*2)</x:f>
      </x:c>
      <x:c r="Q777" s="50" t="str"/>
      <x:c r="R777" s="47" t="str"/>
      <x:c r="S777" s="33" t="str">
        <x:v>Not Tested</x:v>
      </x:c>
      <x:c r="T777" s="64" t="str">
        <x:v>Eligible</x:v>
      </x:c>
      <x:c r="U777" s="47" t="str"/>
      <x:c r="V777" s="47" t="str"/>
      <x:c r="W777" s="47" t="str"/>
      <x:c r="X777" s="50" t="str"/>
      <x:c r="Y777" s="50" t="str"/>
      <x:c r="Z777" s="47" t="str"/>
      <x:c r="AA777" s="47" t="str">
        <x:v>No direct published reference located; do not display a crimp value.</x:v>
      </x:c>
      <x:c r="AB777" s="161" t="str">
        <x:v>Pending</x:v>
      </x:c>
    </x:row>
    <x:row r="778" ht="42" customHeight="1">
      <x:c r="A778" s="33" t="str">
        <x:v>Draft</x:v>
      </x:c>
      <x:c r="B778" s="47" t="str">
        <x:v>COMP_0774</x:v>
      </x:c>
      <x:c r="C778" s="47" t="str">
        <x:v>EN2SC_006</x:v>
      </x:c>
      <x:c r="D778" s="47" t="str">
        <x:v>ORFS90_F_SW_12_12</x:v>
      </x:c>
      <x:c r="E778" s="47" t="str">
        <x:v>EN2SC_2WB_006</x:v>
      </x:c>
      <x:c r="F778" s="47" t="str"/>
      <x:c r="G778" s="33" t="str"/>
      <x:c r="H778" s="50" t="str"/>
      <x:c r="I778" s="50" t="str"/>
      <x:c r="J778" s="50" t="str"/>
      <x:c r="K778" s="47" t="str"/>
      <x:c r="L778" s="50" t="str"/>
      <x:c r="M778" s="50" t="str"/>
      <x:c r="N778" s="47" t="str"/>
      <x:c r="O778" s="50" t="str"/>
      <x:c r="P778" s="64" t="str">
        <x:f>IF(O778="","",O778*2)</x:f>
      </x:c>
      <x:c r="Q778" s="50" t="str"/>
      <x:c r="R778" s="47" t="str"/>
      <x:c r="S778" s="33" t="str">
        <x:v>Not Tested</x:v>
      </x:c>
      <x:c r="T778" s="64" t="str">
        <x:v>Eligible</x:v>
      </x:c>
      <x:c r="U778" s="47" t="str"/>
      <x:c r="V778" s="47" t="str"/>
      <x:c r="W778" s="47" t="str"/>
      <x:c r="X778" s="50" t="str"/>
      <x:c r="Y778" s="50" t="str"/>
      <x:c r="Z778" s="47" t="str"/>
      <x:c r="AA778" s="47" t="str">
        <x:v>No direct published reference located; do not display a crimp value.</x:v>
      </x:c>
      <x:c r="AB778" s="161" t="str">
        <x:v>Pending</x:v>
      </x:c>
    </x:row>
    <x:row r="779" ht="42" customHeight="1">
      <x:c r="A779" s="33" t="str">
        <x:v>Draft</x:v>
      </x:c>
      <x:c r="B779" s="47" t="str">
        <x:v>COMP_0775</x:v>
      </x:c>
      <x:c r="C779" s="47" t="str">
        <x:v>EN2SC_006</x:v>
      </x:c>
      <x:c r="D779" s="47" t="str">
        <x:v>ORFS90_F_SW_16_12</x:v>
      </x:c>
      <x:c r="E779" s="47" t="str">
        <x:v>EN2SC_2WB_006</x:v>
      </x:c>
      <x:c r="F779" s="47" t="str"/>
      <x:c r="G779" s="33" t="str"/>
      <x:c r="H779" s="50" t="str"/>
      <x:c r="I779" s="50" t="str"/>
      <x:c r="J779" s="50" t="str"/>
      <x:c r="K779" s="47" t="str"/>
      <x:c r="L779" s="50" t="str"/>
      <x:c r="M779" s="50" t="str"/>
      <x:c r="N779" s="47" t="str"/>
      <x:c r="O779" s="50" t="str"/>
      <x:c r="P779" s="64" t="str">
        <x:f>IF(O779="","",O779*2)</x:f>
      </x:c>
      <x:c r="Q779" s="50" t="str"/>
      <x:c r="R779" s="47" t="str"/>
      <x:c r="S779" s="33" t="str">
        <x:v>Not Tested</x:v>
      </x:c>
      <x:c r="T779" s="64" t="str">
        <x:v>Eligible</x:v>
      </x:c>
      <x:c r="U779" s="47" t="str"/>
      <x:c r="V779" s="47" t="str"/>
      <x:c r="W779" s="47" t="str"/>
      <x:c r="X779" s="50" t="str"/>
      <x:c r="Y779" s="50" t="str"/>
      <x:c r="Z779" s="47" t="str"/>
      <x:c r="AA779" s="47" t="str">
        <x:v>No direct published reference located; do not display a crimp value.</x:v>
      </x:c>
      <x:c r="AB779" s="161" t="str">
        <x:v>Pending</x:v>
      </x:c>
    </x:row>
    <x:row r="780" ht="42" customHeight="1">
      <x:c r="A780" s="33" t="str">
        <x:v>Draft</x:v>
      </x:c>
      <x:c r="B780" s="47" t="str">
        <x:v>COMP_0776</x:v>
      </x:c>
      <x:c r="C780" s="47" t="str">
        <x:v>EN2SC_007</x:v>
      </x:c>
      <x:c r="D780" s="47" t="str">
        <x:v>BSPP_F_SW_16_16</x:v>
      </x:c>
      <x:c r="E780" s="47" t="str">
        <x:v>EN2SC_2WB_007</x:v>
      </x:c>
      <x:c r="F780" s="47" t="str"/>
      <x:c r="G780" s="33" t="str"/>
      <x:c r="H780" s="50" t="str"/>
      <x:c r="I780" s="50" t="str"/>
      <x:c r="J780" s="50" t="str"/>
      <x:c r="K780" s="47" t="str"/>
      <x:c r="L780" s="50" t="str"/>
      <x:c r="M780" s="50" t="str"/>
      <x:c r="N780" s="47" t="str"/>
      <x:c r="O780" s="50" t="str"/>
      <x:c r="P780" s="64" t="str">
        <x:f>IF(O780="","",O780*2)</x:f>
      </x:c>
      <x:c r="Q780" s="50" t="str"/>
      <x:c r="R780" s="47" t="str"/>
      <x:c r="S780" s="33" t="str">
        <x:v>Not Tested</x:v>
      </x:c>
      <x:c r="T780" s="64" t="str">
        <x:v>Eligible</x:v>
      </x:c>
      <x:c r="U780" s="47" t="str"/>
      <x:c r="V780" s="47" t="str"/>
      <x:c r="W780" s="47" t="str"/>
      <x:c r="X780" s="50" t="str"/>
      <x:c r="Y780" s="50" t="str"/>
      <x:c r="Z780" s="47" t="str"/>
      <x:c r="AA780" s="47" t="str">
        <x:v>No direct published reference located; do not display a crimp value.</x:v>
      </x:c>
      <x:c r="AB780" s="161" t="str">
        <x:v>Pending</x:v>
      </x:c>
    </x:row>
    <x:row r="781" ht="42" customHeight="1">
      <x:c r="A781" s="33" t="str">
        <x:v>Draft</x:v>
      </x:c>
      <x:c r="B781" s="47" t="str">
        <x:v>COMP_0777</x:v>
      </x:c>
      <x:c r="C781" s="47" t="str">
        <x:v>EN2SC_007</x:v>
      </x:c>
      <x:c r="D781" s="47" t="str">
        <x:v>BSPP45_F_SW_16_16</x:v>
      </x:c>
      <x:c r="E781" s="47" t="str">
        <x:v>EN2SC_2WB_007</x:v>
      </x:c>
      <x:c r="F781" s="47" t="str"/>
      <x:c r="G781" s="33" t="str"/>
      <x:c r="H781" s="50" t="str"/>
      <x:c r="I781" s="50" t="str"/>
      <x:c r="J781" s="50" t="str"/>
      <x:c r="K781" s="47" t="str"/>
      <x:c r="L781" s="50" t="str"/>
      <x:c r="M781" s="50" t="str"/>
      <x:c r="N781" s="47" t="str"/>
      <x:c r="O781" s="50" t="str"/>
      <x:c r="P781" s="64" t="str">
        <x:f>IF(O781="","",O781*2)</x:f>
      </x:c>
      <x:c r="Q781" s="50" t="str"/>
      <x:c r="R781" s="47" t="str"/>
      <x:c r="S781" s="33" t="str">
        <x:v>Not Tested</x:v>
      </x:c>
      <x:c r="T781" s="64" t="str">
        <x:v>Eligible</x:v>
      </x:c>
      <x:c r="U781" s="47" t="str"/>
      <x:c r="V781" s="47" t="str"/>
      <x:c r="W781" s="47" t="str"/>
      <x:c r="X781" s="50" t="str"/>
      <x:c r="Y781" s="50" t="str"/>
      <x:c r="Z781" s="47" t="str"/>
      <x:c r="AA781" s="47" t="str">
        <x:v>No direct published reference located; do not display a crimp value.</x:v>
      </x:c>
      <x:c r="AB781" s="161" t="str">
        <x:v>Pending</x:v>
      </x:c>
    </x:row>
    <x:row r="782" ht="42" customHeight="1">
      <x:c r="A782" s="33" t="str">
        <x:v>Draft</x:v>
      </x:c>
      <x:c r="B782" s="47" t="str">
        <x:v>COMP_0778</x:v>
      </x:c>
      <x:c r="C782" s="47" t="str">
        <x:v>EN2SC_007</x:v>
      </x:c>
      <x:c r="D782" s="47" t="str">
        <x:v>BSPP90_F_SW_16_16</x:v>
      </x:c>
      <x:c r="E782" s="47" t="str">
        <x:v>EN2SC_2WB_007</x:v>
      </x:c>
      <x:c r="F782" s="47" t="str"/>
      <x:c r="G782" s="33" t="str"/>
      <x:c r="H782" s="50" t="str"/>
      <x:c r="I782" s="50" t="str"/>
      <x:c r="J782" s="50" t="str"/>
      <x:c r="K782" s="47" t="str"/>
      <x:c r="L782" s="50" t="str"/>
      <x:c r="M782" s="50" t="str"/>
      <x:c r="N782" s="47" t="str"/>
      <x:c r="O782" s="50" t="str"/>
      <x:c r="P782" s="64" t="str">
        <x:f>IF(O782="","",O782*2)</x:f>
      </x:c>
      <x:c r="Q782" s="50" t="str"/>
      <x:c r="R782" s="47" t="str"/>
      <x:c r="S782" s="33" t="str">
        <x:v>Not Tested</x:v>
      </x:c>
      <x:c r="T782" s="64" t="str">
        <x:v>Eligible</x:v>
      </x:c>
      <x:c r="U782" s="47" t="str"/>
      <x:c r="V782" s="47" t="str"/>
      <x:c r="W782" s="47" t="str"/>
      <x:c r="X782" s="50" t="str"/>
      <x:c r="Y782" s="50" t="str"/>
      <x:c r="Z782" s="47" t="str"/>
      <x:c r="AA782" s="47" t="str">
        <x:v>No direct published reference located; do not display a crimp value.</x:v>
      </x:c>
      <x:c r="AB782" s="161" t="str">
        <x:v>Pending</x:v>
      </x:c>
    </x:row>
    <x:row r="783" ht="42" customHeight="1">
      <x:c r="A783" s="33" t="str">
        <x:v>Draft</x:v>
      </x:c>
      <x:c r="B783" s="47" t="str">
        <x:v>COMP_0779</x:v>
      </x:c>
      <x:c r="C783" s="47" t="str">
        <x:v>EN2SC_007</x:v>
      </x:c>
      <x:c r="D783" s="47" t="str">
        <x:v>BSPT_M_FX_16_16</x:v>
      </x:c>
      <x:c r="E783" s="47" t="str">
        <x:v>EN2SC_2WB_007</x:v>
      </x:c>
      <x:c r="F783" s="47" t="str"/>
      <x:c r="G783" s="33" t="str"/>
      <x:c r="H783" s="50" t="str"/>
      <x:c r="I783" s="50" t="str"/>
      <x:c r="J783" s="50" t="str"/>
      <x:c r="K783" s="47" t="str"/>
      <x:c r="L783" s="50" t="str"/>
      <x:c r="M783" s="50" t="str"/>
      <x:c r="N783" s="47" t="str"/>
      <x:c r="O783" s="50" t="str"/>
      <x:c r="P783" s="64" t="str">
        <x:f>IF(O783="","",O783*2)</x:f>
      </x:c>
      <x:c r="Q783" s="50" t="str"/>
      <x:c r="R783" s="47" t="str"/>
      <x:c r="S783" s="33" t="str">
        <x:v>Not Tested</x:v>
      </x:c>
      <x:c r="T783" s="64" t="str">
        <x:v>Eligible</x:v>
      </x:c>
      <x:c r="U783" s="47" t="str"/>
      <x:c r="V783" s="47" t="str"/>
      <x:c r="W783" s="47" t="str"/>
      <x:c r="X783" s="50" t="str"/>
      <x:c r="Y783" s="50" t="str"/>
      <x:c r="Z783" s="47" t="str"/>
      <x:c r="AA783" s="47" t="str">
        <x:v>No direct published reference located; do not display a crimp value.</x:v>
      </x:c>
      <x:c r="AB783" s="161" t="str">
        <x:v>Pending</x:v>
      </x:c>
    </x:row>
    <x:row r="784" ht="42" customHeight="1">
      <x:c r="A784" s="33" t="str">
        <x:v>Draft</x:v>
      </x:c>
      <x:c r="B784" s="47" t="str">
        <x:v>COMP_0780</x:v>
      </x:c>
      <x:c r="C784" s="47" t="str">
        <x:v>EN2SC_007</x:v>
      </x:c>
      <x:c r="D784" s="47" t="str">
        <x:v>JIC_F_SW_12_16</x:v>
      </x:c>
      <x:c r="E784" s="47" t="str">
        <x:v>EN2SC_2WB_007</x:v>
      </x:c>
      <x:c r="F784" s="47" t="str"/>
      <x:c r="G784" s="33" t="str"/>
      <x:c r="H784" s="50" t="str"/>
      <x:c r="I784" s="50" t="str"/>
      <x:c r="J784" s="50" t="str"/>
      <x:c r="K784" s="47" t="str"/>
      <x:c r="L784" s="50" t="str"/>
      <x:c r="M784" s="50" t="str"/>
      <x:c r="N784" s="47" t="str"/>
      <x:c r="O784" s="50" t="str"/>
      <x:c r="P784" s="64" t="str">
        <x:f>IF(O784="","",O784*2)</x:f>
      </x:c>
      <x:c r="Q784" s="50" t="str"/>
      <x:c r="R784" s="47" t="str"/>
      <x:c r="S784" s="33" t="str">
        <x:v>Not Tested</x:v>
      </x:c>
      <x:c r="T784" s="64" t="str">
        <x:v>Eligible</x:v>
      </x:c>
      <x:c r="U784" s="47" t="str"/>
      <x:c r="V784" s="47" t="str"/>
      <x:c r="W784" s="47" t="str"/>
      <x:c r="X784" s="50" t="str"/>
      <x:c r="Y784" s="50" t="str"/>
      <x:c r="Z784" s="47" t="str"/>
      <x:c r="AA784" s="47" t="str">
        <x:v>No direct published reference located; do not display a crimp value.</x:v>
      </x:c>
      <x:c r="AB784" s="161" t="str">
        <x:v>Pending</x:v>
      </x:c>
    </x:row>
    <x:row r="785" ht="42" customHeight="1">
      <x:c r="A785" s="33" t="str">
        <x:v>Draft</x:v>
      </x:c>
      <x:c r="B785" s="47" t="str">
        <x:v>COMP_0781</x:v>
      </x:c>
      <x:c r="C785" s="47" t="str">
        <x:v>EN2SC_007</x:v>
      </x:c>
      <x:c r="D785" s="47" t="str">
        <x:v>JIC_F_SW_16_16</x:v>
      </x:c>
      <x:c r="E785" s="47" t="str">
        <x:v>EN2SC_2WB_007</x:v>
      </x:c>
      <x:c r="F785" s="47" t="str"/>
      <x:c r="G785" s="33" t="str"/>
      <x:c r="H785" s="50" t="str"/>
      <x:c r="I785" s="50" t="str"/>
      <x:c r="J785" s="50" t="str"/>
      <x:c r="K785" s="47" t="str"/>
      <x:c r="L785" s="50" t="str"/>
      <x:c r="M785" s="50" t="str"/>
      <x:c r="N785" s="47" t="str"/>
      <x:c r="O785" s="50" t="str"/>
      <x:c r="P785" s="64" t="str">
        <x:f>IF(O785="","",O785*2)</x:f>
      </x:c>
      <x:c r="Q785" s="50" t="str"/>
      <x:c r="R785" s="47" t="str"/>
      <x:c r="S785" s="33" t="str">
        <x:v>Not Tested</x:v>
      </x:c>
      <x:c r="T785" s="64" t="str">
        <x:v>Eligible</x:v>
      </x:c>
      <x:c r="U785" s="47" t="str"/>
      <x:c r="V785" s="47" t="str"/>
      <x:c r="W785" s="47" t="str"/>
      <x:c r="X785" s="50" t="str"/>
      <x:c r="Y785" s="50" t="str"/>
      <x:c r="Z785" s="47" t="str"/>
      <x:c r="AA785" s="47" t="str">
        <x:v>No direct published reference located; do not display a crimp value.</x:v>
      </x:c>
      <x:c r="AB785" s="161" t="str">
        <x:v>Pending</x:v>
      </x:c>
    </x:row>
    <x:row r="786" ht="42" customHeight="1">
      <x:c r="A786" s="33" t="str">
        <x:v>Draft</x:v>
      </x:c>
      <x:c r="B786" s="47" t="str">
        <x:v>COMP_0782</x:v>
      </x:c>
      <x:c r="C786" s="47" t="str">
        <x:v>EN2SC_007</x:v>
      </x:c>
      <x:c r="D786" s="47" t="str">
        <x:v>JIC_F_SW_20_16</x:v>
      </x:c>
      <x:c r="E786" s="47" t="str">
        <x:v>EN2SC_2WB_007</x:v>
      </x:c>
      <x:c r="F786" s="47" t="str"/>
      <x:c r="G786" s="33" t="str"/>
      <x:c r="H786" s="50" t="str"/>
      <x:c r="I786" s="50" t="str"/>
      <x:c r="J786" s="50" t="str"/>
      <x:c r="K786" s="47" t="str"/>
      <x:c r="L786" s="50" t="str"/>
      <x:c r="M786" s="50" t="str"/>
      <x:c r="N786" s="47" t="str"/>
      <x:c r="O786" s="50" t="str"/>
      <x:c r="P786" s="64" t="str">
        <x:f>IF(O786="","",O786*2)</x:f>
      </x:c>
      <x:c r="Q786" s="50" t="str"/>
      <x:c r="R786" s="47" t="str"/>
      <x:c r="S786" s="33" t="str">
        <x:v>Not Tested</x:v>
      </x:c>
      <x:c r="T786" s="64" t="str">
        <x:v>Eligible</x:v>
      </x:c>
      <x:c r="U786" s="47" t="str"/>
      <x:c r="V786" s="47" t="str"/>
      <x:c r="W786" s="47" t="str"/>
      <x:c r="X786" s="50" t="str"/>
      <x:c r="Y786" s="50" t="str"/>
      <x:c r="Z786" s="47" t="str"/>
      <x:c r="AA786" s="47" t="str">
        <x:v>No direct published reference located; do not display a crimp value.</x:v>
      </x:c>
      <x:c r="AB786" s="161" t="str">
        <x:v>Pending</x:v>
      </x:c>
    </x:row>
    <x:row r="787" ht="42" customHeight="1">
      <x:c r="A787" s="33" t="str">
        <x:v>Draft</x:v>
      </x:c>
      <x:c r="B787" s="47" t="str">
        <x:v>COMP_0783</x:v>
      </x:c>
      <x:c r="C787" s="47" t="str">
        <x:v>EN2SC_007</x:v>
      </x:c>
      <x:c r="D787" s="47" t="str">
        <x:v>JIC_M_FX_16_16</x:v>
      </x:c>
      <x:c r="E787" s="47" t="str">
        <x:v>EN2SC_2WB_007</x:v>
      </x:c>
      <x:c r="F787" s="47" t="str"/>
      <x:c r="G787" s="33" t="str"/>
      <x:c r="H787" s="50" t="str"/>
      <x:c r="I787" s="50" t="str"/>
      <x:c r="J787" s="50" t="str"/>
      <x:c r="K787" s="47" t="str"/>
      <x:c r="L787" s="50" t="str"/>
      <x:c r="M787" s="50" t="str"/>
      <x:c r="N787" s="47" t="str"/>
      <x:c r="O787" s="50" t="str"/>
      <x:c r="P787" s="64" t="str">
        <x:f>IF(O787="","",O787*2)</x:f>
      </x:c>
      <x:c r="Q787" s="50" t="str"/>
      <x:c r="R787" s="47" t="str"/>
      <x:c r="S787" s="33" t="str">
        <x:v>Not Tested</x:v>
      </x:c>
      <x:c r="T787" s="64" t="str">
        <x:v>Eligible</x:v>
      </x:c>
      <x:c r="U787" s="47" t="str"/>
      <x:c r="V787" s="47" t="str"/>
      <x:c r="W787" s="47" t="str"/>
      <x:c r="X787" s="50" t="str"/>
      <x:c r="Y787" s="50" t="str"/>
      <x:c r="Z787" s="47" t="str"/>
      <x:c r="AA787" s="47" t="str">
        <x:v>No direct published reference located; do not display a crimp value.</x:v>
      </x:c>
      <x:c r="AB787" s="161" t="str">
        <x:v>Pending</x:v>
      </x:c>
    </x:row>
    <x:row r="788" ht="42" customHeight="1">
      <x:c r="A788" s="33" t="str">
        <x:v>Draft</x:v>
      </x:c>
      <x:c r="B788" s="47" t="str">
        <x:v>COMP_0784</x:v>
      </x:c>
      <x:c r="C788" s="47" t="str">
        <x:v>EN2SC_007</x:v>
      </x:c>
      <x:c r="D788" s="47" t="str">
        <x:v>JIC_M_FX_20_16</x:v>
      </x:c>
      <x:c r="E788" s="47" t="str">
        <x:v>EN2SC_2WB_007</x:v>
      </x:c>
      <x:c r="F788" s="47" t="str"/>
      <x:c r="G788" s="33" t="str"/>
      <x:c r="H788" s="50" t="str"/>
      <x:c r="I788" s="50" t="str"/>
      <x:c r="J788" s="50" t="str"/>
      <x:c r="K788" s="47" t="str"/>
      <x:c r="L788" s="50" t="str"/>
      <x:c r="M788" s="50" t="str"/>
      <x:c r="N788" s="47" t="str"/>
      <x:c r="O788" s="50" t="str"/>
      <x:c r="P788" s="64" t="str">
        <x:f>IF(O788="","",O788*2)</x:f>
      </x:c>
      <x:c r="Q788" s="50" t="str"/>
      <x:c r="R788" s="47" t="str"/>
      <x:c r="S788" s="33" t="str">
        <x:v>Not Tested</x:v>
      </x:c>
      <x:c r="T788" s="64" t="str">
        <x:v>Eligible</x:v>
      </x:c>
      <x:c r="U788" s="47" t="str"/>
      <x:c r="V788" s="47" t="str"/>
      <x:c r="W788" s="47" t="str"/>
      <x:c r="X788" s="50" t="str"/>
      <x:c r="Y788" s="50" t="str"/>
      <x:c r="Z788" s="47" t="str"/>
      <x:c r="AA788" s="47" t="str">
        <x:v>No direct published reference located; do not display a crimp value.</x:v>
      </x:c>
      <x:c r="AB788" s="161" t="str">
        <x:v>Pending</x:v>
      </x:c>
    </x:row>
    <x:row r="789" ht="42" customHeight="1">
      <x:c r="A789" s="33" t="str">
        <x:v>Draft</x:v>
      </x:c>
      <x:c r="B789" s="47" t="str">
        <x:v>COMP_0785</x:v>
      </x:c>
      <x:c r="C789" s="47" t="str">
        <x:v>EN2SC_007</x:v>
      </x:c>
      <x:c r="D789" s="47" t="str">
        <x:v>JIC45_F_SW_16_16</x:v>
      </x:c>
      <x:c r="E789" s="47" t="str">
        <x:v>EN2SC_2WB_007</x:v>
      </x:c>
      <x:c r="F789" s="47" t="str"/>
      <x:c r="G789" s="33" t="str"/>
      <x:c r="H789" s="50" t="str"/>
      <x:c r="I789" s="50" t="str"/>
      <x:c r="J789" s="50" t="str"/>
      <x:c r="K789" s="47" t="str"/>
      <x:c r="L789" s="50" t="str"/>
      <x:c r="M789" s="50" t="str"/>
      <x:c r="N789" s="47" t="str"/>
      <x:c r="O789" s="50" t="str"/>
      <x:c r="P789" s="64" t="str">
        <x:f>IF(O789="","",O789*2)</x:f>
      </x:c>
      <x:c r="Q789" s="50" t="str"/>
      <x:c r="R789" s="47" t="str"/>
      <x:c r="S789" s="33" t="str">
        <x:v>Not Tested</x:v>
      </x:c>
      <x:c r="T789" s="64" t="str">
        <x:v>Eligible</x:v>
      </x:c>
      <x:c r="U789" s="47" t="str"/>
      <x:c r="V789" s="47" t="str"/>
      <x:c r="W789" s="47" t="str"/>
      <x:c r="X789" s="50" t="str"/>
      <x:c r="Y789" s="50" t="str"/>
      <x:c r="Z789" s="47" t="str"/>
      <x:c r="AA789" s="47" t="str">
        <x:v>No direct published reference located; do not display a crimp value.</x:v>
      </x:c>
      <x:c r="AB789" s="161" t="str">
        <x:v>Pending</x:v>
      </x:c>
    </x:row>
    <x:row r="790" ht="42" customHeight="1">
      <x:c r="A790" s="33" t="str">
        <x:v>Draft</x:v>
      </x:c>
      <x:c r="B790" s="47" t="str">
        <x:v>COMP_0786</x:v>
      </x:c>
      <x:c r="C790" s="47" t="str">
        <x:v>EN2SC_007</x:v>
      </x:c>
      <x:c r="D790" s="47" t="str">
        <x:v>JIC45_F_SW_20_16</x:v>
      </x:c>
      <x:c r="E790" s="47" t="str">
        <x:v>EN2SC_2WB_007</x:v>
      </x:c>
      <x:c r="F790" s="47" t="str"/>
      <x:c r="G790" s="33" t="str"/>
      <x:c r="H790" s="50" t="str"/>
      <x:c r="I790" s="50" t="str"/>
      <x:c r="J790" s="50" t="str"/>
      <x:c r="K790" s="47" t="str"/>
      <x:c r="L790" s="50" t="str"/>
      <x:c r="M790" s="50" t="str"/>
      <x:c r="N790" s="47" t="str"/>
      <x:c r="O790" s="50" t="str"/>
      <x:c r="P790" s="64" t="str">
        <x:f>IF(O790="","",O790*2)</x:f>
      </x:c>
      <x:c r="Q790" s="50" t="str"/>
      <x:c r="R790" s="47" t="str"/>
      <x:c r="S790" s="33" t="str">
        <x:v>Not Tested</x:v>
      </x:c>
      <x:c r="T790" s="64" t="str">
        <x:v>Eligible</x:v>
      </x:c>
      <x:c r="U790" s="47" t="str"/>
      <x:c r="V790" s="47" t="str"/>
      <x:c r="W790" s="47" t="str"/>
      <x:c r="X790" s="50" t="str"/>
      <x:c r="Y790" s="50" t="str"/>
      <x:c r="Z790" s="47" t="str"/>
      <x:c r="AA790" s="47" t="str">
        <x:v>No direct published reference located; do not display a crimp value.</x:v>
      </x:c>
      <x:c r="AB790" s="161" t="str">
        <x:v>Pending</x:v>
      </x:c>
    </x:row>
    <x:row r="791" ht="42" customHeight="1">
      <x:c r="A791" s="33" t="str">
        <x:v>Draft</x:v>
      </x:c>
      <x:c r="B791" s="47" t="str">
        <x:v>COMP_0787</x:v>
      </x:c>
      <x:c r="C791" s="47" t="str">
        <x:v>EN2SC_007</x:v>
      </x:c>
      <x:c r="D791" s="47" t="str">
        <x:v>JIC90_F_SW_16_16</x:v>
      </x:c>
      <x:c r="E791" s="47" t="str">
        <x:v>EN2SC_2WB_007</x:v>
      </x:c>
      <x:c r="F791" s="47" t="str"/>
      <x:c r="G791" s="33" t="str"/>
      <x:c r="H791" s="50" t="str"/>
      <x:c r="I791" s="50" t="str"/>
      <x:c r="J791" s="50" t="str"/>
      <x:c r="K791" s="47" t="str"/>
      <x:c r="L791" s="50" t="str"/>
      <x:c r="M791" s="50" t="str"/>
      <x:c r="N791" s="47" t="str"/>
      <x:c r="O791" s="50" t="str"/>
      <x:c r="P791" s="64" t="str">
        <x:f>IF(O791="","",O791*2)</x:f>
      </x:c>
      <x:c r="Q791" s="50" t="str"/>
      <x:c r="R791" s="47" t="str"/>
      <x:c r="S791" s="33" t="str">
        <x:v>Not Tested</x:v>
      </x:c>
      <x:c r="T791" s="64" t="str">
        <x:v>Eligible</x:v>
      </x:c>
      <x:c r="U791" s="47" t="str"/>
      <x:c r="V791" s="47" t="str"/>
      <x:c r="W791" s="47" t="str"/>
      <x:c r="X791" s="50" t="str"/>
      <x:c r="Y791" s="50" t="str"/>
      <x:c r="Z791" s="47" t="str"/>
      <x:c r="AA791" s="47" t="str">
        <x:v>No direct published reference located; do not display a crimp value.</x:v>
      </x:c>
      <x:c r="AB791" s="161" t="str">
        <x:v>Pending</x:v>
      </x:c>
    </x:row>
    <x:row r="792" ht="42" customHeight="1">
      <x:c r="A792" s="33" t="str">
        <x:v>Draft</x:v>
      </x:c>
      <x:c r="B792" s="47" t="str">
        <x:v>COMP_0788</x:v>
      </x:c>
      <x:c r="C792" s="47" t="str">
        <x:v>EN2SC_007</x:v>
      </x:c>
      <x:c r="D792" s="47" t="str">
        <x:v>JIC90_F_SW_20_16</x:v>
      </x:c>
      <x:c r="E792" s="47" t="str">
        <x:v>EN2SC_2WB_007</x:v>
      </x:c>
      <x:c r="F792" s="47" t="str"/>
      <x:c r="G792" s="33" t="str"/>
      <x:c r="H792" s="50" t="str"/>
      <x:c r="I792" s="50" t="str"/>
      <x:c r="J792" s="50" t="str"/>
      <x:c r="K792" s="47" t="str"/>
      <x:c r="L792" s="50" t="str"/>
      <x:c r="M792" s="50" t="str"/>
      <x:c r="N792" s="47" t="str"/>
      <x:c r="O792" s="50" t="str"/>
      <x:c r="P792" s="64" t="str">
        <x:f>IF(O792="","",O792*2)</x:f>
      </x:c>
      <x:c r="Q792" s="50" t="str"/>
      <x:c r="R792" s="47" t="str"/>
      <x:c r="S792" s="33" t="str">
        <x:v>Not Tested</x:v>
      </x:c>
      <x:c r="T792" s="64" t="str">
        <x:v>Eligible</x:v>
      </x:c>
      <x:c r="U792" s="47" t="str"/>
      <x:c r="V792" s="47" t="str"/>
      <x:c r="W792" s="47" t="str"/>
      <x:c r="X792" s="50" t="str"/>
      <x:c r="Y792" s="50" t="str"/>
      <x:c r="Z792" s="47" t="str"/>
      <x:c r="AA792" s="47" t="str">
        <x:v>No direct published reference located; do not display a crimp value.</x:v>
      </x:c>
      <x:c r="AB792" s="161" t="str">
        <x:v>Pending</x:v>
      </x:c>
    </x:row>
    <x:row r="793" ht="42" customHeight="1">
      <x:c r="A793" s="33" t="str">
        <x:v>Draft</x:v>
      </x:c>
      <x:c r="B793" s="47" t="str">
        <x:v>COMP_0789</x:v>
      </x:c>
      <x:c r="C793" s="47" t="str">
        <x:v>EN2SC_007</x:v>
      </x:c>
      <x:c r="D793" s="47" t="str">
        <x:v>NPT_M_FX_12_16</x:v>
      </x:c>
      <x:c r="E793" s="47" t="str">
        <x:v>EN2SC_2WB_007</x:v>
      </x:c>
      <x:c r="F793" s="47" t="str"/>
      <x:c r="G793" s="33" t="str"/>
      <x:c r="H793" s="50" t="str"/>
      <x:c r="I793" s="50" t="str"/>
      <x:c r="J793" s="50" t="str"/>
      <x:c r="K793" s="47" t="str"/>
      <x:c r="L793" s="50" t="str"/>
      <x:c r="M793" s="50" t="str"/>
      <x:c r="N793" s="47" t="str"/>
      <x:c r="O793" s="50" t="str"/>
      <x:c r="P793" s="64" t="str">
        <x:f>IF(O793="","",O793*2)</x:f>
      </x:c>
      <x:c r="Q793" s="50" t="str"/>
      <x:c r="R793" s="47" t="str"/>
      <x:c r="S793" s="33" t="str">
        <x:v>Not Tested</x:v>
      </x:c>
      <x:c r="T793" s="64" t="str">
        <x:v>Eligible</x:v>
      </x:c>
      <x:c r="U793" s="47" t="str"/>
      <x:c r="V793" s="47" t="str"/>
      <x:c r="W793" s="47" t="str"/>
      <x:c r="X793" s="50" t="str"/>
      <x:c r="Y793" s="50" t="str"/>
      <x:c r="Z793" s="47" t="str"/>
      <x:c r="AA793" s="47" t="str">
        <x:v>No direct published reference located; do not display a crimp value.</x:v>
      </x:c>
      <x:c r="AB793" s="161" t="str">
        <x:v>Pending</x:v>
      </x:c>
    </x:row>
    <x:row r="794" ht="42" customHeight="1">
      <x:c r="A794" s="33" t="str">
        <x:v>Draft</x:v>
      </x:c>
      <x:c r="B794" s="47" t="str">
        <x:v>COMP_0790</x:v>
      </x:c>
      <x:c r="C794" s="47" t="str">
        <x:v>EN2SC_007</x:v>
      </x:c>
      <x:c r="D794" s="47" t="str">
        <x:v>NPT_M_FX_16_16</x:v>
      </x:c>
      <x:c r="E794" s="47" t="str">
        <x:v>EN2SC_2WB_007</x:v>
      </x:c>
      <x:c r="F794" s="47" t="str"/>
      <x:c r="G794" s="33" t="str"/>
      <x:c r="H794" s="50" t="str"/>
      <x:c r="I794" s="50" t="str"/>
      <x:c r="J794" s="50" t="str"/>
      <x:c r="K794" s="47" t="str"/>
      <x:c r="L794" s="50" t="str"/>
      <x:c r="M794" s="50" t="str"/>
      <x:c r="N794" s="47" t="str"/>
      <x:c r="O794" s="50" t="str"/>
      <x:c r="P794" s="64" t="str">
        <x:f>IF(O794="","",O794*2)</x:f>
      </x:c>
      <x:c r="Q794" s="50" t="str"/>
      <x:c r="R794" s="47" t="str"/>
      <x:c r="S794" s="33" t="str">
        <x:v>Not Tested</x:v>
      </x:c>
      <x:c r="T794" s="64" t="str">
        <x:v>Eligible</x:v>
      </x:c>
      <x:c r="U794" s="47" t="str"/>
      <x:c r="V794" s="47" t="str"/>
      <x:c r="W794" s="47" t="str"/>
      <x:c r="X794" s="50" t="str"/>
      <x:c r="Y794" s="50" t="str"/>
      <x:c r="Z794" s="47" t="str"/>
      <x:c r="AA794" s="47" t="str">
        <x:v>No direct published reference located; do not display a crimp value.</x:v>
      </x:c>
      <x:c r="AB794" s="161" t="str">
        <x:v>Pending</x:v>
      </x:c>
    </x:row>
    <x:row r="795" ht="42" customHeight="1">
      <x:c r="A795" s="33" t="str">
        <x:v>Draft</x:v>
      </x:c>
      <x:c r="B795" s="47" t="str">
        <x:v>COMP_0791</x:v>
      </x:c>
      <x:c r="C795" s="47" t="str">
        <x:v>EN2SC_007</x:v>
      </x:c>
      <x:c r="D795" s="47" t="str">
        <x:v>NPT_M_FX_20_16</x:v>
      </x:c>
      <x:c r="E795" s="47" t="str">
        <x:v>EN2SC_2WB_007</x:v>
      </x:c>
      <x:c r="F795" s="47" t="str"/>
      <x:c r="G795" s="33" t="str"/>
      <x:c r="H795" s="50" t="str"/>
      <x:c r="I795" s="50" t="str"/>
      <x:c r="J795" s="50" t="str"/>
      <x:c r="K795" s="47" t="str"/>
      <x:c r="L795" s="50" t="str"/>
      <x:c r="M795" s="50" t="str"/>
      <x:c r="N795" s="47" t="str"/>
      <x:c r="O795" s="50" t="str"/>
      <x:c r="P795" s="64" t="str">
        <x:f>IF(O795="","",O795*2)</x:f>
      </x:c>
      <x:c r="Q795" s="50" t="str"/>
      <x:c r="R795" s="47" t="str"/>
      <x:c r="S795" s="33" t="str">
        <x:v>Not Tested</x:v>
      </x:c>
      <x:c r="T795" s="64" t="str">
        <x:v>Eligible</x:v>
      </x:c>
      <x:c r="U795" s="47" t="str"/>
      <x:c r="V795" s="47" t="str"/>
      <x:c r="W795" s="47" t="str"/>
      <x:c r="X795" s="50" t="str"/>
      <x:c r="Y795" s="50" t="str"/>
      <x:c r="Z795" s="47" t="str"/>
      <x:c r="AA795" s="47" t="str">
        <x:v>No direct published reference located; do not display a crimp value.</x:v>
      </x:c>
      <x:c r="AB795" s="161" t="str">
        <x:v>Pending</x:v>
      </x:c>
    </x:row>
    <x:row r="796" ht="42" customHeight="1">
      <x:c r="A796" s="33" t="str">
        <x:v>Draft</x:v>
      </x:c>
      <x:c r="B796" s="47" t="str">
        <x:v>COMP_0792</x:v>
      </x:c>
      <x:c r="C796" s="47" t="str">
        <x:v>EN2SC_007</x:v>
      </x:c>
      <x:c r="D796" s="47" t="str">
        <x:v>ORFS_F_SW_12_16</x:v>
      </x:c>
      <x:c r="E796" s="47" t="str">
        <x:v>EN2SC_2WB_007</x:v>
      </x:c>
      <x:c r="F796" s="47" t="str"/>
      <x:c r="G796" s="33" t="str"/>
      <x:c r="H796" s="50" t="str"/>
      <x:c r="I796" s="50" t="str"/>
      <x:c r="J796" s="50" t="str"/>
      <x:c r="K796" s="47" t="str"/>
      <x:c r="L796" s="50" t="str"/>
      <x:c r="M796" s="50" t="str"/>
      <x:c r="N796" s="47" t="str"/>
      <x:c r="O796" s="50" t="str"/>
      <x:c r="P796" s="64" t="str">
        <x:f>IF(O796="","",O796*2)</x:f>
      </x:c>
      <x:c r="Q796" s="50" t="str"/>
      <x:c r="R796" s="47" t="str"/>
      <x:c r="S796" s="33" t="str">
        <x:v>Not Tested</x:v>
      </x:c>
      <x:c r="T796" s="64" t="str">
        <x:v>Eligible</x:v>
      </x:c>
      <x:c r="U796" s="47" t="str"/>
      <x:c r="V796" s="47" t="str"/>
      <x:c r="W796" s="47" t="str"/>
      <x:c r="X796" s="50" t="str"/>
      <x:c r="Y796" s="50" t="str"/>
      <x:c r="Z796" s="47" t="str"/>
      <x:c r="AA796" s="47" t="str">
        <x:v>No direct published reference located; do not display a crimp value.</x:v>
      </x:c>
      <x:c r="AB796" s="161" t="str">
        <x:v>Pending</x:v>
      </x:c>
    </x:row>
    <x:row r="797" ht="42" customHeight="1">
      <x:c r="A797" s="33" t="str">
        <x:v>Draft</x:v>
      </x:c>
      <x:c r="B797" s="47" t="str">
        <x:v>COMP_0793</x:v>
      </x:c>
      <x:c r="C797" s="47" t="str">
        <x:v>EN2SC_007</x:v>
      </x:c>
      <x:c r="D797" s="47" t="str">
        <x:v>ORFS_F_SW_16_16</x:v>
      </x:c>
      <x:c r="E797" s="47" t="str">
        <x:v>EN2SC_2WB_007</x:v>
      </x:c>
      <x:c r="F797" s="47" t="str"/>
      <x:c r="G797" s="33" t="str"/>
      <x:c r="H797" s="50" t="str"/>
      <x:c r="I797" s="50" t="str"/>
      <x:c r="J797" s="50" t="str"/>
      <x:c r="K797" s="47" t="str"/>
      <x:c r="L797" s="50" t="str"/>
      <x:c r="M797" s="50" t="str"/>
      <x:c r="N797" s="47" t="str"/>
      <x:c r="O797" s="50" t="str"/>
      <x:c r="P797" s="64" t="str">
        <x:f>IF(O797="","",O797*2)</x:f>
      </x:c>
      <x:c r="Q797" s="50" t="str"/>
      <x:c r="R797" s="47" t="str"/>
      <x:c r="S797" s="33" t="str">
        <x:v>Not Tested</x:v>
      </x:c>
      <x:c r="T797" s="64" t="str">
        <x:v>Eligible</x:v>
      </x:c>
      <x:c r="U797" s="47" t="str"/>
      <x:c r="V797" s="47" t="str"/>
      <x:c r="W797" s="47" t="str"/>
      <x:c r="X797" s="50" t="str"/>
      <x:c r="Y797" s="50" t="str"/>
      <x:c r="Z797" s="47" t="str"/>
      <x:c r="AA797" s="47" t="str">
        <x:v>No direct published reference located; do not display a crimp value.</x:v>
      </x:c>
      <x:c r="AB797" s="161" t="str">
        <x:v>Pending</x:v>
      </x:c>
    </x:row>
    <x:row r="798" ht="42" customHeight="1">
      <x:c r="A798" s="33" t="str">
        <x:v>Draft</x:v>
      </x:c>
      <x:c r="B798" s="47" t="str">
        <x:v>COMP_0794</x:v>
      </x:c>
      <x:c r="C798" s="47" t="str">
        <x:v>EN2SC_007</x:v>
      </x:c>
      <x:c r="D798" s="47" t="str">
        <x:v>ORFS_F_SW_20_16</x:v>
      </x:c>
      <x:c r="E798" s="47" t="str">
        <x:v>EN2SC_2WB_007</x:v>
      </x:c>
      <x:c r="F798" s="47" t="str"/>
      <x:c r="G798" s="33" t="str"/>
      <x:c r="H798" s="50" t="str"/>
      <x:c r="I798" s="50" t="str"/>
      <x:c r="J798" s="50" t="str"/>
      <x:c r="K798" s="47" t="str"/>
      <x:c r="L798" s="50" t="str"/>
      <x:c r="M798" s="50" t="str"/>
      <x:c r="N798" s="47" t="str"/>
      <x:c r="O798" s="50" t="str"/>
      <x:c r="P798" s="64" t="str">
        <x:f>IF(O798="","",O798*2)</x:f>
      </x:c>
      <x:c r="Q798" s="50" t="str"/>
      <x:c r="R798" s="47" t="str"/>
      <x:c r="S798" s="33" t="str">
        <x:v>Not Tested</x:v>
      </x:c>
      <x:c r="T798" s="64" t="str">
        <x:v>Eligible</x:v>
      </x:c>
      <x:c r="U798" s="47" t="str"/>
      <x:c r="V798" s="47" t="str"/>
      <x:c r="W798" s="47" t="str"/>
      <x:c r="X798" s="50" t="str"/>
      <x:c r="Y798" s="50" t="str"/>
      <x:c r="Z798" s="47" t="str"/>
      <x:c r="AA798" s="47" t="str">
        <x:v>No direct published reference located; do not display a crimp value.</x:v>
      </x:c>
      <x:c r="AB798" s="161" t="str">
        <x:v>Pending</x:v>
      </x:c>
    </x:row>
    <x:row r="799" ht="42" customHeight="1">
      <x:c r="A799" s="33" t="str">
        <x:v>Draft</x:v>
      </x:c>
      <x:c r="B799" s="47" t="str">
        <x:v>COMP_0795</x:v>
      </x:c>
      <x:c r="C799" s="47" t="str">
        <x:v>EN2SC_007</x:v>
      </x:c>
      <x:c r="D799" s="47" t="str">
        <x:v>ORFS_M_FX_12_16</x:v>
      </x:c>
      <x:c r="E799" s="47" t="str">
        <x:v>EN2SC_2WB_007</x:v>
      </x:c>
      <x:c r="F799" s="47" t="str"/>
      <x:c r="G799" s="33" t="str"/>
      <x:c r="H799" s="50" t="str"/>
      <x:c r="I799" s="50" t="str"/>
      <x:c r="J799" s="50" t="str"/>
      <x:c r="K799" s="47" t="str"/>
      <x:c r="L799" s="50" t="str"/>
      <x:c r="M799" s="50" t="str"/>
      <x:c r="N799" s="47" t="str"/>
      <x:c r="O799" s="50" t="str"/>
      <x:c r="P799" s="64" t="str">
        <x:f>IF(O799="","",O799*2)</x:f>
      </x:c>
      <x:c r="Q799" s="50" t="str"/>
      <x:c r="R799" s="47" t="str"/>
      <x:c r="S799" s="33" t="str">
        <x:v>Not Tested</x:v>
      </x:c>
      <x:c r="T799" s="64" t="str">
        <x:v>Eligible</x:v>
      </x:c>
      <x:c r="U799" s="47" t="str"/>
      <x:c r="V799" s="47" t="str"/>
      <x:c r="W799" s="47" t="str"/>
      <x:c r="X799" s="50" t="str"/>
      <x:c r="Y799" s="50" t="str"/>
      <x:c r="Z799" s="47" t="str"/>
      <x:c r="AA799" s="47" t="str">
        <x:v>No direct published reference located; do not display a crimp value.</x:v>
      </x:c>
      <x:c r="AB799" s="161" t="str">
        <x:v>Pending</x:v>
      </x:c>
    </x:row>
    <x:row r="800" ht="42" customHeight="1">
      <x:c r="A800" s="33" t="str">
        <x:v>Draft</x:v>
      </x:c>
      <x:c r="B800" s="47" t="str">
        <x:v>COMP_0796</x:v>
      </x:c>
      <x:c r="C800" s="47" t="str">
        <x:v>EN2SC_007</x:v>
      </x:c>
      <x:c r="D800" s="47" t="str">
        <x:v>ORFS_M_FX_16_16</x:v>
      </x:c>
      <x:c r="E800" s="47" t="str">
        <x:v>EN2SC_2WB_007</x:v>
      </x:c>
      <x:c r="F800" s="47" t="str"/>
      <x:c r="G800" s="33" t="str"/>
      <x:c r="H800" s="50" t="str"/>
      <x:c r="I800" s="50" t="str"/>
      <x:c r="J800" s="50" t="str"/>
      <x:c r="K800" s="47" t="str"/>
      <x:c r="L800" s="50" t="str"/>
      <x:c r="M800" s="50" t="str"/>
      <x:c r="N800" s="47" t="str"/>
      <x:c r="O800" s="50" t="str"/>
      <x:c r="P800" s="64" t="str">
        <x:f>IF(O800="","",O800*2)</x:f>
      </x:c>
      <x:c r="Q800" s="50" t="str"/>
      <x:c r="R800" s="47" t="str"/>
      <x:c r="S800" s="33" t="str">
        <x:v>Not Tested</x:v>
      </x:c>
      <x:c r="T800" s="64" t="str">
        <x:v>Eligible</x:v>
      </x:c>
      <x:c r="U800" s="47" t="str"/>
      <x:c r="V800" s="47" t="str"/>
      <x:c r="W800" s="47" t="str"/>
      <x:c r="X800" s="50" t="str"/>
      <x:c r="Y800" s="50" t="str"/>
      <x:c r="Z800" s="47" t="str"/>
      <x:c r="AA800" s="47" t="str">
        <x:v>No direct published reference located; do not display a crimp value.</x:v>
      </x:c>
      <x:c r="AB800" s="161" t="str">
        <x:v>Pending</x:v>
      </x:c>
    </x:row>
    <x:row r="801" ht="42" customHeight="1">
      <x:c r="A801" s="33" t="str">
        <x:v>Draft</x:v>
      </x:c>
      <x:c r="B801" s="47" t="str">
        <x:v>COMP_0797</x:v>
      </x:c>
      <x:c r="C801" s="47" t="str">
        <x:v>EN2SC_007</x:v>
      </x:c>
      <x:c r="D801" s="47" t="str">
        <x:v>ORFS45_F_SW_16_16</x:v>
      </x:c>
      <x:c r="E801" s="47" t="str">
        <x:v>EN2SC_2WB_007</x:v>
      </x:c>
      <x:c r="F801" s="47" t="str"/>
      <x:c r="G801" s="33" t="str"/>
      <x:c r="H801" s="50" t="str"/>
      <x:c r="I801" s="50" t="str"/>
      <x:c r="J801" s="50" t="str"/>
      <x:c r="K801" s="47" t="str"/>
      <x:c r="L801" s="50" t="str"/>
      <x:c r="M801" s="50" t="str"/>
      <x:c r="N801" s="47" t="str"/>
      <x:c r="O801" s="50" t="str"/>
      <x:c r="P801" s="64" t="str">
        <x:f>IF(O801="","",O801*2)</x:f>
      </x:c>
      <x:c r="Q801" s="50" t="str"/>
      <x:c r="R801" s="47" t="str"/>
      <x:c r="S801" s="33" t="str">
        <x:v>Not Tested</x:v>
      </x:c>
      <x:c r="T801" s="64" t="str">
        <x:v>Eligible</x:v>
      </x:c>
      <x:c r="U801" s="47" t="str"/>
      <x:c r="V801" s="47" t="str"/>
      <x:c r="W801" s="47" t="str"/>
      <x:c r="X801" s="50" t="str"/>
      <x:c r="Y801" s="50" t="str"/>
      <x:c r="Z801" s="47" t="str"/>
      <x:c r="AA801" s="47" t="str">
        <x:v>No direct published reference located; do not display a crimp value.</x:v>
      </x:c>
      <x:c r="AB801" s="161" t="str">
        <x:v>Pending</x:v>
      </x:c>
    </x:row>
    <x:row r="802" ht="42" customHeight="1">
      <x:c r="A802" s="33" t="str">
        <x:v>Draft</x:v>
      </x:c>
      <x:c r="B802" s="47" t="str">
        <x:v>COMP_0798</x:v>
      </x:c>
      <x:c r="C802" s="47" t="str">
        <x:v>EN2SC_007</x:v>
      </x:c>
      <x:c r="D802" s="47" t="str">
        <x:v>ORFS45_F_SW_20_16</x:v>
      </x:c>
      <x:c r="E802" s="47" t="str">
        <x:v>EN2SC_2WB_007</x:v>
      </x:c>
      <x:c r="F802" s="47" t="str"/>
      <x:c r="G802" s="33" t="str"/>
      <x:c r="H802" s="50" t="str"/>
      <x:c r="I802" s="50" t="str"/>
      <x:c r="J802" s="50" t="str"/>
      <x:c r="K802" s="47" t="str"/>
      <x:c r="L802" s="50" t="str"/>
      <x:c r="M802" s="50" t="str"/>
      <x:c r="N802" s="47" t="str"/>
      <x:c r="O802" s="50" t="str"/>
      <x:c r="P802" s="64" t="str">
        <x:f>IF(O802="","",O802*2)</x:f>
      </x:c>
      <x:c r="Q802" s="50" t="str"/>
      <x:c r="R802" s="47" t="str"/>
      <x:c r="S802" s="33" t="str">
        <x:v>Not Tested</x:v>
      </x:c>
      <x:c r="T802" s="64" t="str">
        <x:v>Eligible</x:v>
      </x:c>
      <x:c r="U802" s="47" t="str"/>
      <x:c r="V802" s="47" t="str"/>
      <x:c r="W802" s="47" t="str"/>
      <x:c r="X802" s="50" t="str"/>
      <x:c r="Y802" s="50" t="str"/>
      <x:c r="Z802" s="47" t="str"/>
      <x:c r="AA802" s="47" t="str">
        <x:v>No direct published reference located; do not display a crimp value.</x:v>
      </x:c>
      <x:c r="AB802" s="161" t="str">
        <x:v>Pending</x:v>
      </x:c>
    </x:row>
    <x:row r="803" ht="42" customHeight="1">
      <x:c r="A803" s="33" t="str">
        <x:v>Draft</x:v>
      </x:c>
      <x:c r="B803" s="47" t="str">
        <x:v>COMP_0799</x:v>
      </x:c>
      <x:c r="C803" s="47" t="str">
        <x:v>EN2SC_007</x:v>
      </x:c>
      <x:c r="D803" s="47" t="str">
        <x:v>ORFS90_F_SW_16_16</x:v>
      </x:c>
      <x:c r="E803" s="47" t="str">
        <x:v>EN2SC_2WB_007</x:v>
      </x:c>
      <x:c r="F803" s="47" t="str"/>
      <x:c r="G803" s="33" t="str"/>
      <x:c r="H803" s="50" t="str"/>
      <x:c r="I803" s="50" t="str"/>
      <x:c r="J803" s="50" t="str"/>
      <x:c r="K803" s="47" t="str"/>
      <x:c r="L803" s="50" t="str"/>
      <x:c r="M803" s="50" t="str"/>
      <x:c r="N803" s="47" t="str"/>
      <x:c r="O803" s="50" t="str"/>
      <x:c r="P803" s="64" t="str">
        <x:f>IF(O803="","",O803*2)</x:f>
      </x:c>
      <x:c r="Q803" s="50" t="str"/>
      <x:c r="R803" s="47" t="str"/>
      <x:c r="S803" s="33" t="str">
        <x:v>Not Tested</x:v>
      </x:c>
      <x:c r="T803" s="64" t="str">
        <x:v>Eligible</x:v>
      </x:c>
      <x:c r="U803" s="47" t="str"/>
      <x:c r="V803" s="47" t="str"/>
      <x:c r="W803" s="47" t="str"/>
      <x:c r="X803" s="50" t="str"/>
      <x:c r="Y803" s="50" t="str"/>
      <x:c r="Z803" s="47" t="str"/>
      <x:c r="AA803" s="47" t="str">
        <x:v>No direct published reference located; do not display a crimp value.</x:v>
      </x:c>
      <x:c r="AB803" s="161" t="str">
        <x:v>Pending</x:v>
      </x:c>
    </x:row>
    <x:row r="804" ht="42" customHeight="1">
      <x:c r="A804" s="33" t="str">
        <x:v>Draft</x:v>
      </x:c>
      <x:c r="B804" s="47" t="str">
        <x:v>COMP_0800</x:v>
      </x:c>
      <x:c r="C804" s="47" t="str">
        <x:v>EN2SC_007</x:v>
      </x:c>
      <x:c r="D804" s="47" t="str">
        <x:v>ORFS90_F_SW_20_16</x:v>
      </x:c>
      <x:c r="E804" s="47" t="str">
        <x:v>EN2SC_2WB_007</x:v>
      </x:c>
      <x:c r="F804" s="47" t="str"/>
      <x:c r="G804" s="33" t="str"/>
      <x:c r="H804" s="50" t="str"/>
      <x:c r="I804" s="50" t="str"/>
      <x:c r="J804" s="50" t="str"/>
      <x:c r="K804" s="47" t="str"/>
      <x:c r="L804" s="50" t="str"/>
      <x:c r="M804" s="50" t="str"/>
      <x:c r="N804" s="47" t="str"/>
      <x:c r="O804" s="50" t="str"/>
      <x:c r="P804" s="64" t="str">
        <x:f>IF(O804="","",O804*2)</x:f>
      </x:c>
      <x:c r="Q804" s="50" t="str"/>
      <x:c r="R804" s="47" t="str"/>
      <x:c r="S804" s="33" t="str">
        <x:v>Not Tested</x:v>
      </x:c>
      <x:c r="T804" s="64" t="str">
        <x:v>Eligible</x:v>
      </x:c>
      <x:c r="U804" s="47" t="str"/>
      <x:c r="V804" s="47" t="str"/>
      <x:c r="W804" s="47" t="str"/>
      <x:c r="X804" s="50" t="str"/>
      <x:c r="Y804" s="50" t="str"/>
      <x:c r="Z804" s="47" t="str"/>
      <x:c r="AA804" s="47" t="str">
        <x:v>No direct published reference located; do not display a crimp value.</x:v>
      </x:c>
      <x:c r="AB804" s="161" t="str">
        <x:v>Pending</x:v>
      </x:c>
    </x:row>
    <x:row r="805" ht="42" customHeight="1">
      <x:c r="A805" s="33" t="str">
        <x:v>Draft</x:v>
      </x:c>
      <x:c r="B805" s="47" t="str">
        <x:v>COMP_0801</x:v>
      </x:c>
      <x:c r="C805" s="47" t="str">
        <x:v>EN4SP_001</x:v>
      </x:c>
      <x:c r="D805" s="47" t="str">
        <x:v>BSPP_F_SW_04_04</x:v>
      </x:c>
      <x:c r="E805" s="47" t="str">
        <x:v>EN4SP_4SP_001</x:v>
      </x:c>
      <x:c r="F805" s="47" t="str"/>
      <x:c r="G805" s="33" t="str"/>
      <x:c r="H805" s="50" t="str"/>
      <x:c r="I805" s="50" t="str"/>
      <x:c r="J805" s="50" t="str"/>
      <x:c r="K805" s="47" t="str"/>
      <x:c r="L805" s="50" t="str"/>
      <x:c r="M805" s="50" t="str"/>
      <x:c r="N805" s="47" t="str"/>
      <x:c r="O805" s="50" t="str"/>
      <x:c r="P805" s="64" t="str">
        <x:f>IF(O805="","",O805*2)</x:f>
      </x:c>
      <x:c r="Q805" s="50" t="str"/>
      <x:c r="R805" s="47" t="str"/>
      <x:c r="S805" s="33" t="str">
        <x:v>Not Tested</x:v>
      </x:c>
      <x:c r="T805" s="64" t="str">
        <x:v>Eligible</x:v>
      </x:c>
      <x:c r="U805" s="47" t="str"/>
      <x:c r="V805" s="47" t="str"/>
      <x:c r="W805" s="47" t="str"/>
      <x:c r="X805" s="50" t="str"/>
      <x:c r="Y805" s="50" t="str"/>
      <x:c r="Z805" s="47" t="str"/>
      <x:c r="AA805" s="47" t="str">
        <x:v>No direct published reference located; do not display a crimp value.</x:v>
      </x:c>
      <x:c r="AB805" s="161" t="str">
        <x:v>Pending</x:v>
      </x:c>
    </x:row>
    <x:row r="806" ht="42" customHeight="1">
      <x:c r="A806" s="33" t="str">
        <x:v>Draft</x:v>
      </x:c>
      <x:c r="B806" s="47" t="str">
        <x:v>COMP_0802</x:v>
      </x:c>
      <x:c r="C806" s="47" t="str">
        <x:v>EN4SP_001</x:v>
      </x:c>
      <x:c r="D806" s="47" t="str">
        <x:v>BSPP_F_SW_06_04</x:v>
      </x:c>
      <x:c r="E806" s="47" t="str">
        <x:v>EN4SP_4SP_001</x:v>
      </x:c>
      <x:c r="F806" s="47" t="str"/>
      <x:c r="G806" s="33" t="str"/>
      <x:c r="H806" s="50" t="str"/>
      <x:c r="I806" s="50" t="str"/>
      <x:c r="J806" s="50" t="str"/>
      <x:c r="K806" s="47" t="str"/>
      <x:c r="L806" s="50" t="str"/>
      <x:c r="M806" s="50" t="str"/>
      <x:c r="N806" s="47" t="str"/>
      <x:c r="O806" s="50" t="str"/>
      <x:c r="P806" s="64" t="str">
        <x:f>IF(O806="","",O806*2)</x:f>
      </x:c>
      <x:c r="Q806" s="50" t="str"/>
      <x:c r="R806" s="47" t="str"/>
      <x:c r="S806" s="33" t="str">
        <x:v>Not Tested</x:v>
      </x:c>
      <x:c r="T806" s="64" t="str">
        <x:v>Eligible</x:v>
      </x:c>
      <x:c r="U806" s="47" t="str"/>
      <x:c r="V806" s="47" t="str"/>
      <x:c r="W806" s="47" t="str"/>
      <x:c r="X806" s="50" t="str"/>
      <x:c r="Y806" s="50" t="str"/>
      <x:c r="Z806" s="47" t="str"/>
      <x:c r="AA806" s="47" t="str">
        <x:v>No direct published reference located; do not display a crimp value.</x:v>
      </x:c>
      <x:c r="AB806" s="161" t="str">
        <x:v>Pending</x:v>
      </x:c>
    </x:row>
    <x:row r="807" ht="42" customHeight="1">
      <x:c r="A807" s="33" t="str">
        <x:v>Draft</x:v>
      </x:c>
      <x:c r="B807" s="47" t="str">
        <x:v>COMP_0803</x:v>
      </x:c>
      <x:c r="C807" s="47" t="str">
        <x:v>EN4SP_001</x:v>
      </x:c>
      <x:c r="D807" s="47" t="str">
        <x:v>BSPP_M_FX_04_04</x:v>
      </x:c>
      <x:c r="E807" s="47" t="str">
        <x:v>EN4SP_4SP_001</x:v>
      </x:c>
      <x:c r="F807" s="47" t="str"/>
      <x:c r="G807" s="33" t="str"/>
      <x:c r="H807" s="50" t="str"/>
      <x:c r="I807" s="50" t="str"/>
      <x:c r="J807" s="50" t="str"/>
      <x:c r="K807" s="47" t="str"/>
      <x:c r="L807" s="50" t="str"/>
      <x:c r="M807" s="50" t="str"/>
      <x:c r="N807" s="47" t="str"/>
      <x:c r="O807" s="50" t="str"/>
      <x:c r="P807" s="64" t="str">
        <x:f>IF(O807="","",O807*2)</x:f>
      </x:c>
      <x:c r="Q807" s="50" t="str"/>
      <x:c r="R807" s="47" t="str"/>
      <x:c r="S807" s="33" t="str">
        <x:v>Not Tested</x:v>
      </x:c>
      <x:c r="T807" s="64" t="str">
        <x:v>Eligible</x:v>
      </x:c>
      <x:c r="U807" s="47" t="str"/>
      <x:c r="V807" s="47" t="str"/>
      <x:c r="W807" s="47" t="str"/>
      <x:c r="X807" s="50" t="str"/>
      <x:c r="Y807" s="50" t="str"/>
      <x:c r="Z807" s="47" t="str"/>
      <x:c r="AA807" s="47" t="str">
        <x:v>No direct published reference located; do not display a crimp value.</x:v>
      </x:c>
      <x:c r="AB807" s="161" t="str">
        <x:v>Pending</x:v>
      </x:c>
    </x:row>
    <x:row r="808" ht="42" customHeight="1">
      <x:c r="A808" s="33" t="str">
        <x:v>Draft</x:v>
      </x:c>
      <x:c r="B808" s="47" t="str">
        <x:v>COMP_0804</x:v>
      </x:c>
      <x:c r="C808" s="47" t="str">
        <x:v>EN4SP_001</x:v>
      </x:c>
      <x:c r="D808" s="47" t="str">
        <x:v>BSPP_M_FX_06_04</x:v>
      </x:c>
      <x:c r="E808" s="47" t="str">
        <x:v>EN4SP_4SP_001</x:v>
      </x:c>
      <x:c r="F808" s="47" t="str"/>
      <x:c r="G808" s="33" t="str"/>
      <x:c r="H808" s="50" t="str"/>
      <x:c r="I808" s="50" t="str"/>
      <x:c r="J808" s="50" t="str"/>
      <x:c r="K808" s="47" t="str"/>
      <x:c r="L808" s="50" t="str"/>
      <x:c r="M808" s="50" t="str"/>
      <x:c r="N808" s="47" t="str"/>
      <x:c r="O808" s="50" t="str"/>
      <x:c r="P808" s="64" t="str">
        <x:f>IF(O808="","",O808*2)</x:f>
      </x:c>
      <x:c r="Q808" s="50" t="str"/>
      <x:c r="R808" s="47" t="str"/>
      <x:c r="S808" s="33" t="str">
        <x:v>Not Tested</x:v>
      </x:c>
      <x:c r="T808" s="64" t="str">
        <x:v>Eligible</x:v>
      </x:c>
      <x:c r="U808" s="47" t="str"/>
      <x:c r="V808" s="47" t="str"/>
      <x:c r="W808" s="47" t="str"/>
      <x:c r="X808" s="50" t="str"/>
      <x:c r="Y808" s="50" t="str"/>
      <x:c r="Z808" s="47" t="str"/>
      <x:c r="AA808" s="47" t="str">
        <x:v>No direct published reference located; do not display a crimp value.</x:v>
      </x:c>
      <x:c r="AB808" s="161" t="str">
        <x:v>Pending</x:v>
      </x:c>
    </x:row>
    <x:row r="809" ht="42" customHeight="1">
      <x:c r="A809" s="33" t="str">
        <x:v>Draft</x:v>
      </x:c>
      <x:c r="B809" s="47" t="str">
        <x:v>COMP_0805</x:v>
      </x:c>
      <x:c r="C809" s="47" t="str">
        <x:v>EN4SP_001</x:v>
      </x:c>
      <x:c r="D809" s="47" t="str">
        <x:v>BSPP45_F_SW_04_04</x:v>
      </x:c>
      <x:c r="E809" s="47" t="str">
        <x:v>EN4SP_4SP_001</x:v>
      </x:c>
      <x:c r="F809" s="47" t="str"/>
      <x:c r="G809" s="33" t="str"/>
      <x:c r="H809" s="50" t="str"/>
      <x:c r="I809" s="50" t="str"/>
      <x:c r="J809" s="50" t="str"/>
      <x:c r="K809" s="47" t="str"/>
      <x:c r="L809" s="50" t="str"/>
      <x:c r="M809" s="50" t="str"/>
      <x:c r="N809" s="47" t="str"/>
      <x:c r="O809" s="50" t="str"/>
      <x:c r="P809" s="64" t="str">
        <x:f>IF(O809="","",O809*2)</x:f>
      </x:c>
      <x:c r="Q809" s="50" t="str"/>
      <x:c r="R809" s="47" t="str"/>
      <x:c r="S809" s="33" t="str">
        <x:v>Not Tested</x:v>
      </x:c>
      <x:c r="T809" s="64" t="str">
        <x:v>Eligible</x:v>
      </x:c>
      <x:c r="U809" s="47" t="str"/>
      <x:c r="V809" s="47" t="str"/>
      <x:c r="W809" s="47" t="str"/>
      <x:c r="X809" s="50" t="str"/>
      <x:c r="Y809" s="50" t="str"/>
      <x:c r="Z809" s="47" t="str"/>
      <x:c r="AA809" s="47" t="str">
        <x:v>No direct published reference located; do not display a crimp value.</x:v>
      </x:c>
      <x:c r="AB809" s="161" t="str">
        <x:v>Pending</x:v>
      </x:c>
    </x:row>
    <x:row r="810" ht="42" customHeight="1">
      <x:c r="A810" s="33" t="str">
        <x:v>Draft</x:v>
      </x:c>
      <x:c r="B810" s="47" t="str">
        <x:v>COMP_0806</x:v>
      </x:c>
      <x:c r="C810" s="47" t="str">
        <x:v>EN4SP_001</x:v>
      </x:c>
      <x:c r="D810" s="47" t="str">
        <x:v>BSPP90_F_SW_04_04</x:v>
      </x:c>
      <x:c r="E810" s="47" t="str">
        <x:v>EN4SP_4SP_001</x:v>
      </x:c>
      <x:c r="F810" s="47" t="str"/>
      <x:c r="G810" s="33" t="str"/>
      <x:c r="H810" s="50" t="str"/>
      <x:c r="I810" s="50" t="str"/>
      <x:c r="J810" s="50" t="str"/>
      <x:c r="K810" s="47" t="str"/>
      <x:c r="L810" s="50" t="str"/>
      <x:c r="M810" s="50" t="str"/>
      <x:c r="N810" s="47" t="str"/>
      <x:c r="O810" s="50" t="str"/>
      <x:c r="P810" s="64" t="str">
        <x:f>IF(O810="","",O810*2)</x:f>
      </x:c>
      <x:c r="Q810" s="50" t="str"/>
      <x:c r="R810" s="47" t="str"/>
      <x:c r="S810" s="33" t="str">
        <x:v>Not Tested</x:v>
      </x:c>
      <x:c r="T810" s="64" t="str">
        <x:v>Eligible</x:v>
      </x:c>
      <x:c r="U810" s="47" t="str"/>
      <x:c r="V810" s="47" t="str"/>
      <x:c r="W810" s="47" t="str"/>
      <x:c r="X810" s="50" t="str"/>
      <x:c r="Y810" s="50" t="str"/>
      <x:c r="Z810" s="47" t="str"/>
      <x:c r="AA810" s="47" t="str">
        <x:v>No direct published reference located; do not display a crimp value.</x:v>
      </x:c>
      <x:c r="AB810" s="161" t="str">
        <x:v>Pending</x:v>
      </x:c>
    </x:row>
    <x:row r="811" ht="42" customHeight="1">
      <x:c r="A811" s="33" t="str">
        <x:v>Draft</x:v>
      </x:c>
      <x:c r="B811" s="47" t="str">
        <x:v>COMP_0807</x:v>
      </x:c>
      <x:c r="C811" s="47" t="str">
        <x:v>EN4SP_001</x:v>
      </x:c>
      <x:c r="D811" s="47" t="str">
        <x:v>BSPP90_F_SW_06_04</x:v>
      </x:c>
      <x:c r="E811" s="47" t="str">
        <x:v>EN4SP_4SP_001</x:v>
      </x:c>
      <x:c r="F811" s="47" t="str"/>
      <x:c r="G811" s="33" t="str"/>
      <x:c r="H811" s="50" t="str"/>
      <x:c r="I811" s="50" t="str"/>
      <x:c r="J811" s="50" t="str"/>
      <x:c r="K811" s="47" t="str"/>
      <x:c r="L811" s="50" t="str"/>
      <x:c r="M811" s="50" t="str"/>
      <x:c r="N811" s="47" t="str"/>
      <x:c r="O811" s="50" t="str"/>
      <x:c r="P811" s="64" t="str">
        <x:f>IF(O811="","",O811*2)</x:f>
      </x:c>
      <x:c r="Q811" s="50" t="str"/>
      <x:c r="R811" s="47" t="str"/>
      <x:c r="S811" s="33" t="str">
        <x:v>Not Tested</x:v>
      </x:c>
      <x:c r="T811" s="64" t="str">
        <x:v>Eligible</x:v>
      </x:c>
      <x:c r="U811" s="47" t="str"/>
      <x:c r="V811" s="47" t="str"/>
      <x:c r="W811" s="47" t="str"/>
      <x:c r="X811" s="50" t="str"/>
      <x:c r="Y811" s="50" t="str"/>
      <x:c r="Z811" s="47" t="str"/>
      <x:c r="AA811" s="47" t="str">
        <x:v>No direct published reference located; do not display a crimp value.</x:v>
      </x:c>
      <x:c r="AB811" s="161" t="str">
        <x:v>Pending</x:v>
      </x:c>
    </x:row>
    <x:row r="812" ht="42" customHeight="1">
      <x:c r="A812" s="33" t="str">
        <x:v>Draft</x:v>
      </x:c>
      <x:c r="B812" s="47" t="str">
        <x:v>COMP_0808</x:v>
      </x:c>
      <x:c r="C812" s="47" t="str">
        <x:v>EN4SP_001</x:v>
      </x:c>
      <x:c r="D812" s="47" t="str">
        <x:v>BSPT_M_FX_02_04</x:v>
      </x:c>
      <x:c r="E812" s="47" t="str">
        <x:v>EN4SP_4SP_001</x:v>
      </x:c>
      <x:c r="F812" s="47" t="str"/>
      <x:c r="G812" s="33" t="str"/>
      <x:c r="H812" s="50" t="str"/>
      <x:c r="I812" s="50" t="str"/>
      <x:c r="J812" s="50" t="str"/>
      <x:c r="K812" s="47" t="str"/>
      <x:c r="L812" s="50" t="str"/>
      <x:c r="M812" s="50" t="str"/>
      <x:c r="N812" s="47" t="str"/>
      <x:c r="O812" s="50" t="str"/>
      <x:c r="P812" s="64" t="str">
        <x:f>IF(O812="","",O812*2)</x:f>
      </x:c>
      <x:c r="Q812" s="50" t="str"/>
      <x:c r="R812" s="47" t="str"/>
      <x:c r="S812" s="33" t="str">
        <x:v>Not Tested</x:v>
      </x:c>
      <x:c r="T812" s="64" t="str">
        <x:v>Eligible</x:v>
      </x:c>
      <x:c r="U812" s="47" t="str"/>
      <x:c r="V812" s="47" t="str"/>
      <x:c r="W812" s="47" t="str"/>
      <x:c r="X812" s="50" t="str"/>
      <x:c r="Y812" s="50" t="str"/>
      <x:c r="Z812" s="47" t="str"/>
      <x:c r="AA812" s="47" t="str">
        <x:v>No direct published reference located; do not display a crimp value.</x:v>
      </x:c>
      <x:c r="AB812" s="161" t="str">
        <x:v>Pending</x:v>
      </x:c>
    </x:row>
    <x:row r="813" ht="42" customHeight="1">
      <x:c r="A813" s="33" t="str">
        <x:v>Draft</x:v>
      </x:c>
      <x:c r="B813" s="47" t="str">
        <x:v>COMP_0809</x:v>
      </x:c>
      <x:c r="C813" s="47" t="str">
        <x:v>EN4SP_001</x:v>
      </x:c>
      <x:c r="D813" s="47" t="str">
        <x:v>BSPT_M_FX_04_04</x:v>
      </x:c>
      <x:c r="E813" s="47" t="str">
        <x:v>EN4SP_4SP_001</x:v>
      </x:c>
      <x:c r="F813" s="47" t="str"/>
      <x:c r="G813" s="33" t="str"/>
      <x:c r="H813" s="50" t="str"/>
      <x:c r="I813" s="50" t="str"/>
      <x:c r="J813" s="50" t="str"/>
      <x:c r="K813" s="47" t="str"/>
      <x:c r="L813" s="50" t="str"/>
      <x:c r="M813" s="50" t="str"/>
      <x:c r="N813" s="47" t="str"/>
      <x:c r="O813" s="50" t="str"/>
      <x:c r="P813" s="64" t="str">
        <x:f>IF(O813="","",O813*2)</x:f>
      </x:c>
      <x:c r="Q813" s="50" t="str"/>
      <x:c r="R813" s="47" t="str"/>
      <x:c r="S813" s="33" t="str">
        <x:v>Not Tested</x:v>
      </x:c>
      <x:c r="T813" s="64" t="str">
        <x:v>Eligible</x:v>
      </x:c>
      <x:c r="U813" s="47" t="str"/>
      <x:c r="V813" s="47" t="str"/>
      <x:c r="W813" s="47" t="str"/>
      <x:c r="X813" s="50" t="str"/>
      <x:c r="Y813" s="50" t="str"/>
      <x:c r="Z813" s="47" t="str"/>
      <x:c r="AA813" s="47" t="str">
        <x:v>No direct published reference located; do not display a crimp value.</x:v>
      </x:c>
      <x:c r="AB813" s="161" t="str">
        <x:v>Pending</x:v>
      </x:c>
    </x:row>
    <x:row r="814" ht="42" customHeight="1">
      <x:c r="A814" s="33" t="str">
        <x:v>Draft</x:v>
      </x:c>
      <x:c r="B814" s="47" t="str">
        <x:v>COMP_0810</x:v>
      </x:c>
      <x:c r="C814" s="47" t="str">
        <x:v>EN4SP_001</x:v>
      </x:c>
      <x:c r="D814" s="47" t="str">
        <x:v>BSPT_M_FX_06_04</x:v>
      </x:c>
      <x:c r="E814" s="47" t="str">
        <x:v>EN4SP_4SP_001</x:v>
      </x:c>
      <x:c r="F814" s="47" t="str"/>
      <x:c r="G814" s="33" t="str"/>
      <x:c r="H814" s="50" t="str"/>
      <x:c r="I814" s="50" t="str"/>
      <x:c r="J814" s="50" t="str"/>
      <x:c r="K814" s="47" t="str"/>
      <x:c r="L814" s="50" t="str"/>
      <x:c r="M814" s="50" t="str"/>
      <x:c r="N814" s="47" t="str"/>
      <x:c r="O814" s="50" t="str"/>
      <x:c r="P814" s="64" t="str">
        <x:f>IF(O814="","",O814*2)</x:f>
      </x:c>
      <x:c r="Q814" s="50" t="str"/>
      <x:c r="R814" s="47" t="str"/>
      <x:c r="S814" s="33" t="str">
        <x:v>Not Tested</x:v>
      </x:c>
      <x:c r="T814" s="64" t="str">
        <x:v>Eligible</x:v>
      </x:c>
      <x:c r="U814" s="47" t="str"/>
      <x:c r="V814" s="47" t="str"/>
      <x:c r="W814" s="47" t="str"/>
      <x:c r="X814" s="50" t="str"/>
      <x:c r="Y814" s="50" t="str"/>
      <x:c r="Z814" s="47" t="str"/>
      <x:c r="AA814" s="47" t="str">
        <x:v>No direct published reference located; do not display a crimp value.</x:v>
      </x:c>
      <x:c r="AB814" s="161" t="str">
        <x:v>Pending</x:v>
      </x:c>
    </x:row>
    <x:row r="815" ht="42" customHeight="1">
      <x:c r="A815" s="33" t="str">
        <x:v>Draft</x:v>
      </x:c>
      <x:c r="B815" s="47" t="str">
        <x:v>COMP_0811</x:v>
      </x:c>
      <x:c r="C815" s="47" t="str">
        <x:v>EN4SP_001</x:v>
      </x:c>
      <x:c r="D815" s="47" t="str">
        <x:v>JIC_F_SW_04_04</x:v>
      </x:c>
      <x:c r="E815" s="47" t="str">
        <x:v>EN4SP_4SP_001</x:v>
      </x:c>
      <x:c r="F815" s="47" t="str"/>
      <x:c r="G815" s="33" t="str"/>
      <x:c r="H815" s="50" t="str"/>
      <x:c r="I815" s="50" t="str"/>
      <x:c r="J815" s="50" t="str"/>
      <x:c r="K815" s="47" t="str"/>
      <x:c r="L815" s="50" t="str"/>
      <x:c r="M815" s="50" t="str"/>
      <x:c r="N815" s="47" t="str"/>
      <x:c r="O815" s="50" t="str"/>
      <x:c r="P815" s="64" t="str">
        <x:f>IF(O815="","",O815*2)</x:f>
      </x:c>
      <x:c r="Q815" s="50" t="str"/>
      <x:c r="R815" s="47" t="str"/>
      <x:c r="S815" s="33" t="str">
        <x:v>Not Tested</x:v>
      </x:c>
      <x:c r="T815" s="64" t="str">
        <x:v>Eligible</x:v>
      </x:c>
      <x:c r="U815" s="47" t="str"/>
      <x:c r="V815" s="47" t="str"/>
      <x:c r="W815" s="47" t="str"/>
      <x:c r="X815" s="50" t="str"/>
      <x:c r="Y815" s="50" t="str"/>
      <x:c r="Z815" s="47" t="str"/>
      <x:c r="AA815" s="47" t="str">
        <x:v>No direct published reference located; do not display a crimp value.</x:v>
      </x:c>
      <x:c r="AB815" s="161" t="str">
        <x:v>Pending</x:v>
      </x:c>
    </x:row>
    <x:row r="816" ht="42" customHeight="1">
      <x:c r="A816" s="33" t="str">
        <x:v>Draft</x:v>
      </x:c>
      <x:c r="B816" s="47" t="str">
        <x:v>COMP_0812</x:v>
      </x:c>
      <x:c r="C816" s="47" t="str">
        <x:v>EN4SP_001</x:v>
      </x:c>
      <x:c r="D816" s="47" t="str">
        <x:v>JIC_F_SW_05_04</x:v>
      </x:c>
      <x:c r="E816" s="47" t="str">
        <x:v>EN4SP_4SP_001</x:v>
      </x:c>
      <x:c r="F816" s="47" t="str"/>
      <x:c r="G816" s="33" t="str"/>
      <x:c r="H816" s="50" t="str"/>
      <x:c r="I816" s="50" t="str"/>
      <x:c r="J816" s="50" t="str"/>
      <x:c r="K816" s="47" t="str"/>
      <x:c r="L816" s="50" t="str"/>
      <x:c r="M816" s="50" t="str"/>
      <x:c r="N816" s="47" t="str"/>
      <x:c r="O816" s="50" t="str"/>
      <x:c r="P816" s="64" t="str">
        <x:f>IF(O816="","",O816*2)</x:f>
      </x:c>
      <x:c r="Q816" s="50" t="str"/>
      <x:c r="R816" s="47" t="str"/>
      <x:c r="S816" s="33" t="str">
        <x:v>Not Tested</x:v>
      </x:c>
      <x:c r="T816" s="64" t="str">
        <x:v>Eligible</x:v>
      </x:c>
      <x:c r="U816" s="47" t="str"/>
      <x:c r="V816" s="47" t="str"/>
      <x:c r="W816" s="47" t="str"/>
      <x:c r="X816" s="50" t="str"/>
      <x:c r="Y816" s="50" t="str"/>
      <x:c r="Z816" s="47" t="str"/>
      <x:c r="AA816" s="47" t="str">
        <x:v>No direct published reference located; do not display a crimp value.</x:v>
      </x:c>
      <x:c r="AB816" s="161" t="str">
        <x:v>Pending</x:v>
      </x:c>
    </x:row>
    <x:row r="817" ht="42" customHeight="1">
      <x:c r="A817" s="33" t="str">
        <x:v>Draft</x:v>
      </x:c>
      <x:c r="B817" s="47" t="str">
        <x:v>COMP_0813</x:v>
      </x:c>
      <x:c r="C817" s="47" t="str">
        <x:v>EN4SP_001</x:v>
      </x:c>
      <x:c r="D817" s="47" t="str">
        <x:v>JIC_F_SW_06_04</x:v>
      </x:c>
      <x:c r="E817" s="47" t="str">
        <x:v>EN4SP_4SP_001</x:v>
      </x:c>
      <x:c r="F817" s="47" t="str"/>
      <x:c r="G817" s="33" t="str"/>
      <x:c r="H817" s="50" t="str"/>
      <x:c r="I817" s="50" t="str"/>
      <x:c r="J817" s="50" t="str"/>
      <x:c r="K817" s="47" t="str"/>
      <x:c r="L817" s="50" t="str"/>
      <x:c r="M817" s="50" t="str"/>
      <x:c r="N817" s="47" t="str"/>
      <x:c r="O817" s="50" t="str"/>
      <x:c r="P817" s="64" t="str">
        <x:f>IF(O817="","",O817*2)</x:f>
      </x:c>
      <x:c r="Q817" s="50" t="str"/>
      <x:c r="R817" s="47" t="str"/>
      <x:c r="S817" s="33" t="str">
        <x:v>Not Tested</x:v>
      </x:c>
      <x:c r="T817" s="64" t="str">
        <x:v>Eligible</x:v>
      </x:c>
      <x:c r="U817" s="47" t="str"/>
      <x:c r="V817" s="47" t="str"/>
      <x:c r="W817" s="47" t="str"/>
      <x:c r="X817" s="50" t="str"/>
      <x:c r="Y817" s="50" t="str"/>
      <x:c r="Z817" s="47" t="str"/>
      <x:c r="AA817" s="47" t="str">
        <x:v>No direct published reference located; do not display a crimp value.</x:v>
      </x:c>
      <x:c r="AB817" s="161" t="str">
        <x:v>Pending</x:v>
      </x:c>
    </x:row>
    <x:row r="818" ht="42" customHeight="1">
      <x:c r="A818" s="33" t="str">
        <x:v>Draft</x:v>
      </x:c>
      <x:c r="B818" s="47" t="str">
        <x:v>COMP_0814</x:v>
      </x:c>
      <x:c r="C818" s="47" t="str">
        <x:v>EN4SP_001</x:v>
      </x:c>
      <x:c r="D818" s="47" t="str">
        <x:v>JIC_M_FX_04_04</x:v>
      </x:c>
      <x:c r="E818" s="47" t="str">
        <x:v>EN4SP_4SP_001</x:v>
      </x:c>
      <x:c r="F818" s="47" t="str"/>
      <x:c r="G818" s="33" t="str"/>
      <x:c r="H818" s="50" t="str"/>
      <x:c r="I818" s="50" t="str"/>
      <x:c r="J818" s="50" t="str"/>
      <x:c r="K818" s="47" t="str"/>
      <x:c r="L818" s="50" t="str"/>
      <x:c r="M818" s="50" t="str"/>
      <x:c r="N818" s="47" t="str"/>
      <x:c r="O818" s="50" t="str"/>
      <x:c r="P818" s="64" t="str">
        <x:f>IF(O818="","",O818*2)</x:f>
      </x:c>
      <x:c r="Q818" s="50" t="str"/>
      <x:c r="R818" s="47" t="str"/>
      <x:c r="S818" s="33" t="str">
        <x:v>Not Tested</x:v>
      </x:c>
      <x:c r="T818" s="64" t="str">
        <x:v>Eligible</x:v>
      </x:c>
      <x:c r="U818" s="47" t="str"/>
      <x:c r="V818" s="47" t="str"/>
      <x:c r="W818" s="47" t="str"/>
      <x:c r="X818" s="50" t="str"/>
      <x:c r="Y818" s="50" t="str"/>
      <x:c r="Z818" s="47" t="str"/>
      <x:c r="AA818" s="47" t="str">
        <x:v>No direct published reference located; do not display a crimp value.</x:v>
      </x:c>
      <x:c r="AB818" s="161" t="str">
        <x:v>Pending</x:v>
      </x:c>
    </x:row>
    <x:row r="819" ht="42" customHeight="1">
      <x:c r="A819" s="33" t="str">
        <x:v>Draft</x:v>
      </x:c>
      <x:c r="B819" s="47" t="str">
        <x:v>COMP_0815</x:v>
      </x:c>
      <x:c r="C819" s="47" t="str">
        <x:v>EN4SP_001</x:v>
      </x:c>
      <x:c r="D819" s="47" t="str">
        <x:v>JIC_M_FX_05_04</x:v>
      </x:c>
      <x:c r="E819" s="47" t="str">
        <x:v>EN4SP_4SP_001</x:v>
      </x:c>
      <x:c r="F819" s="47" t="str"/>
      <x:c r="G819" s="33" t="str"/>
      <x:c r="H819" s="50" t="str"/>
      <x:c r="I819" s="50" t="str"/>
      <x:c r="J819" s="50" t="str"/>
      <x:c r="K819" s="47" t="str"/>
      <x:c r="L819" s="50" t="str"/>
      <x:c r="M819" s="50" t="str"/>
      <x:c r="N819" s="47" t="str"/>
      <x:c r="O819" s="50" t="str"/>
      <x:c r="P819" s="64" t="str">
        <x:f>IF(O819="","",O819*2)</x:f>
      </x:c>
      <x:c r="Q819" s="50" t="str"/>
      <x:c r="R819" s="47" t="str"/>
      <x:c r="S819" s="33" t="str">
        <x:v>Not Tested</x:v>
      </x:c>
      <x:c r="T819" s="64" t="str">
        <x:v>Eligible</x:v>
      </x:c>
      <x:c r="U819" s="47" t="str"/>
      <x:c r="V819" s="47" t="str"/>
      <x:c r="W819" s="47" t="str"/>
      <x:c r="X819" s="50" t="str"/>
      <x:c r="Y819" s="50" t="str"/>
      <x:c r="Z819" s="47" t="str"/>
      <x:c r="AA819" s="47" t="str">
        <x:v>No direct published reference located; do not display a crimp value.</x:v>
      </x:c>
      <x:c r="AB819" s="161" t="str">
        <x:v>Pending</x:v>
      </x:c>
    </x:row>
    <x:row r="820" ht="42" customHeight="1">
      <x:c r="A820" s="33" t="str">
        <x:v>Draft</x:v>
      </x:c>
      <x:c r="B820" s="47" t="str">
        <x:v>COMP_0816</x:v>
      </x:c>
      <x:c r="C820" s="47" t="str">
        <x:v>EN4SP_001</x:v>
      </x:c>
      <x:c r="D820" s="47" t="str">
        <x:v>JIC_M_FX_06_04</x:v>
      </x:c>
      <x:c r="E820" s="47" t="str">
        <x:v>EN4SP_4SP_001</x:v>
      </x:c>
      <x:c r="F820" s="47" t="str"/>
      <x:c r="G820" s="33" t="str"/>
      <x:c r="H820" s="50" t="str"/>
      <x:c r="I820" s="50" t="str"/>
      <x:c r="J820" s="50" t="str"/>
      <x:c r="K820" s="47" t="str"/>
      <x:c r="L820" s="50" t="str"/>
      <x:c r="M820" s="50" t="str"/>
      <x:c r="N820" s="47" t="str"/>
      <x:c r="O820" s="50" t="str"/>
      <x:c r="P820" s="64" t="str">
        <x:f>IF(O820="","",O820*2)</x:f>
      </x:c>
      <x:c r="Q820" s="50" t="str"/>
      <x:c r="R820" s="47" t="str"/>
      <x:c r="S820" s="33" t="str">
        <x:v>Not Tested</x:v>
      </x:c>
      <x:c r="T820" s="64" t="str">
        <x:v>Eligible</x:v>
      </x:c>
      <x:c r="U820" s="47" t="str"/>
      <x:c r="V820" s="47" t="str"/>
      <x:c r="W820" s="47" t="str"/>
      <x:c r="X820" s="50" t="str"/>
      <x:c r="Y820" s="50" t="str"/>
      <x:c r="Z820" s="47" t="str"/>
      <x:c r="AA820" s="47" t="str">
        <x:v>No direct published reference located; do not display a crimp value.</x:v>
      </x:c>
      <x:c r="AB820" s="161" t="str">
        <x:v>Pending</x:v>
      </x:c>
    </x:row>
    <x:row r="821" ht="42" customHeight="1">
      <x:c r="A821" s="33" t="str">
        <x:v>Draft</x:v>
      </x:c>
      <x:c r="B821" s="47" t="str">
        <x:v>COMP_0817</x:v>
      </x:c>
      <x:c r="C821" s="47" t="str">
        <x:v>EN4SP_001</x:v>
      </x:c>
      <x:c r="D821" s="47" t="str">
        <x:v>JIC45_F_SW_04_04</x:v>
      </x:c>
      <x:c r="E821" s="47" t="str">
        <x:v>EN4SP_4SP_001</x:v>
      </x:c>
      <x:c r="F821" s="47" t="str"/>
      <x:c r="G821" s="33" t="str"/>
      <x:c r="H821" s="50" t="str"/>
      <x:c r="I821" s="50" t="str"/>
      <x:c r="J821" s="50" t="str"/>
      <x:c r="K821" s="47" t="str"/>
      <x:c r="L821" s="50" t="str"/>
      <x:c r="M821" s="50" t="str"/>
      <x:c r="N821" s="47" t="str"/>
      <x:c r="O821" s="50" t="str"/>
      <x:c r="P821" s="64" t="str">
        <x:f>IF(O821="","",O821*2)</x:f>
      </x:c>
      <x:c r="Q821" s="50" t="str"/>
      <x:c r="R821" s="47" t="str"/>
      <x:c r="S821" s="33" t="str">
        <x:v>Not Tested</x:v>
      </x:c>
      <x:c r="T821" s="64" t="str">
        <x:v>Eligible</x:v>
      </x:c>
      <x:c r="U821" s="47" t="str"/>
      <x:c r="V821" s="47" t="str"/>
      <x:c r="W821" s="47" t="str"/>
      <x:c r="X821" s="50" t="str"/>
      <x:c r="Y821" s="50" t="str"/>
      <x:c r="Z821" s="47" t="str"/>
      <x:c r="AA821" s="47" t="str">
        <x:v>No direct published reference located; do not display a crimp value.</x:v>
      </x:c>
      <x:c r="AB821" s="161" t="str">
        <x:v>Pending</x:v>
      </x:c>
    </x:row>
    <x:row r="822" ht="42" customHeight="1">
      <x:c r="A822" s="33" t="str">
        <x:v>Draft</x:v>
      </x:c>
      <x:c r="B822" s="47" t="str">
        <x:v>COMP_0818</x:v>
      </x:c>
      <x:c r="C822" s="47" t="str">
        <x:v>EN4SP_001</x:v>
      </x:c>
      <x:c r="D822" s="47" t="str">
        <x:v>JIC45_F_SW_06_04</x:v>
      </x:c>
      <x:c r="E822" s="47" t="str">
        <x:v>EN4SP_4SP_001</x:v>
      </x:c>
      <x:c r="F822" s="47" t="str"/>
      <x:c r="G822" s="33" t="str"/>
      <x:c r="H822" s="50" t="str"/>
      <x:c r="I822" s="50" t="str"/>
      <x:c r="J822" s="50" t="str"/>
      <x:c r="K822" s="47" t="str"/>
      <x:c r="L822" s="50" t="str"/>
      <x:c r="M822" s="50" t="str"/>
      <x:c r="N822" s="47" t="str"/>
      <x:c r="O822" s="50" t="str"/>
      <x:c r="P822" s="64" t="str">
        <x:f>IF(O822="","",O822*2)</x:f>
      </x:c>
      <x:c r="Q822" s="50" t="str"/>
      <x:c r="R822" s="47" t="str"/>
      <x:c r="S822" s="33" t="str">
        <x:v>Not Tested</x:v>
      </x:c>
      <x:c r="T822" s="64" t="str">
        <x:v>Eligible</x:v>
      </x:c>
      <x:c r="U822" s="47" t="str"/>
      <x:c r="V822" s="47" t="str"/>
      <x:c r="W822" s="47" t="str"/>
      <x:c r="X822" s="50" t="str"/>
      <x:c r="Y822" s="50" t="str"/>
      <x:c r="Z822" s="47" t="str"/>
      <x:c r="AA822" s="47" t="str">
        <x:v>No direct published reference located; do not display a crimp value.</x:v>
      </x:c>
      <x:c r="AB822" s="161" t="str">
        <x:v>Pending</x:v>
      </x:c>
    </x:row>
    <x:row r="823" ht="42" customHeight="1">
      <x:c r="A823" s="33" t="str">
        <x:v>Draft</x:v>
      </x:c>
      <x:c r="B823" s="47" t="str">
        <x:v>COMP_0819</x:v>
      </x:c>
      <x:c r="C823" s="47" t="str">
        <x:v>EN4SP_001</x:v>
      </x:c>
      <x:c r="D823" s="47" t="str">
        <x:v>JIC90_F_SW_04_04</x:v>
      </x:c>
      <x:c r="E823" s="47" t="str">
        <x:v>EN4SP_4SP_001</x:v>
      </x:c>
      <x:c r="F823" s="47" t="str"/>
      <x:c r="G823" s="33" t="str"/>
      <x:c r="H823" s="50" t="str"/>
      <x:c r="I823" s="50" t="str"/>
      <x:c r="J823" s="50" t="str"/>
      <x:c r="K823" s="47" t="str"/>
      <x:c r="L823" s="50" t="str"/>
      <x:c r="M823" s="50" t="str"/>
      <x:c r="N823" s="47" t="str"/>
      <x:c r="O823" s="50" t="str"/>
      <x:c r="P823" s="64" t="str">
        <x:f>IF(O823="","",O823*2)</x:f>
      </x:c>
      <x:c r="Q823" s="50" t="str"/>
      <x:c r="R823" s="47" t="str"/>
      <x:c r="S823" s="33" t="str">
        <x:v>Not Tested</x:v>
      </x:c>
      <x:c r="T823" s="64" t="str">
        <x:v>Eligible</x:v>
      </x:c>
      <x:c r="U823" s="47" t="str"/>
      <x:c r="V823" s="47" t="str"/>
      <x:c r="W823" s="47" t="str"/>
      <x:c r="X823" s="50" t="str"/>
      <x:c r="Y823" s="50" t="str"/>
      <x:c r="Z823" s="47" t="str"/>
      <x:c r="AA823" s="47" t="str">
        <x:v>No direct published reference located; do not display a crimp value.</x:v>
      </x:c>
      <x:c r="AB823" s="161" t="str">
        <x:v>Pending</x:v>
      </x:c>
    </x:row>
    <x:row r="824" ht="42" customHeight="1">
      <x:c r="A824" s="33" t="str">
        <x:v>Draft</x:v>
      </x:c>
      <x:c r="B824" s="47" t="str">
        <x:v>COMP_0820</x:v>
      </x:c>
      <x:c r="C824" s="47" t="str">
        <x:v>EN4SP_001</x:v>
      </x:c>
      <x:c r="D824" s="47" t="str">
        <x:v>JIC90_F_SW_05_04</x:v>
      </x:c>
      <x:c r="E824" s="47" t="str">
        <x:v>EN4SP_4SP_001</x:v>
      </x:c>
      <x:c r="F824" s="47" t="str"/>
      <x:c r="G824" s="33" t="str"/>
      <x:c r="H824" s="50" t="str"/>
      <x:c r="I824" s="50" t="str"/>
      <x:c r="J824" s="50" t="str"/>
      <x:c r="K824" s="47" t="str"/>
      <x:c r="L824" s="50" t="str"/>
      <x:c r="M824" s="50" t="str"/>
      <x:c r="N824" s="47" t="str"/>
      <x:c r="O824" s="50" t="str"/>
      <x:c r="P824" s="64" t="str">
        <x:f>IF(O824="","",O824*2)</x:f>
      </x:c>
      <x:c r="Q824" s="50" t="str"/>
      <x:c r="R824" s="47" t="str"/>
      <x:c r="S824" s="33" t="str">
        <x:v>Not Tested</x:v>
      </x:c>
      <x:c r="T824" s="64" t="str">
        <x:v>Eligible</x:v>
      </x:c>
      <x:c r="U824" s="47" t="str"/>
      <x:c r="V824" s="47" t="str"/>
      <x:c r="W824" s="47" t="str"/>
      <x:c r="X824" s="50" t="str"/>
      <x:c r="Y824" s="50" t="str"/>
      <x:c r="Z824" s="47" t="str"/>
      <x:c r="AA824" s="47" t="str">
        <x:v>No direct published reference located; do not display a crimp value.</x:v>
      </x:c>
      <x:c r="AB824" s="161" t="str">
        <x:v>Pending</x:v>
      </x:c>
    </x:row>
    <x:row r="825" ht="42" customHeight="1">
      <x:c r="A825" s="33" t="str">
        <x:v>Draft</x:v>
      </x:c>
      <x:c r="B825" s="47" t="str">
        <x:v>COMP_0821</x:v>
      </x:c>
      <x:c r="C825" s="47" t="str">
        <x:v>EN4SP_001</x:v>
      </x:c>
      <x:c r="D825" s="47" t="str">
        <x:v>JIC90_F_SW_06_04</x:v>
      </x:c>
      <x:c r="E825" s="47" t="str">
        <x:v>EN4SP_4SP_001</x:v>
      </x:c>
      <x:c r="F825" s="47" t="str"/>
      <x:c r="G825" s="33" t="str"/>
      <x:c r="H825" s="50" t="str"/>
      <x:c r="I825" s="50" t="str"/>
      <x:c r="J825" s="50" t="str"/>
      <x:c r="K825" s="47" t="str"/>
      <x:c r="L825" s="50" t="str"/>
      <x:c r="M825" s="50" t="str"/>
      <x:c r="N825" s="47" t="str"/>
      <x:c r="O825" s="50" t="str"/>
      <x:c r="P825" s="64" t="str">
        <x:f>IF(O825="","",O825*2)</x:f>
      </x:c>
      <x:c r="Q825" s="50" t="str"/>
      <x:c r="R825" s="47" t="str"/>
      <x:c r="S825" s="33" t="str">
        <x:v>Not Tested</x:v>
      </x:c>
      <x:c r="T825" s="64" t="str">
        <x:v>Eligible</x:v>
      </x:c>
      <x:c r="U825" s="47" t="str"/>
      <x:c r="V825" s="47" t="str"/>
      <x:c r="W825" s="47" t="str"/>
      <x:c r="X825" s="50" t="str"/>
      <x:c r="Y825" s="50" t="str"/>
      <x:c r="Z825" s="47" t="str"/>
      <x:c r="AA825" s="47" t="str">
        <x:v>No direct published reference located; do not display a crimp value.</x:v>
      </x:c>
      <x:c r="AB825" s="161" t="str">
        <x:v>Pending</x:v>
      </x:c>
    </x:row>
    <x:row r="826" ht="42" customHeight="1">
      <x:c r="A826" s="33" t="str">
        <x:v>Draft</x:v>
      </x:c>
      <x:c r="B826" s="47" t="str">
        <x:v>COMP_0822</x:v>
      </x:c>
      <x:c r="C826" s="47" t="str">
        <x:v>EN4SP_001</x:v>
      </x:c>
      <x:c r="D826" s="47" t="str">
        <x:v>NPT_F_FX_02_04</x:v>
      </x:c>
      <x:c r="E826" s="47" t="str">
        <x:v>EN4SP_4SP_001</x:v>
      </x:c>
      <x:c r="F826" s="47" t="str"/>
      <x:c r="G826" s="33" t="str"/>
      <x:c r="H826" s="50" t="str"/>
      <x:c r="I826" s="50" t="str"/>
      <x:c r="J826" s="50" t="str"/>
      <x:c r="K826" s="47" t="str"/>
      <x:c r="L826" s="50" t="str"/>
      <x:c r="M826" s="50" t="str"/>
      <x:c r="N826" s="47" t="str"/>
      <x:c r="O826" s="50" t="str"/>
      <x:c r="P826" s="64" t="str">
        <x:f>IF(O826="","",O826*2)</x:f>
      </x:c>
      <x:c r="Q826" s="50" t="str"/>
      <x:c r="R826" s="47" t="str"/>
      <x:c r="S826" s="33" t="str">
        <x:v>Not Tested</x:v>
      </x:c>
      <x:c r="T826" s="64" t="str">
        <x:v>Eligible</x:v>
      </x:c>
      <x:c r="U826" s="47" t="str"/>
      <x:c r="V826" s="47" t="str"/>
      <x:c r="W826" s="47" t="str"/>
      <x:c r="X826" s="50" t="str"/>
      <x:c r="Y826" s="50" t="str"/>
      <x:c r="Z826" s="47" t="str"/>
      <x:c r="AA826" s="47" t="str">
        <x:v>No direct published reference located; do not display a crimp value.</x:v>
      </x:c>
      <x:c r="AB826" s="161" t="str">
        <x:v>Pending</x:v>
      </x:c>
    </x:row>
    <x:row r="827" ht="42" customHeight="1">
      <x:c r="A827" s="33" t="str">
        <x:v>Draft</x:v>
      </x:c>
      <x:c r="B827" s="47" t="str">
        <x:v>COMP_0823</x:v>
      </x:c>
      <x:c r="C827" s="47" t="str">
        <x:v>EN4SP_001</x:v>
      </x:c>
      <x:c r="D827" s="47" t="str">
        <x:v>NPT_F_FX_04_04</x:v>
      </x:c>
      <x:c r="E827" s="47" t="str">
        <x:v>EN4SP_4SP_001</x:v>
      </x:c>
      <x:c r="F827" s="47" t="str"/>
      <x:c r="G827" s="33" t="str"/>
      <x:c r="H827" s="50" t="str"/>
      <x:c r="I827" s="50" t="str"/>
      <x:c r="J827" s="50" t="str"/>
      <x:c r="K827" s="47" t="str"/>
      <x:c r="L827" s="50" t="str"/>
      <x:c r="M827" s="50" t="str"/>
      <x:c r="N827" s="47" t="str"/>
      <x:c r="O827" s="50" t="str"/>
      <x:c r="P827" s="64" t="str">
        <x:f>IF(O827="","",O827*2)</x:f>
      </x:c>
      <x:c r="Q827" s="50" t="str"/>
      <x:c r="R827" s="47" t="str"/>
      <x:c r="S827" s="33" t="str">
        <x:v>Not Tested</x:v>
      </x:c>
      <x:c r="T827" s="64" t="str">
        <x:v>Eligible</x:v>
      </x:c>
      <x:c r="U827" s="47" t="str"/>
      <x:c r="V827" s="47" t="str"/>
      <x:c r="W827" s="47" t="str"/>
      <x:c r="X827" s="50" t="str"/>
      <x:c r="Y827" s="50" t="str"/>
      <x:c r="Z827" s="47" t="str"/>
      <x:c r="AA827" s="47" t="str">
        <x:v>No direct published reference located; do not display a crimp value.</x:v>
      </x:c>
      <x:c r="AB827" s="161" t="str">
        <x:v>Pending</x:v>
      </x:c>
    </x:row>
    <x:row r="828" ht="42" customHeight="1">
      <x:c r="A828" s="33" t="str">
        <x:v>Draft</x:v>
      </x:c>
      <x:c r="B828" s="47" t="str">
        <x:v>COMP_0824</x:v>
      </x:c>
      <x:c r="C828" s="47" t="str">
        <x:v>EN4SP_001</x:v>
      </x:c>
      <x:c r="D828" s="47" t="str">
        <x:v>NPT_F_FX_06_04</x:v>
      </x:c>
      <x:c r="E828" s="47" t="str">
        <x:v>EN4SP_4SP_001</x:v>
      </x:c>
      <x:c r="F828" s="47" t="str"/>
      <x:c r="G828" s="33" t="str"/>
      <x:c r="H828" s="50" t="str"/>
      <x:c r="I828" s="50" t="str"/>
      <x:c r="J828" s="50" t="str"/>
      <x:c r="K828" s="47" t="str"/>
      <x:c r="L828" s="50" t="str"/>
      <x:c r="M828" s="50" t="str"/>
      <x:c r="N828" s="47" t="str"/>
      <x:c r="O828" s="50" t="str"/>
      <x:c r="P828" s="64" t="str">
        <x:f>IF(O828="","",O828*2)</x:f>
      </x:c>
      <x:c r="Q828" s="50" t="str"/>
      <x:c r="R828" s="47" t="str"/>
      <x:c r="S828" s="33" t="str">
        <x:v>Not Tested</x:v>
      </x:c>
      <x:c r="T828" s="64" t="str">
        <x:v>Eligible</x:v>
      </x:c>
      <x:c r="U828" s="47" t="str"/>
      <x:c r="V828" s="47" t="str"/>
      <x:c r="W828" s="47" t="str"/>
      <x:c r="X828" s="50" t="str"/>
      <x:c r="Y828" s="50" t="str"/>
      <x:c r="Z828" s="47" t="str"/>
      <x:c r="AA828" s="47" t="str">
        <x:v>No direct published reference located; do not display a crimp value.</x:v>
      </x:c>
      <x:c r="AB828" s="161" t="str">
        <x:v>Pending</x:v>
      </x:c>
    </x:row>
    <x:row r="829" ht="42" customHeight="1">
      <x:c r="A829" s="33" t="str">
        <x:v>Draft</x:v>
      </x:c>
      <x:c r="B829" s="47" t="str">
        <x:v>COMP_0825</x:v>
      </x:c>
      <x:c r="C829" s="47" t="str">
        <x:v>EN4SP_001</x:v>
      </x:c>
      <x:c r="D829" s="47" t="str">
        <x:v>NPT_M_FX_02_04</x:v>
      </x:c>
      <x:c r="E829" s="47" t="str">
        <x:v>EN4SP_4SP_001</x:v>
      </x:c>
      <x:c r="F829" s="47" t="str"/>
      <x:c r="G829" s="33" t="str"/>
      <x:c r="H829" s="50" t="str"/>
      <x:c r="I829" s="50" t="str"/>
      <x:c r="J829" s="50" t="str"/>
      <x:c r="K829" s="47" t="str"/>
      <x:c r="L829" s="50" t="str"/>
      <x:c r="M829" s="50" t="str"/>
      <x:c r="N829" s="47" t="str"/>
      <x:c r="O829" s="50" t="str"/>
      <x:c r="P829" s="64" t="str">
        <x:f>IF(O829="","",O829*2)</x:f>
      </x:c>
      <x:c r="Q829" s="50" t="str"/>
      <x:c r="R829" s="47" t="str"/>
      <x:c r="S829" s="33" t="str">
        <x:v>Not Tested</x:v>
      </x:c>
      <x:c r="T829" s="64" t="str">
        <x:v>Eligible</x:v>
      </x:c>
      <x:c r="U829" s="47" t="str"/>
      <x:c r="V829" s="47" t="str"/>
      <x:c r="W829" s="47" t="str"/>
      <x:c r="X829" s="50" t="str"/>
      <x:c r="Y829" s="50" t="str"/>
      <x:c r="Z829" s="47" t="str"/>
      <x:c r="AA829" s="47" t="str">
        <x:v>No direct published reference located; do not display a crimp value.</x:v>
      </x:c>
      <x:c r="AB829" s="161" t="str">
        <x:v>Pending</x:v>
      </x:c>
    </x:row>
    <x:row r="830" ht="42" customHeight="1">
      <x:c r="A830" s="33" t="str">
        <x:v>Draft</x:v>
      </x:c>
      <x:c r="B830" s="47" t="str">
        <x:v>COMP_0826</x:v>
      </x:c>
      <x:c r="C830" s="47" t="str">
        <x:v>EN4SP_001</x:v>
      </x:c>
      <x:c r="D830" s="47" t="str">
        <x:v>NPT_M_FX_04_04</x:v>
      </x:c>
      <x:c r="E830" s="47" t="str">
        <x:v>EN4SP_4SP_001</x:v>
      </x:c>
      <x:c r="F830" s="47" t="str"/>
      <x:c r="G830" s="33" t="str"/>
      <x:c r="H830" s="50" t="str"/>
      <x:c r="I830" s="50" t="str"/>
      <x:c r="J830" s="50" t="str"/>
      <x:c r="K830" s="47" t="str"/>
      <x:c r="L830" s="50" t="str"/>
      <x:c r="M830" s="50" t="str"/>
      <x:c r="N830" s="47" t="str"/>
      <x:c r="O830" s="50" t="str"/>
      <x:c r="P830" s="64" t="str">
        <x:f>IF(O830="","",O830*2)</x:f>
      </x:c>
      <x:c r="Q830" s="50" t="str"/>
      <x:c r="R830" s="47" t="str"/>
      <x:c r="S830" s="33" t="str">
        <x:v>Not Tested</x:v>
      </x:c>
      <x:c r="T830" s="64" t="str">
        <x:v>Eligible</x:v>
      </x:c>
      <x:c r="U830" s="47" t="str"/>
      <x:c r="V830" s="47" t="str"/>
      <x:c r="W830" s="47" t="str"/>
      <x:c r="X830" s="50" t="str"/>
      <x:c r="Y830" s="50" t="str"/>
      <x:c r="Z830" s="47" t="str"/>
      <x:c r="AA830" s="47" t="str">
        <x:v>No direct published reference located; do not display a crimp value.</x:v>
      </x:c>
      <x:c r="AB830" s="161" t="str">
        <x:v>Pending</x:v>
      </x:c>
    </x:row>
    <x:row r="831" ht="42" customHeight="1">
      <x:c r="A831" s="33" t="str">
        <x:v>Draft</x:v>
      </x:c>
      <x:c r="B831" s="47" t="str">
        <x:v>COMP_0827</x:v>
      </x:c>
      <x:c r="C831" s="47" t="str">
        <x:v>EN4SP_001</x:v>
      </x:c>
      <x:c r="D831" s="47" t="str">
        <x:v>NPT_M_FX_06_04</x:v>
      </x:c>
      <x:c r="E831" s="47" t="str">
        <x:v>EN4SP_4SP_001</x:v>
      </x:c>
      <x:c r="F831" s="47" t="str"/>
      <x:c r="G831" s="33" t="str"/>
      <x:c r="H831" s="50" t="str"/>
      <x:c r="I831" s="50" t="str"/>
      <x:c r="J831" s="50" t="str"/>
      <x:c r="K831" s="47" t="str"/>
      <x:c r="L831" s="50" t="str"/>
      <x:c r="M831" s="50" t="str"/>
      <x:c r="N831" s="47" t="str"/>
      <x:c r="O831" s="50" t="str"/>
      <x:c r="P831" s="64" t="str">
        <x:f>IF(O831="","",O831*2)</x:f>
      </x:c>
      <x:c r="Q831" s="50" t="str"/>
      <x:c r="R831" s="47" t="str"/>
      <x:c r="S831" s="33" t="str">
        <x:v>Not Tested</x:v>
      </x:c>
      <x:c r="T831" s="64" t="str">
        <x:v>Eligible</x:v>
      </x:c>
      <x:c r="U831" s="47" t="str"/>
      <x:c r="V831" s="47" t="str"/>
      <x:c r="W831" s="47" t="str"/>
      <x:c r="X831" s="50" t="str"/>
      <x:c r="Y831" s="50" t="str"/>
      <x:c r="Z831" s="47" t="str"/>
      <x:c r="AA831" s="47" t="str">
        <x:v>No direct published reference located; do not display a crimp value.</x:v>
      </x:c>
      <x:c r="AB831" s="161" t="str">
        <x:v>Pending</x:v>
      </x:c>
    </x:row>
    <x:row r="832" ht="42" customHeight="1">
      <x:c r="A832" s="33" t="str">
        <x:v>Draft</x:v>
      </x:c>
      <x:c r="B832" s="47" t="str">
        <x:v>COMP_0828</x:v>
      </x:c>
      <x:c r="C832" s="47" t="str">
        <x:v>EN4SP_001</x:v>
      </x:c>
      <x:c r="D832" s="47" t="str">
        <x:v>NPT_M_FX_08_04</x:v>
      </x:c>
      <x:c r="E832" s="47" t="str">
        <x:v>EN4SP_4SP_001</x:v>
      </x:c>
      <x:c r="F832" s="47" t="str"/>
      <x:c r="G832" s="33" t="str"/>
      <x:c r="H832" s="50" t="str"/>
      <x:c r="I832" s="50" t="str"/>
      <x:c r="J832" s="50" t="str"/>
      <x:c r="K832" s="47" t="str"/>
      <x:c r="L832" s="50" t="str"/>
      <x:c r="M832" s="50" t="str"/>
      <x:c r="N832" s="47" t="str"/>
      <x:c r="O832" s="50" t="str"/>
      <x:c r="P832" s="64" t="str">
        <x:f>IF(O832="","",O832*2)</x:f>
      </x:c>
      <x:c r="Q832" s="50" t="str"/>
      <x:c r="R832" s="47" t="str"/>
      <x:c r="S832" s="33" t="str">
        <x:v>Not Tested</x:v>
      </x:c>
      <x:c r="T832" s="64" t="str">
        <x:v>Eligible</x:v>
      </x:c>
      <x:c r="U832" s="47" t="str"/>
      <x:c r="V832" s="47" t="str"/>
      <x:c r="W832" s="47" t="str"/>
      <x:c r="X832" s="50" t="str"/>
      <x:c r="Y832" s="50" t="str"/>
      <x:c r="Z832" s="47" t="str"/>
      <x:c r="AA832" s="47" t="str">
        <x:v>No direct published reference located; do not display a crimp value.</x:v>
      </x:c>
      <x:c r="AB832" s="161" t="str">
        <x:v>Pending</x:v>
      </x:c>
    </x:row>
    <x:row r="833" ht="42" customHeight="1">
      <x:c r="A833" s="33" t="str">
        <x:v>Draft</x:v>
      </x:c>
      <x:c r="B833" s="47" t="str">
        <x:v>COMP_0829</x:v>
      </x:c>
      <x:c r="C833" s="47" t="str">
        <x:v>EN4SP_001</x:v>
      </x:c>
      <x:c r="D833" s="47" t="str">
        <x:v>NPT90_M_SW_04_04</x:v>
      </x:c>
      <x:c r="E833" s="47" t="str">
        <x:v>EN4SP_4SP_001</x:v>
      </x:c>
      <x:c r="F833" s="47" t="str"/>
      <x:c r="G833" s="33" t="str"/>
      <x:c r="H833" s="50" t="str"/>
      <x:c r="I833" s="50" t="str"/>
      <x:c r="J833" s="50" t="str"/>
      <x:c r="K833" s="47" t="str"/>
      <x:c r="L833" s="50" t="str"/>
      <x:c r="M833" s="50" t="str"/>
      <x:c r="N833" s="47" t="str"/>
      <x:c r="O833" s="50" t="str"/>
      <x:c r="P833" s="64" t="str">
        <x:f>IF(O833="","",O833*2)</x:f>
      </x:c>
      <x:c r="Q833" s="50" t="str"/>
      <x:c r="R833" s="47" t="str"/>
      <x:c r="S833" s="33" t="str">
        <x:v>Not Tested</x:v>
      </x:c>
      <x:c r="T833" s="64" t="str">
        <x:v>Eligible</x:v>
      </x:c>
      <x:c r="U833" s="47" t="str"/>
      <x:c r="V833" s="47" t="str"/>
      <x:c r="W833" s="47" t="str"/>
      <x:c r="X833" s="50" t="str"/>
      <x:c r="Y833" s="50" t="str"/>
      <x:c r="Z833" s="47" t="str"/>
      <x:c r="AA833" s="47" t="str">
        <x:v>No direct published reference located; do not display a crimp value.</x:v>
      </x:c>
      <x:c r="AB833" s="161" t="str">
        <x:v>Pending</x:v>
      </x:c>
    </x:row>
    <x:row r="834" ht="42" customHeight="1">
      <x:c r="A834" s="33" t="str">
        <x:v>Draft</x:v>
      </x:c>
      <x:c r="B834" s="47" t="str">
        <x:v>COMP_0830</x:v>
      </x:c>
      <x:c r="C834" s="47" t="str">
        <x:v>EN4SP_001</x:v>
      </x:c>
      <x:c r="D834" s="47" t="str">
        <x:v>ORFS_F_SW_04_04</x:v>
      </x:c>
      <x:c r="E834" s="47" t="str">
        <x:v>EN4SP_4SP_001</x:v>
      </x:c>
      <x:c r="F834" s="47" t="str"/>
      <x:c r="G834" s="33" t="str"/>
      <x:c r="H834" s="50" t="str"/>
      <x:c r="I834" s="50" t="str"/>
      <x:c r="J834" s="50" t="str"/>
      <x:c r="K834" s="47" t="str"/>
      <x:c r="L834" s="50" t="str"/>
      <x:c r="M834" s="50" t="str"/>
      <x:c r="N834" s="47" t="str"/>
      <x:c r="O834" s="50" t="str"/>
      <x:c r="P834" s="64" t="str">
        <x:f>IF(O834="","",O834*2)</x:f>
      </x:c>
      <x:c r="Q834" s="50" t="str"/>
      <x:c r="R834" s="47" t="str"/>
      <x:c r="S834" s="33" t="str">
        <x:v>Not Tested</x:v>
      </x:c>
      <x:c r="T834" s="64" t="str">
        <x:v>Eligible</x:v>
      </x:c>
      <x:c r="U834" s="47" t="str"/>
      <x:c r="V834" s="47" t="str"/>
      <x:c r="W834" s="47" t="str"/>
      <x:c r="X834" s="50" t="str"/>
      <x:c r="Y834" s="50" t="str"/>
      <x:c r="Z834" s="47" t="str"/>
      <x:c r="AA834" s="47" t="str">
        <x:v>No direct published reference located; do not display a crimp value.</x:v>
      </x:c>
      <x:c r="AB834" s="161" t="str">
        <x:v>Pending</x:v>
      </x:c>
    </x:row>
    <x:row r="835" ht="42" customHeight="1">
      <x:c r="A835" s="33" t="str">
        <x:v>Draft</x:v>
      </x:c>
      <x:c r="B835" s="47" t="str">
        <x:v>COMP_0831</x:v>
      </x:c>
      <x:c r="C835" s="47" t="str">
        <x:v>EN4SP_001</x:v>
      </x:c>
      <x:c r="D835" s="47" t="str">
        <x:v>ORFS_F_SW_06_04</x:v>
      </x:c>
      <x:c r="E835" s="47" t="str">
        <x:v>EN4SP_4SP_001</x:v>
      </x:c>
      <x:c r="F835" s="47" t="str"/>
      <x:c r="G835" s="33" t="str"/>
      <x:c r="H835" s="50" t="str"/>
      <x:c r="I835" s="50" t="str"/>
      <x:c r="J835" s="50" t="str"/>
      <x:c r="K835" s="47" t="str"/>
      <x:c r="L835" s="50" t="str"/>
      <x:c r="M835" s="50" t="str"/>
      <x:c r="N835" s="47" t="str"/>
      <x:c r="O835" s="50" t="str"/>
      <x:c r="P835" s="64" t="str">
        <x:f>IF(O835="","",O835*2)</x:f>
      </x:c>
      <x:c r="Q835" s="50" t="str"/>
      <x:c r="R835" s="47" t="str"/>
      <x:c r="S835" s="33" t="str">
        <x:v>Not Tested</x:v>
      </x:c>
      <x:c r="T835" s="64" t="str">
        <x:v>Eligible</x:v>
      </x:c>
      <x:c r="U835" s="47" t="str"/>
      <x:c r="V835" s="47" t="str"/>
      <x:c r="W835" s="47" t="str"/>
      <x:c r="X835" s="50" t="str"/>
      <x:c r="Y835" s="50" t="str"/>
      <x:c r="Z835" s="47" t="str"/>
      <x:c r="AA835" s="47" t="str">
        <x:v>No direct published reference located; do not display a crimp value.</x:v>
      </x:c>
      <x:c r="AB835" s="161" t="str">
        <x:v>Pending</x:v>
      </x:c>
    </x:row>
    <x:row r="836" ht="42" customHeight="1">
      <x:c r="A836" s="33" t="str">
        <x:v>Draft</x:v>
      </x:c>
      <x:c r="B836" s="47" t="str">
        <x:v>COMP_0832</x:v>
      </x:c>
      <x:c r="C836" s="47" t="str">
        <x:v>EN4SP_001</x:v>
      </x:c>
      <x:c r="D836" s="47" t="str">
        <x:v>ORFS_F_SW_08_04</x:v>
      </x:c>
      <x:c r="E836" s="47" t="str">
        <x:v>EN4SP_4SP_001</x:v>
      </x:c>
      <x:c r="F836" s="47" t="str"/>
      <x:c r="G836" s="33" t="str"/>
      <x:c r="H836" s="50" t="str"/>
      <x:c r="I836" s="50" t="str"/>
      <x:c r="J836" s="50" t="str"/>
      <x:c r="K836" s="47" t="str"/>
      <x:c r="L836" s="50" t="str"/>
      <x:c r="M836" s="50" t="str"/>
      <x:c r="N836" s="47" t="str"/>
      <x:c r="O836" s="50" t="str"/>
      <x:c r="P836" s="64" t="str">
        <x:f>IF(O836="","",O836*2)</x:f>
      </x:c>
      <x:c r="Q836" s="50" t="str"/>
      <x:c r="R836" s="47" t="str"/>
      <x:c r="S836" s="33" t="str">
        <x:v>Not Tested</x:v>
      </x:c>
      <x:c r="T836" s="64" t="str">
        <x:v>Eligible</x:v>
      </x:c>
      <x:c r="U836" s="47" t="str"/>
      <x:c r="V836" s="47" t="str"/>
      <x:c r="W836" s="47" t="str"/>
      <x:c r="X836" s="50" t="str"/>
      <x:c r="Y836" s="50" t="str"/>
      <x:c r="Z836" s="47" t="str"/>
      <x:c r="AA836" s="47" t="str">
        <x:v>No direct published reference located; do not display a crimp value.</x:v>
      </x:c>
      <x:c r="AB836" s="161" t="str">
        <x:v>Pending</x:v>
      </x:c>
    </x:row>
    <x:row r="837" ht="42" customHeight="1">
      <x:c r="A837" s="33" t="str">
        <x:v>Draft</x:v>
      </x:c>
      <x:c r="B837" s="47" t="str">
        <x:v>COMP_0833</x:v>
      </x:c>
      <x:c r="C837" s="47" t="str">
        <x:v>EN4SP_001</x:v>
      </x:c>
      <x:c r="D837" s="47" t="str">
        <x:v>ORFS_M_FX_04_04</x:v>
      </x:c>
      <x:c r="E837" s="47" t="str">
        <x:v>EN4SP_4SP_001</x:v>
      </x:c>
      <x:c r="F837" s="47" t="str"/>
      <x:c r="G837" s="33" t="str"/>
      <x:c r="H837" s="50" t="str"/>
      <x:c r="I837" s="50" t="str"/>
      <x:c r="J837" s="50" t="str"/>
      <x:c r="K837" s="47" t="str"/>
      <x:c r="L837" s="50" t="str"/>
      <x:c r="M837" s="50" t="str"/>
      <x:c r="N837" s="47" t="str"/>
      <x:c r="O837" s="50" t="str"/>
      <x:c r="P837" s="64" t="str">
        <x:f>IF(O837="","",O837*2)</x:f>
      </x:c>
      <x:c r="Q837" s="50" t="str"/>
      <x:c r="R837" s="47" t="str"/>
      <x:c r="S837" s="33" t="str">
        <x:v>Not Tested</x:v>
      </x:c>
      <x:c r="T837" s="64" t="str">
        <x:v>Eligible</x:v>
      </x:c>
      <x:c r="U837" s="47" t="str"/>
      <x:c r="V837" s="47" t="str"/>
      <x:c r="W837" s="47" t="str"/>
      <x:c r="X837" s="50" t="str"/>
      <x:c r="Y837" s="50" t="str"/>
      <x:c r="Z837" s="47" t="str"/>
      <x:c r="AA837" s="47" t="str">
        <x:v>No direct published reference located; do not display a crimp value.</x:v>
      </x:c>
      <x:c r="AB837" s="161" t="str">
        <x:v>Pending</x:v>
      </x:c>
    </x:row>
    <x:row r="838" ht="42" customHeight="1">
      <x:c r="A838" s="33" t="str">
        <x:v>Draft</x:v>
      </x:c>
      <x:c r="B838" s="47" t="str">
        <x:v>COMP_0834</x:v>
      </x:c>
      <x:c r="C838" s="47" t="str">
        <x:v>EN4SP_001</x:v>
      </x:c>
      <x:c r="D838" s="47" t="str">
        <x:v>ORFS_M_FX_06_04</x:v>
      </x:c>
      <x:c r="E838" s="47" t="str">
        <x:v>EN4SP_4SP_001</x:v>
      </x:c>
      <x:c r="F838" s="47" t="str"/>
      <x:c r="G838" s="33" t="str"/>
      <x:c r="H838" s="50" t="str"/>
      <x:c r="I838" s="50" t="str"/>
      <x:c r="J838" s="50" t="str"/>
      <x:c r="K838" s="47" t="str"/>
      <x:c r="L838" s="50" t="str"/>
      <x:c r="M838" s="50" t="str"/>
      <x:c r="N838" s="47" t="str"/>
      <x:c r="O838" s="50" t="str"/>
      <x:c r="P838" s="64" t="str">
        <x:f>IF(O838="","",O838*2)</x:f>
      </x:c>
      <x:c r="Q838" s="50" t="str"/>
      <x:c r="R838" s="47" t="str"/>
      <x:c r="S838" s="33" t="str">
        <x:v>Not Tested</x:v>
      </x:c>
      <x:c r="T838" s="64" t="str">
        <x:v>Eligible</x:v>
      </x:c>
      <x:c r="U838" s="47" t="str"/>
      <x:c r="V838" s="47" t="str"/>
      <x:c r="W838" s="47" t="str"/>
      <x:c r="X838" s="50" t="str"/>
      <x:c r="Y838" s="50" t="str"/>
      <x:c r="Z838" s="47" t="str"/>
      <x:c r="AA838" s="47" t="str">
        <x:v>No direct published reference located; do not display a crimp value.</x:v>
      </x:c>
      <x:c r="AB838" s="161" t="str">
        <x:v>Pending</x:v>
      </x:c>
    </x:row>
    <x:row r="839" ht="42" customHeight="1">
      <x:c r="A839" s="33" t="str">
        <x:v>Draft</x:v>
      </x:c>
      <x:c r="B839" s="47" t="str">
        <x:v>COMP_0835</x:v>
      </x:c>
      <x:c r="C839" s="47" t="str">
        <x:v>EN4SP_001</x:v>
      </x:c>
      <x:c r="D839" s="47" t="str">
        <x:v>ORFS45_F_SW_04_04</x:v>
      </x:c>
      <x:c r="E839" s="47" t="str">
        <x:v>EN4SP_4SP_001</x:v>
      </x:c>
      <x:c r="F839" s="47" t="str"/>
      <x:c r="G839" s="33" t="str"/>
      <x:c r="H839" s="50" t="str"/>
      <x:c r="I839" s="50" t="str"/>
      <x:c r="J839" s="50" t="str"/>
      <x:c r="K839" s="47" t="str"/>
      <x:c r="L839" s="50" t="str"/>
      <x:c r="M839" s="50" t="str"/>
      <x:c r="N839" s="47" t="str"/>
      <x:c r="O839" s="50" t="str"/>
      <x:c r="P839" s="64" t="str">
        <x:f>IF(O839="","",O839*2)</x:f>
      </x:c>
      <x:c r="Q839" s="50" t="str"/>
      <x:c r="R839" s="47" t="str"/>
      <x:c r="S839" s="33" t="str">
        <x:v>Not Tested</x:v>
      </x:c>
      <x:c r="T839" s="64" t="str">
        <x:v>Eligible</x:v>
      </x:c>
      <x:c r="U839" s="47" t="str"/>
      <x:c r="V839" s="47" t="str"/>
      <x:c r="W839" s="47" t="str"/>
      <x:c r="X839" s="50" t="str"/>
      <x:c r="Y839" s="50" t="str"/>
      <x:c r="Z839" s="47" t="str"/>
      <x:c r="AA839" s="47" t="str">
        <x:v>No direct published reference located; do not display a crimp value.</x:v>
      </x:c>
      <x:c r="AB839" s="161" t="str">
        <x:v>Pending</x:v>
      </x:c>
    </x:row>
    <x:row r="840" ht="42" customHeight="1">
      <x:c r="A840" s="33" t="str">
        <x:v>Draft</x:v>
      </x:c>
      <x:c r="B840" s="47" t="str">
        <x:v>COMP_0836</x:v>
      </x:c>
      <x:c r="C840" s="47" t="str">
        <x:v>EN4SP_001</x:v>
      </x:c>
      <x:c r="D840" s="47" t="str">
        <x:v>ORFS45_F_SW_06_04</x:v>
      </x:c>
      <x:c r="E840" s="47" t="str">
        <x:v>EN4SP_4SP_001</x:v>
      </x:c>
      <x:c r="F840" s="47" t="str"/>
      <x:c r="G840" s="33" t="str"/>
      <x:c r="H840" s="50" t="str"/>
      <x:c r="I840" s="50" t="str"/>
      <x:c r="J840" s="50" t="str"/>
      <x:c r="K840" s="47" t="str"/>
      <x:c r="L840" s="50" t="str"/>
      <x:c r="M840" s="50" t="str"/>
      <x:c r="N840" s="47" t="str"/>
      <x:c r="O840" s="50" t="str"/>
      <x:c r="P840" s="64" t="str">
        <x:f>IF(O840="","",O840*2)</x:f>
      </x:c>
      <x:c r="Q840" s="50" t="str"/>
      <x:c r="R840" s="47" t="str"/>
      <x:c r="S840" s="33" t="str">
        <x:v>Not Tested</x:v>
      </x:c>
      <x:c r="T840" s="64" t="str">
        <x:v>Eligible</x:v>
      </x:c>
      <x:c r="U840" s="47" t="str"/>
      <x:c r="V840" s="47" t="str"/>
      <x:c r="W840" s="47" t="str"/>
      <x:c r="X840" s="50" t="str"/>
      <x:c r="Y840" s="50" t="str"/>
      <x:c r="Z840" s="47" t="str"/>
      <x:c r="AA840" s="47" t="str">
        <x:v>No direct published reference located; do not display a crimp value.</x:v>
      </x:c>
      <x:c r="AB840" s="161" t="str">
        <x:v>Pending</x:v>
      </x:c>
    </x:row>
    <x:row r="841" ht="42" customHeight="1">
      <x:c r="A841" s="33" t="str">
        <x:v>Draft</x:v>
      </x:c>
      <x:c r="B841" s="47" t="str">
        <x:v>COMP_0837</x:v>
      </x:c>
      <x:c r="C841" s="47" t="str">
        <x:v>EN4SP_001</x:v>
      </x:c>
      <x:c r="D841" s="47" t="str">
        <x:v>ORFS90_F_SW_04_04</x:v>
      </x:c>
      <x:c r="E841" s="47" t="str">
        <x:v>EN4SP_4SP_001</x:v>
      </x:c>
      <x:c r="F841" s="47" t="str"/>
      <x:c r="G841" s="33" t="str"/>
      <x:c r="H841" s="50" t="str"/>
      <x:c r="I841" s="50" t="str"/>
      <x:c r="J841" s="50" t="str"/>
      <x:c r="K841" s="47" t="str"/>
      <x:c r="L841" s="50" t="str"/>
      <x:c r="M841" s="50" t="str"/>
      <x:c r="N841" s="47" t="str"/>
      <x:c r="O841" s="50" t="str"/>
      <x:c r="P841" s="64" t="str">
        <x:f>IF(O841="","",O841*2)</x:f>
      </x:c>
      <x:c r="Q841" s="50" t="str"/>
      <x:c r="R841" s="47" t="str"/>
      <x:c r="S841" s="33" t="str">
        <x:v>Not Tested</x:v>
      </x:c>
      <x:c r="T841" s="64" t="str">
        <x:v>Eligible</x:v>
      </x:c>
      <x:c r="U841" s="47" t="str"/>
      <x:c r="V841" s="47" t="str"/>
      <x:c r="W841" s="47" t="str"/>
      <x:c r="X841" s="50" t="str"/>
      <x:c r="Y841" s="50" t="str"/>
      <x:c r="Z841" s="47" t="str"/>
      <x:c r="AA841" s="47" t="str">
        <x:v>No direct published reference located; do not display a crimp value.</x:v>
      </x:c>
      <x:c r="AB841" s="161" t="str">
        <x:v>Pending</x:v>
      </x:c>
    </x:row>
    <x:row r="842" ht="42" customHeight="1">
      <x:c r="A842" s="33" t="str">
        <x:v>Draft</x:v>
      </x:c>
      <x:c r="B842" s="47" t="str">
        <x:v>COMP_0838</x:v>
      </x:c>
      <x:c r="C842" s="47" t="str">
        <x:v>EN4SP_001</x:v>
      </x:c>
      <x:c r="D842" s="47" t="str">
        <x:v>ORFS90_F_SW_06_04</x:v>
      </x:c>
      <x:c r="E842" s="47" t="str">
        <x:v>EN4SP_4SP_001</x:v>
      </x:c>
      <x:c r="F842" s="47" t="str"/>
      <x:c r="G842" s="33" t="str"/>
      <x:c r="H842" s="50" t="str"/>
      <x:c r="I842" s="50" t="str"/>
      <x:c r="J842" s="50" t="str"/>
      <x:c r="K842" s="47" t="str"/>
      <x:c r="L842" s="50" t="str"/>
      <x:c r="M842" s="50" t="str"/>
      <x:c r="N842" s="47" t="str"/>
      <x:c r="O842" s="50" t="str"/>
      <x:c r="P842" s="64" t="str">
        <x:f>IF(O842="","",O842*2)</x:f>
      </x:c>
      <x:c r="Q842" s="50" t="str"/>
      <x:c r="R842" s="47" t="str"/>
      <x:c r="S842" s="33" t="str">
        <x:v>Not Tested</x:v>
      </x:c>
      <x:c r="T842" s="64" t="str">
        <x:v>Eligible</x:v>
      </x:c>
      <x:c r="U842" s="47" t="str"/>
      <x:c r="V842" s="47" t="str"/>
      <x:c r="W842" s="47" t="str"/>
      <x:c r="X842" s="50" t="str"/>
      <x:c r="Y842" s="50" t="str"/>
      <x:c r="Z842" s="47" t="str"/>
      <x:c r="AA842" s="47" t="str">
        <x:v>No direct published reference located; do not display a crimp value.</x:v>
      </x:c>
      <x:c r="AB842" s="161" t="str">
        <x:v>Pending</x:v>
      </x:c>
    </x:row>
    <x:row r="843" ht="42" customHeight="1">
      <x:c r="A843" s="33" t="str">
        <x:v>Draft</x:v>
      </x:c>
      <x:c r="B843" s="47" t="str">
        <x:v>COMP_0839</x:v>
      </x:c>
      <x:c r="C843" s="47" t="str">
        <x:v>EN4SP_001</x:v>
      </x:c>
      <x:c r="D843" s="47" t="str">
        <x:v>ORFS90_F_SW_08_04</x:v>
      </x:c>
      <x:c r="E843" s="47" t="str">
        <x:v>EN4SP_4SP_001</x:v>
      </x:c>
      <x:c r="F843" s="47" t="str"/>
      <x:c r="G843" s="33" t="str"/>
      <x:c r="H843" s="50" t="str"/>
      <x:c r="I843" s="50" t="str"/>
      <x:c r="J843" s="50" t="str"/>
      <x:c r="K843" s="47" t="str"/>
      <x:c r="L843" s="50" t="str"/>
      <x:c r="M843" s="50" t="str"/>
      <x:c r="N843" s="47" t="str"/>
      <x:c r="O843" s="50" t="str"/>
      <x:c r="P843" s="64" t="str">
        <x:f>IF(O843="","",O843*2)</x:f>
      </x:c>
      <x:c r="Q843" s="50" t="str"/>
      <x:c r="R843" s="47" t="str"/>
      <x:c r="S843" s="33" t="str">
        <x:v>Not Tested</x:v>
      </x:c>
      <x:c r="T843" s="64" t="str">
        <x:v>Eligible</x:v>
      </x:c>
      <x:c r="U843" s="47" t="str"/>
      <x:c r="V843" s="47" t="str"/>
      <x:c r="W843" s="47" t="str"/>
      <x:c r="X843" s="50" t="str"/>
      <x:c r="Y843" s="50" t="str"/>
      <x:c r="Z843" s="47" t="str"/>
      <x:c r="AA843" s="47" t="str">
        <x:v>No direct published reference located; do not display a crimp value.</x:v>
      </x:c>
      <x:c r="AB843" s="161" t="str">
        <x:v>Pending</x:v>
      </x:c>
    </x:row>
    <x:row r="844" ht="42" customHeight="1">
      <x:c r="A844" s="33" t="str">
        <x:v>Draft</x:v>
      </x:c>
      <x:c r="B844" s="47" t="str">
        <x:v>COMP_0840</x:v>
      </x:c>
      <x:c r="C844" s="47" t="str">
        <x:v>EN4SP_002</x:v>
      </x:c>
      <x:c r="D844" s="47" t="str">
        <x:v>BSPP_F_SW_06_06</x:v>
      </x:c>
      <x:c r="E844" s="47" t="str">
        <x:v>EN4SP_4SP_002</x:v>
      </x:c>
      <x:c r="F844" s="47" t="str"/>
      <x:c r="G844" s="33" t="str"/>
      <x:c r="H844" s="50" t="str"/>
      <x:c r="I844" s="50" t="str"/>
      <x:c r="J844" s="50" t="str"/>
      <x:c r="K844" s="47" t="str"/>
      <x:c r="L844" s="50" t="str"/>
      <x:c r="M844" s="50" t="str"/>
      <x:c r="N844" s="47" t="str"/>
      <x:c r="O844" s="50" t="str"/>
      <x:c r="P844" s="64" t="str">
        <x:f>IF(O844="","",O844*2)</x:f>
      </x:c>
      <x:c r="Q844" s="50" t="str"/>
      <x:c r="R844" s="47" t="str"/>
      <x:c r="S844" s="33" t="str">
        <x:v>Not Tested</x:v>
      </x:c>
      <x:c r="T844" s="64" t="str">
        <x:v>Eligible</x:v>
      </x:c>
      <x:c r="U844" s="47" t="str"/>
      <x:c r="V844" s="47" t="str"/>
      <x:c r="W844" s="47" t="str"/>
      <x:c r="X844" s="50" t="str"/>
      <x:c r="Y844" s="50" t="str"/>
      <x:c r="Z844" s="47" t="str"/>
      <x:c r="AA844" s="47" t="str">
        <x:v>No direct published reference located; do not display a crimp value.</x:v>
      </x:c>
      <x:c r="AB844" s="161" t="str">
        <x:v>Pending</x:v>
      </x:c>
    </x:row>
    <x:row r="845" ht="42" customHeight="1">
      <x:c r="A845" s="33" t="str">
        <x:v>Draft</x:v>
      </x:c>
      <x:c r="B845" s="47" t="str">
        <x:v>COMP_0841</x:v>
      </x:c>
      <x:c r="C845" s="47" t="str">
        <x:v>EN4SP_002</x:v>
      </x:c>
      <x:c r="D845" s="47" t="str">
        <x:v>BSPP_F_SW_08_06</x:v>
      </x:c>
      <x:c r="E845" s="47" t="str">
        <x:v>EN4SP_4SP_002</x:v>
      </x:c>
      <x:c r="F845" s="47" t="str"/>
      <x:c r="G845" s="33" t="str"/>
      <x:c r="H845" s="50" t="str"/>
      <x:c r="I845" s="50" t="str"/>
      <x:c r="J845" s="50" t="str"/>
      <x:c r="K845" s="47" t="str"/>
      <x:c r="L845" s="50" t="str"/>
      <x:c r="M845" s="50" t="str"/>
      <x:c r="N845" s="47" t="str"/>
      <x:c r="O845" s="50" t="str"/>
      <x:c r="P845" s="64" t="str">
        <x:f>IF(O845="","",O845*2)</x:f>
      </x:c>
      <x:c r="Q845" s="50" t="str"/>
      <x:c r="R845" s="47" t="str"/>
      <x:c r="S845" s="33" t="str">
        <x:v>Not Tested</x:v>
      </x:c>
      <x:c r="T845" s="64" t="str">
        <x:v>Eligible</x:v>
      </x:c>
      <x:c r="U845" s="47" t="str"/>
      <x:c r="V845" s="47" t="str"/>
      <x:c r="W845" s="47" t="str"/>
      <x:c r="X845" s="50" t="str"/>
      <x:c r="Y845" s="50" t="str"/>
      <x:c r="Z845" s="47" t="str"/>
      <x:c r="AA845" s="47" t="str">
        <x:v>No direct published reference located; do not display a crimp value.</x:v>
      </x:c>
      <x:c r="AB845" s="161" t="str">
        <x:v>Pending</x:v>
      </x:c>
    </x:row>
    <x:row r="846" ht="42" customHeight="1">
      <x:c r="A846" s="33" t="str">
        <x:v>Draft</x:v>
      </x:c>
      <x:c r="B846" s="47" t="str">
        <x:v>COMP_0842</x:v>
      </x:c>
      <x:c r="C846" s="47" t="str">
        <x:v>EN4SP_002</x:v>
      </x:c>
      <x:c r="D846" s="47" t="str">
        <x:v>BSPP_M_FX_06_06</x:v>
      </x:c>
      <x:c r="E846" s="47" t="str">
        <x:v>EN4SP_4SP_002</x:v>
      </x:c>
      <x:c r="F846" s="47" t="str"/>
      <x:c r="G846" s="33" t="str"/>
      <x:c r="H846" s="50" t="str"/>
      <x:c r="I846" s="50" t="str"/>
      <x:c r="J846" s="50" t="str"/>
      <x:c r="K846" s="47" t="str"/>
      <x:c r="L846" s="50" t="str"/>
      <x:c r="M846" s="50" t="str"/>
      <x:c r="N846" s="47" t="str"/>
      <x:c r="O846" s="50" t="str"/>
      <x:c r="P846" s="64" t="str">
        <x:f>IF(O846="","",O846*2)</x:f>
      </x:c>
      <x:c r="Q846" s="50" t="str"/>
      <x:c r="R846" s="47" t="str"/>
      <x:c r="S846" s="33" t="str">
        <x:v>Not Tested</x:v>
      </x:c>
      <x:c r="T846" s="64" t="str">
        <x:v>Eligible</x:v>
      </x:c>
      <x:c r="U846" s="47" t="str"/>
      <x:c r="V846" s="47" t="str"/>
      <x:c r="W846" s="47" t="str"/>
      <x:c r="X846" s="50" t="str"/>
      <x:c r="Y846" s="50" t="str"/>
      <x:c r="Z846" s="47" t="str"/>
      <x:c r="AA846" s="47" t="str">
        <x:v>No direct published reference located; do not display a crimp value.</x:v>
      </x:c>
      <x:c r="AB846" s="161" t="str">
        <x:v>Pending</x:v>
      </x:c>
    </x:row>
    <x:row r="847" ht="42" customHeight="1">
      <x:c r="A847" s="33" t="str">
        <x:v>Draft</x:v>
      </x:c>
      <x:c r="B847" s="47" t="str">
        <x:v>COMP_0843</x:v>
      </x:c>
      <x:c r="C847" s="47" t="str">
        <x:v>EN4SP_002</x:v>
      </x:c>
      <x:c r="D847" s="47" t="str">
        <x:v>BSPP_M_FX_08_06</x:v>
      </x:c>
      <x:c r="E847" s="47" t="str">
        <x:v>EN4SP_4SP_002</x:v>
      </x:c>
      <x:c r="F847" s="47" t="str"/>
      <x:c r="G847" s="33" t="str"/>
      <x:c r="H847" s="50" t="str"/>
      <x:c r="I847" s="50" t="str"/>
      <x:c r="J847" s="50" t="str"/>
      <x:c r="K847" s="47" t="str"/>
      <x:c r="L847" s="50" t="str"/>
      <x:c r="M847" s="50" t="str"/>
      <x:c r="N847" s="47" t="str"/>
      <x:c r="O847" s="50" t="str"/>
      <x:c r="P847" s="64" t="str">
        <x:f>IF(O847="","",O847*2)</x:f>
      </x:c>
      <x:c r="Q847" s="50" t="str"/>
      <x:c r="R847" s="47" t="str"/>
      <x:c r="S847" s="33" t="str">
        <x:v>Not Tested</x:v>
      </x:c>
      <x:c r="T847" s="64" t="str">
        <x:v>Eligible</x:v>
      </x:c>
      <x:c r="U847" s="47" t="str"/>
      <x:c r="V847" s="47" t="str"/>
      <x:c r="W847" s="47" t="str"/>
      <x:c r="X847" s="50" t="str"/>
      <x:c r="Y847" s="50" t="str"/>
      <x:c r="Z847" s="47" t="str"/>
      <x:c r="AA847" s="47" t="str">
        <x:v>No direct published reference located; do not display a crimp value.</x:v>
      </x:c>
      <x:c r="AB847" s="161" t="str">
        <x:v>Pending</x:v>
      </x:c>
    </x:row>
    <x:row r="848" ht="42" customHeight="1">
      <x:c r="A848" s="33" t="str">
        <x:v>Draft</x:v>
      </x:c>
      <x:c r="B848" s="47" t="str">
        <x:v>COMP_0844</x:v>
      </x:c>
      <x:c r="C848" s="47" t="str">
        <x:v>EN4SP_002</x:v>
      </x:c>
      <x:c r="D848" s="47" t="str">
        <x:v>BSPP45_F_SW_06_06</x:v>
      </x:c>
      <x:c r="E848" s="47" t="str">
        <x:v>EN4SP_4SP_002</x:v>
      </x:c>
      <x:c r="F848" s="47" t="str"/>
      <x:c r="G848" s="33" t="str"/>
      <x:c r="H848" s="50" t="str"/>
      <x:c r="I848" s="50" t="str"/>
      <x:c r="J848" s="50" t="str"/>
      <x:c r="K848" s="47" t="str"/>
      <x:c r="L848" s="50" t="str"/>
      <x:c r="M848" s="50" t="str"/>
      <x:c r="N848" s="47" t="str"/>
      <x:c r="O848" s="50" t="str"/>
      <x:c r="P848" s="64" t="str">
        <x:f>IF(O848="","",O848*2)</x:f>
      </x:c>
      <x:c r="Q848" s="50" t="str"/>
      <x:c r="R848" s="47" t="str"/>
      <x:c r="S848" s="33" t="str">
        <x:v>Not Tested</x:v>
      </x:c>
      <x:c r="T848" s="64" t="str">
        <x:v>Eligible</x:v>
      </x:c>
      <x:c r="U848" s="47" t="str"/>
      <x:c r="V848" s="47" t="str"/>
      <x:c r="W848" s="47" t="str"/>
      <x:c r="X848" s="50" t="str"/>
      <x:c r="Y848" s="50" t="str"/>
      <x:c r="Z848" s="47" t="str"/>
      <x:c r="AA848" s="47" t="str">
        <x:v>No direct published reference located; do not display a crimp value.</x:v>
      </x:c>
      <x:c r="AB848" s="161" t="str">
        <x:v>Pending</x:v>
      </x:c>
    </x:row>
    <x:row r="849" ht="42" customHeight="1">
      <x:c r="A849" s="33" t="str">
        <x:v>Draft</x:v>
      </x:c>
      <x:c r="B849" s="47" t="str">
        <x:v>COMP_0845</x:v>
      </x:c>
      <x:c r="C849" s="47" t="str">
        <x:v>EN4SP_002</x:v>
      </x:c>
      <x:c r="D849" s="47" t="str">
        <x:v>BSPP90_F_SW_06_06</x:v>
      </x:c>
      <x:c r="E849" s="47" t="str">
        <x:v>EN4SP_4SP_002</x:v>
      </x:c>
      <x:c r="F849" s="47" t="str"/>
      <x:c r="G849" s="33" t="str"/>
      <x:c r="H849" s="50" t="str"/>
      <x:c r="I849" s="50" t="str"/>
      <x:c r="J849" s="50" t="str"/>
      <x:c r="K849" s="47" t="str"/>
      <x:c r="L849" s="50" t="str"/>
      <x:c r="M849" s="50" t="str"/>
      <x:c r="N849" s="47" t="str"/>
      <x:c r="O849" s="50" t="str"/>
      <x:c r="P849" s="64" t="str">
        <x:f>IF(O849="","",O849*2)</x:f>
      </x:c>
      <x:c r="Q849" s="50" t="str"/>
      <x:c r="R849" s="47" t="str"/>
      <x:c r="S849" s="33" t="str">
        <x:v>Not Tested</x:v>
      </x:c>
      <x:c r="T849" s="64" t="str">
        <x:v>Eligible</x:v>
      </x:c>
      <x:c r="U849" s="47" t="str"/>
      <x:c r="V849" s="47" t="str"/>
      <x:c r="W849" s="47" t="str"/>
      <x:c r="X849" s="50" t="str"/>
      <x:c r="Y849" s="50" t="str"/>
      <x:c r="Z849" s="47" t="str"/>
      <x:c r="AA849" s="47" t="str">
        <x:v>No direct published reference located; do not display a crimp value.</x:v>
      </x:c>
      <x:c r="AB849" s="161" t="str">
        <x:v>Pending</x:v>
      </x:c>
    </x:row>
    <x:row r="850" ht="42" customHeight="1">
      <x:c r="A850" s="33" t="str">
        <x:v>Draft</x:v>
      </x:c>
      <x:c r="B850" s="47" t="str">
        <x:v>COMP_0846</x:v>
      </x:c>
      <x:c r="C850" s="47" t="str">
        <x:v>EN4SP_002</x:v>
      </x:c>
      <x:c r="D850" s="47" t="str">
        <x:v>BSPP90_F_SW_08_06</x:v>
      </x:c>
      <x:c r="E850" s="47" t="str">
        <x:v>EN4SP_4SP_002</x:v>
      </x:c>
      <x:c r="F850" s="47" t="str"/>
      <x:c r="G850" s="33" t="str"/>
      <x:c r="H850" s="50" t="str"/>
      <x:c r="I850" s="50" t="str"/>
      <x:c r="J850" s="50" t="str"/>
      <x:c r="K850" s="47" t="str"/>
      <x:c r="L850" s="50" t="str"/>
      <x:c r="M850" s="50" t="str"/>
      <x:c r="N850" s="47" t="str"/>
      <x:c r="O850" s="50" t="str"/>
      <x:c r="P850" s="64" t="str">
        <x:f>IF(O850="","",O850*2)</x:f>
      </x:c>
      <x:c r="Q850" s="50" t="str"/>
      <x:c r="R850" s="47" t="str"/>
      <x:c r="S850" s="33" t="str">
        <x:v>Not Tested</x:v>
      </x:c>
      <x:c r="T850" s="64" t="str">
        <x:v>Eligible</x:v>
      </x:c>
      <x:c r="U850" s="47" t="str"/>
      <x:c r="V850" s="47" t="str"/>
      <x:c r="W850" s="47" t="str"/>
      <x:c r="X850" s="50" t="str"/>
      <x:c r="Y850" s="50" t="str"/>
      <x:c r="Z850" s="47" t="str"/>
      <x:c r="AA850" s="47" t="str">
        <x:v>No direct published reference located; do not display a crimp value.</x:v>
      </x:c>
      <x:c r="AB850" s="161" t="str">
        <x:v>Pending</x:v>
      </x:c>
    </x:row>
    <x:row r="851" ht="42" customHeight="1">
      <x:c r="A851" s="33" t="str">
        <x:v>Draft</x:v>
      </x:c>
      <x:c r="B851" s="47" t="str">
        <x:v>COMP_0847</x:v>
      </x:c>
      <x:c r="C851" s="47" t="str">
        <x:v>EN4SP_002</x:v>
      </x:c>
      <x:c r="D851" s="47" t="str">
        <x:v>BSPT_M_FX_06_06</x:v>
      </x:c>
      <x:c r="E851" s="47" t="str">
        <x:v>EN4SP_4SP_002</x:v>
      </x:c>
      <x:c r="F851" s="47" t="str"/>
      <x:c r="G851" s="33" t="str"/>
      <x:c r="H851" s="50" t="str"/>
      <x:c r="I851" s="50" t="str"/>
      <x:c r="J851" s="50" t="str"/>
      <x:c r="K851" s="47" t="str"/>
      <x:c r="L851" s="50" t="str"/>
      <x:c r="M851" s="50" t="str"/>
      <x:c r="N851" s="47" t="str"/>
      <x:c r="O851" s="50" t="str"/>
      <x:c r="P851" s="64" t="str">
        <x:f>IF(O851="","",O851*2)</x:f>
      </x:c>
      <x:c r="Q851" s="50" t="str"/>
      <x:c r="R851" s="47" t="str"/>
      <x:c r="S851" s="33" t="str">
        <x:v>Not Tested</x:v>
      </x:c>
      <x:c r="T851" s="64" t="str">
        <x:v>Eligible</x:v>
      </x:c>
      <x:c r="U851" s="47" t="str"/>
      <x:c r="V851" s="47" t="str"/>
      <x:c r="W851" s="47" t="str"/>
      <x:c r="X851" s="50" t="str"/>
      <x:c r="Y851" s="50" t="str"/>
      <x:c r="Z851" s="47" t="str"/>
      <x:c r="AA851" s="47" t="str">
        <x:v>No direct published reference located; do not display a crimp value.</x:v>
      </x:c>
      <x:c r="AB851" s="161" t="str">
        <x:v>Pending</x:v>
      </x:c>
    </x:row>
    <x:row r="852" ht="42" customHeight="1">
      <x:c r="A852" s="33" t="str">
        <x:v>Draft</x:v>
      </x:c>
      <x:c r="B852" s="47" t="str">
        <x:v>COMP_0848</x:v>
      </x:c>
      <x:c r="C852" s="47" t="str">
        <x:v>EN4SP_002</x:v>
      </x:c>
      <x:c r="D852" s="47" t="str">
        <x:v>BSPT_M_FX_08_06</x:v>
      </x:c>
      <x:c r="E852" s="47" t="str">
        <x:v>EN4SP_4SP_002</x:v>
      </x:c>
      <x:c r="F852" s="47" t="str"/>
      <x:c r="G852" s="33" t="str"/>
      <x:c r="H852" s="50" t="str"/>
      <x:c r="I852" s="50" t="str"/>
      <x:c r="J852" s="50" t="str"/>
      <x:c r="K852" s="47" t="str"/>
      <x:c r="L852" s="50" t="str"/>
      <x:c r="M852" s="50" t="str"/>
      <x:c r="N852" s="47" t="str"/>
      <x:c r="O852" s="50" t="str"/>
      <x:c r="P852" s="64" t="str">
        <x:f>IF(O852="","",O852*2)</x:f>
      </x:c>
      <x:c r="Q852" s="50" t="str"/>
      <x:c r="R852" s="47" t="str"/>
      <x:c r="S852" s="33" t="str">
        <x:v>Not Tested</x:v>
      </x:c>
      <x:c r="T852" s="64" t="str">
        <x:v>Eligible</x:v>
      </x:c>
      <x:c r="U852" s="47" t="str"/>
      <x:c r="V852" s="47" t="str"/>
      <x:c r="W852" s="47" t="str"/>
      <x:c r="X852" s="50" t="str"/>
      <x:c r="Y852" s="50" t="str"/>
      <x:c r="Z852" s="47" t="str"/>
      <x:c r="AA852" s="47" t="str">
        <x:v>No direct published reference located; do not display a crimp value.</x:v>
      </x:c>
      <x:c r="AB852" s="161" t="str">
        <x:v>Pending</x:v>
      </x:c>
    </x:row>
    <x:row r="853" ht="42" customHeight="1">
      <x:c r="A853" s="33" t="str">
        <x:v>Draft</x:v>
      </x:c>
      <x:c r="B853" s="47" t="str">
        <x:v>COMP_0849</x:v>
      </x:c>
      <x:c r="C853" s="47" t="str">
        <x:v>EN4SP_002</x:v>
      </x:c>
      <x:c r="D853" s="47" t="str">
        <x:v>JIC_F_SW_04_06</x:v>
      </x:c>
      <x:c r="E853" s="47" t="str">
        <x:v>EN4SP_4SP_002</x:v>
      </x:c>
      <x:c r="F853" s="47" t="str"/>
      <x:c r="G853" s="33" t="str"/>
      <x:c r="H853" s="50" t="str"/>
      <x:c r="I853" s="50" t="str"/>
      <x:c r="J853" s="50" t="str"/>
      <x:c r="K853" s="47" t="str"/>
      <x:c r="L853" s="50" t="str"/>
      <x:c r="M853" s="50" t="str"/>
      <x:c r="N853" s="47" t="str"/>
      <x:c r="O853" s="50" t="str"/>
      <x:c r="P853" s="64" t="str">
        <x:f>IF(O853="","",O853*2)</x:f>
      </x:c>
      <x:c r="Q853" s="50" t="str"/>
      <x:c r="R853" s="47" t="str"/>
      <x:c r="S853" s="33" t="str">
        <x:v>Not Tested</x:v>
      </x:c>
      <x:c r="T853" s="64" t="str">
        <x:v>Eligible</x:v>
      </x:c>
      <x:c r="U853" s="47" t="str"/>
      <x:c r="V853" s="47" t="str"/>
      <x:c r="W853" s="47" t="str"/>
      <x:c r="X853" s="50" t="str"/>
      <x:c r="Y853" s="50" t="str"/>
      <x:c r="Z853" s="47" t="str"/>
      <x:c r="AA853" s="47" t="str">
        <x:v>No direct published reference located; do not display a crimp value.</x:v>
      </x:c>
      <x:c r="AB853" s="161" t="str">
        <x:v>Pending</x:v>
      </x:c>
    </x:row>
    <x:row r="854" ht="42" customHeight="1">
      <x:c r="A854" s="33" t="str">
        <x:v>Draft</x:v>
      </x:c>
      <x:c r="B854" s="47" t="str">
        <x:v>COMP_0850</x:v>
      </x:c>
      <x:c r="C854" s="47" t="str">
        <x:v>EN4SP_002</x:v>
      </x:c>
      <x:c r="D854" s="47" t="str">
        <x:v>JIC_F_SW_05_06</x:v>
      </x:c>
      <x:c r="E854" s="47" t="str">
        <x:v>EN4SP_4SP_002</x:v>
      </x:c>
      <x:c r="F854" s="47" t="str"/>
      <x:c r="G854" s="33" t="str"/>
      <x:c r="H854" s="50" t="str"/>
      <x:c r="I854" s="50" t="str"/>
      <x:c r="J854" s="50" t="str"/>
      <x:c r="K854" s="47" t="str"/>
      <x:c r="L854" s="50" t="str"/>
      <x:c r="M854" s="50" t="str"/>
      <x:c r="N854" s="47" t="str"/>
      <x:c r="O854" s="50" t="str"/>
      <x:c r="P854" s="64" t="str">
        <x:f>IF(O854="","",O854*2)</x:f>
      </x:c>
      <x:c r="Q854" s="50" t="str"/>
      <x:c r="R854" s="47" t="str"/>
      <x:c r="S854" s="33" t="str">
        <x:v>Not Tested</x:v>
      </x:c>
      <x:c r="T854" s="64" t="str">
        <x:v>Eligible</x:v>
      </x:c>
      <x:c r="U854" s="47" t="str"/>
      <x:c r="V854" s="47" t="str"/>
      <x:c r="W854" s="47" t="str"/>
      <x:c r="X854" s="50" t="str"/>
      <x:c r="Y854" s="50" t="str"/>
      <x:c r="Z854" s="47" t="str"/>
      <x:c r="AA854" s="47" t="str">
        <x:v>No direct published reference located; do not display a crimp value.</x:v>
      </x:c>
      <x:c r="AB854" s="161" t="str">
        <x:v>Pending</x:v>
      </x:c>
    </x:row>
    <x:row r="855" ht="42" customHeight="1">
      <x:c r="A855" s="33" t="str">
        <x:v>Draft</x:v>
      </x:c>
      <x:c r="B855" s="47" t="str">
        <x:v>COMP_0851</x:v>
      </x:c>
      <x:c r="C855" s="47" t="str">
        <x:v>EN4SP_002</x:v>
      </x:c>
      <x:c r="D855" s="47" t="str">
        <x:v>JIC_F_SW_06_06</x:v>
      </x:c>
      <x:c r="E855" s="47" t="str">
        <x:v>EN4SP_4SP_002</x:v>
      </x:c>
      <x:c r="F855" s="47" t="str"/>
      <x:c r="G855" s="33" t="str"/>
      <x:c r="H855" s="50" t="str"/>
      <x:c r="I855" s="50" t="str"/>
      <x:c r="J855" s="50" t="str"/>
      <x:c r="K855" s="47" t="str"/>
      <x:c r="L855" s="50" t="str"/>
      <x:c r="M855" s="50" t="str"/>
      <x:c r="N855" s="47" t="str"/>
      <x:c r="O855" s="50" t="str"/>
      <x:c r="P855" s="64" t="str">
        <x:f>IF(O855="","",O855*2)</x:f>
      </x:c>
      <x:c r="Q855" s="50" t="str"/>
      <x:c r="R855" s="47" t="str"/>
      <x:c r="S855" s="33" t="str">
        <x:v>Not Tested</x:v>
      </x:c>
      <x:c r="T855" s="64" t="str">
        <x:v>Eligible</x:v>
      </x:c>
      <x:c r="U855" s="47" t="str"/>
      <x:c r="V855" s="47" t="str"/>
      <x:c r="W855" s="47" t="str"/>
      <x:c r="X855" s="50" t="str"/>
      <x:c r="Y855" s="50" t="str"/>
      <x:c r="Z855" s="47" t="str"/>
      <x:c r="AA855" s="47" t="str">
        <x:v>No direct published reference located; do not display a crimp value.</x:v>
      </x:c>
      <x:c r="AB855" s="161" t="str">
        <x:v>Pending</x:v>
      </x:c>
    </x:row>
    <x:row r="856" ht="42" customHeight="1">
      <x:c r="A856" s="33" t="str">
        <x:v>Draft</x:v>
      </x:c>
      <x:c r="B856" s="47" t="str">
        <x:v>COMP_0852</x:v>
      </x:c>
      <x:c r="C856" s="47" t="str">
        <x:v>EN4SP_002</x:v>
      </x:c>
      <x:c r="D856" s="47" t="str">
        <x:v>JIC_F_SW_08_06</x:v>
      </x:c>
      <x:c r="E856" s="47" t="str">
        <x:v>EN4SP_4SP_002</x:v>
      </x:c>
      <x:c r="F856" s="47" t="str"/>
      <x:c r="G856" s="33" t="str"/>
      <x:c r="H856" s="50" t="str"/>
      <x:c r="I856" s="50" t="str"/>
      <x:c r="J856" s="50" t="str"/>
      <x:c r="K856" s="47" t="str"/>
      <x:c r="L856" s="50" t="str"/>
      <x:c r="M856" s="50" t="str"/>
      <x:c r="N856" s="47" t="str"/>
      <x:c r="O856" s="50" t="str"/>
      <x:c r="P856" s="64" t="str">
        <x:f>IF(O856="","",O856*2)</x:f>
      </x:c>
      <x:c r="Q856" s="50" t="str"/>
      <x:c r="R856" s="47" t="str"/>
      <x:c r="S856" s="33" t="str">
        <x:v>Not Tested</x:v>
      </x:c>
      <x:c r="T856" s="64" t="str">
        <x:v>Eligible</x:v>
      </x:c>
      <x:c r="U856" s="47" t="str"/>
      <x:c r="V856" s="47" t="str"/>
      <x:c r="W856" s="47" t="str"/>
      <x:c r="X856" s="50" t="str"/>
      <x:c r="Y856" s="50" t="str"/>
      <x:c r="Z856" s="47" t="str"/>
      <x:c r="AA856" s="47" t="str">
        <x:v>No direct published reference located; do not display a crimp value.</x:v>
      </x:c>
      <x:c r="AB856" s="161" t="str">
        <x:v>Pending</x:v>
      </x:c>
    </x:row>
    <x:row r="857" ht="42" customHeight="1">
      <x:c r="A857" s="33" t="str">
        <x:v>Draft</x:v>
      </x:c>
      <x:c r="B857" s="47" t="str">
        <x:v>COMP_0853</x:v>
      </x:c>
      <x:c r="C857" s="47" t="str">
        <x:v>EN4SP_002</x:v>
      </x:c>
      <x:c r="D857" s="47" t="str">
        <x:v>JIC_F_SW_10_06</x:v>
      </x:c>
      <x:c r="E857" s="47" t="str">
        <x:v>EN4SP_4SP_002</x:v>
      </x:c>
      <x:c r="F857" s="47" t="str"/>
      <x:c r="G857" s="33" t="str"/>
      <x:c r="H857" s="50" t="str"/>
      <x:c r="I857" s="50" t="str"/>
      <x:c r="J857" s="50" t="str"/>
      <x:c r="K857" s="47" t="str"/>
      <x:c r="L857" s="50" t="str"/>
      <x:c r="M857" s="50" t="str"/>
      <x:c r="N857" s="47" t="str"/>
      <x:c r="O857" s="50" t="str"/>
      <x:c r="P857" s="64" t="str">
        <x:f>IF(O857="","",O857*2)</x:f>
      </x:c>
      <x:c r="Q857" s="50" t="str"/>
      <x:c r="R857" s="47" t="str"/>
      <x:c r="S857" s="33" t="str">
        <x:v>Not Tested</x:v>
      </x:c>
      <x:c r="T857" s="64" t="str">
        <x:v>Eligible</x:v>
      </x:c>
      <x:c r="U857" s="47" t="str"/>
      <x:c r="V857" s="47" t="str"/>
      <x:c r="W857" s="47" t="str"/>
      <x:c r="X857" s="50" t="str"/>
      <x:c r="Y857" s="50" t="str"/>
      <x:c r="Z857" s="47" t="str"/>
      <x:c r="AA857" s="47" t="str">
        <x:v>No direct published reference located; do not display a crimp value.</x:v>
      </x:c>
      <x:c r="AB857" s="161" t="str">
        <x:v>Pending</x:v>
      </x:c>
    </x:row>
    <x:row r="858" ht="42" customHeight="1">
      <x:c r="A858" s="33" t="str">
        <x:v>Draft</x:v>
      </x:c>
      <x:c r="B858" s="47" t="str">
        <x:v>COMP_0854</x:v>
      </x:c>
      <x:c r="C858" s="47" t="str">
        <x:v>EN4SP_002</x:v>
      </x:c>
      <x:c r="D858" s="47" t="str">
        <x:v>JIC_M_FX_05_06</x:v>
      </x:c>
      <x:c r="E858" s="47" t="str">
        <x:v>EN4SP_4SP_002</x:v>
      </x:c>
      <x:c r="F858" s="47" t="str"/>
      <x:c r="G858" s="33" t="str"/>
      <x:c r="H858" s="50" t="str"/>
      <x:c r="I858" s="50" t="str"/>
      <x:c r="J858" s="50" t="str"/>
      <x:c r="K858" s="47" t="str"/>
      <x:c r="L858" s="50" t="str"/>
      <x:c r="M858" s="50" t="str"/>
      <x:c r="N858" s="47" t="str"/>
      <x:c r="O858" s="50" t="str"/>
      <x:c r="P858" s="64" t="str">
        <x:f>IF(O858="","",O858*2)</x:f>
      </x:c>
      <x:c r="Q858" s="50" t="str"/>
      <x:c r="R858" s="47" t="str"/>
      <x:c r="S858" s="33" t="str">
        <x:v>Not Tested</x:v>
      </x:c>
      <x:c r="T858" s="64" t="str">
        <x:v>Eligible</x:v>
      </x:c>
      <x:c r="U858" s="47" t="str"/>
      <x:c r="V858" s="47" t="str"/>
      <x:c r="W858" s="47" t="str"/>
      <x:c r="X858" s="50" t="str"/>
      <x:c r="Y858" s="50" t="str"/>
      <x:c r="Z858" s="47" t="str"/>
      <x:c r="AA858" s="47" t="str">
        <x:v>No direct published reference located; do not display a crimp value.</x:v>
      </x:c>
      <x:c r="AB858" s="161" t="str">
        <x:v>Pending</x:v>
      </x:c>
    </x:row>
    <x:row r="859" ht="42" customHeight="1">
      <x:c r="A859" s="33" t="str">
        <x:v>Draft</x:v>
      </x:c>
      <x:c r="B859" s="47" t="str">
        <x:v>COMP_0855</x:v>
      </x:c>
      <x:c r="C859" s="47" t="str">
        <x:v>EN4SP_002</x:v>
      </x:c>
      <x:c r="D859" s="47" t="str">
        <x:v>JIC_M_FX_06_06</x:v>
      </x:c>
      <x:c r="E859" s="47" t="str">
        <x:v>EN4SP_4SP_002</x:v>
      </x:c>
      <x:c r="F859" s="47" t="str"/>
      <x:c r="G859" s="33" t="str"/>
      <x:c r="H859" s="50" t="str"/>
      <x:c r="I859" s="50" t="str"/>
      <x:c r="J859" s="50" t="str"/>
      <x:c r="K859" s="47" t="str"/>
      <x:c r="L859" s="50" t="str"/>
      <x:c r="M859" s="50" t="str"/>
      <x:c r="N859" s="47" t="str"/>
      <x:c r="O859" s="50" t="str"/>
      <x:c r="P859" s="64" t="str">
        <x:f>IF(O859="","",O859*2)</x:f>
      </x:c>
      <x:c r="Q859" s="50" t="str"/>
      <x:c r="R859" s="47" t="str"/>
      <x:c r="S859" s="33" t="str">
        <x:v>Not Tested</x:v>
      </x:c>
      <x:c r="T859" s="64" t="str">
        <x:v>Eligible</x:v>
      </x:c>
      <x:c r="U859" s="47" t="str"/>
      <x:c r="V859" s="47" t="str"/>
      <x:c r="W859" s="47" t="str"/>
      <x:c r="X859" s="50" t="str"/>
      <x:c r="Y859" s="50" t="str"/>
      <x:c r="Z859" s="47" t="str"/>
      <x:c r="AA859" s="47" t="str">
        <x:v>No direct published reference located; do not display a crimp value.</x:v>
      </x:c>
      <x:c r="AB859" s="161" t="str">
        <x:v>Pending</x:v>
      </x:c>
    </x:row>
    <x:row r="860" ht="42" customHeight="1">
      <x:c r="A860" s="33" t="str">
        <x:v>Draft</x:v>
      </x:c>
      <x:c r="B860" s="47" t="str">
        <x:v>COMP_0856</x:v>
      </x:c>
      <x:c r="C860" s="47" t="str">
        <x:v>EN4SP_002</x:v>
      </x:c>
      <x:c r="D860" s="47" t="str">
        <x:v>JIC_M_FX_08_06</x:v>
      </x:c>
      <x:c r="E860" s="47" t="str">
        <x:v>EN4SP_4SP_002</x:v>
      </x:c>
      <x:c r="F860" s="47" t="str"/>
      <x:c r="G860" s="33" t="str"/>
      <x:c r="H860" s="50" t="str"/>
      <x:c r="I860" s="50" t="str"/>
      <x:c r="J860" s="50" t="str"/>
      <x:c r="K860" s="47" t="str"/>
      <x:c r="L860" s="50" t="str"/>
      <x:c r="M860" s="50" t="str"/>
      <x:c r="N860" s="47" t="str"/>
      <x:c r="O860" s="50" t="str"/>
      <x:c r="P860" s="64" t="str">
        <x:f>IF(O860="","",O860*2)</x:f>
      </x:c>
      <x:c r="Q860" s="50" t="str"/>
      <x:c r="R860" s="47" t="str"/>
      <x:c r="S860" s="33" t="str">
        <x:v>Not Tested</x:v>
      </x:c>
      <x:c r="T860" s="64" t="str">
        <x:v>Eligible</x:v>
      </x:c>
      <x:c r="U860" s="47" t="str"/>
      <x:c r="V860" s="47" t="str"/>
      <x:c r="W860" s="47" t="str"/>
      <x:c r="X860" s="50" t="str"/>
      <x:c r="Y860" s="50" t="str"/>
      <x:c r="Z860" s="47" t="str"/>
      <x:c r="AA860" s="47" t="str">
        <x:v>No direct published reference located; do not display a crimp value.</x:v>
      </x:c>
      <x:c r="AB860" s="161" t="str">
        <x:v>Pending</x:v>
      </x:c>
    </x:row>
    <x:row r="861" ht="42" customHeight="1">
      <x:c r="A861" s="33" t="str">
        <x:v>Draft</x:v>
      </x:c>
      <x:c r="B861" s="47" t="str">
        <x:v>COMP_0857</x:v>
      </x:c>
      <x:c r="C861" s="47" t="str">
        <x:v>EN4SP_002</x:v>
      </x:c>
      <x:c r="D861" s="47" t="str">
        <x:v>JIC_M_FX_10_06</x:v>
      </x:c>
      <x:c r="E861" s="47" t="str">
        <x:v>EN4SP_4SP_002</x:v>
      </x:c>
      <x:c r="F861" s="47" t="str"/>
      <x:c r="G861" s="33" t="str"/>
      <x:c r="H861" s="50" t="str"/>
      <x:c r="I861" s="50" t="str"/>
      <x:c r="J861" s="50" t="str"/>
      <x:c r="K861" s="47" t="str"/>
      <x:c r="L861" s="50" t="str"/>
      <x:c r="M861" s="50" t="str"/>
      <x:c r="N861" s="47" t="str"/>
      <x:c r="O861" s="50" t="str"/>
      <x:c r="P861" s="64" t="str">
        <x:f>IF(O861="","",O861*2)</x:f>
      </x:c>
      <x:c r="Q861" s="50" t="str"/>
      <x:c r="R861" s="47" t="str"/>
      <x:c r="S861" s="33" t="str">
        <x:v>Not Tested</x:v>
      </x:c>
      <x:c r="T861" s="64" t="str">
        <x:v>Eligible</x:v>
      </x:c>
      <x:c r="U861" s="47" t="str"/>
      <x:c r="V861" s="47" t="str"/>
      <x:c r="W861" s="47" t="str"/>
      <x:c r="X861" s="50" t="str"/>
      <x:c r="Y861" s="50" t="str"/>
      <x:c r="Z861" s="47" t="str"/>
      <x:c r="AA861" s="47" t="str">
        <x:v>No direct published reference located; do not display a crimp value.</x:v>
      </x:c>
      <x:c r="AB861" s="161" t="str">
        <x:v>Pending</x:v>
      </x:c>
    </x:row>
    <x:row r="862" ht="42" customHeight="1">
      <x:c r="A862" s="33" t="str">
        <x:v>Draft</x:v>
      </x:c>
      <x:c r="B862" s="47" t="str">
        <x:v>COMP_0858</x:v>
      </x:c>
      <x:c r="C862" s="47" t="str">
        <x:v>EN4SP_002</x:v>
      </x:c>
      <x:c r="D862" s="47" t="str">
        <x:v>JIC45_F_SW_06_06</x:v>
      </x:c>
      <x:c r="E862" s="47" t="str">
        <x:v>EN4SP_4SP_002</x:v>
      </x:c>
      <x:c r="F862" s="47" t="str"/>
      <x:c r="G862" s="33" t="str"/>
      <x:c r="H862" s="50" t="str"/>
      <x:c r="I862" s="50" t="str"/>
      <x:c r="J862" s="50" t="str"/>
      <x:c r="K862" s="47" t="str"/>
      <x:c r="L862" s="50" t="str"/>
      <x:c r="M862" s="50" t="str"/>
      <x:c r="N862" s="47" t="str"/>
      <x:c r="O862" s="50" t="str"/>
      <x:c r="P862" s="64" t="str">
        <x:f>IF(O862="","",O862*2)</x:f>
      </x:c>
      <x:c r="Q862" s="50" t="str"/>
      <x:c r="R862" s="47" t="str"/>
      <x:c r="S862" s="33" t="str">
        <x:v>Not Tested</x:v>
      </x:c>
      <x:c r="T862" s="64" t="str">
        <x:v>Eligible</x:v>
      </x:c>
      <x:c r="U862" s="47" t="str"/>
      <x:c r="V862" s="47" t="str"/>
      <x:c r="W862" s="47" t="str"/>
      <x:c r="X862" s="50" t="str"/>
      <x:c r="Y862" s="50" t="str"/>
      <x:c r="Z862" s="47" t="str"/>
      <x:c r="AA862" s="47" t="str">
        <x:v>No direct published reference located; do not display a crimp value.</x:v>
      </x:c>
      <x:c r="AB862" s="161" t="str">
        <x:v>Pending</x:v>
      </x:c>
    </x:row>
    <x:row r="863" ht="42" customHeight="1">
      <x:c r="A863" s="33" t="str">
        <x:v>Draft</x:v>
      </x:c>
      <x:c r="B863" s="47" t="str">
        <x:v>COMP_0859</x:v>
      </x:c>
      <x:c r="C863" s="47" t="str">
        <x:v>EN4SP_002</x:v>
      </x:c>
      <x:c r="D863" s="47" t="str">
        <x:v>JIC45_F_SW_08_06</x:v>
      </x:c>
      <x:c r="E863" s="47" t="str">
        <x:v>EN4SP_4SP_002</x:v>
      </x:c>
      <x:c r="F863" s="47" t="str"/>
      <x:c r="G863" s="33" t="str"/>
      <x:c r="H863" s="50" t="str"/>
      <x:c r="I863" s="50" t="str"/>
      <x:c r="J863" s="50" t="str"/>
      <x:c r="K863" s="47" t="str"/>
      <x:c r="L863" s="50" t="str"/>
      <x:c r="M863" s="50" t="str"/>
      <x:c r="N863" s="47" t="str"/>
      <x:c r="O863" s="50" t="str"/>
      <x:c r="P863" s="64" t="str">
        <x:f>IF(O863="","",O863*2)</x:f>
      </x:c>
      <x:c r="Q863" s="50" t="str"/>
      <x:c r="R863" s="47" t="str"/>
      <x:c r="S863" s="33" t="str">
        <x:v>Not Tested</x:v>
      </x:c>
      <x:c r="T863" s="64" t="str">
        <x:v>Eligible</x:v>
      </x:c>
      <x:c r="U863" s="47" t="str"/>
      <x:c r="V863" s="47" t="str"/>
      <x:c r="W863" s="47" t="str"/>
      <x:c r="X863" s="50" t="str"/>
      <x:c r="Y863" s="50" t="str"/>
      <x:c r="Z863" s="47" t="str"/>
      <x:c r="AA863" s="47" t="str">
        <x:v>No direct published reference located; do not display a crimp value.</x:v>
      </x:c>
      <x:c r="AB863" s="161" t="str">
        <x:v>Pending</x:v>
      </x:c>
    </x:row>
    <x:row r="864" ht="42" customHeight="1">
      <x:c r="A864" s="33" t="str">
        <x:v>Draft</x:v>
      </x:c>
      <x:c r="B864" s="47" t="str">
        <x:v>COMP_0860</x:v>
      </x:c>
      <x:c r="C864" s="47" t="str">
        <x:v>EN4SP_002</x:v>
      </x:c>
      <x:c r="D864" s="47" t="str">
        <x:v>JIC90_F_SW_04_06</x:v>
      </x:c>
      <x:c r="E864" s="47" t="str">
        <x:v>EN4SP_4SP_002</x:v>
      </x:c>
      <x:c r="F864" s="47" t="str"/>
      <x:c r="G864" s="33" t="str"/>
      <x:c r="H864" s="50" t="str"/>
      <x:c r="I864" s="50" t="str"/>
      <x:c r="J864" s="50" t="str"/>
      <x:c r="K864" s="47" t="str"/>
      <x:c r="L864" s="50" t="str"/>
      <x:c r="M864" s="50" t="str"/>
      <x:c r="N864" s="47" t="str"/>
      <x:c r="O864" s="50" t="str"/>
      <x:c r="P864" s="64" t="str">
        <x:f>IF(O864="","",O864*2)</x:f>
      </x:c>
      <x:c r="Q864" s="50" t="str"/>
      <x:c r="R864" s="47" t="str"/>
      <x:c r="S864" s="33" t="str">
        <x:v>Not Tested</x:v>
      </x:c>
      <x:c r="T864" s="64" t="str">
        <x:v>Eligible</x:v>
      </x:c>
      <x:c r="U864" s="47" t="str"/>
      <x:c r="V864" s="47" t="str"/>
      <x:c r="W864" s="47" t="str"/>
      <x:c r="X864" s="50" t="str"/>
      <x:c r="Y864" s="50" t="str"/>
      <x:c r="Z864" s="47" t="str"/>
      <x:c r="AA864" s="47" t="str">
        <x:v>No direct published reference located; do not display a crimp value.</x:v>
      </x:c>
      <x:c r="AB864" s="161" t="str">
        <x:v>Pending</x:v>
      </x:c>
    </x:row>
    <x:row r="865" ht="42" customHeight="1">
      <x:c r="A865" s="33" t="str">
        <x:v>Draft</x:v>
      </x:c>
      <x:c r="B865" s="47" t="str">
        <x:v>COMP_0861</x:v>
      </x:c>
      <x:c r="C865" s="47" t="str">
        <x:v>EN4SP_002</x:v>
      </x:c>
      <x:c r="D865" s="47" t="str">
        <x:v>JIC90_F_SW_06_06</x:v>
      </x:c>
      <x:c r="E865" s="47" t="str">
        <x:v>EN4SP_4SP_002</x:v>
      </x:c>
      <x:c r="F865" s="47" t="str"/>
      <x:c r="G865" s="33" t="str"/>
      <x:c r="H865" s="50" t="str"/>
      <x:c r="I865" s="50" t="str"/>
      <x:c r="J865" s="50" t="str"/>
      <x:c r="K865" s="47" t="str"/>
      <x:c r="L865" s="50" t="str"/>
      <x:c r="M865" s="50" t="str"/>
      <x:c r="N865" s="47" t="str"/>
      <x:c r="O865" s="50" t="str"/>
      <x:c r="P865" s="64" t="str">
        <x:f>IF(O865="","",O865*2)</x:f>
      </x:c>
      <x:c r="Q865" s="50" t="str"/>
      <x:c r="R865" s="47" t="str"/>
      <x:c r="S865" s="33" t="str">
        <x:v>Not Tested</x:v>
      </x:c>
      <x:c r="T865" s="64" t="str">
        <x:v>Eligible</x:v>
      </x:c>
      <x:c r="U865" s="47" t="str"/>
      <x:c r="V865" s="47" t="str"/>
      <x:c r="W865" s="47" t="str"/>
      <x:c r="X865" s="50" t="str"/>
      <x:c r="Y865" s="50" t="str"/>
      <x:c r="Z865" s="47" t="str"/>
      <x:c r="AA865" s="47" t="str">
        <x:v>No direct published reference located; do not display a crimp value.</x:v>
      </x:c>
      <x:c r="AB865" s="161" t="str">
        <x:v>Pending</x:v>
      </x:c>
    </x:row>
    <x:row r="866" ht="42" customHeight="1">
      <x:c r="A866" s="33" t="str">
        <x:v>Draft</x:v>
      </x:c>
      <x:c r="B866" s="47" t="str">
        <x:v>COMP_0862</x:v>
      </x:c>
      <x:c r="C866" s="47" t="str">
        <x:v>EN4SP_002</x:v>
      </x:c>
      <x:c r="D866" s="47" t="str">
        <x:v>JIC90_F_SW_08_06</x:v>
      </x:c>
      <x:c r="E866" s="47" t="str">
        <x:v>EN4SP_4SP_002</x:v>
      </x:c>
      <x:c r="F866" s="47" t="str"/>
      <x:c r="G866" s="33" t="str"/>
      <x:c r="H866" s="50" t="str"/>
      <x:c r="I866" s="50" t="str"/>
      <x:c r="J866" s="50" t="str"/>
      <x:c r="K866" s="47" t="str"/>
      <x:c r="L866" s="50" t="str"/>
      <x:c r="M866" s="50" t="str"/>
      <x:c r="N866" s="47" t="str"/>
      <x:c r="O866" s="50" t="str"/>
      <x:c r="P866" s="64" t="str">
        <x:f>IF(O866="","",O866*2)</x:f>
      </x:c>
      <x:c r="Q866" s="50" t="str"/>
      <x:c r="R866" s="47" t="str"/>
      <x:c r="S866" s="33" t="str">
        <x:v>Not Tested</x:v>
      </x:c>
      <x:c r="T866" s="64" t="str">
        <x:v>Eligible</x:v>
      </x:c>
      <x:c r="U866" s="47" t="str"/>
      <x:c r="V866" s="47" t="str"/>
      <x:c r="W866" s="47" t="str"/>
      <x:c r="X866" s="50" t="str"/>
      <x:c r="Y866" s="50" t="str"/>
      <x:c r="Z866" s="47" t="str"/>
      <x:c r="AA866" s="47" t="str">
        <x:v>No direct published reference located; do not display a crimp value.</x:v>
      </x:c>
      <x:c r="AB866" s="161" t="str">
        <x:v>Pending</x:v>
      </x:c>
    </x:row>
    <x:row r="867" ht="42" customHeight="1">
      <x:c r="A867" s="33" t="str">
        <x:v>Draft</x:v>
      </x:c>
      <x:c r="B867" s="47" t="str">
        <x:v>COMP_0863</x:v>
      </x:c>
      <x:c r="C867" s="47" t="str">
        <x:v>EN4SP_002</x:v>
      </x:c>
      <x:c r="D867" s="47" t="str">
        <x:v>NPT_F_FX_04_06</x:v>
      </x:c>
      <x:c r="E867" s="47" t="str">
        <x:v>EN4SP_4SP_002</x:v>
      </x:c>
      <x:c r="F867" s="47" t="str"/>
      <x:c r="G867" s="33" t="str"/>
      <x:c r="H867" s="50" t="str"/>
      <x:c r="I867" s="50" t="str"/>
      <x:c r="J867" s="50" t="str"/>
      <x:c r="K867" s="47" t="str"/>
      <x:c r="L867" s="50" t="str"/>
      <x:c r="M867" s="50" t="str"/>
      <x:c r="N867" s="47" t="str"/>
      <x:c r="O867" s="50" t="str"/>
      <x:c r="P867" s="64" t="str">
        <x:f>IF(O867="","",O867*2)</x:f>
      </x:c>
      <x:c r="Q867" s="50" t="str"/>
      <x:c r="R867" s="47" t="str"/>
      <x:c r="S867" s="33" t="str">
        <x:v>Not Tested</x:v>
      </x:c>
      <x:c r="T867" s="64" t="str">
        <x:v>Eligible</x:v>
      </x:c>
      <x:c r="U867" s="47" t="str"/>
      <x:c r="V867" s="47" t="str"/>
      <x:c r="W867" s="47" t="str"/>
      <x:c r="X867" s="50" t="str"/>
      <x:c r="Y867" s="50" t="str"/>
      <x:c r="Z867" s="47" t="str"/>
      <x:c r="AA867" s="47" t="str">
        <x:v>No direct published reference located; do not display a crimp value.</x:v>
      </x:c>
      <x:c r="AB867" s="161" t="str">
        <x:v>Pending</x:v>
      </x:c>
    </x:row>
    <x:row r="868" ht="42" customHeight="1">
      <x:c r="A868" s="33" t="str">
        <x:v>Draft</x:v>
      </x:c>
      <x:c r="B868" s="47" t="str">
        <x:v>COMP_0864</x:v>
      </x:c>
      <x:c r="C868" s="47" t="str">
        <x:v>EN4SP_002</x:v>
      </x:c>
      <x:c r="D868" s="47" t="str">
        <x:v>NPT_F_FX_06_06</x:v>
      </x:c>
      <x:c r="E868" s="47" t="str">
        <x:v>EN4SP_4SP_002</x:v>
      </x:c>
      <x:c r="F868" s="47" t="str"/>
      <x:c r="G868" s="33" t="str"/>
      <x:c r="H868" s="50" t="str"/>
      <x:c r="I868" s="50" t="str"/>
      <x:c r="J868" s="50" t="str"/>
      <x:c r="K868" s="47" t="str"/>
      <x:c r="L868" s="50" t="str"/>
      <x:c r="M868" s="50" t="str"/>
      <x:c r="N868" s="47" t="str"/>
      <x:c r="O868" s="50" t="str"/>
      <x:c r="P868" s="64" t="str">
        <x:f>IF(O868="","",O868*2)</x:f>
      </x:c>
      <x:c r="Q868" s="50" t="str"/>
      <x:c r="R868" s="47" t="str"/>
      <x:c r="S868" s="33" t="str">
        <x:v>Not Tested</x:v>
      </x:c>
      <x:c r="T868" s="64" t="str">
        <x:v>Eligible</x:v>
      </x:c>
      <x:c r="U868" s="47" t="str"/>
      <x:c r="V868" s="47" t="str"/>
      <x:c r="W868" s="47" t="str"/>
      <x:c r="X868" s="50" t="str"/>
      <x:c r="Y868" s="50" t="str"/>
      <x:c r="Z868" s="47" t="str"/>
      <x:c r="AA868" s="47" t="str">
        <x:v>No direct published reference located; do not display a crimp value.</x:v>
      </x:c>
      <x:c r="AB868" s="161" t="str">
        <x:v>Pending</x:v>
      </x:c>
    </x:row>
    <x:row r="869" ht="42" customHeight="1">
      <x:c r="A869" s="33" t="str">
        <x:v>Draft</x:v>
      </x:c>
      <x:c r="B869" s="47" t="str">
        <x:v>COMP_0865</x:v>
      </x:c>
      <x:c r="C869" s="47" t="str">
        <x:v>EN4SP_002</x:v>
      </x:c>
      <x:c r="D869" s="47" t="str">
        <x:v>NPT_F_FX_08_06</x:v>
      </x:c>
      <x:c r="E869" s="47" t="str">
        <x:v>EN4SP_4SP_002</x:v>
      </x:c>
      <x:c r="F869" s="47" t="str"/>
      <x:c r="G869" s="33" t="str"/>
      <x:c r="H869" s="50" t="str"/>
      <x:c r="I869" s="50" t="str"/>
      <x:c r="J869" s="50" t="str"/>
      <x:c r="K869" s="47" t="str"/>
      <x:c r="L869" s="50" t="str"/>
      <x:c r="M869" s="50" t="str"/>
      <x:c r="N869" s="47" t="str"/>
      <x:c r="O869" s="50" t="str"/>
      <x:c r="P869" s="64" t="str">
        <x:f>IF(O869="","",O869*2)</x:f>
      </x:c>
      <x:c r="Q869" s="50" t="str"/>
      <x:c r="R869" s="47" t="str"/>
      <x:c r="S869" s="33" t="str">
        <x:v>Not Tested</x:v>
      </x:c>
      <x:c r="T869" s="64" t="str">
        <x:v>Eligible</x:v>
      </x:c>
      <x:c r="U869" s="47" t="str"/>
      <x:c r="V869" s="47" t="str"/>
      <x:c r="W869" s="47" t="str"/>
      <x:c r="X869" s="50" t="str"/>
      <x:c r="Y869" s="50" t="str"/>
      <x:c r="Z869" s="47" t="str"/>
      <x:c r="AA869" s="47" t="str">
        <x:v>No direct published reference located; do not display a crimp value.</x:v>
      </x:c>
      <x:c r="AB869" s="161" t="str">
        <x:v>Pending</x:v>
      </x:c>
    </x:row>
    <x:row r="870" ht="42" customHeight="1">
      <x:c r="A870" s="33" t="str">
        <x:v>Draft</x:v>
      </x:c>
      <x:c r="B870" s="47" t="str">
        <x:v>COMP_0866</x:v>
      </x:c>
      <x:c r="C870" s="47" t="str">
        <x:v>EN4SP_002</x:v>
      </x:c>
      <x:c r="D870" s="47" t="str">
        <x:v>NPT_M_FX_04_06</x:v>
      </x:c>
      <x:c r="E870" s="47" t="str">
        <x:v>EN4SP_4SP_002</x:v>
      </x:c>
      <x:c r="F870" s="47" t="str"/>
      <x:c r="G870" s="33" t="str"/>
      <x:c r="H870" s="50" t="str"/>
      <x:c r="I870" s="50" t="str"/>
      <x:c r="J870" s="50" t="str"/>
      <x:c r="K870" s="47" t="str"/>
      <x:c r="L870" s="50" t="str"/>
      <x:c r="M870" s="50" t="str"/>
      <x:c r="N870" s="47" t="str"/>
      <x:c r="O870" s="50" t="str"/>
      <x:c r="P870" s="64" t="str">
        <x:f>IF(O870="","",O870*2)</x:f>
      </x:c>
      <x:c r="Q870" s="50" t="str"/>
      <x:c r="R870" s="47" t="str"/>
      <x:c r="S870" s="33" t="str">
        <x:v>Not Tested</x:v>
      </x:c>
      <x:c r="T870" s="64" t="str">
        <x:v>Eligible</x:v>
      </x:c>
      <x:c r="U870" s="47" t="str"/>
      <x:c r="V870" s="47" t="str"/>
      <x:c r="W870" s="47" t="str"/>
      <x:c r="X870" s="50" t="str"/>
      <x:c r="Y870" s="50" t="str"/>
      <x:c r="Z870" s="47" t="str"/>
      <x:c r="AA870" s="47" t="str">
        <x:v>No direct published reference located; do not display a crimp value.</x:v>
      </x:c>
      <x:c r="AB870" s="161" t="str">
        <x:v>Pending</x:v>
      </x:c>
    </x:row>
    <x:row r="871" ht="42" customHeight="1">
      <x:c r="A871" s="33" t="str">
        <x:v>Draft</x:v>
      </x:c>
      <x:c r="B871" s="47" t="str">
        <x:v>COMP_0867</x:v>
      </x:c>
      <x:c r="C871" s="47" t="str">
        <x:v>EN4SP_002</x:v>
      </x:c>
      <x:c r="D871" s="47" t="str">
        <x:v>NPT_M_FX_06_06</x:v>
      </x:c>
      <x:c r="E871" s="47" t="str">
        <x:v>EN4SP_4SP_002</x:v>
      </x:c>
      <x:c r="F871" s="47" t="str"/>
      <x:c r="G871" s="33" t="str"/>
      <x:c r="H871" s="50" t="str"/>
      <x:c r="I871" s="50" t="str"/>
      <x:c r="J871" s="50" t="str"/>
      <x:c r="K871" s="47" t="str"/>
      <x:c r="L871" s="50" t="str"/>
      <x:c r="M871" s="50" t="str"/>
      <x:c r="N871" s="47" t="str"/>
      <x:c r="O871" s="50" t="str"/>
      <x:c r="P871" s="64" t="str">
        <x:f>IF(O871="","",O871*2)</x:f>
      </x:c>
      <x:c r="Q871" s="50" t="str"/>
      <x:c r="R871" s="47" t="str"/>
      <x:c r="S871" s="33" t="str">
        <x:v>Not Tested</x:v>
      </x:c>
      <x:c r="T871" s="64" t="str">
        <x:v>Eligible</x:v>
      </x:c>
      <x:c r="U871" s="47" t="str"/>
      <x:c r="V871" s="47" t="str"/>
      <x:c r="W871" s="47" t="str"/>
      <x:c r="X871" s="50" t="str"/>
      <x:c r="Y871" s="50" t="str"/>
      <x:c r="Z871" s="47" t="str"/>
      <x:c r="AA871" s="47" t="str">
        <x:v>No direct published reference located; do not display a crimp value.</x:v>
      </x:c>
      <x:c r="AB871" s="161" t="str">
        <x:v>Pending</x:v>
      </x:c>
    </x:row>
    <x:row r="872" ht="42" customHeight="1">
      <x:c r="A872" s="33" t="str">
        <x:v>Draft</x:v>
      </x:c>
      <x:c r="B872" s="47" t="str">
        <x:v>COMP_0868</x:v>
      </x:c>
      <x:c r="C872" s="47" t="str">
        <x:v>EN4SP_002</x:v>
      </x:c>
      <x:c r="D872" s="47" t="str">
        <x:v>NPT_M_FX_08_06</x:v>
      </x:c>
      <x:c r="E872" s="47" t="str">
        <x:v>EN4SP_4SP_002</x:v>
      </x:c>
      <x:c r="F872" s="47" t="str"/>
      <x:c r="G872" s="33" t="str"/>
      <x:c r="H872" s="50" t="str"/>
      <x:c r="I872" s="50" t="str"/>
      <x:c r="J872" s="50" t="str"/>
      <x:c r="K872" s="47" t="str"/>
      <x:c r="L872" s="50" t="str"/>
      <x:c r="M872" s="50" t="str"/>
      <x:c r="N872" s="47" t="str"/>
      <x:c r="O872" s="50" t="str"/>
      <x:c r="P872" s="64" t="str">
        <x:f>IF(O872="","",O872*2)</x:f>
      </x:c>
      <x:c r="Q872" s="50" t="str"/>
      <x:c r="R872" s="47" t="str"/>
      <x:c r="S872" s="33" t="str">
        <x:v>Not Tested</x:v>
      </x:c>
      <x:c r="T872" s="64" t="str">
        <x:v>Eligible</x:v>
      </x:c>
      <x:c r="U872" s="47" t="str"/>
      <x:c r="V872" s="47" t="str"/>
      <x:c r="W872" s="47" t="str"/>
      <x:c r="X872" s="50" t="str"/>
      <x:c r="Y872" s="50" t="str"/>
      <x:c r="Z872" s="47" t="str"/>
      <x:c r="AA872" s="47" t="str">
        <x:v>No direct published reference located; do not display a crimp value.</x:v>
      </x:c>
      <x:c r="AB872" s="161" t="str">
        <x:v>Pending</x:v>
      </x:c>
    </x:row>
    <x:row r="873" ht="42" customHeight="1">
      <x:c r="A873" s="33" t="str">
        <x:v>Draft</x:v>
      </x:c>
      <x:c r="B873" s="47" t="str">
        <x:v>COMP_0869</x:v>
      </x:c>
      <x:c r="C873" s="47" t="str">
        <x:v>EN4SP_002</x:v>
      </x:c>
      <x:c r="D873" s="47" t="str">
        <x:v>NPT90_M_SW_06_06</x:v>
      </x:c>
      <x:c r="E873" s="47" t="str">
        <x:v>EN4SP_4SP_002</x:v>
      </x:c>
      <x:c r="F873" s="47" t="str"/>
      <x:c r="G873" s="33" t="str"/>
      <x:c r="H873" s="50" t="str"/>
      <x:c r="I873" s="50" t="str"/>
      <x:c r="J873" s="50" t="str"/>
      <x:c r="K873" s="47" t="str"/>
      <x:c r="L873" s="50" t="str"/>
      <x:c r="M873" s="50" t="str"/>
      <x:c r="N873" s="47" t="str"/>
      <x:c r="O873" s="50" t="str"/>
      <x:c r="P873" s="64" t="str">
        <x:f>IF(O873="","",O873*2)</x:f>
      </x:c>
      <x:c r="Q873" s="50" t="str"/>
      <x:c r="R873" s="47" t="str"/>
      <x:c r="S873" s="33" t="str">
        <x:v>Not Tested</x:v>
      </x:c>
      <x:c r="T873" s="64" t="str">
        <x:v>Eligible</x:v>
      </x:c>
      <x:c r="U873" s="47" t="str"/>
      <x:c r="V873" s="47" t="str"/>
      <x:c r="W873" s="47" t="str"/>
      <x:c r="X873" s="50" t="str"/>
      <x:c r="Y873" s="50" t="str"/>
      <x:c r="Z873" s="47" t="str"/>
      <x:c r="AA873" s="47" t="str">
        <x:v>No direct published reference located; do not display a crimp value.</x:v>
      </x:c>
      <x:c r="AB873" s="161" t="str">
        <x:v>Pending</x:v>
      </x:c>
    </x:row>
    <x:row r="874" ht="42" customHeight="1">
      <x:c r="A874" s="33" t="str">
        <x:v>Draft</x:v>
      </x:c>
      <x:c r="B874" s="47" t="str">
        <x:v>COMP_0870</x:v>
      </x:c>
      <x:c r="C874" s="47" t="str">
        <x:v>EN4SP_002</x:v>
      </x:c>
      <x:c r="D874" s="47" t="str">
        <x:v>NPT90_M_SW_08_06</x:v>
      </x:c>
      <x:c r="E874" s="47" t="str">
        <x:v>EN4SP_4SP_002</x:v>
      </x:c>
      <x:c r="F874" s="47" t="str"/>
      <x:c r="G874" s="33" t="str"/>
      <x:c r="H874" s="50" t="str"/>
      <x:c r="I874" s="50" t="str"/>
      <x:c r="J874" s="50" t="str"/>
      <x:c r="K874" s="47" t="str"/>
      <x:c r="L874" s="50" t="str"/>
      <x:c r="M874" s="50" t="str"/>
      <x:c r="N874" s="47" t="str"/>
      <x:c r="O874" s="50" t="str"/>
      <x:c r="P874" s="64" t="str">
        <x:f>IF(O874="","",O874*2)</x:f>
      </x:c>
      <x:c r="Q874" s="50" t="str"/>
      <x:c r="R874" s="47" t="str"/>
      <x:c r="S874" s="33" t="str">
        <x:v>Not Tested</x:v>
      </x:c>
      <x:c r="T874" s="64" t="str">
        <x:v>Eligible</x:v>
      </x:c>
      <x:c r="U874" s="47" t="str"/>
      <x:c r="V874" s="47" t="str"/>
      <x:c r="W874" s="47" t="str"/>
      <x:c r="X874" s="50" t="str"/>
      <x:c r="Y874" s="50" t="str"/>
      <x:c r="Z874" s="47" t="str"/>
      <x:c r="AA874" s="47" t="str">
        <x:v>No direct published reference located; do not display a crimp value.</x:v>
      </x:c>
      <x:c r="AB874" s="161" t="str">
        <x:v>Pending</x:v>
      </x:c>
    </x:row>
    <x:row r="875" ht="42" customHeight="1">
      <x:c r="A875" s="33" t="str">
        <x:v>Draft</x:v>
      </x:c>
      <x:c r="B875" s="47" t="str">
        <x:v>COMP_0871</x:v>
      </x:c>
      <x:c r="C875" s="47" t="str">
        <x:v>EN4SP_002</x:v>
      </x:c>
      <x:c r="D875" s="47" t="str">
        <x:v>ORFS_F_SW_06_06</x:v>
      </x:c>
      <x:c r="E875" s="47" t="str">
        <x:v>EN4SP_4SP_002</x:v>
      </x:c>
      <x:c r="F875" s="47" t="str"/>
      <x:c r="G875" s="33" t="str"/>
      <x:c r="H875" s="50" t="str"/>
      <x:c r="I875" s="50" t="str"/>
      <x:c r="J875" s="50" t="str"/>
      <x:c r="K875" s="47" t="str"/>
      <x:c r="L875" s="50" t="str"/>
      <x:c r="M875" s="50" t="str"/>
      <x:c r="N875" s="47" t="str"/>
      <x:c r="O875" s="50" t="str"/>
      <x:c r="P875" s="64" t="str">
        <x:f>IF(O875="","",O875*2)</x:f>
      </x:c>
      <x:c r="Q875" s="50" t="str"/>
      <x:c r="R875" s="47" t="str"/>
      <x:c r="S875" s="33" t="str">
        <x:v>Not Tested</x:v>
      </x:c>
      <x:c r="T875" s="64" t="str">
        <x:v>Eligible</x:v>
      </x:c>
      <x:c r="U875" s="47" t="str"/>
      <x:c r="V875" s="47" t="str"/>
      <x:c r="W875" s="47" t="str"/>
      <x:c r="X875" s="50" t="str"/>
      <x:c r="Y875" s="50" t="str"/>
      <x:c r="Z875" s="47" t="str"/>
      <x:c r="AA875" s="47" t="str">
        <x:v>No direct published reference located; do not display a crimp value.</x:v>
      </x:c>
      <x:c r="AB875" s="161" t="str">
        <x:v>Pending</x:v>
      </x:c>
    </x:row>
    <x:row r="876" ht="42" customHeight="1">
      <x:c r="A876" s="33" t="str">
        <x:v>Draft</x:v>
      </x:c>
      <x:c r="B876" s="47" t="str">
        <x:v>COMP_0872</x:v>
      </x:c>
      <x:c r="C876" s="47" t="str">
        <x:v>EN4SP_002</x:v>
      </x:c>
      <x:c r="D876" s="47" t="str">
        <x:v>ORFS_F_SW_08_06</x:v>
      </x:c>
      <x:c r="E876" s="47" t="str">
        <x:v>EN4SP_4SP_002</x:v>
      </x:c>
      <x:c r="F876" s="47" t="str"/>
      <x:c r="G876" s="33" t="str"/>
      <x:c r="H876" s="50" t="str"/>
      <x:c r="I876" s="50" t="str"/>
      <x:c r="J876" s="50" t="str"/>
      <x:c r="K876" s="47" t="str"/>
      <x:c r="L876" s="50" t="str"/>
      <x:c r="M876" s="50" t="str"/>
      <x:c r="N876" s="47" t="str"/>
      <x:c r="O876" s="50" t="str"/>
      <x:c r="P876" s="64" t="str">
        <x:f>IF(O876="","",O876*2)</x:f>
      </x:c>
      <x:c r="Q876" s="50" t="str"/>
      <x:c r="R876" s="47" t="str"/>
      <x:c r="S876" s="33" t="str">
        <x:v>Not Tested</x:v>
      </x:c>
      <x:c r="T876" s="64" t="str">
        <x:v>Eligible</x:v>
      </x:c>
      <x:c r="U876" s="47" t="str"/>
      <x:c r="V876" s="47" t="str"/>
      <x:c r="W876" s="47" t="str"/>
      <x:c r="X876" s="50" t="str"/>
      <x:c r="Y876" s="50" t="str"/>
      <x:c r="Z876" s="47" t="str"/>
      <x:c r="AA876" s="47" t="str">
        <x:v>No direct published reference located; do not display a crimp value.</x:v>
      </x:c>
      <x:c r="AB876" s="161" t="str">
        <x:v>Pending</x:v>
      </x:c>
    </x:row>
    <x:row r="877" ht="42" customHeight="1">
      <x:c r="A877" s="33" t="str">
        <x:v>Draft</x:v>
      </x:c>
      <x:c r="B877" s="47" t="str">
        <x:v>COMP_0873</x:v>
      </x:c>
      <x:c r="C877" s="47" t="str">
        <x:v>EN4SP_002</x:v>
      </x:c>
      <x:c r="D877" s="47" t="str">
        <x:v>ORFS_M_FX_06_06</x:v>
      </x:c>
      <x:c r="E877" s="47" t="str">
        <x:v>EN4SP_4SP_002</x:v>
      </x:c>
      <x:c r="F877" s="47" t="str"/>
      <x:c r="G877" s="33" t="str"/>
      <x:c r="H877" s="50" t="str"/>
      <x:c r="I877" s="50" t="str"/>
      <x:c r="J877" s="50" t="str"/>
      <x:c r="K877" s="47" t="str"/>
      <x:c r="L877" s="50" t="str"/>
      <x:c r="M877" s="50" t="str"/>
      <x:c r="N877" s="47" t="str"/>
      <x:c r="O877" s="50" t="str"/>
      <x:c r="P877" s="64" t="str">
        <x:f>IF(O877="","",O877*2)</x:f>
      </x:c>
      <x:c r="Q877" s="50" t="str"/>
      <x:c r="R877" s="47" t="str"/>
      <x:c r="S877" s="33" t="str">
        <x:v>Not Tested</x:v>
      </x:c>
      <x:c r="T877" s="64" t="str">
        <x:v>Eligible</x:v>
      </x:c>
      <x:c r="U877" s="47" t="str"/>
      <x:c r="V877" s="47" t="str"/>
      <x:c r="W877" s="47" t="str"/>
      <x:c r="X877" s="50" t="str"/>
      <x:c r="Y877" s="50" t="str"/>
      <x:c r="Z877" s="47" t="str"/>
      <x:c r="AA877" s="47" t="str">
        <x:v>No direct published reference located; do not display a crimp value.</x:v>
      </x:c>
      <x:c r="AB877" s="161" t="str">
        <x:v>Pending</x:v>
      </x:c>
    </x:row>
    <x:row r="878" ht="42" customHeight="1">
      <x:c r="A878" s="33" t="str">
        <x:v>Draft</x:v>
      </x:c>
      <x:c r="B878" s="47" t="str">
        <x:v>COMP_0874</x:v>
      </x:c>
      <x:c r="C878" s="47" t="str">
        <x:v>EN4SP_002</x:v>
      </x:c>
      <x:c r="D878" s="47" t="str">
        <x:v>ORFS_M_FX_08_06</x:v>
      </x:c>
      <x:c r="E878" s="47" t="str">
        <x:v>EN4SP_4SP_002</x:v>
      </x:c>
      <x:c r="F878" s="47" t="str"/>
      <x:c r="G878" s="33" t="str"/>
      <x:c r="H878" s="50" t="str"/>
      <x:c r="I878" s="50" t="str"/>
      <x:c r="J878" s="50" t="str"/>
      <x:c r="K878" s="47" t="str"/>
      <x:c r="L878" s="50" t="str"/>
      <x:c r="M878" s="50" t="str"/>
      <x:c r="N878" s="47" t="str"/>
      <x:c r="O878" s="50" t="str"/>
      <x:c r="P878" s="64" t="str">
        <x:f>IF(O878="","",O878*2)</x:f>
      </x:c>
      <x:c r="Q878" s="50" t="str"/>
      <x:c r="R878" s="47" t="str"/>
      <x:c r="S878" s="33" t="str">
        <x:v>Not Tested</x:v>
      </x:c>
      <x:c r="T878" s="64" t="str">
        <x:v>Eligible</x:v>
      </x:c>
      <x:c r="U878" s="47" t="str"/>
      <x:c r="V878" s="47" t="str"/>
      <x:c r="W878" s="47" t="str"/>
      <x:c r="X878" s="50" t="str"/>
      <x:c r="Y878" s="50" t="str"/>
      <x:c r="Z878" s="47" t="str"/>
      <x:c r="AA878" s="47" t="str">
        <x:v>No direct published reference located; do not display a crimp value.</x:v>
      </x:c>
      <x:c r="AB878" s="161" t="str">
        <x:v>Pending</x:v>
      </x:c>
    </x:row>
    <x:row r="879" ht="42" customHeight="1">
      <x:c r="A879" s="33" t="str">
        <x:v>Draft</x:v>
      </x:c>
      <x:c r="B879" s="47" t="str">
        <x:v>COMP_0875</x:v>
      </x:c>
      <x:c r="C879" s="47" t="str">
        <x:v>EN4SP_002</x:v>
      </x:c>
      <x:c r="D879" s="47" t="str">
        <x:v>ORFS45_F_SW_06_06</x:v>
      </x:c>
      <x:c r="E879" s="47" t="str">
        <x:v>EN4SP_4SP_002</x:v>
      </x:c>
      <x:c r="F879" s="47" t="str"/>
      <x:c r="G879" s="33" t="str"/>
      <x:c r="H879" s="50" t="str"/>
      <x:c r="I879" s="50" t="str"/>
      <x:c r="J879" s="50" t="str"/>
      <x:c r="K879" s="47" t="str"/>
      <x:c r="L879" s="50" t="str"/>
      <x:c r="M879" s="50" t="str"/>
      <x:c r="N879" s="47" t="str"/>
      <x:c r="O879" s="50" t="str"/>
      <x:c r="P879" s="64" t="str">
        <x:f>IF(O879="","",O879*2)</x:f>
      </x:c>
      <x:c r="Q879" s="50" t="str"/>
      <x:c r="R879" s="47" t="str"/>
      <x:c r="S879" s="33" t="str">
        <x:v>Not Tested</x:v>
      </x:c>
      <x:c r="T879" s="64" t="str">
        <x:v>Eligible</x:v>
      </x:c>
      <x:c r="U879" s="47" t="str"/>
      <x:c r="V879" s="47" t="str"/>
      <x:c r="W879" s="47" t="str"/>
      <x:c r="X879" s="50" t="str"/>
      <x:c r="Y879" s="50" t="str"/>
      <x:c r="Z879" s="47" t="str"/>
      <x:c r="AA879" s="47" t="str">
        <x:v>No direct published reference located; do not display a crimp value.</x:v>
      </x:c>
      <x:c r="AB879" s="161" t="str">
        <x:v>Pending</x:v>
      </x:c>
    </x:row>
    <x:row r="880" ht="42" customHeight="1">
      <x:c r="A880" s="33" t="str">
        <x:v>Draft</x:v>
      </x:c>
      <x:c r="B880" s="47" t="str">
        <x:v>COMP_0876</x:v>
      </x:c>
      <x:c r="C880" s="47" t="str">
        <x:v>EN4SP_002</x:v>
      </x:c>
      <x:c r="D880" s="47" t="str">
        <x:v>ORFS45_F_SW_08_06</x:v>
      </x:c>
      <x:c r="E880" s="47" t="str">
        <x:v>EN4SP_4SP_002</x:v>
      </x:c>
      <x:c r="F880" s="47" t="str"/>
      <x:c r="G880" s="33" t="str"/>
      <x:c r="H880" s="50" t="str"/>
      <x:c r="I880" s="50" t="str"/>
      <x:c r="J880" s="50" t="str"/>
      <x:c r="K880" s="47" t="str"/>
      <x:c r="L880" s="50" t="str"/>
      <x:c r="M880" s="50" t="str"/>
      <x:c r="N880" s="47" t="str"/>
      <x:c r="O880" s="50" t="str"/>
      <x:c r="P880" s="64" t="str">
        <x:f>IF(O880="","",O880*2)</x:f>
      </x:c>
      <x:c r="Q880" s="50" t="str"/>
      <x:c r="R880" s="47" t="str"/>
      <x:c r="S880" s="33" t="str">
        <x:v>Not Tested</x:v>
      </x:c>
      <x:c r="T880" s="64" t="str">
        <x:v>Eligible</x:v>
      </x:c>
      <x:c r="U880" s="47" t="str"/>
      <x:c r="V880" s="47" t="str"/>
      <x:c r="W880" s="47" t="str"/>
      <x:c r="X880" s="50" t="str"/>
      <x:c r="Y880" s="50" t="str"/>
      <x:c r="Z880" s="47" t="str"/>
      <x:c r="AA880" s="47" t="str">
        <x:v>No direct published reference located; do not display a crimp value.</x:v>
      </x:c>
      <x:c r="AB880" s="161" t="str">
        <x:v>Pending</x:v>
      </x:c>
    </x:row>
    <x:row r="881" ht="42" customHeight="1">
      <x:c r="A881" s="33" t="str">
        <x:v>Draft</x:v>
      </x:c>
      <x:c r="B881" s="47" t="str">
        <x:v>COMP_0877</x:v>
      </x:c>
      <x:c r="C881" s="47" t="str">
        <x:v>EN4SP_002</x:v>
      </x:c>
      <x:c r="D881" s="47" t="str">
        <x:v>ORFS90_F_SW_04_06</x:v>
      </x:c>
      <x:c r="E881" s="47" t="str">
        <x:v>EN4SP_4SP_002</x:v>
      </x:c>
      <x:c r="F881" s="47" t="str"/>
      <x:c r="G881" s="33" t="str"/>
      <x:c r="H881" s="50" t="str"/>
      <x:c r="I881" s="50" t="str"/>
      <x:c r="J881" s="50" t="str"/>
      <x:c r="K881" s="47" t="str"/>
      <x:c r="L881" s="50" t="str"/>
      <x:c r="M881" s="50" t="str"/>
      <x:c r="N881" s="47" t="str"/>
      <x:c r="O881" s="50" t="str"/>
      <x:c r="P881" s="64" t="str">
        <x:f>IF(O881="","",O881*2)</x:f>
      </x:c>
      <x:c r="Q881" s="50" t="str"/>
      <x:c r="R881" s="47" t="str"/>
      <x:c r="S881" s="33" t="str">
        <x:v>Not Tested</x:v>
      </x:c>
      <x:c r="T881" s="64" t="str">
        <x:v>Eligible</x:v>
      </x:c>
      <x:c r="U881" s="47" t="str"/>
      <x:c r="V881" s="47" t="str"/>
      <x:c r="W881" s="47" t="str"/>
      <x:c r="X881" s="50" t="str"/>
      <x:c r="Y881" s="50" t="str"/>
      <x:c r="Z881" s="47" t="str"/>
      <x:c r="AA881" s="47" t="str">
        <x:v>No direct published reference located; do not display a crimp value.</x:v>
      </x:c>
      <x:c r="AB881" s="161" t="str">
        <x:v>Pending</x:v>
      </x:c>
    </x:row>
    <x:row r="882" ht="42" customHeight="1">
      <x:c r="A882" s="33" t="str">
        <x:v>Draft</x:v>
      </x:c>
      <x:c r="B882" s="47" t="str">
        <x:v>COMP_0878</x:v>
      </x:c>
      <x:c r="C882" s="47" t="str">
        <x:v>EN4SP_002</x:v>
      </x:c>
      <x:c r="D882" s="47" t="str">
        <x:v>ORFS90_F_SW_06_06</x:v>
      </x:c>
      <x:c r="E882" s="47" t="str">
        <x:v>EN4SP_4SP_002</x:v>
      </x:c>
      <x:c r="F882" s="47" t="str"/>
      <x:c r="G882" s="33" t="str"/>
      <x:c r="H882" s="50" t="str"/>
      <x:c r="I882" s="50" t="str"/>
      <x:c r="J882" s="50" t="str"/>
      <x:c r="K882" s="47" t="str"/>
      <x:c r="L882" s="50" t="str"/>
      <x:c r="M882" s="50" t="str"/>
      <x:c r="N882" s="47" t="str"/>
      <x:c r="O882" s="50" t="str"/>
      <x:c r="P882" s="64" t="str">
        <x:f>IF(O882="","",O882*2)</x:f>
      </x:c>
      <x:c r="Q882" s="50" t="str"/>
      <x:c r="R882" s="47" t="str"/>
      <x:c r="S882" s="33" t="str">
        <x:v>Not Tested</x:v>
      </x:c>
      <x:c r="T882" s="64" t="str">
        <x:v>Eligible</x:v>
      </x:c>
      <x:c r="U882" s="47" t="str"/>
      <x:c r="V882" s="47" t="str"/>
      <x:c r="W882" s="47" t="str"/>
      <x:c r="X882" s="50" t="str"/>
      <x:c r="Y882" s="50" t="str"/>
      <x:c r="Z882" s="47" t="str"/>
      <x:c r="AA882" s="47" t="str">
        <x:v>No direct published reference located; do not display a crimp value.</x:v>
      </x:c>
      <x:c r="AB882" s="161" t="str">
        <x:v>Pending</x:v>
      </x:c>
    </x:row>
    <x:row r="883" ht="42" customHeight="1">
      <x:c r="A883" s="33" t="str">
        <x:v>Draft</x:v>
      </x:c>
      <x:c r="B883" s="47" t="str">
        <x:v>COMP_0879</x:v>
      </x:c>
      <x:c r="C883" s="47" t="str">
        <x:v>EN4SP_002</x:v>
      </x:c>
      <x:c r="D883" s="47" t="str">
        <x:v>ORFS90_F_SW_08_06</x:v>
      </x:c>
      <x:c r="E883" s="47" t="str">
        <x:v>EN4SP_4SP_002</x:v>
      </x:c>
      <x:c r="F883" s="47" t="str"/>
      <x:c r="G883" s="33" t="str"/>
      <x:c r="H883" s="50" t="str"/>
      <x:c r="I883" s="50" t="str"/>
      <x:c r="J883" s="50" t="str"/>
      <x:c r="K883" s="47" t="str"/>
      <x:c r="L883" s="50" t="str"/>
      <x:c r="M883" s="50" t="str"/>
      <x:c r="N883" s="47" t="str"/>
      <x:c r="O883" s="50" t="str"/>
      <x:c r="P883" s="64" t="str">
        <x:f>IF(O883="","",O883*2)</x:f>
      </x:c>
      <x:c r="Q883" s="50" t="str"/>
      <x:c r="R883" s="47" t="str"/>
      <x:c r="S883" s="33" t="str">
        <x:v>Not Tested</x:v>
      </x:c>
      <x:c r="T883" s="64" t="str">
        <x:v>Eligible</x:v>
      </x:c>
      <x:c r="U883" s="47" t="str"/>
      <x:c r="V883" s="47" t="str"/>
      <x:c r="W883" s="47" t="str"/>
      <x:c r="X883" s="50" t="str"/>
      <x:c r="Y883" s="50" t="str"/>
      <x:c r="Z883" s="47" t="str"/>
      <x:c r="AA883" s="47" t="str">
        <x:v>No direct published reference located; do not display a crimp value.</x:v>
      </x:c>
      <x:c r="AB883" s="161" t="str">
        <x:v>Pending</x:v>
      </x:c>
    </x:row>
    <x:row r="884" ht="42" customHeight="1">
      <x:c r="A884" s="33" t="str">
        <x:v>Draft</x:v>
      </x:c>
      <x:c r="B884" s="47" t="str">
        <x:v>COMP_0880</x:v>
      </x:c>
      <x:c r="C884" s="47" t="str">
        <x:v>EN4SP_003</x:v>
      </x:c>
      <x:c r="D884" s="47" t="str">
        <x:v>BSPP_F_SW_08_08</x:v>
      </x:c>
      <x:c r="E884" s="47" t="str">
        <x:v>EN4SP_4SP_003</x:v>
      </x:c>
      <x:c r="F884" s="47" t="str"/>
      <x:c r="G884" s="33" t="str"/>
      <x:c r="H884" s="50" t="str"/>
      <x:c r="I884" s="50" t="str"/>
      <x:c r="J884" s="50" t="str"/>
      <x:c r="K884" s="47" t="str"/>
      <x:c r="L884" s="50" t="str"/>
      <x:c r="M884" s="50" t="str"/>
      <x:c r="N884" s="47" t="str"/>
      <x:c r="O884" s="50" t="str"/>
      <x:c r="P884" s="64" t="str">
        <x:f>IF(O884="","",O884*2)</x:f>
      </x:c>
      <x:c r="Q884" s="50" t="str"/>
      <x:c r="R884" s="47" t="str"/>
      <x:c r="S884" s="33" t="str">
        <x:v>Not Tested</x:v>
      </x:c>
      <x:c r="T884" s="64" t="str">
        <x:v>Eligible</x:v>
      </x:c>
      <x:c r="U884" s="47" t="str"/>
      <x:c r="V884" s="47" t="str"/>
      <x:c r="W884" s="47" t="str"/>
      <x:c r="X884" s="50" t="str"/>
      <x:c r="Y884" s="50" t="str"/>
      <x:c r="Z884" s="47" t="str"/>
      <x:c r="AA884" s="47" t="str">
        <x:v>No direct published reference located; do not display a crimp value.</x:v>
      </x:c>
      <x:c r="AB884" s="161" t="str">
        <x:v>Pending</x:v>
      </x:c>
    </x:row>
    <x:row r="885" ht="42" customHeight="1">
      <x:c r="A885" s="33" t="str">
        <x:v>Draft</x:v>
      </x:c>
      <x:c r="B885" s="47" t="str">
        <x:v>COMP_0881</x:v>
      </x:c>
      <x:c r="C885" s="47" t="str">
        <x:v>EN4SP_003</x:v>
      </x:c>
      <x:c r="D885" s="47" t="str">
        <x:v>BSPP_F_SW_10_08</x:v>
      </x:c>
      <x:c r="E885" s="47" t="str">
        <x:v>EN4SP_4SP_003</x:v>
      </x:c>
      <x:c r="F885" s="47" t="str"/>
      <x:c r="G885" s="33" t="str"/>
      <x:c r="H885" s="50" t="str"/>
      <x:c r="I885" s="50" t="str"/>
      <x:c r="J885" s="50" t="str"/>
      <x:c r="K885" s="47" t="str"/>
      <x:c r="L885" s="50" t="str"/>
      <x:c r="M885" s="50" t="str"/>
      <x:c r="N885" s="47" t="str"/>
      <x:c r="O885" s="50" t="str"/>
      <x:c r="P885" s="64" t="str">
        <x:f>IF(O885="","",O885*2)</x:f>
      </x:c>
      <x:c r="Q885" s="50" t="str"/>
      <x:c r="R885" s="47" t="str"/>
      <x:c r="S885" s="33" t="str">
        <x:v>Not Tested</x:v>
      </x:c>
      <x:c r="T885" s="64" t="str">
        <x:v>Eligible</x:v>
      </x:c>
      <x:c r="U885" s="47" t="str"/>
      <x:c r="V885" s="47" t="str"/>
      <x:c r="W885" s="47" t="str"/>
      <x:c r="X885" s="50" t="str"/>
      <x:c r="Y885" s="50" t="str"/>
      <x:c r="Z885" s="47" t="str"/>
      <x:c r="AA885" s="47" t="str">
        <x:v>No direct published reference located; do not display a crimp value.</x:v>
      </x:c>
      <x:c r="AB885" s="161" t="str">
        <x:v>Pending</x:v>
      </x:c>
    </x:row>
    <x:row r="886" ht="42" customHeight="1">
      <x:c r="A886" s="33" t="str">
        <x:v>Draft</x:v>
      </x:c>
      <x:c r="B886" s="47" t="str">
        <x:v>COMP_0882</x:v>
      </x:c>
      <x:c r="C886" s="47" t="str">
        <x:v>EN4SP_003</x:v>
      </x:c>
      <x:c r="D886" s="47" t="str">
        <x:v>BSPP_M_FX_08_08</x:v>
      </x:c>
      <x:c r="E886" s="47" t="str">
        <x:v>EN4SP_4SP_003</x:v>
      </x:c>
      <x:c r="F886" s="47" t="str"/>
      <x:c r="G886" s="33" t="str"/>
      <x:c r="H886" s="50" t="str"/>
      <x:c r="I886" s="50" t="str"/>
      <x:c r="J886" s="50" t="str"/>
      <x:c r="K886" s="47" t="str"/>
      <x:c r="L886" s="50" t="str"/>
      <x:c r="M886" s="50" t="str"/>
      <x:c r="N886" s="47" t="str"/>
      <x:c r="O886" s="50" t="str"/>
      <x:c r="P886" s="64" t="str">
        <x:f>IF(O886="","",O886*2)</x:f>
      </x:c>
      <x:c r="Q886" s="50" t="str"/>
      <x:c r="R886" s="47" t="str"/>
      <x:c r="S886" s="33" t="str">
        <x:v>Not Tested</x:v>
      </x:c>
      <x:c r="T886" s="64" t="str">
        <x:v>Eligible</x:v>
      </x:c>
      <x:c r="U886" s="47" t="str"/>
      <x:c r="V886" s="47" t="str"/>
      <x:c r="W886" s="47" t="str"/>
      <x:c r="X886" s="50" t="str"/>
      <x:c r="Y886" s="50" t="str"/>
      <x:c r="Z886" s="47" t="str"/>
      <x:c r="AA886" s="47" t="str">
        <x:v>No direct published reference located; do not display a crimp value.</x:v>
      </x:c>
      <x:c r="AB886" s="161" t="str">
        <x:v>Pending</x:v>
      </x:c>
    </x:row>
    <x:row r="887" ht="42" customHeight="1">
      <x:c r="A887" s="33" t="str">
        <x:v>Draft</x:v>
      </x:c>
      <x:c r="B887" s="47" t="str">
        <x:v>COMP_0883</x:v>
      </x:c>
      <x:c r="C887" s="47" t="str">
        <x:v>EN4SP_003</x:v>
      </x:c>
      <x:c r="D887" s="47" t="str">
        <x:v>BSPP_M_FX_10_08</x:v>
      </x:c>
      <x:c r="E887" s="47" t="str">
        <x:v>EN4SP_4SP_003</x:v>
      </x:c>
      <x:c r="F887" s="47" t="str"/>
      <x:c r="G887" s="33" t="str"/>
      <x:c r="H887" s="50" t="str"/>
      <x:c r="I887" s="50" t="str"/>
      <x:c r="J887" s="50" t="str"/>
      <x:c r="K887" s="47" t="str"/>
      <x:c r="L887" s="50" t="str"/>
      <x:c r="M887" s="50" t="str"/>
      <x:c r="N887" s="47" t="str"/>
      <x:c r="O887" s="50" t="str"/>
      <x:c r="P887" s="64" t="str">
        <x:f>IF(O887="","",O887*2)</x:f>
      </x:c>
      <x:c r="Q887" s="50" t="str"/>
      <x:c r="R887" s="47" t="str"/>
      <x:c r="S887" s="33" t="str">
        <x:v>Not Tested</x:v>
      </x:c>
      <x:c r="T887" s="64" t="str">
        <x:v>Eligible</x:v>
      </x:c>
      <x:c r="U887" s="47" t="str"/>
      <x:c r="V887" s="47" t="str"/>
      <x:c r="W887" s="47" t="str"/>
      <x:c r="X887" s="50" t="str"/>
      <x:c r="Y887" s="50" t="str"/>
      <x:c r="Z887" s="47" t="str"/>
      <x:c r="AA887" s="47" t="str">
        <x:v>No direct published reference located; do not display a crimp value.</x:v>
      </x:c>
      <x:c r="AB887" s="161" t="str">
        <x:v>Pending</x:v>
      </x:c>
    </x:row>
    <x:row r="888" ht="42" customHeight="1">
      <x:c r="A888" s="33" t="str">
        <x:v>Draft</x:v>
      </x:c>
      <x:c r="B888" s="47" t="str">
        <x:v>COMP_0884</x:v>
      </x:c>
      <x:c r="C888" s="47" t="str">
        <x:v>EN4SP_003</x:v>
      </x:c>
      <x:c r="D888" s="47" t="str">
        <x:v>BSPP45_F_SW_08_08</x:v>
      </x:c>
      <x:c r="E888" s="47" t="str">
        <x:v>EN4SP_4SP_003</x:v>
      </x:c>
      <x:c r="F888" s="47" t="str"/>
      <x:c r="G888" s="33" t="str"/>
      <x:c r="H888" s="50" t="str"/>
      <x:c r="I888" s="50" t="str"/>
      <x:c r="J888" s="50" t="str"/>
      <x:c r="K888" s="47" t="str"/>
      <x:c r="L888" s="50" t="str"/>
      <x:c r="M888" s="50" t="str"/>
      <x:c r="N888" s="47" t="str"/>
      <x:c r="O888" s="50" t="str"/>
      <x:c r="P888" s="64" t="str">
        <x:f>IF(O888="","",O888*2)</x:f>
      </x:c>
      <x:c r="Q888" s="50" t="str"/>
      <x:c r="R888" s="47" t="str"/>
      <x:c r="S888" s="33" t="str">
        <x:v>Not Tested</x:v>
      </x:c>
      <x:c r="T888" s="64" t="str">
        <x:v>Eligible</x:v>
      </x:c>
      <x:c r="U888" s="47" t="str"/>
      <x:c r="V888" s="47" t="str"/>
      <x:c r="W888" s="47" t="str"/>
      <x:c r="X888" s="50" t="str"/>
      <x:c r="Y888" s="50" t="str"/>
      <x:c r="Z888" s="47" t="str"/>
      <x:c r="AA888" s="47" t="str">
        <x:v>No direct published reference located; do not display a crimp value.</x:v>
      </x:c>
      <x:c r="AB888" s="161" t="str">
        <x:v>Pending</x:v>
      </x:c>
    </x:row>
    <x:row r="889" ht="42" customHeight="1">
      <x:c r="A889" s="33" t="str">
        <x:v>Draft</x:v>
      </x:c>
      <x:c r="B889" s="47" t="str">
        <x:v>COMP_0885</x:v>
      </x:c>
      <x:c r="C889" s="47" t="str">
        <x:v>EN4SP_003</x:v>
      </x:c>
      <x:c r="D889" s="47" t="str">
        <x:v>BSPP90_F_SW_08_08</x:v>
      </x:c>
      <x:c r="E889" s="47" t="str">
        <x:v>EN4SP_4SP_003</x:v>
      </x:c>
      <x:c r="F889" s="47" t="str"/>
      <x:c r="G889" s="33" t="str"/>
      <x:c r="H889" s="50" t="str"/>
      <x:c r="I889" s="50" t="str"/>
      <x:c r="J889" s="50" t="str"/>
      <x:c r="K889" s="47" t="str"/>
      <x:c r="L889" s="50" t="str"/>
      <x:c r="M889" s="50" t="str"/>
      <x:c r="N889" s="47" t="str"/>
      <x:c r="O889" s="50" t="str"/>
      <x:c r="P889" s="64" t="str">
        <x:f>IF(O889="","",O889*2)</x:f>
      </x:c>
      <x:c r="Q889" s="50" t="str"/>
      <x:c r="R889" s="47" t="str"/>
      <x:c r="S889" s="33" t="str">
        <x:v>Not Tested</x:v>
      </x:c>
      <x:c r="T889" s="64" t="str">
        <x:v>Eligible</x:v>
      </x:c>
      <x:c r="U889" s="47" t="str"/>
      <x:c r="V889" s="47" t="str"/>
      <x:c r="W889" s="47" t="str"/>
      <x:c r="X889" s="50" t="str"/>
      <x:c r="Y889" s="50" t="str"/>
      <x:c r="Z889" s="47" t="str"/>
      <x:c r="AA889" s="47" t="str">
        <x:v>No direct published reference located; do not display a crimp value.</x:v>
      </x:c>
      <x:c r="AB889" s="161" t="str">
        <x:v>Pending</x:v>
      </x:c>
    </x:row>
    <x:row r="890" ht="42" customHeight="1">
      <x:c r="A890" s="33" t="str">
        <x:v>Draft</x:v>
      </x:c>
      <x:c r="B890" s="47" t="str">
        <x:v>COMP_0886</x:v>
      </x:c>
      <x:c r="C890" s="47" t="str">
        <x:v>EN4SP_003</x:v>
      </x:c>
      <x:c r="D890" s="47" t="str">
        <x:v>BSPT_M_FX_06_08</x:v>
      </x:c>
      <x:c r="E890" s="47" t="str">
        <x:v>EN4SP_4SP_003</x:v>
      </x:c>
      <x:c r="F890" s="47" t="str"/>
      <x:c r="G890" s="33" t="str"/>
      <x:c r="H890" s="50" t="str"/>
      <x:c r="I890" s="50" t="str"/>
      <x:c r="J890" s="50" t="str"/>
      <x:c r="K890" s="47" t="str"/>
      <x:c r="L890" s="50" t="str"/>
      <x:c r="M890" s="50" t="str"/>
      <x:c r="N890" s="47" t="str"/>
      <x:c r="O890" s="50" t="str"/>
      <x:c r="P890" s="64" t="str">
        <x:f>IF(O890="","",O890*2)</x:f>
      </x:c>
      <x:c r="Q890" s="50" t="str"/>
      <x:c r="R890" s="47" t="str"/>
      <x:c r="S890" s="33" t="str">
        <x:v>Not Tested</x:v>
      </x:c>
      <x:c r="T890" s="64" t="str">
        <x:v>Eligible</x:v>
      </x:c>
      <x:c r="U890" s="47" t="str"/>
      <x:c r="V890" s="47" t="str"/>
      <x:c r="W890" s="47" t="str"/>
      <x:c r="X890" s="50" t="str"/>
      <x:c r="Y890" s="50" t="str"/>
      <x:c r="Z890" s="47" t="str"/>
      <x:c r="AA890" s="47" t="str">
        <x:v>No direct published reference located; do not display a crimp value.</x:v>
      </x:c>
      <x:c r="AB890" s="161" t="str">
        <x:v>Pending</x:v>
      </x:c>
    </x:row>
    <x:row r="891" ht="42" customHeight="1">
      <x:c r="A891" s="33" t="str">
        <x:v>Draft</x:v>
      </x:c>
      <x:c r="B891" s="47" t="str">
        <x:v>COMP_0887</x:v>
      </x:c>
      <x:c r="C891" s="47" t="str">
        <x:v>EN4SP_003</x:v>
      </x:c>
      <x:c r="D891" s="47" t="str">
        <x:v>BSPT_M_FX_08_08</x:v>
      </x:c>
      <x:c r="E891" s="47" t="str">
        <x:v>EN4SP_4SP_003</x:v>
      </x:c>
      <x:c r="F891" s="47" t="str"/>
      <x:c r="G891" s="33" t="str"/>
      <x:c r="H891" s="50" t="str"/>
      <x:c r="I891" s="50" t="str"/>
      <x:c r="J891" s="50" t="str"/>
      <x:c r="K891" s="47" t="str"/>
      <x:c r="L891" s="50" t="str"/>
      <x:c r="M891" s="50" t="str"/>
      <x:c r="N891" s="47" t="str"/>
      <x:c r="O891" s="50" t="str"/>
      <x:c r="P891" s="64" t="str">
        <x:f>IF(O891="","",O891*2)</x:f>
      </x:c>
      <x:c r="Q891" s="50" t="str"/>
      <x:c r="R891" s="47" t="str"/>
      <x:c r="S891" s="33" t="str">
        <x:v>Not Tested</x:v>
      </x:c>
      <x:c r="T891" s="64" t="str">
        <x:v>Eligible</x:v>
      </x:c>
      <x:c r="U891" s="47" t="str"/>
      <x:c r="V891" s="47" t="str"/>
      <x:c r="W891" s="47" t="str"/>
      <x:c r="X891" s="50" t="str"/>
      <x:c r="Y891" s="50" t="str"/>
      <x:c r="Z891" s="47" t="str"/>
      <x:c r="AA891" s="47" t="str">
        <x:v>No direct published reference located; do not display a crimp value.</x:v>
      </x:c>
      <x:c r="AB891" s="161" t="str">
        <x:v>Pending</x:v>
      </x:c>
    </x:row>
    <x:row r="892" ht="42" customHeight="1">
      <x:c r="A892" s="33" t="str">
        <x:v>Draft</x:v>
      </x:c>
      <x:c r="B892" s="47" t="str">
        <x:v>COMP_0888</x:v>
      </x:c>
      <x:c r="C892" s="47" t="str">
        <x:v>EN4SP_003</x:v>
      </x:c>
      <x:c r="D892" s="47" t="str">
        <x:v>JIC_F_SW_06_08</x:v>
      </x:c>
      <x:c r="E892" s="47" t="str">
        <x:v>EN4SP_4SP_003</x:v>
      </x:c>
      <x:c r="F892" s="47" t="str"/>
      <x:c r="G892" s="33" t="str"/>
      <x:c r="H892" s="50" t="str"/>
      <x:c r="I892" s="50" t="str"/>
      <x:c r="J892" s="50" t="str"/>
      <x:c r="K892" s="47" t="str"/>
      <x:c r="L892" s="50" t="str"/>
      <x:c r="M892" s="50" t="str"/>
      <x:c r="N892" s="47" t="str"/>
      <x:c r="O892" s="50" t="str"/>
      <x:c r="P892" s="64" t="str">
        <x:f>IF(O892="","",O892*2)</x:f>
      </x:c>
      <x:c r="Q892" s="50" t="str"/>
      <x:c r="R892" s="47" t="str"/>
      <x:c r="S892" s="33" t="str">
        <x:v>Not Tested</x:v>
      </x:c>
      <x:c r="T892" s="64" t="str">
        <x:v>Eligible</x:v>
      </x:c>
      <x:c r="U892" s="47" t="str"/>
      <x:c r="V892" s="47" t="str"/>
      <x:c r="W892" s="47" t="str"/>
      <x:c r="X892" s="50" t="str"/>
      <x:c r="Y892" s="50" t="str"/>
      <x:c r="Z892" s="47" t="str"/>
      <x:c r="AA892" s="47" t="str">
        <x:v>No direct published reference located; do not display a crimp value.</x:v>
      </x:c>
      <x:c r="AB892" s="161" t="str">
        <x:v>Pending</x:v>
      </x:c>
    </x:row>
    <x:row r="893" ht="42" customHeight="1">
      <x:c r="A893" s="33" t="str">
        <x:v>Draft</x:v>
      </x:c>
      <x:c r="B893" s="47" t="str">
        <x:v>COMP_0889</x:v>
      </x:c>
      <x:c r="C893" s="47" t="str">
        <x:v>EN4SP_003</x:v>
      </x:c>
      <x:c r="D893" s="47" t="str">
        <x:v>JIC_F_SW_08_08</x:v>
      </x:c>
      <x:c r="E893" s="47" t="str">
        <x:v>EN4SP_4SP_003</x:v>
      </x:c>
      <x:c r="F893" s="47" t="str"/>
      <x:c r="G893" s="33" t="str"/>
      <x:c r="H893" s="50" t="str"/>
      <x:c r="I893" s="50" t="str"/>
      <x:c r="J893" s="50" t="str"/>
      <x:c r="K893" s="47" t="str"/>
      <x:c r="L893" s="50" t="str"/>
      <x:c r="M893" s="50" t="str"/>
      <x:c r="N893" s="47" t="str"/>
      <x:c r="O893" s="50" t="str"/>
      <x:c r="P893" s="64" t="str">
        <x:f>IF(O893="","",O893*2)</x:f>
      </x:c>
      <x:c r="Q893" s="50" t="str"/>
      <x:c r="R893" s="47" t="str"/>
      <x:c r="S893" s="33" t="str">
        <x:v>Not Tested</x:v>
      </x:c>
      <x:c r="T893" s="64" t="str">
        <x:v>Eligible</x:v>
      </x:c>
      <x:c r="U893" s="47" t="str"/>
      <x:c r="V893" s="47" t="str"/>
      <x:c r="W893" s="47" t="str"/>
      <x:c r="X893" s="50" t="str"/>
      <x:c r="Y893" s="50" t="str"/>
      <x:c r="Z893" s="47" t="str"/>
      <x:c r="AA893" s="47" t="str">
        <x:v>No direct published reference located; do not display a crimp value.</x:v>
      </x:c>
      <x:c r="AB893" s="161" t="str">
        <x:v>Pending</x:v>
      </x:c>
    </x:row>
    <x:row r="894" ht="42" customHeight="1">
      <x:c r="A894" s="33" t="str">
        <x:v>Draft</x:v>
      </x:c>
      <x:c r="B894" s="47" t="str">
        <x:v>COMP_0890</x:v>
      </x:c>
      <x:c r="C894" s="47" t="str">
        <x:v>EN4SP_003</x:v>
      </x:c>
      <x:c r="D894" s="47" t="str">
        <x:v>JIC_F_SW_10_08</x:v>
      </x:c>
      <x:c r="E894" s="47" t="str">
        <x:v>EN4SP_4SP_003</x:v>
      </x:c>
      <x:c r="F894" s="47" t="str"/>
      <x:c r="G894" s="33" t="str"/>
      <x:c r="H894" s="50" t="str"/>
      <x:c r="I894" s="50" t="str"/>
      <x:c r="J894" s="50" t="str"/>
      <x:c r="K894" s="47" t="str"/>
      <x:c r="L894" s="50" t="str"/>
      <x:c r="M894" s="50" t="str"/>
      <x:c r="N894" s="47" t="str"/>
      <x:c r="O894" s="50" t="str"/>
      <x:c r="P894" s="64" t="str">
        <x:f>IF(O894="","",O894*2)</x:f>
      </x:c>
      <x:c r="Q894" s="50" t="str"/>
      <x:c r="R894" s="47" t="str"/>
      <x:c r="S894" s="33" t="str">
        <x:v>Not Tested</x:v>
      </x:c>
      <x:c r="T894" s="64" t="str">
        <x:v>Eligible</x:v>
      </x:c>
      <x:c r="U894" s="47" t="str"/>
      <x:c r="V894" s="47" t="str"/>
      <x:c r="W894" s="47" t="str"/>
      <x:c r="X894" s="50" t="str"/>
      <x:c r="Y894" s="50" t="str"/>
      <x:c r="Z894" s="47" t="str"/>
      <x:c r="AA894" s="47" t="str">
        <x:v>No direct published reference located; do not display a crimp value.</x:v>
      </x:c>
      <x:c r="AB894" s="161" t="str">
        <x:v>Pending</x:v>
      </x:c>
    </x:row>
    <x:row r="895" ht="42" customHeight="1">
      <x:c r="A895" s="33" t="str">
        <x:v>Draft</x:v>
      </x:c>
      <x:c r="B895" s="47" t="str">
        <x:v>COMP_0891</x:v>
      </x:c>
      <x:c r="C895" s="47" t="str">
        <x:v>EN4SP_003</x:v>
      </x:c>
      <x:c r="D895" s="47" t="str">
        <x:v>JIC_F_SW_12_08</x:v>
      </x:c>
      <x:c r="E895" s="47" t="str">
        <x:v>EN4SP_4SP_003</x:v>
      </x:c>
      <x:c r="F895" s="47" t="str"/>
      <x:c r="G895" s="33" t="str"/>
      <x:c r="H895" s="50" t="str"/>
      <x:c r="I895" s="50" t="str"/>
      <x:c r="J895" s="50" t="str"/>
      <x:c r="K895" s="47" t="str"/>
      <x:c r="L895" s="50" t="str"/>
      <x:c r="M895" s="50" t="str"/>
      <x:c r="N895" s="47" t="str"/>
      <x:c r="O895" s="50" t="str"/>
      <x:c r="P895" s="64" t="str">
        <x:f>IF(O895="","",O895*2)</x:f>
      </x:c>
      <x:c r="Q895" s="50" t="str"/>
      <x:c r="R895" s="47" t="str"/>
      <x:c r="S895" s="33" t="str">
        <x:v>Not Tested</x:v>
      </x:c>
      <x:c r="T895" s="64" t="str">
        <x:v>Eligible</x:v>
      </x:c>
      <x:c r="U895" s="47" t="str"/>
      <x:c r="V895" s="47" t="str"/>
      <x:c r="W895" s="47" t="str"/>
      <x:c r="X895" s="50" t="str"/>
      <x:c r="Y895" s="50" t="str"/>
      <x:c r="Z895" s="47" t="str"/>
      <x:c r="AA895" s="47" t="str">
        <x:v>No direct published reference located; do not display a crimp value.</x:v>
      </x:c>
      <x:c r="AB895" s="161" t="str">
        <x:v>Pending</x:v>
      </x:c>
    </x:row>
    <x:row r="896" ht="42" customHeight="1">
      <x:c r="A896" s="33" t="str">
        <x:v>Draft</x:v>
      </x:c>
      <x:c r="B896" s="47" t="str">
        <x:v>COMP_0892</x:v>
      </x:c>
      <x:c r="C896" s="47" t="str">
        <x:v>EN4SP_003</x:v>
      </x:c>
      <x:c r="D896" s="47" t="str">
        <x:v>JIC_M_FX_06_08</x:v>
      </x:c>
      <x:c r="E896" s="47" t="str">
        <x:v>EN4SP_4SP_003</x:v>
      </x:c>
      <x:c r="F896" s="47" t="str"/>
      <x:c r="G896" s="33" t="str"/>
      <x:c r="H896" s="50" t="str"/>
      <x:c r="I896" s="50" t="str"/>
      <x:c r="J896" s="50" t="str"/>
      <x:c r="K896" s="47" t="str"/>
      <x:c r="L896" s="50" t="str"/>
      <x:c r="M896" s="50" t="str"/>
      <x:c r="N896" s="47" t="str"/>
      <x:c r="O896" s="50" t="str"/>
      <x:c r="P896" s="64" t="str">
        <x:f>IF(O896="","",O896*2)</x:f>
      </x:c>
      <x:c r="Q896" s="50" t="str"/>
      <x:c r="R896" s="47" t="str"/>
      <x:c r="S896" s="33" t="str">
        <x:v>Not Tested</x:v>
      </x:c>
      <x:c r="T896" s="64" t="str">
        <x:v>Eligible</x:v>
      </x:c>
      <x:c r="U896" s="47" t="str"/>
      <x:c r="V896" s="47" t="str"/>
      <x:c r="W896" s="47" t="str"/>
      <x:c r="X896" s="50" t="str"/>
      <x:c r="Y896" s="50" t="str"/>
      <x:c r="Z896" s="47" t="str"/>
      <x:c r="AA896" s="47" t="str">
        <x:v>No direct published reference located; do not display a crimp value.</x:v>
      </x:c>
      <x:c r="AB896" s="161" t="str">
        <x:v>Pending</x:v>
      </x:c>
    </x:row>
    <x:row r="897" ht="42" customHeight="1">
      <x:c r="A897" s="33" t="str">
        <x:v>Draft</x:v>
      </x:c>
      <x:c r="B897" s="47" t="str">
        <x:v>COMP_0893</x:v>
      </x:c>
      <x:c r="C897" s="47" t="str">
        <x:v>EN4SP_003</x:v>
      </x:c>
      <x:c r="D897" s="47" t="str">
        <x:v>JIC_M_FX_08_08</x:v>
      </x:c>
      <x:c r="E897" s="47" t="str">
        <x:v>EN4SP_4SP_003</x:v>
      </x:c>
      <x:c r="F897" s="47" t="str"/>
      <x:c r="G897" s="33" t="str"/>
      <x:c r="H897" s="50" t="str"/>
      <x:c r="I897" s="50" t="str"/>
      <x:c r="J897" s="50" t="str"/>
      <x:c r="K897" s="47" t="str"/>
      <x:c r="L897" s="50" t="str"/>
      <x:c r="M897" s="50" t="str"/>
      <x:c r="N897" s="47" t="str"/>
      <x:c r="O897" s="50" t="str"/>
      <x:c r="P897" s="64" t="str">
        <x:f>IF(O897="","",O897*2)</x:f>
      </x:c>
      <x:c r="Q897" s="50" t="str"/>
      <x:c r="R897" s="47" t="str"/>
      <x:c r="S897" s="33" t="str">
        <x:v>Not Tested</x:v>
      </x:c>
      <x:c r="T897" s="64" t="str">
        <x:v>Eligible</x:v>
      </x:c>
      <x:c r="U897" s="47" t="str"/>
      <x:c r="V897" s="47" t="str"/>
      <x:c r="W897" s="47" t="str"/>
      <x:c r="X897" s="50" t="str"/>
      <x:c r="Y897" s="50" t="str"/>
      <x:c r="Z897" s="47" t="str"/>
      <x:c r="AA897" s="47" t="str">
        <x:v>No direct published reference located; do not display a crimp value.</x:v>
      </x:c>
      <x:c r="AB897" s="161" t="str">
        <x:v>Pending</x:v>
      </x:c>
    </x:row>
    <x:row r="898" ht="42" customHeight="1">
      <x:c r="A898" s="33" t="str">
        <x:v>Draft</x:v>
      </x:c>
      <x:c r="B898" s="47" t="str">
        <x:v>COMP_0894</x:v>
      </x:c>
      <x:c r="C898" s="47" t="str">
        <x:v>EN4SP_003</x:v>
      </x:c>
      <x:c r="D898" s="47" t="str">
        <x:v>JIC_M_FX_10_08</x:v>
      </x:c>
      <x:c r="E898" s="47" t="str">
        <x:v>EN4SP_4SP_003</x:v>
      </x:c>
      <x:c r="F898" s="47" t="str"/>
      <x:c r="G898" s="33" t="str"/>
      <x:c r="H898" s="50" t="str"/>
      <x:c r="I898" s="50" t="str"/>
      <x:c r="J898" s="50" t="str"/>
      <x:c r="K898" s="47" t="str"/>
      <x:c r="L898" s="50" t="str"/>
      <x:c r="M898" s="50" t="str"/>
      <x:c r="N898" s="47" t="str"/>
      <x:c r="O898" s="50" t="str"/>
      <x:c r="P898" s="64" t="str">
        <x:f>IF(O898="","",O898*2)</x:f>
      </x:c>
      <x:c r="Q898" s="50" t="str"/>
      <x:c r="R898" s="47" t="str"/>
      <x:c r="S898" s="33" t="str">
        <x:v>Not Tested</x:v>
      </x:c>
      <x:c r="T898" s="64" t="str">
        <x:v>Eligible</x:v>
      </x:c>
      <x:c r="U898" s="47" t="str"/>
      <x:c r="V898" s="47" t="str"/>
      <x:c r="W898" s="47" t="str"/>
      <x:c r="X898" s="50" t="str"/>
      <x:c r="Y898" s="50" t="str"/>
      <x:c r="Z898" s="47" t="str"/>
      <x:c r="AA898" s="47" t="str">
        <x:v>No direct published reference located; do not display a crimp value.</x:v>
      </x:c>
      <x:c r="AB898" s="161" t="str">
        <x:v>Pending</x:v>
      </x:c>
    </x:row>
    <x:row r="899" ht="42" customHeight="1">
      <x:c r="A899" s="33" t="str">
        <x:v>Draft</x:v>
      </x:c>
      <x:c r="B899" s="47" t="str">
        <x:v>COMP_0895</x:v>
      </x:c>
      <x:c r="C899" s="47" t="str">
        <x:v>EN4SP_003</x:v>
      </x:c>
      <x:c r="D899" s="47" t="str">
        <x:v>JIC_M_FX_12_08</x:v>
      </x:c>
      <x:c r="E899" s="47" t="str">
        <x:v>EN4SP_4SP_003</x:v>
      </x:c>
      <x:c r="F899" s="47" t="str"/>
      <x:c r="G899" s="33" t="str"/>
      <x:c r="H899" s="50" t="str"/>
      <x:c r="I899" s="50" t="str"/>
      <x:c r="J899" s="50" t="str"/>
      <x:c r="K899" s="47" t="str"/>
      <x:c r="L899" s="50" t="str"/>
      <x:c r="M899" s="50" t="str"/>
      <x:c r="N899" s="47" t="str"/>
      <x:c r="O899" s="50" t="str"/>
      <x:c r="P899" s="64" t="str">
        <x:f>IF(O899="","",O899*2)</x:f>
      </x:c>
      <x:c r="Q899" s="50" t="str"/>
      <x:c r="R899" s="47" t="str"/>
      <x:c r="S899" s="33" t="str">
        <x:v>Not Tested</x:v>
      </x:c>
      <x:c r="T899" s="64" t="str">
        <x:v>Eligible</x:v>
      </x:c>
      <x:c r="U899" s="47" t="str"/>
      <x:c r="V899" s="47" t="str"/>
      <x:c r="W899" s="47" t="str"/>
      <x:c r="X899" s="50" t="str"/>
      <x:c r="Y899" s="50" t="str"/>
      <x:c r="Z899" s="47" t="str"/>
      <x:c r="AA899" s="47" t="str">
        <x:v>No direct published reference located; do not display a crimp value.</x:v>
      </x:c>
      <x:c r="AB899" s="161" t="str">
        <x:v>Pending</x:v>
      </x:c>
    </x:row>
    <x:row r="900" ht="42" customHeight="1">
      <x:c r="A900" s="33" t="str">
        <x:v>Draft</x:v>
      </x:c>
      <x:c r="B900" s="47" t="str">
        <x:v>COMP_0896</x:v>
      </x:c>
      <x:c r="C900" s="47" t="str">
        <x:v>EN4SP_003</x:v>
      </x:c>
      <x:c r="D900" s="47" t="str">
        <x:v>JIC45_F_SW_08_08</x:v>
      </x:c>
      <x:c r="E900" s="47" t="str">
        <x:v>EN4SP_4SP_003</x:v>
      </x:c>
      <x:c r="F900" s="47" t="str"/>
      <x:c r="G900" s="33" t="str"/>
      <x:c r="H900" s="50" t="str"/>
      <x:c r="I900" s="50" t="str"/>
      <x:c r="J900" s="50" t="str"/>
      <x:c r="K900" s="47" t="str"/>
      <x:c r="L900" s="50" t="str"/>
      <x:c r="M900" s="50" t="str"/>
      <x:c r="N900" s="47" t="str"/>
      <x:c r="O900" s="50" t="str"/>
      <x:c r="P900" s="64" t="str">
        <x:f>IF(O900="","",O900*2)</x:f>
      </x:c>
      <x:c r="Q900" s="50" t="str"/>
      <x:c r="R900" s="47" t="str"/>
      <x:c r="S900" s="33" t="str">
        <x:v>Not Tested</x:v>
      </x:c>
      <x:c r="T900" s="64" t="str">
        <x:v>Eligible</x:v>
      </x:c>
      <x:c r="U900" s="47" t="str"/>
      <x:c r="V900" s="47" t="str"/>
      <x:c r="W900" s="47" t="str"/>
      <x:c r="X900" s="50" t="str"/>
      <x:c r="Y900" s="50" t="str"/>
      <x:c r="Z900" s="47" t="str"/>
      <x:c r="AA900" s="47" t="str">
        <x:v>No direct published reference located; do not display a crimp value.</x:v>
      </x:c>
      <x:c r="AB900" s="161" t="str">
        <x:v>Pending</x:v>
      </x:c>
    </x:row>
    <x:row r="901" ht="42" customHeight="1">
      <x:c r="A901" s="33" t="str">
        <x:v>Draft</x:v>
      </x:c>
      <x:c r="B901" s="47" t="str">
        <x:v>COMP_0897</x:v>
      </x:c>
      <x:c r="C901" s="47" t="str">
        <x:v>EN4SP_003</x:v>
      </x:c>
      <x:c r="D901" s="47" t="str">
        <x:v>JIC45_F_SW_10_08</x:v>
      </x:c>
      <x:c r="E901" s="47" t="str">
        <x:v>EN4SP_4SP_003</x:v>
      </x:c>
      <x:c r="F901" s="47" t="str"/>
      <x:c r="G901" s="33" t="str"/>
      <x:c r="H901" s="50" t="str"/>
      <x:c r="I901" s="50" t="str"/>
      <x:c r="J901" s="50" t="str"/>
      <x:c r="K901" s="47" t="str"/>
      <x:c r="L901" s="50" t="str"/>
      <x:c r="M901" s="50" t="str"/>
      <x:c r="N901" s="47" t="str"/>
      <x:c r="O901" s="50" t="str"/>
      <x:c r="P901" s="64" t="str">
        <x:f>IF(O901="","",O901*2)</x:f>
      </x:c>
      <x:c r="Q901" s="50" t="str"/>
      <x:c r="R901" s="47" t="str"/>
      <x:c r="S901" s="33" t="str">
        <x:v>Not Tested</x:v>
      </x:c>
      <x:c r="T901" s="64" t="str">
        <x:v>Eligible</x:v>
      </x:c>
      <x:c r="U901" s="47" t="str"/>
      <x:c r="V901" s="47" t="str"/>
      <x:c r="W901" s="47" t="str"/>
      <x:c r="X901" s="50" t="str"/>
      <x:c r="Y901" s="50" t="str"/>
      <x:c r="Z901" s="47" t="str"/>
      <x:c r="AA901" s="47" t="str">
        <x:v>No direct published reference located; do not display a crimp value.</x:v>
      </x:c>
      <x:c r="AB901" s="161" t="str">
        <x:v>Pending</x:v>
      </x:c>
    </x:row>
    <x:row r="902" ht="42" customHeight="1">
      <x:c r="A902" s="33" t="str">
        <x:v>Draft</x:v>
      </x:c>
      <x:c r="B902" s="47" t="str">
        <x:v>COMP_0898</x:v>
      </x:c>
      <x:c r="C902" s="47" t="str">
        <x:v>EN4SP_003</x:v>
      </x:c>
      <x:c r="D902" s="47" t="str">
        <x:v>JIC90_F_SW_06_08</x:v>
      </x:c>
      <x:c r="E902" s="47" t="str">
        <x:v>EN4SP_4SP_003</x:v>
      </x:c>
      <x:c r="F902" s="47" t="str"/>
      <x:c r="G902" s="33" t="str"/>
      <x:c r="H902" s="50" t="str"/>
      <x:c r="I902" s="50" t="str"/>
      <x:c r="J902" s="50" t="str"/>
      <x:c r="K902" s="47" t="str"/>
      <x:c r="L902" s="50" t="str"/>
      <x:c r="M902" s="50" t="str"/>
      <x:c r="N902" s="47" t="str"/>
      <x:c r="O902" s="50" t="str"/>
      <x:c r="P902" s="64" t="str">
        <x:f>IF(O902="","",O902*2)</x:f>
      </x:c>
      <x:c r="Q902" s="50" t="str"/>
      <x:c r="R902" s="47" t="str"/>
      <x:c r="S902" s="33" t="str">
        <x:v>Not Tested</x:v>
      </x:c>
      <x:c r="T902" s="64" t="str">
        <x:v>Eligible</x:v>
      </x:c>
      <x:c r="U902" s="47" t="str"/>
      <x:c r="V902" s="47" t="str"/>
      <x:c r="W902" s="47" t="str"/>
      <x:c r="X902" s="50" t="str"/>
      <x:c r="Y902" s="50" t="str"/>
      <x:c r="Z902" s="47" t="str"/>
      <x:c r="AA902" s="47" t="str">
        <x:v>No direct published reference located; do not display a crimp value.</x:v>
      </x:c>
      <x:c r="AB902" s="161" t="str">
        <x:v>Pending</x:v>
      </x:c>
    </x:row>
    <x:row r="903" ht="42" customHeight="1">
      <x:c r="A903" s="33" t="str">
        <x:v>Draft</x:v>
      </x:c>
      <x:c r="B903" s="47" t="str">
        <x:v>COMP_0899</x:v>
      </x:c>
      <x:c r="C903" s="47" t="str">
        <x:v>EN4SP_003</x:v>
      </x:c>
      <x:c r="D903" s="47" t="str">
        <x:v>JIC90_F_SW_08_08</x:v>
      </x:c>
      <x:c r="E903" s="47" t="str">
        <x:v>EN4SP_4SP_003</x:v>
      </x:c>
      <x:c r="F903" s="47" t="str"/>
      <x:c r="G903" s="33" t="str"/>
      <x:c r="H903" s="50" t="str"/>
      <x:c r="I903" s="50" t="str"/>
      <x:c r="J903" s="50" t="str"/>
      <x:c r="K903" s="47" t="str"/>
      <x:c r="L903" s="50" t="str"/>
      <x:c r="M903" s="50" t="str"/>
      <x:c r="N903" s="47" t="str"/>
      <x:c r="O903" s="50" t="str"/>
      <x:c r="P903" s="64" t="str">
        <x:f>IF(O903="","",O903*2)</x:f>
      </x:c>
      <x:c r="Q903" s="50" t="str"/>
      <x:c r="R903" s="47" t="str"/>
      <x:c r="S903" s="33" t="str">
        <x:v>Not Tested</x:v>
      </x:c>
      <x:c r="T903" s="64" t="str">
        <x:v>Eligible</x:v>
      </x:c>
      <x:c r="U903" s="47" t="str"/>
      <x:c r="V903" s="47" t="str"/>
      <x:c r="W903" s="47" t="str"/>
      <x:c r="X903" s="50" t="str"/>
      <x:c r="Y903" s="50" t="str"/>
      <x:c r="Z903" s="47" t="str"/>
      <x:c r="AA903" s="47" t="str">
        <x:v>No direct published reference located; do not display a crimp value.</x:v>
      </x:c>
      <x:c r="AB903" s="161" t="str">
        <x:v>Pending</x:v>
      </x:c>
    </x:row>
    <x:row r="904" ht="42" customHeight="1">
      <x:c r="A904" s="33" t="str">
        <x:v>Draft</x:v>
      </x:c>
      <x:c r="B904" s="47" t="str">
        <x:v>COMP_0900</x:v>
      </x:c>
      <x:c r="C904" s="47" t="str">
        <x:v>EN4SP_003</x:v>
      </x:c>
      <x:c r="D904" s="47" t="str">
        <x:v>JIC90_F_SW_10_08</x:v>
      </x:c>
      <x:c r="E904" s="47" t="str">
        <x:v>EN4SP_4SP_003</x:v>
      </x:c>
      <x:c r="F904" s="47" t="str"/>
      <x:c r="G904" s="33" t="str"/>
      <x:c r="H904" s="50" t="str"/>
      <x:c r="I904" s="50" t="str"/>
      <x:c r="J904" s="50" t="str"/>
      <x:c r="K904" s="47" t="str"/>
      <x:c r="L904" s="50" t="str"/>
      <x:c r="M904" s="50" t="str"/>
      <x:c r="N904" s="47" t="str"/>
      <x:c r="O904" s="50" t="str"/>
      <x:c r="P904" s="64" t="str">
        <x:f>IF(O904="","",O904*2)</x:f>
      </x:c>
      <x:c r="Q904" s="50" t="str"/>
      <x:c r="R904" s="47" t="str"/>
      <x:c r="S904" s="33" t="str">
        <x:v>Not Tested</x:v>
      </x:c>
      <x:c r="T904" s="64" t="str">
        <x:v>Eligible</x:v>
      </x:c>
      <x:c r="U904" s="47" t="str"/>
      <x:c r="V904" s="47" t="str"/>
      <x:c r="W904" s="47" t="str"/>
      <x:c r="X904" s="50" t="str"/>
      <x:c r="Y904" s="50" t="str"/>
      <x:c r="Z904" s="47" t="str"/>
      <x:c r="AA904" s="47" t="str">
        <x:v>No direct published reference located; do not display a crimp value.</x:v>
      </x:c>
      <x:c r="AB904" s="161" t="str">
        <x:v>Pending</x:v>
      </x:c>
    </x:row>
    <x:row r="905" ht="42" customHeight="1">
      <x:c r="A905" s="33" t="str">
        <x:v>Draft</x:v>
      </x:c>
      <x:c r="B905" s="47" t="str">
        <x:v>COMP_0901</x:v>
      </x:c>
      <x:c r="C905" s="47" t="str">
        <x:v>EN4SP_003</x:v>
      </x:c>
      <x:c r="D905" s="47" t="str">
        <x:v>JIC90_F_SW_12_08</x:v>
      </x:c>
      <x:c r="E905" s="47" t="str">
        <x:v>EN4SP_4SP_003</x:v>
      </x:c>
      <x:c r="F905" s="47" t="str"/>
      <x:c r="G905" s="33" t="str"/>
      <x:c r="H905" s="50" t="str"/>
      <x:c r="I905" s="50" t="str"/>
      <x:c r="J905" s="50" t="str"/>
      <x:c r="K905" s="47" t="str"/>
      <x:c r="L905" s="50" t="str"/>
      <x:c r="M905" s="50" t="str"/>
      <x:c r="N905" s="47" t="str"/>
      <x:c r="O905" s="50" t="str"/>
      <x:c r="P905" s="64" t="str">
        <x:f>IF(O905="","",O905*2)</x:f>
      </x:c>
      <x:c r="Q905" s="50" t="str"/>
      <x:c r="R905" s="47" t="str"/>
      <x:c r="S905" s="33" t="str">
        <x:v>Not Tested</x:v>
      </x:c>
      <x:c r="T905" s="64" t="str">
        <x:v>Eligible</x:v>
      </x:c>
      <x:c r="U905" s="47" t="str"/>
      <x:c r="V905" s="47" t="str"/>
      <x:c r="W905" s="47" t="str"/>
      <x:c r="X905" s="50" t="str"/>
      <x:c r="Y905" s="50" t="str"/>
      <x:c r="Z905" s="47" t="str"/>
      <x:c r="AA905" s="47" t="str">
        <x:v>No direct published reference located; do not display a crimp value.</x:v>
      </x:c>
      <x:c r="AB905" s="161" t="str">
        <x:v>Pending</x:v>
      </x:c>
    </x:row>
    <x:row r="906" ht="42" customHeight="1">
      <x:c r="A906" s="33" t="str">
        <x:v>Draft</x:v>
      </x:c>
      <x:c r="B906" s="47" t="str">
        <x:v>COMP_0902</x:v>
      </x:c>
      <x:c r="C906" s="47" t="str">
        <x:v>EN4SP_003</x:v>
      </x:c>
      <x:c r="D906" s="47" t="str">
        <x:v>NPT_F_FX_08_08</x:v>
      </x:c>
      <x:c r="E906" s="47" t="str">
        <x:v>EN4SP_4SP_003</x:v>
      </x:c>
      <x:c r="F906" s="47" t="str"/>
      <x:c r="G906" s="33" t="str"/>
      <x:c r="H906" s="50" t="str"/>
      <x:c r="I906" s="50" t="str"/>
      <x:c r="J906" s="50" t="str"/>
      <x:c r="K906" s="47" t="str"/>
      <x:c r="L906" s="50" t="str"/>
      <x:c r="M906" s="50" t="str"/>
      <x:c r="N906" s="47" t="str"/>
      <x:c r="O906" s="50" t="str"/>
      <x:c r="P906" s="64" t="str">
        <x:f>IF(O906="","",O906*2)</x:f>
      </x:c>
      <x:c r="Q906" s="50" t="str"/>
      <x:c r="R906" s="47" t="str"/>
      <x:c r="S906" s="33" t="str">
        <x:v>Not Tested</x:v>
      </x:c>
      <x:c r="T906" s="64" t="str">
        <x:v>Eligible</x:v>
      </x:c>
      <x:c r="U906" s="47" t="str"/>
      <x:c r="V906" s="47" t="str"/>
      <x:c r="W906" s="47" t="str"/>
      <x:c r="X906" s="50" t="str"/>
      <x:c r="Y906" s="50" t="str"/>
      <x:c r="Z906" s="47" t="str"/>
      <x:c r="AA906" s="47" t="str">
        <x:v>No direct published reference located; do not display a crimp value.</x:v>
      </x:c>
      <x:c r="AB906" s="161" t="str">
        <x:v>Pending</x:v>
      </x:c>
    </x:row>
    <x:row r="907" ht="42" customHeight="1">
      <x:c r="A907" s="33" t="str">
        <x:v>Draft</x:v>
      </x:c>
      <x:c r="B907" s="47" t="str">
        <x:v>COMP_0903</x:v>
      </x:c>
      <x:c r="C907" s="47" t="str">
        <x:v>EN4SP_003</x:v>
      </x:c>
      <x:c r="D907" s="47" t="str">
        <x:v>NPT_M_FX_06_08</x:v>
      </x:c>
      <x:c r="E907" s="47" t="str">
        <x:v>EN4SP_4SP_003</x:v>
      </x:c>
      <x:c r="F907" s="47" t="str"/>
      <x:c r="G907" s="33" t="str"/>
      <x:c r="H907" s="50" t="str"/>
      <x:c r="I907" s="50" t="str"/>
      <x:c r="J907" s="50" t="str"/>
      <x:c r="K907" s="47" t="str"/>
      <x:c r="L907" s="50" t="str"/>
      <x:c r="M907" s="50" t="str"/>
      <x:c r="N907" s="47" t="str"/>
      <x:c r="O907" s="50" t="str"/>
      <x:c r="P907" s="64" t="str">
        <x:f>IF(O907="","",O907*2)</x:f>
      </x:c>
      <x:c r="Q907" s="50" t="str"/>
      <x:c r="R907" s="47" t="str"/>
      <x:c r="S907" s="33" t="str">
        <x:v>Not Tested</x:v>
      </x:c>
      <x:c r="T907" s="64" t="str">
        <x:v>Eligible</x:v>
      </x:c>
      <x:c r="U907" s="47" t="str"/>
      <x:c r="V907" s="47" t="str"/>
      <x:c r="W907" s="47" t="str"/>
      <x:c r="X907" s="50" t="str"/>
      <x:c r="Y907" s="50" t="str"/>
      <x:c r="Z907" s="47" t="str"/>
      <x:c r="AA907" s="47" t="str">
        <x:v>No direct published reference located; do not display a crimp value.</x:v>
      </x:c>
      <x:c r="AB907" s="161" t="str">
        <x:v>Pending</x:v>
      </x:c>
    </x:row>
    <x:row r="908" ht="42" customHeight="1">
      <x:c r="A908" s="33" t="str">
        <x:v>Draft</x:v>
      </x:c>
      <x:c r="B908" s="47" t="str">
        <x:v>COMP_0904</x:v>
      </x:c>
      <x:c r="C908" s="47" t="str">
        <x:v>EN4SP_003</x:v>
      </x:c>
      <x:c r="D908" s="47" t="str">
        <x:v>NPT_M_FX_08_08</x:v>
      </x:c>
      <x:c r="E908" s="47" t="str">
        <x:v>EN4SP_4SP_003</x:v>
      </x:c>
      <x:c r="F908" s="47" t="str"/>
      <x:c r="G908" s="33" t="str"/>
      <x:c r="H908" s="50" t="str"/>
      <x:c r="I908" s="50" t="str"/>
      <x:c r="J908" s="50" t="str"/>
      <x:c r="K908" s="47" t="str"/>
      <x:c r="L908" s="50" t="str"/>
      <x:c r="M908" s="50" t="str"/>
      <x:c r="N908" s="47" t="str"/>
      <x:c r="O908" s="50" t="str"/>
      <x:c r="P908" s="64" t="str">
        <x:f>IF(O908="","",O908*2)</x:f>
      </x:c>
      <x:c r="Q908" s="50" t="str"/>
      <x:c r="R908" s="47" t="str"/>
      <x:c r="S908" s="33" t="str">
        <x:v>Not Tested</x:v>
      </x:c>
      <x:c r="T908" s="64" t="str">
        <x:v>Eligible</x:v>
      </x:c>
      <x:c r="U908" s="47" t="str"/>
      <x:c r="V908" s="47" t="str"/>
      <x:c r="W908" s="47" t="str"/>
      <x:c r="X908" s="50" t="str"/>
      <x:c r="Y908" s="50" t="str"/>
      <x:c r="Z908" s="47" t="str"/>
      <x:c r="AA908" s="47" t="str">
        <x:v>No direct published reference located; do not display a crimp value.</x:v>
      </x:c>
      <x:c r="AB908" s="161" t="str">
        <x:v>Pending</x:v>
      </x:c>
    </x:row>
    <x:row r="909" ht="42" customHeight="1">
      <x:c r="A909" s="33" t="str">
        <x:v>Draft</x:v>
      </x:c>
      <x:c r="B909" s="47" t="str">
        <x:v>COMP_0905</x:v>
      </x:c>
      <x:c r="C909" s="47" t="str">
        <x:v>EN4SP_003</x:v>
      </x:c>
      <x:c r="D909" s="47" t="str">
        <x:v>NPT_M_FX_12_08</x:v>
      </x:c>
      <x:c r="E909" s="47" t="str">
        <x:v>EN4SP_4SP_003</x:v>
      </x:c>
      <x:c r="F909" s="47" t="str"/>
      <x:c r="G909" s="33" t="str"/>
      <x:c r="H909" s="50" t="str"/>
      <x:c r="I909" s="50" t="str"/>
      <x:c r="J909" s="50" t="str"/>
      <x:c r="K909" s="47" t="str"/>
      <x:c r="L909" s="50" t="str"/>
      <x:c r="M909" s="50" t="str"/>
      <x:c r="N909" s="47" t="str"/>
      <x:c r="O909" s="50" t="str"/>
      <x:c r="P909" s="64" t="str">
        <x:f>IF(O909="","",O909*2)</x:f>
      </x:c>
      <x:c r="Q909" s="50" t="str"/>
      <x:c r="R909" s="47" t="str"/>
      <x:c r="S909" s="33" t="str">
        <x:v>Not Tested</x:v>
      </x:c>
      <x:c r="T909" s="64" t="str">
        <x:v>Eligible</x:v>
      </x:c>
      <x:c r="U909" s="47" t="str"/>
      <x:c r="V909" s="47" t="str"/>
      <x:c r="W909" s="47" t="str"/>
      <x:c r="X909" s="50" t="str"/>
      <x:c r="Y909" s="50" t="str"/>
      <x:c r="Z909" s="47" t="str"/>
      <x:c r="AA909" s="47" t="str">
        <x:v>No direct published reference located; do not display a crimp value.</x:v>
      </x:c>
      <x:c r="AB909" s="161" t="str">
        <x:v>Pending</x:v>
      </x:c>
    </x:row>
    <x:row r="910" ht="42" customHeight="1">
      <x:c r="A910" s="33" t="str">
        <x:v>Draft</x:v>
      </x:c>
      <x:c r="B910" s="47" t="str">
        <x:v>COMP_0906</x:v>
      </x:c>
      <x:c r="C910" s="47" t="str">
        <x:v>EN4SP_003</x:v>
      </x:c>
      <x:c r="D910" s="47" t="str">
        <x:v>NPT90_M_SW_08_08</x:v>
      </x:c>
      <x:c r="E910" s="47" t="str">
        <x:v>EN4SP_4SP_003</x:v>
      </x:c>
      <x:c r="F910" s="47" t="str"/>
      <x:c r="G910" s="33" t="str"/>
      <x:c r="H910" s="50" t="str"/>
      <x:c r="I910" s="50" t="str"/>
      <x:c r="J910" s="50" t="str"/>
      <x:c r="K910" s="47" t="str"/>
      <x:c r="L910" s="50" t="str"/>
      <x:c r="M910" s="50" t="str"/>
      <x:c r="N910" s="47" t="str"/>
      <x:c r="O910" s="50" t="str"/>
      <x:c r="P910" s="64" t="str">
        <x:f>IF(O910="","",O910*2)</x:f>
      </x:c>
      <x:c r="Q910" s="50" t="str"/>
      <x:c r="R910" s="47" t="str"/>
      <x:c r="S910" s="33" t="str">
        <x:v>Not Tested</x:v>
      </x:c>
      <x:c r="T910" s="64" t="str">
        <x:v>Eligible</x:v>
      </x:c>
      <x:c r="U910" s="47" t="str"/>
      <x:c r="V910" s="47" t="str"/>
      <x:c r="W910" s="47" t="str"/>
      <x:c r="X910" s="50" t="str"/>
      <x:c r="Y910" s="50" t="str"/>
      <x:c r="Z910" s="47" t="str"/>
      <x:c r="AA910" s="47" t="str">
        <x:v>No direct published reference located; do not display a crimp value.</x:v>
      </x:c>
      <x:c r="AB910" s="161" t="str">
        <x:v>Pending</x:v>
      </x:c>
    </x:row>
    <x:row r="911" ht="42" customHeight="1">
      <x:c r="A911" s="33" t="str">
        <x:v>Draft</x:v>
      </x:c>
      <x:c r="B911" s="47" t="str">
        <x:v>COMP_0907</x:v>
      </x:c>
      <x:c r="C911" s="47" t="str">
        <x:v>EN4SP_003</x:v>
      </x:c>
      <x:c r="D911" s="47" t="str">
        <x:v>ORFS_F_SW_06_08</x:v>
      </x:c>
      <x:c r="E911" s="47" t="str">
        <x:v>EN4SP_4SP_003</x:v>
      </x:c>
      <x:c r="F911" s="47" t="str"/>
      <x:c r="G911" s="33" t="str"/>
      <x:c r="H911" s="50" t="str"/>
      <x:c r="I911" s="50" t="str"/>
      <x:c r="J911" s="50" t="str"/>
      <x:c r="K911" s="47" t="str"/>
      <x:c r="L911" s="50" t="str"/>
      <x:c r="M911" s="50" t="str"/>
      <x:c r="N911" s="47" t="str"/>
      <x:c r="O911" s="50" t="str"/>
      <x:c r="P911" s="64" t="str">
        <x:f>IF(O911="","",O911*2)</x:f>
      </x:c>
      <x:c r="Q911" s="50" t="str"/>
      <x:c r="R911" s="47" t="str"/>
      <x:c r="S911" s="33" t="str">
        <x:v>Not Tested</x:v>
      </x:c>
      <x:c r="T911" s="64" t="str">
        <x:v>Eligible</x:v>
      </x:c>
      <x:c r="U911" s="47" t="str"/>
      <x:c r="V911" s="47" t="str"/>
      <x:c r="W911" s="47" t="str"/>
      <x:c r="X911" s="50" t="str"/>
      <x:c r="Y911" s="50" t="str"/>
      <x:c r="Z911" s="47" t="str"/>
      <x:c r="AA911" s="47" t="str">
        <x:v>No direct published reference located; do not display a crimp value.</x:v>
      </x:c>
      <x:c r="AB911" s="161" t="str">
        <x:v>Pending</x:v>
      </x:c>
    </x:row>
    <x:row r="912" ht="42" customHeight="1">
      <x:c r="A912" s="33" t="str">
        <x:v>Draft</x:v>
      </x:c>
      <x:c r="B912" s="47" t="str">
        <x:v>COMP_0908</x:v>
      </x:c>
      <x:c r="C912" s="47" t="str">
        <x:v>EN4SP_003</x:v>
      </x:c>
      <x:c r="D912" s="47" t="str">
        <x:v>ORFS_F_SW_08_08</x:v>
      </x:c>
      <x:c r="E912" s="47" t="str">
        <x:v>EN4SP_4SP_003</x:v>
      </x:c>
      <x:c r="F912" s="47" t="str"/>
      <x:c r="G912" s="33" t="str"/>
      <x:c r="H912" s="50" t="str"/>
      <x:c r="I912" s="50" t="str"/>
      <x:c r="J912" s="50" t="str"/>
      <x:c r="K912" s="47" t="str"/>
      <x:c r="L912" s="50" t="str"/>
      <x:c r="M912" s="50" t="str"/>
      <x:c r="N912" s="47" t="str"/>
      <x:c r="O912" s="50" t="str"/>
      <x:c r="P912" s="64" t="str">
        <x:f>IF(O912="","",O912*2)</x:f>
      </x:c>
      <x:c r="Q912" s="50" t="str"/>
      <x:c r="R912" s="47" t="str"/>
      <x:c r="S912" s="33" t="str">
        <x:v>Not Tested</x:v>
      </x:c>
      <x:c r="T912" s="64" t="str">
        <x:v>Eligible</x:v>
      </x:c>
      <x:c r="U912" s="47" t="str"/>
      <x:c r="V912" s="47" t="str"/>
      <x:c r="W912" s="47" t="str"/>
      <x:c r="X912" s="50" t="str"/>
      <x:c r="Y912" s="50" t="str"/>
      <x:c r="Z912" s="47" t="str"/>
      <x:c r="AA912" s="47" t="str">
        <x:v>No direct published reference located; do not display a crimp value.</x:v>
      </x:c>
      <x:c r="AB912" s="161" t="str">
        <x:v>Pending</x:v>
      </x:c>
    </x:row>
    <x:row r="913" ht="42" customHeight="1">
      <x:c r="A913" s="33" t="str">
        <x:v>Draft</x:v>
      </x:c>
      <x:c r="B913" s="47" t="str">
        <x:v>COMP_0909</x:v>
      </x:c>
      <x:c r="C913" s="47" t="str">
        <x:v>EN4SP_003</x:v>
      </x:c>
      <x:c r="D913" s="47" t="str">
        <x:v>ORFS_F_SW_10_08</x:v>
      </x:c>
      <x:c r="E913" s="47" t="str">
        <x:v>EN4SP_4SP_003</x:v>
      </x:c>
      <x:c r="F913" s="47" t="str"/>
      <x:c r="G913" s="33" t="str"/>
      <x:c r="H913" s="50" t="str"/>
      <x:c r="I913" s="50" t="str"/>
      <x:c r="J913" s="50" t="str"/>
      <x:c r="K913" s="47" t="str"/>
      <x:c r="L913" s="50" t="str"/>
      <x:c r="M913" s="50" t="str"/>
      <x:c r="N913" s="47" t="str"/>
      <x:c r="O913" s="50" t="str"/>
      <x:c r="P913" s="64" t="str">
        <x:f>IF(O913="","",O913*2)</x:f>
      </x:c>
      <x:c r="Q913" s="50" t="str"/>
      <x:c r="R913" s="47" t="str"/>
      <x:c r="S913" s="33" t="str">
        <x:v>Not Tested</x:v>
      </x:c>
      <x:c r="T913" s="64" t="str">
        <x:v>Eligible</x:v>
      </x:c>
      <x:c r="U913" s="47" t="str"/>
      <x:c r="V913" s="47" t="str"/>
      <x:c r="W913" s="47" t="str"/>
      <x:c r="X913" s="50" t="str"/>
      <x:c r="Y913" s="50" t="str"/>
      <x:c r="Z913" s="47" t="str"/>
      <x:c r="AA913" s="47" t="str">
        <x:v>No direct published reference located; do not display a crimp value.</x:v>
      </x:c>
      <x:c r="AB913" s="161" t="str">
        <x:v>Pending</x:v>
      </x:c>
    </x:row>
    <x:row r="914" ht="42" customHeight="1">
      <x:c r="A914" s="33" t="str">
        <x:v>Draft</x:v>
      </x:c>
      <x:c r="B914" s="47" t="str">
        <x:v>COMP_0910</x:v>
      </x:c>
      <x:c r="C914" s="47" t="str">
        <x:v>EN4SP_003</x:v>
      </x:c>
      <x:c r="D914" s="47" t="str">
        <x:v>ORFS_F_SW_12_08</x:v>
      </x:c>
      <x:c r="E914" s="47" t="str">
        <x:v>EN4SP_4SP_003</x:v>
      </x:c>
      <x:c r="F914" s="47" t="str"/>
      <x:c r="G914" s="33" t="str"/>
      <x:c r="H914" s="50" t="str"/>
      <x:c r="I914" s="50" t="str"/>
      <x:c r="J914" s="50" t="str"/>
      <x:c r="K914" s="47" t="str"/>
      <x:c r="L914" s="50" t="str"/>
      <x:c r="M914" s="50" t="str"/>
      <x:c r="N914" s="47" t="str"/>
      <x:c r="O914" s="50" t="str"/>
      <x:c r="P914" s="64" t="str">
        <x:f>IF(O914="","",O914*2)</x:f>
      </x:c>
      <x:c r="Q914" s="50" t="str"/>
      <x:c r="R914" s="47" t="str"/>
      <x:c r="S914" s="33" t="str">
        <x:v>Not Tested</x:v>
      </x:c>
      <x:c r="T914" s="64" t="str">
        <x:v>Eligible</x:v>
      </x:c>
      <x:c r="U914" s="47" t="str"/>
      <x:c r="V914" s="47" t="str"/>
      <x:c r="W914" s="47" t="str"/>
      <x:c r="X914" s="50" t="str"/>
      <x:c r="Y914" s="50" t="str"/>
      <x:c r="Z914" s="47" t="str"/>
      <x:c r="AA914" s="47" t="str">
        <x:v>No direct published reference located; do not display a crimp value.</x:v>
      </x:c>
      <x:c r="AB914" s="161" t="str">
        <x:v>Pending</x:v>
      </x:c>
    </x:row>
    <x:row r="915" ht="42" customHeight="1">
      <x:c r="A915" s="33" t="str">
        <x:v>Draft</x:v>
      </x:c>
      <x:c r="B915" s="47" t="str">
        <x:v>COMP_0911</x:v>
      </x:c>
      <x:c r="C915" s="47" t="str">
        <x:v>EN4SP_003</x:v>
      </x:c>
      <x:c r="D915" s="47" t="str">
        <x:v>ORFS_M_FX_08_08</x:v>
      </x:c>
      <x:c r="E915" s="47" t="str">
        <x:v>EN4SP_4SP_003</x:v>
      </x:c>
      <x:c r="F915" s="47" t="str"/>
      <x:c r="G915" s="33" t="str"/>
      <x:c r="H915" s="50" t="str"/>
      <x:c r="I915" s="50" t="str"/>
      <x:c r="J915" s="50" t="str"/>
      <x:c r="K915" s="47" t="str"/>
      <x:c r="L915" s="50" t="str"/>
      <x:c r="M915" s="50" t="str"/>
      <x:c r="N915" s="47" t="str"/>
      <x:c r="O915" s="50" t="str"/>
      <x:c r="P915" s="64" t="str">
        <x:f>IF(O915="","",O915*2)</x:f>
      </x:c>
      <x:c r="Q915" s="50" t="str"/>
      <x:c r="R915" s="47" t="str"/>
      <x:c r="S915" s="33" t="str">
        <x:v>Not Tested</x:v>
      </x:c>
      <x:c r="T915" s="64" t="str">
        <x:v>Eligible</x:v>
      </x:c>
      <x:c r="U915" s="47" t="str"/>
      <x:c r="V915" s="47" t="str"/>
      <x:c r="W915" s="47" t="str"/>
      <x:c r="X915" s="50" t="str"/>
      <x:c r="Y915" s="50" t="str"/>
      <x:c r="Z915" s="47" t="str"/>
      <x:c r="AA915" s="47" t="str">
        <x:v>No direct published reference located; do not display a crimp value.</x:v>
      </x:c>
      <x:c r="AB915" s="161" t="str">
        <x:v>Pending</x:v>
      </x:c>
    </x:row>
    <x:row r="916" ht="42" customHeight="1">
      <x:c r="A916" s="33" t="str">
        <x:v>Draft</x:v>
      </x:c>
      <x:c r="B916" s="47" t="str">
        <x:v>COMP_0912</x:v>
      </x:c>
      <x:c r="C916" s="47" t="str">
        <x:v>EN4SP_003</x:v>
      </x:c>
      <x:c r="D916" s="47" t="str">
        <x:v>ORFS_M_FX_10_08</x:v>
      </x:c>
      <x:c r="E916" s="47" t="str">
        <x:v>EN4SP_4SP_003</x:v>
      </x:c>
      <x:c r="F916" s="47" t="str"/>
      <x:c r="G916" s="33" t="str"/>
      <x:c r="H916" s="50" t="str"/>
      <x:c r="I916" s="50" t="str"/>
      <x:c r="J916" s="50" t="str"/>
      <x:c r="K916" s="47" t="str"/>
      <x:c r="L916" s="50" t="str"/>
      <x:c r="M916" s="50" t="str"/>
      <x:c r="N916" s="47" t="str"/>
      <x:c r="O916" s="50" t="str"/>
      <x:c r="P916" s="64" t="str">
        <x:f>IF(O916="","",O916*2)</x:f>
      </x:c>
      <x:c r="Q916" s="50" t="str"/>
      <x:c r="R916" s="47" t="str"/>
      <x:c r="S916" s="33" t="str">
        <x:v>Not Tested</x:v>
      </x:c>
      <x:c r="T916" s="64" t="str">
        <x:v>Eligible</x:v>
      </x:c>
      <x:c r="U916" s="47" t="str"/>
      <x:c r="V916" s="47" t="str"/>
      <x:c r="W916" s="47" t="str"/>
      <x:c r="X916" s="50" t="str"/>
      <x:c r="Y916" s="50" t="str"/>
      <x:c r="Z916" s="47" t="str"/>
      <x:c r="AA916" s="47" t="str">
        <x:v>No direct published reference located; do not display a crimp value.</x:v>
      </x:c>
      <x:c r="AB916" s="161" t="str">
        <x:v>Pending</x:v>
      </x:c>
    </x:row>
    <x:row r="917" ht="42" customHeight="1">
      <x:c r="A917" s="33" t="str">
        <x:v>Draft</x:v>
      </x:c>
      <x:c r="B917" s="47" t="str">
        <x:v>COMP_0913</x:v>
      </x:c>
      <x:c r="C917" s="47" t="str">
        <x:v>EN4SP_003</x:v>
      </x:c>
      <x:c r="D917" s="47" t="str">
        <x:v>ORFS_M_FX_12_08</x:v>
      </x:c>
      <x:c r="E917" s="47" t="str">
        <x:v>EN4SP_4SP_003</x:v>
      </x:c>
      <x:c r="F917" s="47" t="str"/>
      <x:c r="G917" s="33" t="str"/>
      <x:c r="H917" s="50" t="str"/>
      <x:c r="I917" s="50" t="str"/>
      <x:c r="J917" s="50" t="str"/>
      <x:c r="K917" s="47" t="str"/>
      <x:c r="L917" s="50" t="str"/>
      <x:c r="M917" s="50" t="str"/>
      <x:c r="N917" s="47" t="str"/>
      <x:c r="O917" s="50" t="str"/>
      <x:c r="P917" s="64" t="str">
        <x:f>IF(O917="","",O917*2)</x:f>
      </x:c>
      <x:c r="Q917" s="50" t="str"/>
      <x:c r="R917" s="47" t="str"/>
      <x:c r="S917" s="33" t="str">
        <x:v>Not Tested</x:v>
      </x:c>
      <x:c r="T917" s="64" t="str">
        <x:v>Eligible</x:v>
      </x:c>
      <x:c r="U917" s="47" t="str"/>
      <x:c r="V917" s="47" t="str"/>
      <x:c r="W917" s="47" t="str"/>
      <x:c r="X917" s="50" t="str"/>
      <x:c r="Y917" s="50" t="str"/>
      <x:c r="Z917" s="47" t="str"/>
      <x:c r="AA917" s="47" t="str">
        <x:v>No direct published reference located; do not display a crimp value.</x:v>
      </x:c>
      <x:c r="AB917" s="161" t="str">
        <x:v>Pending</x:v>
      </x:c>
    </x:row>
    <x:row r="918" ht="42" customHeight="1">
      <x:c r="A918" s="33" t="str">
        <x:v>Draft</x:v>
      </x:c>
      <x:c r="B918" s="47" t="str">
        <x:v>COMP_0914</x:v>
      </x:c>
      <x:c r="C918" s="47" t="str">
        <x:v>EN4SP_003</x:v>
      </x:c>
      <x:c r="D918" s="47" t="str">
        <x:v>ORFS45_F_SW_08_08</x:v>
      </x:c>
      <x:c r="E918" s="47" t="str">
        <x:v>EN4SP_4SP_003</x:v>
      </x:c>
      <x:c r="F918" s="47" t="str"/>
      <x:c r="G918" s="33" t="str"/>
      <x:c r="H918" s="50" t="str"/>
      <x:c r="I918" s="50" t="str"/>
      <x:c r="J918" s="50" t="str"/>
      <x:c r="K918" s="47" t="str"/>
      <x:c r="L918" s="50" t="str"/>
      <x:c r="M918" s="50" t="str"/>
      <x:c r="N918" s="47" t="str"/>
      <x:c r="O918" s="50" t="str"/>
      <x:c r="P918" s="64" t="str">
        <x:f>IF(O918="","",O918*2)</x:f>
      </x:c>
      <x:c r="Q918" s="50" t="str"/>
      <x:c r="R918" s="47" t="str"/>
      <x:c r="S918" s="33" t="str">
        <x:v>Not Tested</x:v>
      </x:c>
      <x:c r="T918" s="64" t="str">
        <x:v>Eligible</x:v>
      </x:c>
      <x:c r="U918" s="47" t="str"/>
      <x:c r="V918" s="47" t="str"/>
      <x:c r="W918" s="47" t="str"/>
      <x:c r="X918" s="50" t="str"/>
      <x:c r="Y918" s="50" t="str"/>
      <x:c r="Z918" s="47" t="str"/>
      <x:c r="AA918" s="47" t="str">
        <x:v>No direct published reference located; do not display a crimp value.</x:v>
      </x:c>
      <x:c r="AB918" s="161" t="str">
        <x:v>Pending</x:v>
      </x:c>
    </x:row>
    <x:row r="919" ht="42" customHeight="1">
      <x:c r="A919" s="33" t="str">
        <x:v>Draft</x:v>
      </x:c>
      <x:c r="B919" s="47" t="str">
        <x:v>COMP_0915</x:v>
      </x:c>
      <x:c r="C919" s="47" t="str">
        <x:v>EN4SP_003</x:v>
      </x:c>
      <x:c r="D919" s="47" t="str">
        <x:v>ORFS45_F_SW_10_08</x:v>
      </x:c>
      <x:c r="E919" s="47" t="str">
        <x:v>EN4SP_4SP_003</x:v>
      </x:c>
      <x:c r="F919" s="47" t="str"/>
      <x:c r="G919" s="33" t="str"/>
      <x:c r="H919" s="50" t="str"/>
      <x:c r="I919" s="50" t="str"/>
      <x:c r="J919" s="50" t="str"/>
      <x:c r="K919" s="47" t="str"/>
      <x:c r="L919" s="50" t="str"/>
      <x:c r="M919" s="50" t="str"/>
      <x:c r="N919" s="47" t="str"/>
      <x:c r="O919" s="50" t="str"/>
      <x:c r="P919" s="64" t="str">
        <x:f>IF(O919="","",O919*2)</x:f>
      </x:c>
      <x:c r="Q919" s="50" t="str"/>
      <x:c r="R919" s="47" t="str"/>
      <x:c r="S919" s="33" t="str">
        <x:v>Not Tested</x:v>
      </x:c>
      <x:c r="T919" s="64" t="str">
        <x:v>Eligible</x:v>
      </x:c>
      <x:c r="U919" s="47" t="str"/>
      <x:c r="V919" s="47" t="str"/>
      <x:c r="W919" s="47" t="str"/>
      <x:c r="X919" s="50" t="str"/>
      <x:c r="Y919" s="50" t="str"/>
      <x:c r="Z919" s="47" t="str"/>
      <x:c r="AA919" s="47" t="str">
        <x:v>No direct published reference located; do not display a crimp value.</x:v>
      </x:c>
      <x:c r="AB919" s="161" t="str">
        <x:v>Pending</x:v>
      </x:c>
    </x:row>
    <x:row r="920" ht="42" customHeight="1">
      <x:c r="A920" s="33" t="str">
        <x:v>Draft</x:v>
      </x:c>
      <x:c r="B920" s="47" t="str">
        <x:v>COMP_0916</x:v>
      </x:c>
      <x:c r="C920" s="47" t="str">
        <x:v>EN4SP_003</x:v>
      </x:c>
      <x:c r="D920" s="47" t="str">
        <x:v>ORFS45_F_SW_12_08</x:v>
      </x:c>
      <x:c r="E920" s="47" t="str">
        <x:v>EN4SP_4SP_003</x:v>
      </x:c>
      <x:c r="F920" s="47" t="str"/>
      <x:c r="G920" s="33" t="str"/>
      <x:c r="H920" s="50" t="str"/>
      <x:c r="I920" s="50" t="str"/>
      <x:c r="J920" s="50" t="str"/>
      <x:c r="K920" s="47" t="str"/>
      <x:c r="L920" s="50" t="str"/>
      <x:c r="M920" s="50" t="str"/>
      <x:c r="N920" s="47" t="str"/>
      <x:c r="O920" s="50" t="str"/>
      <x:c r="P920" s="64" t="str">
        <x:f>IF(O920="","",O920*2)</x:f>
      </x:c>
      <x:c r="Q920" s="50" t="str"/>
      <x:c r="R920" s="47" t="str"/>
      <x:c r="S920" s="33" t="str">
        <x:v>Not Tested</x:v>
      </x:c>
      <x:c r="T920" s="64" t="str">
        <x:v>Eligible</x:v>
      </x:c>
      <x:c r="U920" s="47" t="str"/>
      <x:c r="V920" s="47" t="str"/>
      <x:c r="W920" s="47" t="str"/>
      <x:c r="X920" s="50" t="str"/>
      <x:c r="Y920" s="50" t="str"/>
      <x:c r="Z920" s="47" t="str"/>
      <x:c r="AA920" s="47" t="str">
        <x:v>No direct published reference located; do not display a crimp value.</x:v>
      </x:c>
      <x:c r="AB920" s="161" t="str">
        <x:v>Pending</x:v>
      </x:c>
    </x:row>
    <x:row r="921" ht="42" customHeight="1">
      <x:c r="A921" s="33" t="str">
        <x:v>Draft</x:v>
      </x:c>
      <x:c r="B921" s="47" t="str">
        <x:v>COMP_0917</x:v>
      </x:c>
      <x:c r="C921" s="47" t="str">
        <x:v>EN4SP_003</x:v>
      </x:c>
      <x:c r="D921" s="47" t="str">
        <x:v>ORFS90_F_SW_08_08</x:v>
      </x:c>
      <x:c r="E921" s="47" t="str">
        <x:v>EN4SP_4SP_003</x:v>
      </x:c>
      <x:c r="F921" s="47" t="str"/>
      <x:c r="G921" s="33" t="str"/>
      <x:c r="H921" s="50" t="str"/>
      <x:c r="I921" s="50" t="str"/>
      <x:c r="J921" s="50" t="str"/>
      <x:c r="K921" s="47" t="str"/>
      <x:c r="L921" s="50" t="str"/>
      <x:c r="M921" s="50" t="str"/>
      <x:c r="N921" s="47" t="str"/>
      <x:c r="O921" s="50" t="str"/>
      <x:c r="P921" s="64" t="str">
        <x:f>IF(O921="","",O921*2)</x:f>
      </x:c>
      <x:c r="Q921" s="50" t="str"/>
      <x:c r="R921" s="47" t="str"/>
      <x:c r="S921" s="33" t="str">
        <x:v>Not Tested</x:v>
      </x:c>
      <x:c r="T921" s="64" t="str">
        <x:v>Eligible</x:v>
      </x:c>
      <x:c r="U921" s="47" t="str"/>
      <x:c r="V921" s="47" t="str"/>
      <x:c r="W921" s="47" t="str"/>
      <x:c r="X921" s="50" t="str"/>
      <x:c r="Y921" s="50" t="str"/>
      <x:c r="Z921" s="47" t="str"/>
      <x:c r="AA921" s="47" t="str">
        <x:v>No direct published reference located; do not display a crimp value.</x:v>
      </x:c>
      <x:c r="AB921" s="161" t="str">
        <x:v>Pending</x:v>
      </x:c>
    </x:row>
    <x:row r="922" ht="42" customHeight="1">
      <x:c r="A922" s="33" t="str">
        <x:v>Draft</x:v>
      </x:c>
      <x:c r="B922" s="47" t="str">
        <x:v>COMP_0918</x:v>
      </x:c>
      <x:c r="C922" s="47" t="str">
        <x:v>EN4SP_003</x:v>
      </x:c>
      <x:c r="D922" s="47" t="str">
        <x:v>ORFS90_F_SW_10_08</x:v>
      </x:c>
      <x:c r="E922" s="47" t="str">
        <x:v>EN4SP_4SP_003</x:v>
      </x:c>
      <x:c r="F922" s="47" t="str"/>
      <x:c r="G922" s="33" t="str"/>
      <x:c r="H922" s="50" t="str"/>
      <x:c r="I922" s="50" t="str"/>
      <x:c r="J922" s="50" t="str"/>
      <x:c r="K922" s="47" t="str"/>
      <x:c r="L922" s="50" t="str"/>
      <x:c r="M922" s="50" t="str"/>
      <x:c r="N922" s="47" t="str"/>
      <x:c r="O922" s="50" t="str"/>
      <x:c r="P922" s="64" t="str">
        <x:f>IF(O922="","",O922*2)</x:f>
      </x:c>
      <x:c r="Q922" s="50" t="str"/>
      <x:c r="R922" s="47" t="str"/>
      <x:c r="S922" s="33" t="str">
        <x:v>Not Tested</x:v>
      </x:c>
      <x:c r="T922" s="64" t="str">
        <x:v>Eligible</x:v>
      </x:c>
      <x:c r="U922" s="47" t="str"/>
      <x:c r="V922" s="47" t="str"/>
      <x:c r="W922" s="47" t="str"/>
      <x:c r="X922" s="50" t="str"/>
      <x:c r="Y922" s="50" t="str"/>
      <x:c r="Z922" s="47" t="str"/>
      <x:c r="AA922" s="47" t="str">
        <x:v>No direct published reference located; do not display a crimp value.</x:v>
      </x:c>
      <x:c r="AB922" s="161" t="str">
        <x:v>Pending</x:v>
      </x:c>
    </x:row>
    <x:row r="923" ht="42" customHeight="1">
      <x:c r="A923" s="33" t="str">
        <x:v>Draft</x:v>
      </x:c>
      <x:c r="B923" s="47" t="str">
        <x:v>COMP_0919</x:v>
      </x:c>
      <x:c r="C923" s="47" t="str">
        <x:v>EN4SP_003</x:v>
      </x:c>
      <x:c r="D923" s="47" t="str">
        <x:v>ORFS90_F_SW_12_08</x:v>
      </x:c>
      <x:c r="E923" s="47" t="str">
        <x:v>EN4SP_4SP_003</x:v>
      </x:c>
      <x:c r="F923" s="47" t="str"/>
      <x:c r="G923" s="33" t="str"/>
      <x:c r="H923" s="50" t="str"/>
      <x:c r="I923" s="50" t="str"/>
      <x:c r="J923" s="50" t="str"/>
      <x:c r="K923" s="47" t="str"/>
      <x:c r="L923" s="50" t="str"/>
      <x:c r="M923" s="50" t="str"/>
      <x:c r="N923" s="47" t="str"/>
      <x:c r="O923" s="50" t="str"/>
      <x:c r="P923" s="64" t="str">
        <x:f>IF(O923="","",O923*2)</x:f>
      </x:c>
      <x:c r="Q923" s="50" t="str"/>
      <x:c r="R923" s="47" t="str"/>
      <x:c r="S923" s="33" t="str">
        <x:v>Not Tested</x:v>
      </x:c>
      <x:c r="T923" s="64" t="str">
        <x:v>Eligible</x:v>
      </x:c>
      <x:c r="U923" s="47" t="str"/>
      <x:c r="V923" s="47" t="str"/>
      <x:c r="W923" s="47" t="str"/>
      <x:c r="X923" s="50" t="str"/>
      <x:c r="Y923" s="50" t="str"/>
      <x:c r="Z923" s="47" t="str"/>
      <x:c r="AA923" s="47" t="str">
        <x:v>No direct published reference located; do not display a crimp value.</x:v>
      </x:c>
      <x:c r="AB923" s="161" t="str">
        <x:v>Pending</x:v>
      </x:c>
    </x:row>
    <x:row r="924" ht="42" customHeight="1">
      <x:c r="A924" s="33" t="str">
        <x:v>Draft</x:v>
      </x:c>
      <x:c r="B924" s="47" t="str">
        <x:v>COMP_0920</x:v>
      </x:c>
      <x:c r="C924" s="47" t="str">
        <x:v>EN4SP_004</x:v>
      </x:c>
      <x:c r="D924" s="47" t="str">
        <x:v>BSPP_F_SW_10_10</x:v>
      </x:c>
      <x:c r="E924" s="47" t="str">
        <x:v>EN4SP_4SP_004</x:v>
      </x:c>
      <x:c r="F924" s="47" t="str"/>
      <x:c r="G924" s="33" t="str"/>
      <x:c r="H924" s="50" t="str"/>
      <x:c r="I924" s="50" t="str"/>
      <x:c r="J924" s="50" t="str"/>
      <x:c r="K924" s="47" t="str"/>
      <x:c r="L924" s="50" t="str"/>
      <x:c r="M924" s="50" t="str"/>
      <x:c r="N924" s="47" t="str"/>
      <x:c r="O924" s="50" t="str"/>
      <x:c r="P924" s="64" t="str">
        <x:f>IF(O924="","",O924*2)</x:f>
      </x:c>
      <x:c r="Q924" s="50" t="str"/>
      <x:c r="R924" s="47" t="str"/>
      <x:c r="S924" s="33" t="str">
        <x:v>Not Tested</x:v>
      </x:c>
      <x:c r="T924" s="64" t="str">
        <x:v>Eligible</x:v>
      </x:c>
      <x:c r="U924" s="47" t="str"/>
      <x:c r="V924" s="47" t="str"/>
      <x:c r="W924" s="47" t="str"/>
      <x:c r="X924" s="50" t="str"/>
      <x:c r="Y924" s="50" t="str"/>
      <x:c r="Z924" s="47" t="str"/>
      <x:c r="AA924" s="47" t="str">
        <x:v>No direct published reference located; do not display a crimp value.</x:v>
      </x:c>
      <x:c r="AB924" s="161" t="str">
        <x:v>Pending</x:v>
      </x:c>
    </x:row>
    <x:row r="925" ht="42" customHeight="1">
      <x:c r="A925" s="33" t="str">
        <x:v>Draft</x:v>
      </x:c>
      <x:c r="B925" s="47" t="str">
        <x:v>COMP_0921</x:v>
      </x:c>
      <x:c r="C925" s="47" t="str">
        <x:v>EN4SP_004</x:v>
      </x:c>
      <x:c r="D925" s="47" t="str">
        <x:v>BSPP45_F_SW_10_10</x:v>
      </x:c>
      <x:c r="E925" s="47" t="str">
        <x:v>EN4SP_4SP_004</x:v>
      </x:c>
      <x:c r="F925" s="47" t="str"/>
      <x:c r="G925" s="33" t="str"/>
      <x:c r="H925" s="50" t="str"/>
      <x:c r="I925" s="50" t="str"/>
      <x:c r="J925" s="50" t="str"/>
      <x:c r="K925" s="47" t="str"/>
      <x:c r="L925" s="50" t="str"/>
      <x:c r="M925" s="50" t="str"/>
      <x:c r="N925" s="47" t="str"/>
      <x:c r="O925" s="50" t="str"/>
      <x:c r="P925" s="64" t="str">
        <x:f>IF(O925="","",O925*2)</x:f>
      </x:c>
      <x:c r="Q925" s="50" t="str"/>
      <x:c r="R925" s="47" t="str"/>
      <x:c r="S925" s="33" t="str">
        <x:v>Not Tested</x:v>
      </x:c>
      <x:c r="T925" s="64" t="str">
        <x:v>Eligible</x:v>
      </x:c>
      <x:c r="U925" s="47" t="str"/>
      <x:c r="V925" s="47" t="str"/>
      <x:c r="W925" s="47" t="str"/>
      <x:c r="X925" s="50" t="str"/>
      <x:c r="Y925" s="50" t="str"/>
      <x:c r="Z925" s="47" t="str"/>
      <x:c r="AA925" s="47" t="str">
        <x:v>No direct published reference located; do not display a crimp value.</x:v>
      </x:c>
      <x:c r="AB925" s="161" t="str">
        <x:v>Pending</x:v>
      </x:c>
    </x:row>
    <x:row r="926" ht="42" customHeight="1">
      <x:c r="A926" s="33" t="str">
        <x:v>Draft</x:v>
      </x:c>
      <x:c r="B926" s="47" t="str">
        <x:v>COMP_0922</x:v>
      </x:c>
      <x:c r="C926" s="47" t="str">
        <x:v>EN4SP_004</x:v>
      </x:c>
      <x:c r="D926" s="47" t="str">
        <x:v>BSPP90_F_SW_10_10</x:v>
      </x:c>
      <x:c r="E926" s="47" t="str">
        <x:v>EN4SP_4SP_004</x:v>
      </x:c>
      <x:c r="F926" s="47" t="str"/>
      <x:c r="G926" s="33" t="str"/>
      <x:c r="H926" s="50" t="str"/>
      <x:c r="I926" s="50" t="str"/>
      <x:c r="J926" s="50" t="str"/>
      <x:c r="K926" s="47" t="str"/>
      <x:c r="L926" s="50" t="str"/>
      <x:c r="M926" s="50" t="str"/>
      <x:c r="N926" s="47" t="str"/>
      <x:c r="O926" s="50" t="str"/>
      <x:c r="P926" s="64" t="str">
        <x:f>IF(O926="","",O926*2)</x:f>
      </x:c>
      <x:c r="Q926" s="50" t="str"/>
      <x:c r="R926" s="47" t="str"/>
      <x:c r="S926" s="33" t="str">
        <x:v>Not Tested</x:v>
      </x:c>
      <x:c r="T926" s="64" t="str">
        <x:v>Eligible</x:v>
      </x:c>
      <x:c r="U926" s="47" t="str"/>
      <x:c r="V926" s="47" t="str"/>
      <x:c r="W926" s="47" t="str"/>
      <x:c r="X926" s="50" t="str"/>
      <x:c r="Y926" s="50" t="str"/>
      <x:c r="Z926" s="47" t="str"/>
      <x:c r="AA926" s="47" t="str">
        <x:v>No direct published reference located; do not display a crimp value.</x:v>
      </x:c>
      <x:c r="AB926" s="161" t="str">
        <x:v>Pending</x:v>
      </x:c>
    </x:row>
    <x:row r="927" ht="42" customHeight="1">
      <x:c r="A927" s="33" t="str">
        <x:v>Draft</x:v>
      </x:c>
      <x:c r="B927" s="47" t="str">
        <x:v>COMP_0923</x:v>
      </x:c>
      <x:c r="C927" s="47" t="str">
        <x:v>EN4SP_004</x:v>
      </x:c>
      <x:c r="D927" s="47" t="str">
        <x:v>JIC_F_SW_08_10</x:v>
      </x:c>
      <x:c r="E927" s="47" t="str">
        <x:v>EN4SP_4SP_004</x:v>
      </x:c>
      <x:c r="F927" s="47" t="str"/>
      <x:c r="G927" s="33" t="str"/>
      <x:c r="H927" s="50" t="str"/>
      <x:c r="I927" s="50" t="str"/>
      <x:c r="J927" s="50" t="str"/>
      <x:c r="K927" s="47" t="str"/>
      <x:c r="L927" s="50" t="str"/>
      <x:c r="M927" s="50" t="str"/>
      <x:c r="N927" s="47" t="str"/>
      <x:c r="O927" s="50" t="str"/>
      <x:c r="P927" s="64" t="str">
        <x:f>IF(O927="","",O927*2)</x:f>
      </x:c>
      <x:c r="Q927" s="50" t="str"/>
      <x:c r="R927" s="47" t="str"/>
      <x:c r="S927" s="33" t="str">
        <x:v>Not Tested</x:v>
      </x:c>
      <x:c r="T927" s="64" t="str">
        <x:v>Eligible</x:v>
      </x:c>
      <x:c r="U927" s="47" t="str"/>
      <x:c r="V927" s="47" t="str"/>
      <x:c r="W927" s="47" t="str"/>
      <x:c r="X927" s="50" t="str"/>
      <x:c r="Y927" s="50" t="str"/>
      <x:c r="Z927" s="47" t="str"/>
      <x:c r="AA927" s="47" t="str">
        <x:v>No direct published reference located; do not display a crimp value.</x:v>
      </x:c>
      <x:c r="AB927" s="161" t="str">
        <x:v>Pending</x:v>
      </x:c>
    </x:row>
    <x:row r="928" ht="42" customHeight="1">
      <x:c r="A928" s="33" t="str">
        <x:v>Draft</x:v>
      </x:c>
      <x:c r="B928" s="47" t="str">
        <x:v>COMP_0924</x:v>
      </x:c>
      <x:c r="C928" s="47" t="str">
        <x:v>EN4SP_004</x:v>
      </x:c>
      <x:c r="D928" s="47" t="str">
        <x:v>JIC_F_SW_10_10</x:v>
      </x:c>
      <x:c r="E928" s="47" t="str">
        <x:v>EN4SP_4SP_004</x:v>
      </x:c>
      <x:c r="F928" s="47" t="str"/>
      <x:c r="G928" s="33" t="str"/>
      <x:c r="H928" s="50" t="str"/>
      <x:c r="I928" s="50" t="str"/>
      <x:c r="J928" s="50" t="str"/>
      <x:c r="K928" s="47" t="str"/>
      <x:c r="L928" s="50" t="str"/>
      <x:c r="M928" s="50" t="str"/>
      <x:c r="N928" s="47" t="str"/>
      <x:c r="O928" s="50" t="str"/>
      <x:c r="P928" s="64" t="str">
        <x:f>IF(O928="","",O928*2)</x:f>
      </x:c>
      <x:c r="Q928" s="50" t="str"/>
      <x:c r="R928" s="47" t="str"/>
      <x:c r="S928" s="33" t="str">
        <x:v>Not Tested</x:v>
      </x:c>
      <x:c r="T928" s="64" t="str">
        <x:v>Eligible</x:v>
      </x:c>
      <x:c r="U928" s="47" t="str"/>
      <x:c r="V928" s="47" t="str"/>
      <x:c r="W928" s="47" t="str"/>
      <x:c r="X928" s="50" t="str"/>
      <x:c r="Y928" s="50" t="str"/>
      <x:c r="Z928" s="47" t="str"/>
      <x:c r="AA928" s="47" t="str">
        <x:v>No direct published reference located; do not display a crimp value.</x:v>
      </x:c>
      <x:c r="AB928" s="161" t="str">
        <x:v>Pending</x:v>
      </x:c>
    </x:row>
    <x:row r="929" ht="42" customHeight="1">
      <x:c r="A929" s="33" t="str">
        <x:v>Draft</x:v>
      </x:c>
      <x:c r="B929" s="47" t="str">
        <x:v>COMP_0925</x:v>
      </x:c>
      <x:c r="C929" s="47" t="str">
        <x:v>EN4SP_004</x:v>
      </x:c>
      <x:c r="D929" s="47" t="str">
        <x:v>JIC_F_SW_12_10</x:v>
      </x:c>
      <x:c r="E929" s="47" t="str">
        <x:v>EN4SP_4SP_004</x:v>
      </x:c>
      <x:c r="F929" s="47" t="str"/>
      <x:c r="G929" s="33" t="str"/>
      <x:c r="H929" s="50" t="str"/>
      <x:c r="I929" s="50" t="str"/>
      <x:c r="J929" s="50" t="str"/>
      <x:c r="K929" s="47" t="str"/>
      <x:c r="L929" s="50" t="str"/>
      <x:c r="M929" s="50" t="str"/>
      <x:c r="N929" s="47" t="str"/>
      <x:c r="O929" s="50" t="str"/>
      <x:c r="P929" s="64" t="str">
        <x:f>IF(O929="","",O929*2)</x:f>
      </x:c>
      <x:c r="Q929" s="50" t="str"/>
      <x:c r="R929" s="47" t="str"/>
      <x:c r="S929" s="33" t="str">
        <x:v>Not Tested</x:v>
      </x:c>
      <x:c r="T929" s="64" t="str">
        <x:v>Eligible</x:v>
      </x:c>
      <x:c r="U929" s="47" t="str"/>
      <x:c r="V929" s="47" t="str"/>
      <x:c r="W929" s="47" t="str"/>
      <x:c r="X929" s="50" t="str"/>
      <x:c r="Y929" s="50" t="str"/>
      <x:c r="Z929" s="47" t="str"/>
      <x:c r="AA929" s="47" t="str">
        <x:v>No direct published reference located; do not display a crimp value.</x:v>
      </x:c>
      <x:c r="AB929" s="161" t="str">
        <x:v>Pending</x:v>
      </x:c>
    </x:row>
    <x:row r="930" ht="42" customHeight="1">
      <x:c r="A930" s="33" t="str">
        <x:v>Draft</x:v>
      </x:c>
      <x:c r="B930" s="47" t="str">
        <x:v>COMP_0926</x:v>
      </x:c>
      <x:c r="C930" s="47" t="str">
        <x:v>EN4SP_004</x:v>
      </x:c>
      <x:c r="D930" s="47" t="str">
        <x:v>JIC_M_FX_10_10</x:v>
      </x:c>
      <x:c r="E930" s="47" t="str">
        <x:v>EN4SP_4SP_004</x:v>
      </x:c>
      <x:c r="F930" s="47" t="str"/>
      <x:c r="G930" s="33" t="str"/>
      <x:c r="H930" s="50" t="str"/>
      <x:c r="I930" s="50" t="str"/>
      <x:c r="J930" s="50" t="str"/>
      <x:c r="K930" s="47" t="str"/>
      <x:c r="L930" s="50" t="str"/>
      <x:c r="M930" s="50" t="str"/>
      <x:c r="N930" s="47" t="str"/>
      <x:c r="O930" s="50" t="str"/>
      <x:c r="P930" s="64" t="str">
        <x:f>IF(O930="","",O930*2)</x:f>
      </x:c>
      <x:c r="Q930" s="50" t="str"/>
      <x:c r="R930" s="47" t="str"/>
      <x:c r="S930" s="33" t="str">
        <x:v>Not Tested</x:v>
      </x:c>
      <x:c r="T930" s="64" t="str">
        <x:v>Eligible</x:v>
      </x:c>
      <x:c r="U930" s="47" t="str"/>
      <x:c r="V930" s="47" t="str"/>
      <x:c r="W930" s="47" t="str"/>
      <x:c r="X930" s="50" t="str"/>
      <x:c r="Y930" s="50" t="str"/>
      <x:c r="Z930" s="47" t="str"/>
      <x:c r="AA930" s="47" t="str">
        <x:v>No direct published reference located; do not display a crimp value.</x:v>
      </x:c>
      <x:c r="AB930" s="161" t="str">
        <x:v>Pending</x:v>
      </x:c>
    </x:row>
    <x:row r="931" ht="42" customHeight="1">
      <x:c r="A931" s="33" t="str">
        <x:v>Draft</x:v>
      </x:c>
      <x:c r="B931" s="47" t="str">
        <x:v>COMP_0927</x:v>
      </x:c>
      <x:c r="C931" s="47" t="str">
        <x:v>EN4SP_004</x:v>
      </x:c>
      <x:c r="D931" s="47" t="str">
        <x:v>JIC45_F_SW_10_10</x:v>
      </x:c>
      <x:c r="E931" s="47" t="str">
        <x:v>EN4SP_4SP_004</x:v>
      </x:c>
      <x:c r="F931" s="47" t="str"/>
      <x:c r="G931" s="33" t="str"/>
      <x:c r="H931" s="50" t="str"/>
      <x:c r="I931" s="50" t="str"/>
      <x:c r="J931" s="50" t="str"/>
      <x:c r="K931" s="47" t="str"/>
      <x:c r="L931" s="50" t="str"/>
      <x:c r="M931" s="50" t="str"/>
      <x:c r="N931" s="47" t="str"/>
      <x:c r="O931" s="50" t="str"/>
      <x:c r="P931" s="64" t="str">
        <x:f>IF(O931="","",O931*2)</x:f>
      </x:c>
      <x:c r="Q931" s="50" t="str"/>
      <x:c r="R931" s="47" t="str"/>
      <x:c r="S931" s="33" t="str">
        <x:v>Not Tested</x:v>
      </x:c>
      <x:c r="T931" s="64" t="str">
        <x:v>Eligible</x:v>
      </x:c>
      <x:c r="U931" s="47" t="str"/>
      <x:c r="V931" s="47" t="str"/>
      <x:c r="W931" s="47" t="str"/>
      <x:c r="X931" s="50" t="str"/>
      <x:c r="Y931" s="50" t="str"/>
      <x:c r="Z931" s="47" t="str"/>
      <x:c r="AA931" s="47" t="str">
        <x:v>No direct published reference located; do not display a crimp value.</x:v>
      </x:c>
      <x:c r="AB931" s="161" t="str">
        <x:v>Pending</x:v>
      </x:c>
    </x:row>
    <x:row r="932" ht="42" customHeight="1">
      <x:c r="A932" s="33" t="str">
        <x:v>Draft</x:v>
      </x:c>
      <x:c r="B932" s="47" t="str">
        <x:v>COMP_0928</x:v>
      </x:c>
      <x:c r="C932" s="47" t="str">
        <x:v>EN4SP_004</x:v>
      </x:c>
      <x:c r="D932" s="47" t="str">
        <x:v>JIC45_F_SW_12_10</x:v>
      </x:c>
      <x:c r="E932" s="47" t="str">
        <x:v>EN4SP_4SP_004</x:v>
      </x:c>
      <x:c r="F932" s="47" t="str"/>
      <x:c r="G932" s="33" t="str"/>
      <x:c r="H932" s="50" t="str"/>
      <x:c r="I932" s="50" t="str"/>
      <x:c r="J932" s="50" t="str"/>
      <x:c r="K932" s="47" t="str"/>
      <x:c r="L932" s="50" t="str"/>
      <x:c r="M932" s="50" t="str"/>
      <x:c r="N932" s="47" t="str"/>
      <x:c r="O932" s="50" t="str"/>
      <x:c r="P932" s="64" t="str">
        <x:f>IF(O932="","",O932*2)</x:f>
      </x:c>
      <x:c r="Q932" s="50" t="str"/>
      <x:c r="R932" s="47" t="str"/>
      <x:c r="S932" s="33" t="str">
        <x:v>Not Tested</x:v>
      </x:c>
      <x:c r="T932" s="64" t="str">
        <x:v>Eligible</x:v>
      </x:c>
      <x:c r="U932" s="47" t="str"/>
      <x:c r="V932" s="47" t="str"/>
      <x:c r="W932" s="47" t="str"/>
      <x:c r="X932" s="50" t="str"/>
      <x:c r="Y932" s="50" t="str"/>
      <x:c r="Z932" s="47" t="str"/>
      <x:c r="AA932" s="47" t="str">
        <x:v>No direct published reference located; do not display a crimp value.</x:v>
      </x:c>
      <x:c r="AB932" s="161" t="str">
        <x:v>Pending</x:v>
      </x:c>
    </x:row>
    <x:row r="933" ht="42" customHeight="1">
      <x:c r="A933" s="33" t="str">
        <x:v>Draft</x:v>
      </x:c>
      <x:c r="B933" s="47" t="str">
        <x:v>COMP_0929</x:v>
      </x:c>
      <x:c r="C933" s="47" t="str">
        <x:v>EN4SP_004</x:v>
      </x:c>
      <x:c r="D933" s="47" t="str">
        <x:v>JIC90_F_SW_10_10</x:v>
      </x:c>
      <x:c r="E933" s="47" t="str">
        <x:v>EN4SP_4SP_004</x:v>
      </x:c>
      <x:c r="F933" s="47" t="str"/>
      <x:c r="G933" s="33" t="str"/>
      <x:c r="H933" s="50" t="str"/>
      <x:c r="I933" s="50" t="str"/>
      <x:c r="J933" s="50" t="str"/>
      <x:c r="K933" s="47" t="str"/>
      <x:c r="L933" s="50" t="str"/>
      <x:c r="M933" s="50" t="str"/>
      <x:c r="N933" s="47" t="str"/>
      <x:c r="O933" s="50" t="str"/>
      <x:c r="P933" s="64" t="str">
        <x:f>IF(O933="","",O933*2)</x:f>
      </x:c>
      <x:c r="Q933" s="50" t="str"/>
      <x:c r="R933" s="47" t="str"/>
      <x:c r="S933" s="33" t="str">
        <x:v>Not Tested</x:v>
      </x:c>
      <x:c r="T933" s="64" t="str">
        <x:v>Eligible</x:v>
      </x:c>
      <x:c r="U933" s="47" t="str"/>
      <x:c r="V933" s="47" t="str"/>
      <x:c r="W933" s="47" t="str"/>
      <x:c r="X933" s="50" t="str"/>
      <x:c r="Y933" s="50" t="str"/>
      <x:c r="Z933" s="47" t="str"/>
      <x:c r="AA933" s="47" t="str">
        <x:v>No direct published reference located; do not display a crimp value.</x:v>
      </x:c>
      <x:c r="AB933" s="161" t="str">
        <x:v>Pending</x:v>
      </x:c>
    </x:row>
    <x:row r="934" ht="42" customHeight="1">
      <x:c r="A934" s="33" t="str">
        <x:v>Draft</x:v>
      </x:c>
      <x:c r="B934" s="47" t="str">
        <x:v>COMP_0930</x:v>
      </x:c>
      <x:c r="C934" s="47" t="str">
        <x:v>EN4SP_004</x:v>
      </x:c>
      <x:c r="D934" s="47" t="str">
        <x:v>JIC90_F_SW_12_10</x:v>
      </x:c>
      <x:c r="E934" s="47" t="str">
        <x:v>EN4SP_4SP_004</x:v>
      </x:c>
      <x:c r="F934" s="47" t="str"/>
      <x:c r="G934" s="33" t="str"/>
      <x:c r="H934" s="50" t="str"/>
      <x:c r="I934" s="50" t="str"/>
      <x:c r="J934" s="50" t="str"/>
      <x:c r="K934" s="47" t="str"/>
      <x:c r="L934" s="50" t="str"/>
      <x:c r="M934" s="50" t="str"/>
      <x:c r="N934" s="47" t="str"/>
      <x:c r="O934" s="50" t="str"/>
      <x:c r="P934" s="64" t="str">
        <x:f>IF(O934="","",O934*2)</x:f>
      </x:c>
      <x:c r="Q934" s="50" t="str"/>
      <x:c r="R934" s="47" t="str"/>
      <x:c r="S934" s="33" t="str">
        <x:v>Not Tested</x:v>
      </x:c>
      <x:c r="T934" s="64" t="str">
        <x:v>Eligible</x:v>
      </x:c>
      <x:c r="U934" s="47" t="str"/>
      <x:c r="V934" s="47" t="str"/>
      <x:c r="W934" s="47" t="str"/>
      <x:c r="X934" s="50" t="str"/>
      <x:c r="Y934" s="50" t="str"/>
      <x:c r="Z934" s="47" t="str"/>
      <x:c r="AA934" s="47" t="str">
        <x:v>No direct published reference located; do not display a crimp value.</x:v>
      </x:c>
      <x:c r="AB934" s="161" t="str">
        <x:v>Pending</x:v>
      </x:c>
    </x:row>
    <x:row r="935" ht="42" customHeight="1">
      <x:c r="A935" s="33" t="str">
        <x:v>Draft</x:v>
      </x:c>
      <x:c r="B935" s="47" t="str">
        <x:v>COMP_0931</x:v>
      </x:c>
      <x:c r="C935" s="47" t="str">
        <x:v>EN4SP_004</x:v>
      </x:c>
      <x:c r="D935" s="47" t="str">
        <x:v>NPT_M_FX_06_10</x:v>
      </x:c>
      <x:c r="E935" s="47" t="str">
        <x:v>EN4SP_4SP_004</x:v>
      </x:c>
      <x:c r="F935" s="47" t="str"/>
      <x:c r="G935" s="33" t="str"/>
      <x:c r="H935" s="50" t="str"/>
      <x:c r="I935" s="50" t="str"/>
      <x:c r="J935" s="50" t="str"/>
      <x:c r="K935" s="47" t="str"/>
      <x:c r="L935" s="50" t="str"/>
      <x:c r="M935" s="50" t="str"/>
      <x:c r="N935" s="47" t="str"/>
      <x:c r="O935" s="50" t="str"/>
      <x:c r="P935" s="64" t="str">
        <x:f>IF(O935="","",O935*2)</x:f>
      </x:c>
      <x:c r="Q935" s="50" t="str"/>
      <x:c r="R935" s="47" t="str"/>
      <x:c r="S935" s="33" t="str">
        <x:v>Not Tested</x:v>
      </x:c>
      <x:c r="T935" s="64" t="str">
        <x:v>Eligible</x:v>
      </x:c>
      <x:c r="U935" s="47" t="str"/>
      <x:c r="V935" s="47" t="str"/>
      <x:c r="W935" s="47" t="str"/>
      <x:c r="X935" s="50" t="str"/>
      <x:c r="Y935" s="50" t="str"/>
      <x:c r="Z935" s="47" t="str"/>
      <x:c r="AA935" s="47" t="str">
        <x:v>No direct published reference located; do not display a crimp value.</x:v>
      </x:c>
      <x:c r="AB935" s="161" t="str">
        <x:v>Pending</x:v>
      </x:c>
    </x:row>
    <x:row r="936" ht="42" customHeight="1">
      <x:c r="A936" s="33" t="str">
        <x:v>Draft</x:v>
      </x:c>
      <x:c r="B936" s="47" t="str">
        <x:v>COMP_0932</x:v>
      </x:c>
      <x:c r="C936" s="47" t="str">
        <x:v>EN4SP_004</x:v>
      </x:c>
      <x:c r="D936" s="47" t="str">
        <x:v>NPT_M_FX_08_10</x:v>
      </x:c>
      <x:c r="E936" s="47" t="str">
        <x:v>EN4SP_4SP_004</x:v>
      </x:c>
      <x:c r="F936" s="47" t="str"/>
      <x:c r="G936" s="33" t="str"/>
      <x:c r="H936" s="50" t="str"/>
      <x:c r="I936" s="50" t="str"/>
      <x:c r="J936" s="50" t="str"/>
      <x:c r="K936" s="47" t="str"/>
      <x:c r="L936" s="50" t="str"/>
      <x:c r="M936" s="50" t="str"/>
      <x:c r="N936" s="47" t="str"/>
      <x:c r="O936" s="50" t="str"/>
      <x:c r="P936" s="64" t="str">
        <x:f>IF(O936="","",O936*2)</x:f>
      </x:c>
      <x:c r="Q936" s="50" t="str"/>
      <x:c r="R936" s="47" t="str"/>
      <x:c r="S936" s="33" t="str">
        <x:v>Not Tested</x:v>
      </x:c>
      <x:c r="T936" s="64" t="str">
        <x:v>Eligible</x:v>
      </x:c>
      <x:c r="U936" s="47" t="str"/>
      <x:c r="V936" s="47" t="str"/>
      <x:c r="W936" s="47" t="str"/>
      <x:c r="X936" s="50" t="str"/>
      <x:c r="Y936" s="50" t="str"/>
      <x:c r="Z936" s="47" t="str"/>
      <x:c r="AA936" s="47" t="str">
        <x:v>No direct published reference located; do not display a crimp value.</x:v>
      </x:c>
      <x:c r="AB936" s="161" t="str">
        <x:v>Pending</x:v>
      </x:c>
    </x:row>
    <x:row r="937" ht="42" customHeight="1">
      <x:c r="A937" s="33" t="str">
        <x:v>Draft</x:v>
      </x:c>
      <x:c r="B937" s="47" t="str">
        <x:v>COMP_0933</x:v>
      </x:c>
      <x:c r="C937" s="47" t="str">
        <x:v>EN4SP_004</x:v>
      </x:c>
      <x:c r="D937" s="47" t="str">
        <x:v>NPT_M_FX_12_10</x:v>
      </x:c>
      <x:c r="E937" s="47" t="str">
        <x:v>EN4SP_4SP_004</x:v>
      </x:c>
      <x:c r="F937" s="47" t="str"/>
      <x:c r="G937" s="33" t="str"/>
      <x:c r="H937" s="50" t="str"/>
      <x:c r="I937" s="50" t="str"/>
      <x:c r="J937" s="50" t="str"/>
      <x:c r="K937" s="47" t="str"/>
      <x:c r="L937" s="50" t="str"/>
      <x:c r="M937" s="50" t="str"/>
      <x:c r="N937" s="47" t="str"/>
      <x:c r="O937" s="50" t="str"/>
      <x:c r="P937" s="64" t="str">
        <x:f>IF(O937="","",O937*2)</x:f>
      </x:c>
      <x:c r="Q937" s="50" t="str"/>
      <x:c r="R937" s="47" t="str"/>
      <x:c r="S937" s="33" t="str">
        <x:v>Not Tested</x:v>
      </x:c>
      <x:c r="T937" s="64" t="str">
        <x:v>Eligible</x:v>
      </x:c>
      <x:c r="U937" s="47" t="str"/>
      <x:c r="V937" s="47" t="str"/>
      <x:c r="W937" s="47" t="str"/>
      <x:c r="X937" s="50" t="str"/>
      <x:c r="Y937" s="50" t="str"/>
      <x:c r="Z937" s="47" t="str"/>
      <x:c r="AA937" s="47" t="str">
        <x:v>No direct published reference located; do not display a crimp value.</x:v>
      </x:c>
      <x:c r="AB937" s="161" t="str">
        <x:v>Pending</x:v>
      </x:c>
    </x:row>
    <x:row r="938" ht="42" customHeight="1">
      <x:c r="A938" s="33" t="str">
        <x:v>Draft</x:v>
      </x:c>
      <x:c r="B938" s="47" t="str">
        <x:v>COMP_0934</x:v>
      </x:c>
      <x:c r="C938" s="47" t="str">
        <x:v>EN4SP_004</x:v>
      </x:c>
      <x:c r="D938" s="47" t="str">
        <x:v>ORFS_F_SW_08_10</x:v>
      </x:c>
      <x:c r="E938" s="47" t="str">
        <x:v>EN4SP_4SP_004</x:v>
      </x:c>
      <x:c r="F938" s="47" t="str"/>
      <x:c r="G938" s="33" t="str"/>
      <x:c r="H938" s="50" t="str"/>
      <x:c r="I938" s="50" t="str"/>
      <x:c r="J938" s="50" t="str"/>
      <x:c r="K938" s="47" t="str"/>
      <x:c r="L938" s="50" t="str"/>
      <x:c r="M938" s="50" t="str"/>
      <x:c r="N938" s="47" t="str"/>
      <x:c r="O938" s="50" t="str"/>
      <x:c r="P938" s="64" t="str">
        <x:f>IF(O938="","",O938*2)</x:f>
      </x:c>
      <x:c r="Q938" s="50" t="str"/>
      <x:c r="R938" s="47" t="str"/>
      <x:c r="S938" s="33" t="str">
        <x:v>Not Tested</x:v>
      </x:c>
      <x:c r="T938" s="64" t="str">
        <x:v>Eligible</x:v>
      </x:c>
      <x:c r="U938" s="47" t="str"/>
      <x:c r="V938" s="47" t="str"/>
      <x:c r="W938" s="47" t="str"/>
      <x:c r="X938" s="50" t="str"/>
      <x:c r="Y938" s="50" t="str"/>
      <x:c r="Z938" s="47" t="str"/>
      <x:c r="AA938" s="47" t="str">
        <x:v>No direct published reference located; do not display a crimp value.</x:v>
      </x:c>
      <x:c r="AB938" s="161" t="str">
        <x:v>Pending</x:v>
      </x:c>
    </x:row>
    <x:row r="939" ht="42" customHeight="1">
      <x:c r="A939" s="33" t="str">
        <x:v>Draft</x:v>
      </x:c>
      <x:c r="B939" s="47" t="str">
        <x:v>COMP_0935</x:v>
      </x:c>
      <x:c r="C939" s="47" t="str">
        <x:v>EN4SP_004</x:v>
      </x:c>
      <x:c r="D939" s="47" t="str">
        <x:v>ORFS_F_SW_10_10</x:v>
      </x:c>
      <x:c r="E939" s="47" t="str">
        <x:v>EN4SP_4SP_004</x:v>
      </x:c>
      <x:c r="F939" s="47" t="str"/>
      <x:c r="G939" s="33" t="str"/>
      <x:c r="H939" s="50" t="str"/>
      <x:c r="I939" s="50" t="str"/>
      <x:c r="J939" s="50" t="str"/>
      <x:c r="K939" s="47" t="str"/>
      <x:c r="L939" s="50" t="str"/>
      <x:c r="M939" s="50" t="str"/>
      <x:c r="N939" s="47" t="str"/>
      <x:c r="O939" s="50" t="str"/>
      <x:c r="P939" s="64" t="str">
        <x:f>IF(O939="","",O939*2)</x:f>
      </x:c>
      <x:c r="Q939" s="50" t="str"/>
      <x:c r="R939" s="47" t="str"/>
      <x:c r="S939" s="33" t="str">
        <x:v>Not Tested</x:v>
      </x:c>
      <x:c r="T939" s="64" t="str">
        <x:v>Eligible</x:v>
      </x:c>
      <x:c r="U939" s="47" t="str"/>
      <x:c r="V939" s="47" t="str"/>
      <x:c r="W939" s="47" t="str"/>
      <x:c r="X939" s="50" t="str"/>
      <x:c r="Y939" s="50" t="str"/>
      <x:c r="Z939" s="47" t="str"/>
      <x:c r="AA939" s="47" t="str">
        <x:v>No direct published reference located; do not display a crimp value.</x:v>
      </x:c>
      <x:c r="AB939" s="161" t="str">
        <x:v>Pending</x:v>
      </x:c>
    </x:row>
    <x:row r="940" ht="42" customHeight="1">
      <x:c r="A940" s="33" t="str">
        <x:v>Draft</x:v>
      </x:c>
      <x:c r="B940" s="47" t="str">
        <x:v>COMP_0936</x:v>
      </x:c>
      <x:c r="C940" s="47" t="str">
        <x:v>EN4SP_004</x:v>
      </x:c>
      <x:c r="D940" s="47" t="str">
        <x:v>ORFS_F_SW_12_10</x:v>
      </x:c>
      <x:c r="E940" s="47" t="str">
        <x:v>EN4SP_4SP_004</x:v>
      </x:c>
      <x:c r="F940" s="47" t="str"/>
      <x:c r="G940" s="33" t="str"/>
      <x:c r="H940" s="50" t="str"/>
      <x:c r="I940" s="50" t="str"/>
      <x:c r="J940" s="50" t="str"/>
      <x:c r="K940" s="47" t="str"/>
      <x:c r="L940" s="50" t="str"/>
      <x:c r="M940" s="50" t="str"/>
      <x:c r="N940" s="47" t="str"/>
      <x:c r="O940" s="50" t="str"/>
      <x:c r="P940" s="64" t="str">
        <x:f>IF(O940="","",O940*2)</x:f>
      </x:c>
      <x:c r="Q940" s="50" t="str"/>
      <x:c r="R940" s="47" t="str"/>
      <x:c r="S940" s="33" t="str">
        <x:v>Not Tested</x:v>
      </x:c>
      <x:c r="T940" s="64" t="str">
        <x:v>Eligible</x:v>
      </x:c>
      <x:c r="U940" s="47" t="str"/>
      <x:c r="V940" s="47" t="str"/>
      <x:c r="W940" s="47" t="str"/>
      <x:c r="X940" s="50" t="str"/>
      <x:c r="Y940" s="50" t="str"/>
      <x:c r="Z940" s="47" t="str"/>
      <x:c r="AA940" s="47" t="str">
        <x:v>No direct published reference located; do not display a crimp value.</x:v>
      </x:c>
      <x:c r="AB940" s="161" t="str">
        <x:v>Pending</x:v>
      </x:c>
    </x:row>
    <x:row r="941" ht="42" customHeight="1">
      <x:c r="A941" s="33" t="str">
        <x:v>Draft</x:v>
      </x:c>
      <x:c r="B941" s="47" t="str">
        <x:v>COMP_0937</x:v>
      </x:c>
      <x:c r="C941" s="47" t="str">
        <x:v>EN4SP_004</x:v>
      </x:c>
      <x:c r="D941" s="47" t="str">
        <x:v>ORFS_M_FX_10_10</x:v>
      </x:c>
      <x:c r="E941" s="47" t="str">
        <x:v>EN4SP_4SP_004</x:v>
      </x:c>
      <x:c r="F941" s="47" t="str"/>
      <x:c r="G941" s="33" t="str"/>
      <x:c r="H941" s="50" t="str"/>
      <x:c r="I941" s="50" t="str"/>
      <x:c r="J941" s="50" t="str"/>
      <x:c r="K941" s="47" t="str"/>
      <x:c r="L941" s="50" t="str"/>
      <x:c r="M941" s="50" t="str"/>
      <x:c r="N941" s="47" t="str"/>
      <x:c r="O941" s="50" t="str"/>
      <x:c r="P941" s="64" t="str">
        <x:f>IF(O941="","",O941*2)</x:f>
      </x:c>
      <x:c r="Q941" s="50" t="str"/>
      <x:c r="R941" s="47" t="str"/>
      <x:c r="S941" s="33" t="str">
        <x:v>Not Tested</x:v>
      </x:c>
      <x:c r="T941" s="64" t="str">
        <x:v>Eligible</x:v>
      </x:c>
      <x:c r="U941" s="47" t="str"/>
      <x:c r="V941" s="47" t="str"/>
      <x:c r="W941" s="47" t="str"/>
      <x:c r="X941" s="50" t="str"/>
      <x:c r="Y941" s="50" t="str"/>
      <x:c r="Z941" s="47" t="str"/>
      <x:c r="AA941" s="47" t="str">
        <x:v>No direct published reference located; do not display a crimp value.</x:v>
      </x:c>
      <x:c r="AB941" s="161" t="str">
        <x:v>Pending</x:v>
      </x:c>
    </x:row>
    <x:row r="942" ht="42" customHeight="1">
      <x:c r="A942" s="33" t="str">
        <x:v>Draft</x:v>
      </x:c>
      <x:c r="B942" s="47" t="str">
        <x:v>COMP_0938</x:v>
      </x:c>
      <x:c r="C942" s="47" t="str">
        <x:v>EN4SP_004</x:v>
      </x:c>
      <x:c r="D942" s="47" t="str">
        <x:v>ORFS_M_FX_12_10</x:v>
      </x:c>
      <x:c r="E942" s="47" t="str">
        <x:v>EN4SP_4SP_004</x:v>
      </x:c>
      <x:c r="F942" s="47" t="str"/>
      <x:c r="G942" s="33" t="str"/>
      <x:c r="H942" s="50" t="str"/>
      <x:c r="I942" s="50" t="str"/>
      <x:c r="J942" s="50" t="str"/>
      <x:c r="K942" s="47" t="str"/>
      <x:c r="L942" s="50" t="str"/>
      <x:c r="M942" s="50" t="str"/>
      <x:c r="N942" s="47" t="str"/>
      <x:c r="O942" s="50" t="str"/>
      <x:c r="P942" s="64" t="str">
        <x:f>IF(O942="","",O942*2)</x:f>
      </x:c>
      <x:c r="Q942" s="50" t="str"/>
      <x:c r="R942" s="47" t="str"/>
      <x:c r="S942" s="33" t="str">
        <x:v>Not Tested</x:v>
      </x:c>
      <x:c r="T942" s="64" t="str">
        <x:v>Eligible</x:v>
      </x:c>
      <x:c r="U942" s="47" t="str"/>
      <x:c r="V942" s="47" t="str"/>
      <x:c r="W942" s="47" t="str"/>
      <x:c r="X942" s="50" t="str"/>
      <x:c r="Y942" s="50" t="str"/>
      <x:c r="Z942" s="47" t="str"/>
      <x:c r="AA942" s="47" t="str">
        <x:v>No direct published reference located; do not display a crimp value.</x:v>
      </x:c>
      <x:c r="AB942" s="161" t="str">
        <x:v>Pending</x:v>
      </x:c>
    </x:row>
    <x:row r="943" ht="42" customHeight="1">
      <x:c r="A943" s="33" t="str">
        <x:v>Draft</x:v>
      </x:c>
      <x:c r="B943" s="47" t="str">
        <x:v>COMP_0939</x:v>
      </x:c>
      <x:c r="C943" s="47" t="str">
        <x:v>EN4SP_004</x:v>
      </x:c>
      <x:c r="D943" s="47" t="str">
        <x:v>ORFS45_F_SW_10_10</x:v>
      </x:c>
      <x:c r="E943" s="47" t="str">
        <x:v>EN4SP_4SP_004</x:v>
      </x:c>
      <x:c r="F943" s="47" t="str"/>
      <x:c r="G943" s="33" t="str"/>
      <x:c r="H943" s="50" t="str"/>
      <x:c r="I943" s="50" t="str"/>
      <x:c r="J943" s="50" t="str"/>
      <x:c r="K943" s="47" t="str"/>
      <x:c r="L943" s="50" t="str"/>
      <x:c r="M943" s="50" t="str"/>
      <x:c r="N943" s="47" t="str"/>
      <x:c r="O943" s="50" t="str"/>
      <x:c r="P943" s="64" t="str">
        <x:f>IF(O943="","",O943*2)</x:f>
      </x:c>
      <x:c r="Q943" s="50" t="str"/>
      <x:c r="R943" s="47" t="str"/>
      <x:c r="S943" s="33" t="str">
        <x:v>Not Tested</x:v>
      </x:c>
      <x:c r="T943" s="64" t="str">
        <x:v>Eligible</x:v>
      </x:c>
      <x:c r="U943" s="47" t="str"/>
      <x:c r="V943" s="47" t="str"/>
      <x:c r="W943" s="47" t="str"/>
      <x:c r="X943" s="50" t="str"/>
      <x:c r="Y943" s="50" t="str"/>
      <x:c r="Z943" s="47" t="str"/>
      <x:c r="AA943" s="47" t="str">
        <x:v>No direct published reference located; do not display a crimp value.</x:v>
      </x:c>
      <x:c r="AB943" s="161" t="str">
        <x:v>Pending</x:v>
      </x:c>
    </x:row>
    <x:row r="944" ht="42" customHeight="1">
      <x:c r="A944" s="33" t="str">
        <x:v>Draft</x:v>
      </x:c>
      <x:c r="B944" s="47" t="str">
        <x:v>COMP_0940</x:v>
      </x:c>
      <x:c r="C944" s="47" t="str">
        <x:v>EN4SP_004</x:v>
      </x:c>
      <x:c r="D944" s="47" t="str">
        <x:v>ORFS45_F_SW_12_10</x:v>
      </x:c>
      <x:c r="E944" s="47" t="str">
        <x:v>EN4SP_4SP_004</x:v>
      </x:c>
      <x:c r="F944" s="47" t="str"/>
      <x:c r="G944" s="33" t="str"/>
      <x:c r="H944" s="50" t="str"/>
      <x:c r="I944" s="50" t="str"/>
      <x:c r="J944" s="50" t="str"/>
      <x:c r="K944" s="47" t="str"/>
      <x:c r="L944" s="50" t="str"/>
      <x:c r="M944" s="50" t="str"/>
      <x:c r="N944" s="47" t="str"/>
      <x:c r="O944" s="50" t="str"/>
      <x:c r="P944" s="64" t="str">
        <x:f>IF(O944="","",O944*2)</x:f>
      </x:c>
      <x:c r="Q944" s="50" t="str"/>
      <x:c r="R944" s="47" t="str"/>
      <x:c r="S944" s="33" t="str">
        <x:v>Not Tested</x:v>
      </x:c>
      <x:c r="T944" s="64" t="str">
        <x:v>Eligible</x:v>
      </x:c>
      <x:c r="U944" s="47" t="str"/>
      <x:c r="V944" s="47" t="str"/>
      <x:c r="W944" s="47" t="str"/>
      <x:c r="X944" s="50" t="str"/>
      <x:c r="Y944" s="50" t="str"/>
      <x:c r="Z944" s="47" t="str"/>
      <x:c r="AA944" s="47" t="str">
        <x:v>No direct published reference located; do not display a crimp value.</x:v>
      </x:c>
      <x:c r="AB944" s="161" t="str">
        <x:v>Pending</x:v>
      </x:c>
    </x:row>
    <x:row r="945" ht="42" customHeight="1">
      <x:c r="A945" s="33" t="str">
        <x:v>Draft</x:v>
      </x:c>
      <x:c r="B945" s="47" t="str">
        <x:v>COMP_0941</x:v>
      </x:c>
      <x:c r="C945" s="47" t="str">
        <x:v>EN4SP_004</x:v>
      </x:c>
      <x:c r="D945" s="47" t="str">
        <x:v>ORFS90_F_SW_08_10</x:v>
      </x:c>
      <x:c r="E945" s="47" t="str">
        <x:v>EN4SP_4SP_004</x:v>
      </x:c>
      <x:c r="F945" s="47" t="str"/>
      <x:c r="G945" s="33" t="str"/>
      <x:c r="H945" s="50" t="str"/>
      <x:c r="I945" s="50" t="str"/>
      <x:c r="J945" s="50" t="str"/>
      <x:c r="K945" s="47" t="str"/>
      <x:c r="L945" s="50" t="str"/>
      <x:c r="M945" s="50" t="str"/>
      <x:c r="N945" s="47" t="str"/>
      <x:c r="O945" s="50" t="str"/>
      <x:c r="P945" s="64" t="str">
        <x:f>IF(O945="","",O945*2)</x:f>
      </x:c>
      <x:c r="Q945" s="50" t="str"/>
      <x:c r="R945" s="47" t="str"/>
      <x:c r="S945" s="33" t="str">
        <x:v>Not Tested</x:v>
      </x:c>
      <x:c r="T945" s="64" t="str">
        <x:v>Eligible</x:v>
      </x:c>
      <x:c r="U945" s="47" t="str"/>
      <x:c r="V945" s="47" t="str"/>
      <x:c r="W945" s="47" t="str"/>
      <x:c r="X945" s="50" t="str"/>
      <x:c r="Y945" s="50" t="str"/>
      <x:c r="Z945" s="47" t="str"/>
      <x:c r="AA945" s="47" t="str">
        <x:v>No direct published reference located; do not display a crimp value.</x:v>
      </x:c>
      <x:c r="AB945" s="161" t="str">
        <x:v>Pending</x:v>
      </x:c>
    </x:row>
    <x:row r="946" ht="42" customHeight="1">
      <x:c r="A946" s="33" t="str">
        <x:v>Draft</x:v>
      </x:c>
      <x:c r="B946" s="47" t="str">
        <x:v>COMP_0942</x:v>
      </x:c>
      <x:c r="C946" s="47" t="str">
        <x:v>EN4SP_004</x:v>
      </x:c>
      <x:c r="D946" s="47" t="str">
        <x:v>ORFS90_F_SW_10_10</x:v>
      </x:c>
      <x:c r="E946" s="47" t="str">
        <x:v>EN4SP_4SP_004</x:v>
      </x:c>
      <x:c r="F946" s="47" t="str"/>
      <x:c r="G946" s="33" t="str"/>
      <x:c r="H946" s="50" t="str"/>
      <x:c r="I946" s="50" t="str"/>
      <x:c r="J946" s="50" t="str"/>
      <x:c r="K946" s="47" t="str"/>
      <x:c r="L946" s="50" t="str"/>
      <x:c r="M946" s="50" t="str"/>
      <x:c r="N946" s="47" t="str"/>
      <x:c r="O946" s="50" t="str"/>
      <x:c r="P946" s="64" t="str">
        <x:f>IF(O946="","",O946*2)</x:f>
      </x:c>
      <x:c r="Q946" s="50" t="str"/>
      <x:c r="R946" s="47" t="str"/>
      <x:c r="S946" s="33" t="str">
        <x:v>Not Tested</x:v>
      </x:c>
      <x:c r="T946" s="64" t="str">
        <x:v>Eligible</x:v>
      </x:c>
      <x:c r="U946" s="47" t="str"/>
      <x:c r="V946" s="47" t="str"/>
      <x:c r="W946" s="47" t="str"/>
      <x:c r="X946" s="50" t="str"/>
      <x:c r="Y946" s="50" t="str"/>
      <x:c r="Z946" s="47" t="str"/>
      <x:c r="AA946" s="47" t="str">
        <x:v>No direct published reference located; do not display a crimp value.</x:v>
      </x:c>
      <x:c r="AB946" s="161" t="str">
        <x:v>Pending</x:v>
      </x:c>
    </x:row>
    <x:row r="947" ht="42" customHeight="1">
      <x:c r="A947" s="33" t="str">
        <x:v>Draft</x:v>
      </x:c>
      <x:c r="B947" s="47" t="str">
        <x:v>COMP_0943</x:v>
      </x:c>
      <x:c r="C947" s="47" t="str">
        <x:v>EN4SP_005</x:v>
      </x:c>
      <x:c r="D947" s="47" t="str">
        <x:v>BSPP_F_SW_12_12</x:v>
      </x:c>
      <x:c r="E947" s="47" t="str">
        <x:v>EN4SP_4SP_005</x:v>
      </x:c>
      <x:c r="F947" s="47" t="str"/>
      <x:c r="G947" s="33" t="str"/>
      <x:c r="H947" s="50" t="str"/>
      <x:c r="I947" s="50" t="str"/>
      <x:c r="J947" s="50" t="str"/>
      <x:c r="K947" s="47" t="str"/>
      <x:c r="L947" s="50" t="str"/>
      <x:c r="M947" s="50" t="str"/>
      <x:c r="N947" s="47" t="str"/>
      <x:c r="O947" s="50" t="str"/>
      <x:c r="P947" s="64" t="str">
        <x:f>IF(O947="","",O947*2)</x:f>
      </x:c>
      <x:c r="Q947" s="50" t="str"/>
      <x:c r="R947" s="47" t="str"/>
      <x:c r="S947" s="33" t="str">
        <x:v>Not Tested</x:v>
      </x:c>
      <x:c r="T947" s="64" t="str">
        <x:v>Eligible</x:v>
      </x:c>
      <x:c r="U947" s="47" t="str"/>
      <x:c r="V947" s="47" t="str"/>
      <x:c r="W947" s="47" t="str"/>
      <x:c r="X947" s="50" t="str"/>
      <x:c r="Y947" s="50" t="str"/>
      <x:c r="Z947" s="47" t="str"/>
      <x:c r="AA947" s="47" t="str">
        <x:v>No direct published reference located; do not display a crimp value.</x:v>
      </x:c>
      <x:c r="AB947" s="161" t="str">
        <x:v>Pending</x:v>
      </x:c>
    </x:row>
    <x:row r="948" ht="42" customHeight="1">
      <x:c r="A948" s="33" t="str">
        <x:v>Draft</x:v>
      </x:c>
      <x:c r="B948" s="47" t="str">
        <x:v>COMP_0944</x:v>
      </x:c>
      <x:c r="C948" s="47" t="str">
        <x:v>EN4SP_005</x:v>
      </x:c>
      <x:c r="D948" s="47" t="str">
        <x:v>BSPP_M_FX_12_12</x:v>
      </x:c>
      <x:c r="E948" s="47" t="str">
        <x:v>EN4SP_4SP_005</x:v>
      </x:c>
      <x:c r="F948" s="47" t="str"/>
      <x:c r="G948" s="33" t="str"/>
      <x:c r="H948" s="50" t="str"/>
      <x:c r="I948" s="50" t="str"/>
      <x:c r="J948" s="50" t="str"/>
      <x:c r="K948" s="47" t="str"/>
      <x:c r="L948" s="50" t="str"/>
      <x:c r="M948" s="50" t="str"/>
      <x:c r="N948" s="47" t="str"/>
      <x:c r="O948" s="50" t="str"/>
      <x:c r="P948" s="64" t="str">
        <x:f>IF(O948="","",O948*2)</x:f>
      </x:c>
      <x:c r="Q948" s="50" t="str"/>
      <x:c r="R948" s="47" t="str"/>
      <x:c r="S948" s="33" t="str">
        <x:v>Not Tested</x:v>
      </x:c>
      <x:c r="T948" s="64" t="str">
        <x:v>Eligible</x:v>
      </x:c>
      <x:c r="U948" s="47" t="str"/>
      <x:c r="V948" s="47" t="str"/>
      <x:c r="W948" s="47" t="str"/>
      <x:c r="X948" s="50" t="str"/>
      <x:c r="Y948" s="50" t="str"/>
      <x:c r="Z948" s="47" t="str"/>
      <x:c r="AA948" s="47" t="str">
        <x:v>No direct published reference located; do not display a crimp value.</x:v>
      </x:c>
      <x:c r="AB948" s="161" t="str">
        <x:v>Pending</x:v>
      </x:c>
    </x:row>
    <x:row r="949" ht="42" customHeight="1">
      <x:c r="A949" s="33" t="str">
        <x:v>Draft</x:v>
      </x:c>
      <x:c r="B949" s="47" t="str">
        <x:v>COMP_0945</x:v>
      </x:c>
      <x:c r="C949" s="47" t="str">
        <x:v>EN4SP_005</x:v>
      </x:c>
      <x:c r="D949" s="47" t="str">
        <x:v>BSPP45_F_SW_12_12</x:v>
      </x:c>
      <x:c r="E949" s="47" t="str">
        <x:v>EN4SP_4SP_005</x:v>
      </x:c>
      <x:c r="F949" s="47" t="str"/>
      <x:c r="G949" s="33" t="str"/>
      <x:c r="H949" s="50" t="str"/>
      <x:c r="I949" s="50" t="str"/>
      <x:c r="J949" s="50" t="str"/>
      <x:c r="K949" s="47" t="str"/>
      <x:c r="L949" s="50" t="str"/>
      <x:c r="M949" s="50" t="str"/>
      <x:c r="N949" s="47" t="str"/>
      <x:c r="O949" s="50" t="str"/>
      <x:c r="P949" s="64" t="str">
        <x:f>IF(O949="","",O949*2)</x:f>
      </x:c>
      <x:c r="Q949" s="50" t="str"/>
      <x:c r="R949" s="47" t="str"/>
      <x:c r="S949" s="33" t="str">
        <x:v>Not Tested</x:v>
      </x:c>
      <x:c r="T949" s="64" t="str">
        <x:v>Eligible</x:v>
      </x:c>
      <x:c r="U949" s="47" t="str"/>
      <x:c r="V949" s="47" t="str"/>
      <x:c r="W949" s="47" t="str"/>
      <x:c r="X949" s="50" t="str"/>
      <x:c r="Y949" s="50" t="str"/>
      <x:c r="Z949" s="47" t="str"/>
      <x:c r="AA949" s="47" t="str">
        <x:v>No direct published reference located; do not display a crimp value.</x:v>
      </x:c>
      <x:c r="AB949" s="161" t="str">
        <x:v>Pending</x:v>
      </x:c>
    </x:row>
    <x:row r="950" ht="42" customHeight="1">
      <x:c r="A950" s="33" t="str">
        <x:v>Draft</x:v>
      </x:c>
      <x:c r="B950" s="47" t="str">
        <x:v>COMP_0946</x:v>
      </x:c>
      <x:c r="C950" s="47" t="str">
        <x:v>EN4SP_005</x:v>
      </x:c>
      <x:c r="D950" s="47" t="str">
        <x:v>BSPP90_F_SW_12_12</x:v>
      </x:c>
      <x:c r="E950" s="47" t="str">
        <x:v>EN4SP_4SP_005</x:v>
      </x:c>
      <x:c r="F950" s="47" t="str"/>
      <x:c r="G950" s="33" t="str"/>
      <x:c r="H950" s="50" t="str"/>
      <x:c r="I950" s="50" t="str"/>
      <x:c r="J950" s="50" t="str"/>
      <x:c r="K950" s="47" t="str"/>
      <x:c r="L950" s="50" t="str"/>
      <x:c r="M950" s="50" t="str"/>
      <x:c r="N950" s="47" t="str"/>
      <x:c r="O950" s="50" t="str"/>
      <x:c r="P950" s="64" t="str">
        <x:f>IF(O950="","",O950*2)</x:f>
      </x:c>
      <x:c r="Q950" s="50" t="str"/>
      <x:c r="R950" s="47" t="str"/>
      <x:c r="S950" s="33" t="str">
        <x:v>Not Tested</x:v>
      </x:c>
      <x:c r="T950" s="64" t="str">
        <x:v>Eligible</x:v>
      </x:c>
      <x:c r="U950" s="47" t="str"/>
      <x:c r="V950" s="47" t="str"/>
      <x:c r="W950" s="47" t="str"/>
      <x:c r="X950" s="50" t="str"/>
      <x:c r="Y950" s="50" t="str"/>
      <x:c r="Z950" s="47" t="str"/>
      <x:c r="AA950" s="47" t="str">
        <x:v>No direct published reference located; do not display a crimp value.</x:v>
      </x:c>
      <x:c r="AB950" s="161" t="str">
        <x:v>Pending</x:v>
      </x:c>
    </x:row>
    <x:row r="951" ht="42" customHeight="1">
      <x:c r="A951" s="33" t="str">
        <x:v>Draft</x:v>
      </x:c>
      <x:c r="B951" s="47" t="str">
        <x:v>COMP_0947</x:v>
      </x:c>
      <x:c r="C951" s="47" t="str">
        <x:v>EN4SP_005</x:v>
      </x:c>
      <x:c r="D951" s="47" t="str">
        <x:v>BSPT_M_FX_12_12</x:v>
      </x:c>
      <x:c r="E951" s="47" t="str">
        <x:v>EN4SP_4SP_005</x:v>
      </x:c>
      <x:c r="F951" s="47" t="str"/>
      <x:c r="G951" s="33" t="str"/>
      <x:c r="H951" s="50" t="str"/>
      <x:c r="I951" s="50" t="str"/>
      <x:c r="J951" s="50" t="str"/>
      <x:c r="K951" s="47" t="str"/>
      <x:c r="L951" s="50" t="str"/>
      <x:c r="M951" s="50" t="str"/>
      <x:c r="N951" s="47" t="str"/>
      <x:c r="O951" s="50" t="str"/>
      <x:c r="P951" s="64" t="str">
        <x:f>IF(O951="","",O951*2)</x:f>
      </x:c>
      <x:c r="Q951" s="50" t="str"/>
      <x:c r="R951" s="47" t="str"/>
      <x:c r="S951" s="33" t="str">
        <x:v>Not Tested</x:v>
      </x:c>
      <x:c r="T951" s="64" t="str">
        <x:v>Eligible</x:v>
      </x:c>
      <x:c r="U951" s="47" t="str"/>
      <x:c r="V951" s="47" t="str"/>
      <x:c r="W951" s="47" t="str"/>
      <x:c r="X951" s="50" t="str"/>
      <x:c r="Y951" s="50" t="str"/>
      <x:c r="Z951" s="47" t="str"/>
      <x:c r="AA951" s="47" t="str">
        <x:v>No direct published reference located; do not display a crimp value.</x:v>
      </x:c>
      <x:c r="AB951" s="161" t="str">
        <x:v>Pending</x:v>
      </x:c>
    </x:row>
    <x:row r="952" ht="42" customHeight="1">
      <x:c r="A952" s="33" t="str">
        <x:v>Draft</x:v>
      </x:c>
      <x:c r="B952" s="47" t="str">
        <x:v>COMP_0948</x:v>
      </x:c>
      <x:c r="C952" s="47" t="str">
        <x:v>EN4SP_005</x:v>
      </x:c>
      <x:c r="D952" s="47" t="str">
        <x:v>JIC_F_SW_08_12</x:v>
      </x:c>
      <x:c r="E952" s="47" t="str">
        <x:v>EN4SP_4SP_005</x:v>
      </x:c>
      <x:c r="F952" s="47" t="str"/>
      <x:c r="G952" s="33" t="str"/>
      <x:c r="H952" s="50" t="str"/>
      <x:c r="I952" s="50" t="str"/>
      <x:c r="J952" s="50" t="str"/>
      <x:c r="K952" s="47" t="str"/>
      <x:c r="L952" s="50" t="str"/>
      <x:c r="M952" s="50" t="str"/>
      <x:c r="N952" s="47" t="str"/>
      <x:c r="O952" s="50" t="str"/>
      <x:c r="P952" s="64" t="str">
        <x:f>IF(O952="","",O952*2)</x:f>
      </x:c>
      <x:c r="Q952" s="50" t="str"/>
      <x:c r="R952" s="47" t="str"/>
      <x:c r="S952" s="33" t="str">
        <x:v>Not Tested</x:v>
      </x:c>
      <x:c r="T952" s="64" t="str">
        <x:v>Eligible</x:v>
      </x:c>
      <x:c r="U952" s="47" t="str"/>
      <x:c r="V952" s="47" t="str"/>
      <x:c r="W952" s="47" t="str"/>
      <x:c r="X952" s="50" t="str"/>
      <x:c r="Y952" s="50" t="str"/>
      <x:c r="Z952" s="47" t="str"/>
      <x:c r="AA952" s="47" t="str">
        <x:v>No direct published reference located; do not display a crimp value.</x:v>
      </x:c>
      <x:c r="AB952" s="161" t="str">
        <x:v>Pending</x:v>
      </x:c>
    </x:row>
    <x:row r="953" ht="42" customHeight="1">
      <x:c r="A953" s="33" t="str">
        <x:v>Draft</x:v>
      </x:c>
      <x:c r="B953" s="47" t="str">
        <x:v>COMP_0949</x:v>
      </x:c>
      <x:c r="C953" s="47" t="str">
        <x:v>EN4SP_005</x:v>
      </x:c>
      <x:c r="D953" s="47" t="str">
        <x:v>JIC_F_SW_10_12</x:v>
      </x:c>
      <x:c r="E953" s="47" t="str">
        <x:v>EN4SP_4SP_005</x:v>
      </x:c>
      <x:c r="F953" s="47" t="str"/>
      <x:c r="G953" s="33" t="str"/>
      <x:c r="H953" s="50" t="str"/>
      <x:c r="I953" s="50" t="str"/>
      <x:c r="J953" s="50" t="str"/>
      <x:c r="K953" s="47" t="str"/>
      <x:c r="L953" s="50" t="str"/>
      <x:c r="M953" s="50" t="str"/>
      <x:c r="N953" s="47" t="str"/>
      <x:c r="O953" s="50" t="str"/>
      <x:c r="P953" s="64" t="str">
        <x:f>IF(O953="","",O953*2)</x:f>
      </x:c>
      <x:c r="Q953" s="50" t="str"/>
      <x:c r="R953" s="47" t="str"/>
      <x:c r="S953" s="33" t="str">
        <x:v>Not Tested</x:v>
      </x:c>
      <x:c r="T953" s="64" t="str">
        <x:v>Eligible</x:v>
      </x:c>
      <x:c r="U953" s="47" t="str"/>
      <x:c r="V953" s="47" t="str"/>
      <x:c r="W953" s="47" t="str"/>
      <x:c r="X953" s="50" t="str"/>
      <x:c r="Y953" s="50" t="str"/>
      <x:c r="Z953" s="47" t="str"/>
      <x:c r="AA953" s="47" t="str">
        <x:v>No direct published reference located; do not display a crimp value.</x:v>
      </x:c>
      <x:c r="AB953" s="161" t="str">
        <x:v>Pending</x:v>
      </x:c>
    </x:row>
    <x:row r="954" ht="42" customHeight="1">
      <x:c r="A954" s="33" t="str">
        <x:v>Draft</x:v>
      </x:c>
      <x:c r="B954" s="47" t="str">
        <x:v>COMP_0950</x:v>
      </x:c>
      <x:c r="C954" s="47" t="str">
        <x:v>EN4SP_005</x:v>
      </x:c>
      <x:c r="D954" s="47" t="str">
        <x:v>JIC_F_SW_12_12</x:v>
      </x:c>
      <x:c r="E954" s="47" t="str">
        <x:v>EN4SP_4SP_005</x:v>
      </x:c>
      <x:c r="F954" s="47" t="str"/>
      <x:c r="G954" s="33" t="str"/>
      <x:c r="H954" s="50" t="str"/>
      <x:c r="I954" s="50" t="str"/>
      <x:c r="J954" s="50" t="str"/>
      <x:c r="K954" s="47" t="str"/>
      <x:c r="L954" s="50" t="str"/>
      <x:c r="M954" s="50" t="str"/>
      <x:c r="N954" s="47" t="str"/>
      <x:c r="O954" s="50" t="str"/>
      <x:c r="P954" s="64" t="str">
        <x:f>IF(O954="","",O954*2)</x:f>
      </x:c>
      <x:c r="Q954" s="50" t="str"/>
      <x:c r="R954" s="47" t="str"/>
      <x:c r="S954" s="33" t="str">
        <x:v>Not Tested</x:v>
      </x:c>
      <x:c r="T954" s="64" t="str">
        <x:v>Eligible</x:v>
      </x:c>
      <x:c r="U954" s="47" t="str"/>
      <x:c r="V954" s="47" t="str"/>
      <x:c r="W954" s="47" t="str"/>
      <x:c r="X954" s="50" t="str"/>
      <x:c r="Y954" s="50" t="str"/>
      <x:c r="Z954" s="47" t="str"/>
      <x:c r="AA954" s="47" t="str">
        <x:v>No direct published reference located; do not display a crimp value.</x:v>
      </x:c>
      <x:c r="AB954" s="161" t="str">
        <x:v>Pending</x:v>
      </x:c>
    </x:row>
    <x:row r="955" ht="42" customHeight="1">
      <x:c r="A955" s="33" t="str">
        <x:v>Draft</x:v>
      </x:c>
      <x:c r="B955" s="47" t="str">
        <x:v>COMP_0951</x:v>
      </x:c>
      <x:c r="C955" s="47" t="str">
        <x:v>EN4SP_005</x:v>
      </x:c>
      <x:c r="D955" s="47" t="str">
        <x:v>JIC_F_SW_14_12</x:v>
      </x:c>
      <x:c r="E955" s="47" t="str">
        <x:v>EN4SP_4SP_005</x:v>
      </x:c>
      <x:c r="F955" s="47" t="str"/>
      <x:c r="G955" s="33" t="str"/>
      <x:c r="H955" s="50" t="str"/>
      <x:c r="I955" s="50" t="str"/>
      <x:c r="J955" s="50" t="str"/>
      <x:c r="K955" s="47" t="str"/>
      <x:c r="L955" s="50" t="str"/>
      <x:c r="M955" s="50" t="str"/>
      <x:c r="N955" s="47" t="str"/>
      <x:c r="O955" s="50" t="str"/>
      <x:c r="P955" s="64" t="str">
        <x:f>IF(O955="","",O955*2)</x:f>
      </x:c>
      <x:c r="Q955" s="50" t="str"/>
      <x:c r="R955" s="47" t="str"/>
      <x:c r="S955" s="33" t="str">
        <x:v>Not Tested</x:v>
      </x:c>
      <x:c r="T955" s="64" t="str">
        <x:v>Eligible</x:v>
      </x:c>
      <x:c r="U955" s="47" t="str"/>
      <x:c r="V955" s="47" t="str"/>
      <x:c r="W955" s="47" t="str"/>
      <x:c r="X955" s="50" t="str"/>
      <x:c r="Y955" s="50" t="str"/>
      <x:c r="Z955" s="47" t="str"/>
      <x:c r="AA955" s="47" t="str">
        <x:v>No direct published reference located; do not display a crimp value.</x:v>
      </x:c>
      <x:c r="AB955" s="161" t="str">
        <x:v>Pending</x:v>
      </x:c>
    </x:row>
    <x:row r="956" ht="42" customHeight="1">
      <x:c r="A956" s="33" t="str">
        <x:v>Draft</x:v>
      </x:c>
      <x:c r="B956" s="47" t="str">
        <x:v>COMP_0952</x:v>
      </x:c>
      <x:c r="C956" s="47" t="str">
        <x:v>EN4SP_005</x:v>
      </x:c>
      <x:c r="D956" s="47" t="str">
        <x:v>JIC_F_SW_16_12</x:v>
      </x:c>
      <x:c r="E956" s="47" t="str">
        <x:v>EN4SP_4SP_005</x:v>
      </x:c>
      <x:c r="F956" s="47" t="str"/>
      <x:c r="G956" s="33" t="str"/>
      <x:c r="H956" s="50" t="str"/>
      <x:c r="I956" s="50" t="str"/>
      <x:c r="J956" s="50" t="str"/>
      <x:c r="K956" s="47" t="str"/>
      <x:c r="L956" s="50" t="str"/>
      <x:c r="M956" s="50" t="str"/>
      <x:c r="N956" s="47" t="str"/>
      <x:c r="O956" s="50" t="str"/>
      <x:c r="P956" s="64" t="str">
        <x:f>IF(O956="","",O956*2)</x:f>
      </x:c>
      <x:c r="Q956" s="50" t="str"/>
      <x:c r="R956" s="47" t="str"/>
      <x:c r="S956" s="33" t="str">
        <x:v>Not Tested</x:v>
      </x:c>
      <x:c r="T956" s="64" t="str">
        <x:v>Eligible</x:v>
      </x:c>
      <x:c r="U956" s="47" t="str"/>
      <x:c r="V956" s="47" t="str"/>
      <x:c r="W956" s="47" t="str"/>
      <x:c r="X956" s="50" t="str"/>
      <x:c r="Y956" s="50" t="str"/>
      <x:c r="Z956" s="47" t="str"/>
      <x:c r="AA956" s="47" t="str">
        <x:v>No direct published reference located; do not display a crimp value.</x:v>
      </x:c>
      <x:c r="AB956" s="161" t="str">
        <x:v>Pending</x:v>
      </x:c>
    </x:row>
    <x:row r="957" ht="42" customHeight="1">
      <x:c r="A957" s="33" t="str">
        <x:v>Draft</x:v>
      </x:c>
      <x:c r="B957" s="47" t="str">
        <x:v>COMP_0953</x:v>
      </x:c>
      <x:c r="C957" s="47" t="str">
        <x:v>EN4SP_005</x:v>
      </x:c>
      <x:c r="D957" s="47" t="str">
        <x:v>JIC_M_FX_12_12</x:v>
      </x:c>
      <x:c r="E957" s="47" t="str">
        <x:v>EN4SP_4SP_005</x:v>
      </x:c>
      <x:c r="F957" s="47" t="str"/>
      <x:c r="G957" s="33" t="str"/>
      <x:c r="H957" s="50" t="str"/>
      <x:c r="I957" s="50" t="str"/>
      <x:c r="J957" s="50" t="str"/>
      <x:c r="K957" s="47" t="str"/>
      <x:c r="L957" s="50" t="str"/>
      <x:c r="M957" s="50" t="str"/>
      <x:c r="N957" s="47" t="str"/>
      <x:c r="O957" s="50" t="str"/>
      <x:c r="P957" s="64" t="str">
        <x:f>IF(O957="","",O957*2)</x:f>
      </x:c>
      <x:c r="Q957" s="50" t="str"/>
      <x:c r="R957" s="47" t="str"/>
      <x:c r="S957" s="33" t="str">
        <x:v>Not Tested</x:v>
      </x:c>
      <x:c r="T957" s="64" t="str">
        <x:v>Eligible</x:v>
      </x:c>
      <x:c r="U957" s="47" t="str"/>
      <x:c r="V957" s="47" t="str"/>
      <x:c r="W957" s="47" t="str"/>
      <x:c r="X957" s="50" t="str"/>
      <x:c r="Y957" s="50" t="str"/>
      <x:c r="Z957" s="47" t="str"/>
      <x:c r="AA957" s="47" t="str">
        <x:v>No direct published reference located; do not display a crimp value.</x:v>
      </x:c>
      <x:c r="AB957" s="161" t="str">
        <x:v>Pending</x:v>
      </x:c>
    </x:row>
    <x:row r="958" ht="42" customHeight="1">
      <x:c r="A958" s="33" t="str">
        <x:v>Draft</x:v>
      </x:c>
      <x:c r="B958" s="47" t="str">
        <x:v>COMP_0954</x:v>
      </x:c>
      <x:c r="C958" s="47" t="str">
        <x:v>EN4SP_005</x:v>
      </x:c>
      <x:c r="D958" s="47" t="str">
        <x:v>JIC_M_FX_14_12</x:v>
      </x:c>
      <x:c r="E958" s="47" t="str">
        <x:v>EN4SP_4SP_005</x:v>
      </x:c>
      <x:c r="F958" s="47" t="str"/>
      <x:c r="G958" s="33" t="str"/>
      <x:c r="H958" s="50" t="str"/>
      <x:c r="I958" s="50" t="str"/>
      <x:c r="J958" s="50" t="str"/>
      <x:c r="K958" s="47" t="str"/>
      <x:c r="L958" s="50" t="str"/>
      <x:c r="M958" s="50" t="str"/>
      <x:c r="N958" s="47" t="str"/>
      <x:c r="O958" s="50" t="str"/>
      <x:c r="P958" s="64" t="str">
        <x:f>IF(O958="","",O958*2)</x:f>
      </x:c>
      <x:c r="Q958" s="50" t="str"/>
      <x:c r="R958" s="47" t="str"/>
      <x:c r="S958" s="33" t="str">
        <x:v>Not Tested</x:v>
      </x:c>
      <x:c r="T958" s="64" t="str">
        <x:v>Eligible</x:v>
      </x:c>
      <x:c r="U958" s="47" t="str"/>
      <x:c r="V958" s="47" t="str"/>
      <x:c r="W958" s="47" t="str"/>
      <x:c r="X958" s="50" t="str"/>
      <x:c r="Y958" s="50" t="str"/>
      <x:c r="Z958" s="47" t="str"/>
      <x:c r="AA958" s="47" t="str">
        <x:v>No direct published reference located; do not display a crimp value.</x:v>
      </x:c>
      <x:c r="AB958" s="161" t="str">
        <x:v>Pending</x:v>
      </x:c>
    </x:row>
    <x:row r="959" ht="42" customHeight="1">
      <x:c r="A959" s="33" t="str">
        <x:v>Draft</x:v>
      </x:c>
      <x:c r="B959" s="47" t="str">
        <x:v>COMP_0955</x:v>
      </x:c>
      <x:c r="C959" s="47" t="str">
        <x:v>EN4SP_005</x:v>
      </x:c>
      <x:c r="D959" s="47" t="str">
        <x:v>JIC_M_FX_16_12</x:v>
      </x:c>
      <x:c r="E959" s="47" t="str">
        <x:v>EN4SP_4SP_005</x:v>
      </x:c>
      <x:c r="F959" s="47" t="str"/>
      <x:c r="G959" s="33" t="str"/>
      <x:c r="H959" s="50" t="str"/>
      <x:c r="I959" s="50" t="str"/>
      <x:c r="J959" s="50" t="str"/>
      <x:c r="K959" s="47" t="str"/>
      <x:c r="L959" s="50" t="str"/>
      <x:c r="M959" s="50" t="str"/>
      <x:c r="N959" s="47" t="str"/>
      <x:c r="O959" s="50" t="str"/>
      <x:c r="P959" s="64" t="str">
        <x:f>IF(O959="","",O959*2)</x:f>
      </x:c>
      <x:c r="Q959" s="50" t="str"/>
      <x:c r="R959" s="47" t="str"/>
      <x:c r="S959" s="33" t="str">
        <x:v>Not Tested</x:v>
      </x:c>
      <x:c r="T959" s="64" t="str">
        <x:v>Eligible</x:v>
      </x:c>
      <x:c r="U959" s="47" t="str"/>
      <x:c r="V959" s="47" t="str"/>
      <x:c r="W959" s="47" t="str"/>
      <x:c r="X959" s="50" t="str"/>
      <x:c r="Y959" s="50" t="str"/>
      <x:c r="Z959" s="47" t="str"/>
      <x:c r="AA959" s="47" t="str">
        <x:v>No direct published reference located; do not display a crimp value.</x:v>
      </x:c>
      <x:c r="AB959" s="161" t="str">
        <x:v>Pending</x:v>
      </x:c>
    </x:row>
    <x:row r="960" ht="42" customHeight="1">
      <x:c r="A960" s="33" t="str">
        <x:v>Draft</x:v>
      </x:c>
      <x:c r="B960" s="47" t="str">
        <x:v>COMP_0956</x:v>
      </x:c>
      <x:c r="C960" s="47" t="str">
        <x:v>EN4SP_005</x:v>
      </x:c>
      <x:c r="D960" s="47" t="str">
        <x:v>JIC45_F_SW_12_12</x:v>
      </x:c>
      <x:c r="E960" s="47" t="str">
        <x:v>EN4SP_4SP_005</x:v>
      </x:c>
      <x:c r="F960" s="47" t="str"/>
      <x:c r="G960" s="33" t="str"/>
      <x:c r="H960" s="50" t="str"/>
      <x:c r="I960" s="50" t="str"/>
      <x:c r="J960" s="50" t="str"/>
      <x:c r="K960" s="47" t="str"/>
      <x:c r="L960" s="50" t="str"/>
      <x:c r="M960" s="50" t="str"/>
      <x:c r="N960" s="47" t="str"/>
      <x:c r="O960" s="50" t="str"/>
      <x:c r="P960" s="64" t="str">
        <x:f>IF(O960="","",O960*2)</x:f>
      </x:c>
      <x:c r="Q960" s="50" t="str"/>
      <x:c r="R960" s="47" t="str"/>
      <x:c r="S960" s="33" t="str">
        <x:v>Not Tested</x:v>
      </x:c>
      <x:c r="T960" s="64" t="str">
        <x:v>Eligible</x:v>
      </x:c>
      <x:c r="U960" s="47" t="str"/>
      <x:c r="V960" s="47" t="str"/>
      <x:c r="W960" s="47" t="str"/>
      <x:c r="X960" s="50" t="str"/>
      <x:c r="Y960" s="50" t="str"/>
      <x:c r="Z960" s="47" t="str"/>
      <x:c r="AA960" s="47" t="str">
        <x:v>No direct published reference located; do not display a crimp value.</x:v>
      </x:c>
      <x:c r="AB960" s="161" t="str">
        <x:v>Pending</x:v>
      </x:c>
    </x:row>
    <x:row r="961" ht="42" customHeight="1">
      <x:c r="A961" s="33" t="str">
        <x:v>Draft</x:v>
      </x:c>
      <x:c r="B961" s="47" t="str">
        <x:v>COMP_0957</x:v>
      </x:c>
      <x:c r="C961" s="47" t="str">
        <x:v>EN4SP_005</x:v>
      </x:c>
      <x:c r="D961" s="47" t="str">
        <x:v>JIC45_F_SW_16_12</x:v>
      </x:c>
      <x:c r="E961" s="47" t="str">
        <x:v>EN4SP_4SP_005</x:v>
      </x:c>
      <x:c r="F961" s="47" t="str"/>
      <x:c r="G961" s="33" t="str"/>
      <x:c r="H961" s="50" t="str"/>
      <x:c r="I961" s="50" t="str"/>
      <x:c r="J961" s="50" t="str"/>
      <x:c r="K961" s="47" t="str"/>
      <x:c r="L961" s="50" t="str"/>
      <x:c r="M961" s="50" t="str"/>
      <x:c r="N961" s="47" t="str"/>
      <x:c r="O961" s="50" t="str"/>
      <x:c r="P961" s="64" t="str">
        <x:f>IF(O961="","",O961*2)</x:f>
      </x:c>
      <x:c r="Q961" s="50" t="str"/>
      <x:c r="R961" s="47" t="str"/>
      <x:c r="S961" s="33" t="str">
        <x:v>Not Tested</x:v>
      </x:c>
      <x:c r="T961" s="64" t="str">
        <x:v>Eligible</x:v>
      </x:c>
      <x:c r="U961" s="47" t="str"/>
      <x:c r="V961" s="47" t="str"/>
      <x:c r="W961" s="47" t="str"/>
      <x:c r="X961" s="50" t="str"/>
      <x:c r="Y961" s="50" t="str"/>
      <x:c r="Z961" s="47" t="str"/>
      <x:c r="AA961" s="47" t="str">
        <x:v>No direct published reference located; do not display a crimp value.</x:v>
      </x:c>
      <x:c r="AB961" s="161" t="str">
        <x:v>Pending</x:v>
      </x:c>
    </x:row>
    <x:row r="962" ht="42" customHeight="1">
      <x:c r="A962" s="33" t="str">
        <x:v>Draft</x:v>
      </x:c>
      <x:c r="B962" s="47" t="str">
        <x:v>COMP_0958</x:v>
      </x:c>
      <x:c r="C962" s="47" t="str">
        <x:v>EN4SP_005</x:v>
      </x:c>
      <x:c r="D962" s="47" t="str">
        <x:v>JIC90_F_SW_12_12</x:v>
      </x:c>
      <x:c r="E962" s="47" t="str">
        <x:v>EN4SP_4SP_005</x:v>
      </x:c>
      <x:c r="F962" s="47" t="str"/>
      <x:c r="G962" s="33" t="str"/>
      <x:c r="H962" s="50" t="str"/>
      <x:c r="I962" s="50" t="str"/>
      <x:c r="J962" s="50" t="str"/>
      <x:c r="K962" s="47" t="str"/>
      <x:c r="L962" s="50" t="str"/>
      <x:c r="M962" s="50" t="str"/>
      <x:c r="N962" s="47" t="str"/>
      <x:c r="O962" s="50" t="str"/>
      <x:c r="P962" s="64" t="str">
        <x:f>IF(O962="","",O962*2)</x:f>
      </x:c>
      <x:c r="Q962" s="50" t="str"/>
      <x:c r="R962" s="47" t="str"/>
      <x:c r="S962" s="33" t="str">
        <x:v>Not Tested</x:v>
      </x:c>
      <x:c r="T962" s="64" t="str">
        <x:v>Eligible</x:v>
      </x:c>
      <x:c r="U962" s="47" t="str"/>
      <x:c r="V962" s="47" t="str"/>
      <x:c r="W962" s="47" t="str"/>
      <x:c r="X962" s="50" t="str"/>
      <x:c r="Y962" s="50" t="str"/>
      <x:c r="Z962" s="47" t="str"/>
      <x:c r="AA962" s="47" t="str">
        <x:v>No direct published reference located; do not display a crimp value.</x:v>
      </x:c>
      <x:c r="AB962" s="161" t="str">
        <x:v>Pending</x:v>
      </x:c>
    </x:row>
    <x:row r="963" ht="42" customHeight="1">
      <x:c r="A963" s="33" t="str">
        <x:v>Draft</x:v>
      </x:c>
      <x:c r="B963" s="47" t="str">
        <x:v>COMP_0959</x:v>
      </x:c>
      <x:c r="C963" s="47" t="str">
        <x:v>EN4SP_005</x:v>
      </x:c>
      <x:c r="D963" s="47" t="str">
        <x:v>JIC90_F_SW_16_12</x:v>
      </x:c>
      <x:c r="E963" s="47" t="str">
        <x:v>EN4SP_4SP_005</x:v>
      </x:c>
      <x:c r="F963" s="47" t="str"/>
      <x:c r="G963" s="33" t="str"/>
      <x:c r="H963" s="50" t="str"/>
      <x:c r="I963" s="50" t="str"/>
      <x:c r="J963" s="50" t="str"/>
      <x:c r="K963" s="47" t="str"/>
      <x:c r="L963" s="50" t="str"/>
      <x:c r="M963" s="50" t="str"/>
      <x:c r="N963" s="47" t="str"/>
      <x:c r="O963" s="50" t="str"/>
      <x:c r="P963" s="64" t="str">
        <x:f>IF(O963="","",O963*2)</x:f>
      </x:c>
      <x:c r="Q963" s="50" t="str"/>
      <x:c r="R963" s="47" t="str"/>
      <x:c r="S963" s="33" t="str">
        <x:v>Not Tested</x:v>
      </x:c>
      <x:c r="T963" s="64" t="str">
        <x:v>Eligible</x:v>
      </x:c>
      <x:c r="U963" s="47" t="str"/>
      <x:c r="V963" s="47" t="str"/>
      <x:c r="W963" s="47" t="str"/>
      <x:c r="X963" s="50" t="str"/>
      <x:c r="Y963" s="50" t="str"/>
      <x:c r="Z963" s="47" t="str"/>
      <x:c r="AA963" s="47" t="str">
        <x:v>No direct published reference located; do not display a crimp value.</x:v>
      </x:c>
      <x:c r="AB963" s="161" t="str">
        <x:v>Pending</x:v>
      </x:c>
    </x:row>
    <x:row r="964" ht="42" customHeight="1">
      <x:c r="A964" s="33" t="str">
        <x:v>Draft</x:v>
      </x:c>
      <x:c r="B964" s="47" t="str">
        <x:v>COMP_0960</x:v>
      </x:c>
      <x:c r="C964" s="47" t="str">
        <x:v>EN4SP_005</x:v>
      </x:c>
      <x:c r="D964" s="47" t="str">
        <x:v>NPT_F_FX_12_12</x:v>
      </x:c>
      <x:c r="E964" s="47" t="str">
        <x:v>EN4SP_4SP_005</x:v>
      </x:c>
      <x:c r="F964" s="47" t="str"/>
      <x:c r="G964" s="33" t="str"/>
      <x:c r="H964" s="50" t="str"/>
      <x:c r="I964" s="50" t="str"/>
      <x:c r="J964" s="50" t="str"/>
      <x:c r="K964" s="47" t="str"/>
      <x:c r="L964" s="50" t="str"/>
      <x:c r="M964" s="50" t="str"/>
      <x:c r="N964" s="47" t="str"/>
      <x:c r="O964" s="50" t="str"/>
      <x:c r="P964" s="64" t="str">
        <x:f>IF(O964="","",O964*2)</x:f>
      </x:c>
      <x:c r="Q964" s="50" t="str"/>
      <x:c r="R964" s="47" t="str"/>
      <x:c r="S964" s="33" t="str">
        <x:v>Not Tested</x:v>
      </x:c>
      <x:c r="T964" s="64" t="str">
        <x:v>Eligible</x:v>
      </x:c>
      <x:c r="U964" s="47" t="str"/>
      <x:c r="V964" s="47" t="str"/>
      <x:c r="W964" s="47" t="str"/>
      <x:c r="X964" s="50" t="str"/>
      <x:c r="Y964" s="50" t="str"/>
      <x:c r="Z964" s="47" t="str"/>
      <x:c r="AA964" s="47" t="str">
        <x:v>No direct published reference located; do not display a crimp value.</x:v>
      </x:c>
      <x:c r="AB964" s="161" t="str">
        <x:v>Pending</x:v>
      </x:c>
    </x:row>
    <x:row r="965" ht="42" customHeight="1">
      <x:c r="A965" s="33" t="str">
        <x:v>Draft</x:v>
      </x:c>
      <x:c r="B965" s="47" t="str">
        <x:v>COMP_0961</x:v>
      </x:c>
      <x:c r="C965" s="47" t="str">
        <x:v>EN4SP_005</x:v>
      </x:c>
      <x:c r="D965" s="47" t="str">
        <x:v>NPT_M_FX_08_12</x:v>
      </x:c>
      <x:c r="E965" s="47" t="str">
        <x:v>EN4SP_4SP_005</x:v>
      </x:c>
      <x:c r="F965" s="47" t="str"/>
      <x:c r="G965" s="33" t="str"/>
      <x:c r="H965" s="50" t="str"/>
      <x:c r="I965" s="50" t="str"/>
      <x:c r="J965" s="50" t="str"/>
      <x:c r="K965" s="47" t="str"/>
      <x:c r="L965" s="50" t="str"/>
      <x:c r="M965" s="50" t="str"/>
      <x:c r="N965" s="47" t="str"/>
      <x:c r="O965" s="50" t="str"/>
      <x:c r="P965" s="64" t="str">
        <x:f>IF(O965="","",O965*2)</x:f>
      </x:c>
      <x:c r="Q965" s="50" t="str"/>
      <x:c r="R965" s="47" t="str"/>
      <x:c r="S965" s="33" t="str">
        <x:v>Not Tested</x:v>
      </x:c>
      <x:c r="T965" s="64" t="str">
        <x:v>Eligible</x:v>
      </x:c>
      <x:c r="U965" s="47" t="str"/>
      <x:c r="V965" s="47" t="str"/>
      <x:c r="W965" s="47" t="str"/>
      <x:c r="X965" s="50" t="str"/>
      <x:c r="Y965" s="50" t="str"/>
      <x:c r="Z965" s="47" t="str"/>
      <x:c r="AA965" s="47" t="str">
        <x:v>No direct published reference located; do not display a crimp value.</x:v>
      </x:c>
      <x:c r="AB965" s="161" t="str">
        <x:v>Pending</x:v>
      </x:c>
    </x:row>
    <x:row r="966" ht="42" customHeight="1">
      <x:c r="A966" s="33" t="str">
        <x:v>Draft</x:v>
      </x:c>
      <x:c r="B966" s="47" t="str">
        <x:v>COMP_0962</x:v>
      </x:c>
      <x:c r="C966" s="47" t="str">
        <x:v>EN4SP_005</x:v>
      </x:c>
      <x:c r="D966" s="47" t="str">
        <x:v>NPT_M_FX_12_12</x:v>
      </x:c>
      <x:c r="E966" s="47" t="str">
        <x:v>EN4SP_4SP_005</x:v>
      </x:c>
      <x:c r="F966" s="47" t="str"/>
      <x:c r="G966" s="33" t="str"/>
      <x:c r="H966" s="50" t="str"/>
      <x:c r="I966" s="50" t="str"/>
      <x:c r="J966" s="50" t="str"/>
      <x:c r="K966" s="47" t="str"/>
      <x:c r="L966" s="50" t="str"/>
      <x:c r="M966" s="50" t="str"/>
      <x:c r="N966" s="47" t="str"/>
      <x:c r="O966" s="50" t="str"/>
      <x:c r="P966" s="64" t="str">
        <x:f>IF(O966="","",O966*2)</x:f>
      </x:c>
      <x:c r="Q966" s="50" t="str"/>
      <x:c r="R966" s="47" t="str"/>
      <x:c r="S966" s="33" t="str">
        <x:v>Not Tested</x:v>
      </x:c>
      <x:c r="T966" s="64" t="str">
        <x:v>Eligible</x:v>
      </x:c>
      <x:c r="U966" s="47" t="str"/>
      <x:c r="V966" s="47" t="str"/>
      <x:c r="W966" s="47" t="str"/>
      <x:c r="X966" s="50" t="str"/>
      <x:c r="Y966" s="50" t="str"/>
      <x:c r="Z966" s="47" t="str"/>
      <x:c r="AA966" s="47" t="str">
        <x:v>No direct published reference located; do not display a crimp value.</x:v>
      </x:c>
      <x:c r="AB966" s="161" t="str">
        <x:v>Pending</x:v>
      </x:c>
    </x:row>
    <x:row r="967" ht="42" customHeight="1">
      <x:c r="A967" s="33" t="str">
        <x:v>Draft</x:v>
      </x:c>
      <x:c r="B967" s="47" t="str">
        <x:v>COMP_0963</x:v>
      </x:c>
      <x:c r="C967" s="47" t="str">
        <x:v>EN4SP_005</x:v>
      </x:c>
      <x:c r="D967" s="47" t="str">
        <x:v>NPT_M_FX_16_12</x:v>
      </x:c>
      <x:c r="E967" s="47" t="str">
        <x:v>EN4SP_4SP_005</x:v>
      </x:c>
      <x:c r="F967" s="47" t="str"/>
      <x:c r="G967" s="33" t="str"/>
      <x:c r="H967" s="50" t="str"/>
      <x:c r="I967" s="50" t="str"/>
      <x:c r="J967" s="50" t="str"/>
      <x:c r="K967" s="47" t="str"/>
      <x:c r="L967" s="50" t="str"/>
      <x:c r="M967" s="50" t="str"/>
      <x:c r="N967" s="47" t="str"/>
      <x:c r="O967" s="50" t="str"/>
      <x:c r="P967" s="64" t="str">
        <x:f>IF(O967="","",O967*2)</x:f>
      </x:c>
      <x:c r="Q967" s="50" t="str"/>
      <x:c r="R967" s="47" t="str"/>
      <x:c r="S967" s="33" t="str">
        <x:v>Not Tested</x:v>
      </x:c>
      <x:c r="T967" s="64" t="str">
        <x:v>Eligible</x:v>
      </x:c>
      <x:c r="U967" s="47" t="str"/>
      <x:c r="V967" s="47" t="str"/>
      <x:c r="W967" s="47" t="str"/>
      <x:c r="X967" s="50" t="str"/>
      <x:c r="Y967" s="50" t="str"/>
      <x:c r="Z967" s="47" t="str"/>
      <x:c r="AA967" s="47" t="str">
        <x:v>No direct published reference located; do not display a crimp value.</x:v>
      </x:c>
      <x:c r="AB967" s="161" t="str">
        <x:v>Pending</x:v>
      </x:c>
    </x:row>
    <x:row r="968" ht="42" customHeight="1">
      <x:c r="A968" s="33" t="str">
        <x:v>Draft</x:v>
      </x:c>
      <x:c r="B968" s="47" t="str">
        <x:v>COMP_0964</x:v>
      </x:c>
      <x:c r="C968" s="47" t="str">
        <x:v>EN4SP_005</x:v>
      </x:c>
      <x:c r="D968" s="47" t="str">
        <x:v>NPT90_M_SW_12_12</x:v>
      </x:c>
      <x:c r="E968" s="47" t="str">
        <x:v>EN4SP_4SP_005</x:v>
      </x:c>
      <x:c r="F968" s="47" t="str"/>
      <x:c r="G968" s="33" t="str"/>
      <x:c r="H968" s="50" t="str"/>
      <x:c r="I968" s="50" t="str"/>
      <x:c r="J968" s="50" t="str"/>
      <x:c r="K968" s="47" t="str"/>
      <x:c r="L968" s="50" t="str"/>
      <x:c r="M968" s="50" t="str"/>
      <x:c r="N968" s="47" t="str"/>
      <x:c r="O968" s="50" t="str"/>
      <x:c r="P968" s="64" t="str">
        <x:f>IF(O968="","",O968*2)</x:f>
      </x:c>
      <x:c r="Q968" s="50" t="str"/>
      <x:c r="R968" s="47" t="str"/>
      <x:c r="S968" s="33" t="str">
        <x:v>Not Tested</x:v>
      </x:c>
      <x:c r="T968" s="64" t="str">
        <x:v>Eligible</x:v>
      </x:c>
      <x:c r="U968" s="47" t="str"/>
      <x:c r="V968" s="47" t="str"/>
      <x:c r="W968" s="47" t="str"/>
      <x:c r="X968" s="50" t="str"/>
      <x:c r="Y968" s="50" t="str"/>
      <x:c r="Z968" s="47" t="str"/>
      <x:c r="AA968" s="47" t="str">
        <x:v>No direct published reference located; do not display a crimp value.</x:v>
      </x:c>
      <x:c r="AB968" s="161" t="str">
        <x:v>Pending</x:v>
      </x:c>
    </x:row>
    <x:row r="969" ht="42" customHeight="1">
      <x:c r="A969" s="33" t="str">
        <x:v>Draft</x:v>
      </x:c>
      <x:c r="B969" s="47" t="str">
        <x:v>COMP_0965</x:v>
      </x:c>
      <x:c r="C969" s="47" t="str">
        <x:v>EN4SP_005</x:v>
      </x:c>
      <x:c r="D969" s="47" t="str">
        <x:v>ORFS_F_SW_10_12</x:v>
      </x:c>
      <x:c r="E969" s="47" t="str">
        <x:v>EN4SP_4SP_005</x:v>
      </x:c>
      <x:c r="F969" s="47" t="str"/>
      <x:c r="G969" s="33" t="str"/>
      <x:c r="H969" s="50" t="str"/>
      <x:c r="I969" s="50" t="str"/>
      <x:c r="J969" s="50" t="str"/>
      <x:c r="K969" s="47" t="str"/>
      <x:c r="L969" s="50" t="str"/>
      <x:c r="M969" s="50" t="str"/>
      <x:c r="N969" s="47" t="str"/>
      <x:c r="O969" s="50" t="str"/>
      <x:c r="P969" s="64" t="str">
        <x:f>IF(O969="","",O969*2)</x:f>
      </x:c>
      <x:c r="Q969" s="50" t="str"/>
      <x:c r="R969" s="47" t="str"/>
      <x:c r="S969" s="33" t="str">
        <x:v>Not Tested</x:v>
      </x:c>
      <x:c r="T969" s="64" t="str">
        <x:v>Eligible</x:v>
      </x:c>
      <x:c r="U969" s="47" t="str"/>
      <x:c r="V969" s="47" t="str"/>
      <x:c r="W969" s="47" t="str"/>
      <x:c r="X969" s="50" t="str"/>
      <x:c r="Y969" s="50" t="str"/>
      <x:c r="Z969" s="47" t="str"/>
      <x:c r="AA969" s="47" t="str">
        <x:v>No direct published reference located; do not display a crimp value.</x:v>
      </x:c>
      <x:c r="AB969" s="161" t="str">
        <x:v>Pending</x:v>
      </x:c>
    </x:row>
    <x:row r="970" ht="42" customHeight="1">
      <x:c r="A970" s="33" t="str">
        <x:v>Draft</x:v>
      </x:c>
      <x:c r="B970" s="47" t="str">
        <x:v>COMP_0966</x:v>
      </x:c>
      <x:c r="C970" s="47" t="str">
        <x:v>EN4SP_005</x:v>
      </x:c>
      <x:c r="D970" s="47" t="str">
        <x:v>ORFS_F_SW_12_12</x:v>
      </x:c>
      <x:c r="E970" s="47" t="str">
        <x:v>EN4SP_4SP_005</x:v>
      </x:c>
      <x:c r="F970" s="47" t="str"/>
      <x:c r="G970" s="33" t="str"/>
      <x:c r="H970" s="50" t="str"/>
      <x:c r="I970" s="50" t="str"/>
      <x:c r="J970" s="50" t="str"/>
      <x:c r="K970" s="47" t="str"/>
      <x:c r="L970" s="50" t="str"/>
      <x:c r="M970" s="50" t="str"/>
      <x:c r="N970" s="47" t="str"/>
      <x:c r="O970" s="50" t="str"/>
      <x:c r="P970" s="64" t="str">
        <x:f>IF(O970="","",O970*2)</x:f>
      </x:c>
      <x:c r="Q970" s="50" t="str"/>
      <x:c r="R970" s="47" t="str"/>
      <x:c r="S970" s="33" t="str">
        <x:v>Not Tested</x:v>
      </x:c>
      <x:c r="T970" s="64" t="str">
        <x:v>Eligible</x:v>
      </x:c>
      <x:c r="U970" s="47" t="str"/>
      <x:c r="V970" s="47" t="str"/>
      <x:c r="W970" s="47" t="str"/>
      <x:c r="X970" s="50" t="str"/>
      <x:c r="Y970" s="50" t="str"/>
      <x:c r="Z970" s="47" t="str"/>
      <x:c r="AA970" s="47" t="str">
        <x:v>No direct published reference located; do not display a crimp value.</x:v>
      </x:c>
      <x:c r="AB970" s="161" t="str">
        <x:v>Pending</x:v>
      </x:c>
    </x:row>
    <x:row r="971" ht="42" customHeight="1">
      <x:c r="A971" s="33" t="str">
        <x:v>Draft</x:v>
      </x:c>
      <x:c r="B971" s="47" t="str">
        <x:v>COMP_0967</x:v>
      </x:c>
      <x:c r="C971" s="47" t="str">
        <x:v>EN4SP_005</x:v>
      </x:c>
      <x:c r="D971" s="47" t="str">
        <x:v>ORFS_F_SW_16_12</x:v>
      </x:c>
      <x:c r="E971" s="47" t="str">
        <x:v>EN4SP_4SP_005</x:v>
      </x:c>
      <x:c r="F971" s="47" t="str"/>
      <x:c r="G971" s="33" t="str"/>
      <x:c r="H971" s="50" t="str"/>
      <x:c r="I971" s="50" t="str"/>
      <x:c r="J971" s="50" t="str"/>
      <x:c r="K971" s="47" t="str"/>
      <x:c r="L971" s="50" t="str"/>
      <x:c r="M971" s="50" t="str"/>
      <x:c r="N971" s="47" t="str"/>
      <x:c r="O971" s="50" t="str"/>
      <x:c r="P971" s="64" t="str">
        <x:f>IF(O971="","",O971*2)</x:f>
      </x:c>
      <x:c r="Q971" s="50" t="str"/>
      <x:c r="R971" s="47" t="str"/>
      <x:c r="S971" s="33" t="str">
        <x:v>Not Tested</x:v>
      </x:c>
      <x:c r="T971" s="64" t="str">
        <x:v>Eligible</x:v>
      </x:c>
      <x:c r="U971" s="47" t="str"/>
      <x:c r="V971" s="47" t="str"/>
      <x:c r="W971" s="47" t="str"/>
      <x:c r="X971" s="50" t="str"/>
      <x:c r="Y971" s="50" t="str"/>
      <x:c r="Z971" s="47" t="str"/>
      <x:c r="AA971" s="47" t="str">
        <x:v>No direct published reference located; do not display a crimp value.</x:v>
      </x:c>
      <x:c r="AB971" s="161" t="str">
        <x:v>Pending</x:v>
      </x:c>
    </x:row>
    <x:row r="972" ht="42" customHeight="1">
      <x:c r="A972" s="33" t="str">
        <x:v>Draft</x:v>
      </x:c>
      <x:c r="B972" s="47" t="str">
        <x:v>COMP_0968</x:v>
      </x:c>
      <x:c r="C972" s="47" t="str">
        <x:v>EN4SP_005</x:v>
      </x:c>
      <x:c r="D972" s="47" t="str">
        <x:v>ORFS_M_FX_12_12</x:v>
      </x:c>
      <x:c r="E972" s="47" t="str">
        <x:v>EN4SP_4SP_005</x:v>
      </x:c>
      <x:c r="F972" s="47" t="str"/>
      <x:c r="G972" s="33" t="str"/>
      <x:c r="H972" s="50" t="str"/>
      <x:c r="I972" s="50" t="str"/>
      <x:c r="J972" s="50" t="str"/>
      <x:c r="K972" s="47" t="str"/>
      <x:c r="L972" s="50" t="str"/>
      <x:c r="M972" s="50" t="str"/>
      <x:c r="N972" s="47" t="str"/>
      <x:c r="O972" s="50" t="str"/>
      <x:c r="P972" s="64" t="str">
        <x:f>IF(O972="","",O972*2)</x:f>
      </x:c>
      <x:c r="Q972" s="50" t="str"/>
      <x:c r="R972" s="47" t="str"/>
      <x:c r="S972" s="33" t="str">
        <x:v>Not Tested</x:v>
      </x:c>
      <x:c r="T972" s="64" t="str">
        <x:v>Eligible</x:v>
      </x:c>
      <x:c r="U972" s="47" t="str"/>
      <x:c r="V972" s="47" t="str"/>
      <x:c r="W972" s="47" t="str"/>
      <x:c r="X972" s="50" t="str"/>
      <x:c r="Y972" s="50" t="str"/>
      <x:c r="Z972" s="47" t="str"/>
      <x:c r="AA972" s="47" t="str">
        <x:v>No direct published reference located; do not display a crimp value.</x:v>
      </x:c>
      <x:c r="AB972" s="161" t="str">
        <x:v>Pending</x:v>
      </x:c>
    </x:row>
    <x:row r="973" ht="42" customHeight="1">
      <x:c r="A973" s="33" t="str">
        <x:v>Draft</x:v>
      </x:c>
      <x:c r="B973" s="47" t="str">
        <x:v>COMP_0969</x:v>
      </x:c>
      <x:c r="C973" s="47" t="str">
        <x:v>EN4SP_005</x:v>
      </x:c>
      <x:c r="D973" s="47" t="str">
        <x:v>ORFS_M_FX_16_12</x:v>
      </x:c>
      <x:c r="E973" s="47" t="str">
        <x:v>EN4SP_4SP_005</x:v>
      </x:c>
      <x:c r="F973" s="47" t="str"/>
      <x:c r="G973" s="33" t="str"/>
      <x:c r="H973" s="50" t="str"/>
      <x:c r="I973" s="50" t="str"/>
      <x:c r="J973" s="50" t="str"/>
      <x:c r="K973" s="47" t="str"/>
      <x:c r="L973" s="50" t="str"/>
      <x:c r="M973" s="50" t="str"/>
      <x:c r="N973" s="47" t="str"/>
      <x:c r="O973" s="50" t="str"/>
      <x:c r="P973" s="64" t="str">
        <x:f>IF(O973="","",O973*2)</x:f>
      </x:c>
      <x:c r="Q973" s="50" t="str"/>
      <x:c r="R973" s="47" t="str"/>
      <x:c r="S973" s="33" t="str">
        <x:v>Not Tested</x:v>
      </x:c>
      <x:c r="T973" s="64" t="str">
        <x:v>Eligible</x:v>
      </x:c>
      <x:c r="U973" s="47" t="str"/>
      <x:c r="V973" s="47" t="str"/>
      <x:c r="W973" s="47" t="str"/>
      <x:c r="X973" s="50" t="str"/>
      <x:c r="Y973" s="50" t="str"/>
      <x:c r="Z973" s="47" t="str"/>
      <x:c r="AA973" s="47" t="str">
        <x:v>No direct published reference located; do not display a crimp value.</x:v>
      </x:c>
      <x:c r="AB973" s="161" t="str">
        <x:v>Pending</x:v>
      </x:c>
    </x:row>
    <x:row r="974" ht="42" customHeight="1">
      <x:c r="A974" s="33" t="str">
        <x:v>Draft</x:v>
      </x:c>
      <x:c r="B974" s="47" t="str">
        <x:v>COMP_0970</x:v>
      </x:c>
      <x:c r="C974" s="47" t="str">
        <x:v>EN4SP_005</x:v>
      </x:c>
      <x:c r="D974" s="47" t="str">
        <x:v>ORFS45_F_SW_10_12</x:v>
      </x:c>
      <x:c r="E974" s="47" t="str">
        <x:v>EN4SP_4SP_005</x:v>
      </x:c>
      <x:c r="F974" s="47" t="str"/>
      <x:c r="G974" s="33" t="str"/>
      <x:c r="H974" s="50" t="str"/>
      <x:c r="I974" s="50" t="str"/>
      <x:c r="J974" s="50" t="str"/>
      <x:c r="K974" s="47" t="str"/>
      <x:c r="L974" s="50" t="str"/>
      <x:c r="M974" s="50" t="str"/>
      <x:c r="N974" s="47" t="str"/>
      <x:c r="O974" s="50" t="str"/>
      <x:c r="P974" s="64" t="str">
        <x:f>IF(O974="","",O974*2)</x:f>
      </x:c>
      <x:c r="Q974" s="50" t="str"/>
      <x:c r="R974" s="47" t="str"/>
      <x:c r="S974" s="33" t="str">
        <x:v>Not Tested</x:v>
      </x:c>
      <x:c r="T974" s="64" t="str">
        <x:v>Eligible</x:v>
      </x:c>
      <x:c r="U974" s="47" t="str"/>
      <x:c r="V974" s="47" t="str"/>
      <x:c r="W974" s="47" t="str"/>
      <x:c r="X974" s="50" t="str"/>
      <x:c r="Y974" s="50" t="str"/>
      <x:c r="Z974" s="47" t="str"/>
      <x:c r="AA974" s="47" t="str">
        <x:v>No direct published reference located; do not display a crimp value.</x:v>
      </x:c>
      <x:c r="AB974" s="161" t="str">
        <x:v>Pending</x:v>
      </x:c>
    </x:row>
    <x:row r="975" ht="42" customHeight="1">
      <x:c r="A975" s="33" t="str">
        <x:v>Draft</x:v>
      </x:c>
      <x:c r="B975" s="47" t="str">
        <x:v>COMP_0971</x:v>
      </x:c>
      <x:c r="C975" s="47" t="str">
        <x:v>EN4SP_005</x:v>
      </x:c>
      <x:c r="D975" s="47" t="str">
        <x:v>ORFS45_F_SW_12_12</x:v>
      </x:c>
      <x:c r="E975" s="47" t="str">
        <x:v>EN4SP_4SP_005</x:v>
      </x:c>
      <x:c r="F975" s="47" t="str"/>
      <x:c r="G975" s="33" t="str"/>
      <x:c r="H975" s="50" t="str"/>
      <x:c r="I975" s="50" t="str"/>
      <x:c r="J975" s="50" t="str"/>
      <x:c r="K975" s="47" t="str"/>
      <x:c r="L975" s="50" t="str"/>
      <x:c r="M975" s="50" t="str"/>
      <x:c r="N975" s="47" t="str"/>
      <x:c r="O975" s="50" t="str"/>
      <x:c r="P975" s="64" t="str">
        <x:f>IF(O975="","",O975*2)</x:f>
      </x:c>
      <x:c r="Q975" s="50" t="str"/>
      <x:c r="R975" s="47" t="str"/>
      <x:c r="S975" s="33" t="str">
        <x:v>Not Tested</x:v>
      </x:c>
      <x:c r="T975" s="64" t="str">
        <x:v>Eligible</x:v>
      </x:c>
      <x:c r="U975" s="47" t="str"/>
      <x:c r="V975" s="47" t="str"/>
      <x:c r="W975" s="47" t="str"/>
      <x:c r="X975" s="50" t="str"/>
      <x:c r="Y975" s="50" t="str"/>
      <x:c r="Z975" s="47" t="str"/>
      <x:c r="AA975" s="47" t="str">
        <x:v>No direct published reference located; do not display a crimp value.</x:v>
      </x:c>
      <x:c r="AB975" s="161" t="str">
        <x:v>Pending</x:v>
      </x:c>
    </x:row>
    <x:row r="976" ht="42" customHeight="1">
      <x:c r="A976" s="33" t="str">
        <x:v>Draft</x:v>
      </x:c>
      <x:c r="B976" s="47" t="str">
        <x:v>COMP_0972</x:v>
      </x:c>
      <x:c r="C976" s="47" t="str">
        <x:v>EN4SP_005</x:v>
      </x:c>
      <x:c r="D976" s="47" t="str">
        <x:v>ORFS45_F_SW_16_12</x:v>
      </x:c>
      <x:c r="E976" s="47" t="str">
        <x:v>EN4SP_4SP_005</x:v>
      </x:c>
      <x:c r="F976" s="47" t="str"/>
      <x:c r="G976" s="33" t="str"/>
      <x:c r="H976" s="50" t="str"/>
      <x:c r="I976" s="50" t="str"/>
      <x:c r="J976" s="50" t="str"/>
      <x:c r="K976" s="47" t="str"/>
      <x:c r="L976" s="50" t="str"/>
      <x:c r="M976" s="50" t="str"/>
      <x:c r="N976" s="47" t="str"/>
      <x:c r="O976" s="50" t="str"/>
      <x:c r="P976" s="64" t="str">
        <x:f>IF(O976="","",O976*2)</x:f>
      </x:c>
      <x:c r="Q976" s="50" t="str"/>
      <x:c r="R976" s="47" t="str"/>
      <x:c r="S976" s="33" t="str">
        <x:v>Not Tested</x:v>
      </x:c>
      <x:c r="T976" s="64" t="str">
        <x:v>Eligible</x:v>
      </x:c>
      <x:c r="U976" s="47" t="str"/>
      <x:c r="V976" s="47" t="str"/>
      <x:c r="W976" s="47" t="str"/>
      <x:c r="X976" s="50" t="str"/>
      <x:c r="Y976" s="50" t="str"/>
      <x:c r="Z976" s="47" t="str"/>
      <x:c r="AA976" s="47" t="str">
        <x:v>No direct published reference located; do not display a crimp value.</x:v>
      </x:c>
      <x:c r="AB976" s="161" t="str">
        <x:v>Pending</x:v>
      </x:c>
    </x:row>
    <x:row r="977" ht="42" customHeight="1">
      <x:c r="A977" s="33" t="str">
        <x:v>Draft</x:v>
      </x:c>
      <x:c r="B977" s="47" t="str">
        <x:v>COMP_0973</x:v>
      </x:c>
      <x:c r="C977" s="47" t="str">
        <x:v>EN4SP_005</x:v>
      </x:c>
      <x:c r="D977" s="47" t="str">
        <x:v>ORFS90_F_SW_10_12</x:v>
      </x:c>
      <x:c r="E977" s="47" t="str">
        <x:v>EN4SP_4SP_005</x:v>
      </x:c>
      <x:c r="F977" s="47" t="str"/>
      <x:c r="G977" s="33" t="str"/>
      <x:c r="H977" s="50" t="str"/>
      <x:c r="I977" s="50" t="str"/>
      <x:c r="J977" s="50" t="str"/>
      <x:c r="K977" s="47" t="str"/>
      <x:c r="L977" s="50" t="str"/>
      <x:c r="M977" s="50" t="str"/>
      <x:c r="N977" s="47" t="str"/>
      <x:c r="O977" s="50" t="str"/>
      <x:c r="P977" s="64" t="str">
        <x:f>IF(O977="","",O977*2)</x:f>
      </x:c>
      <x:c r="Q977" s="50" t="str"/>
      <x:c r="R977" s="47" t="str"/>
      <x:c r="S977" s="33" t="str">
        <x:v>Not Tested</x:v>
      </x:c>
      <x:c r="T977" s="64" t="str">
        <x:v>Eligible</x:v>
      </x:c>
      <x:c r="U977" s="47" t="str"/>
      <x:c r="V977" s="47" t="str"/>
      <x:c r="W977" s="47" t="str"/>
      <x:c r="X977" s="50" t="str"/>
      <x:c r="Y977" s="50" t="str"/>
      <x:c r="Z977" s="47" t="str"/>
      <x:c r="AA977" s="47" t="str">
        <x:v>No direct published reference located; do not display a crimp value.</x:v>
      </x:c>
      <x:c r="AB977" s="161" t="str">
        <x:v>Pending</x:v>
      </x:c>
    </x:row>
    <x:row r="978" ht="42" customHeight="1">
      <x:c r="A978" s="33" t="str">
        <x:v>Draft</x:v>
      </x:c>
      <x:c r="B978" s="47" t="str">
        <x:v>COMP_0974</x:v>
      </x:c>
      <x:c r="C978" s="47" t="str">
        <x:v>EN4SP_005</x:v>
      </x:c>
      <x:c r="D978" s="47" t="str">
        <x:v>ORFS90_F_SW_12_12</x:v>
      </x:c>
      <x:c r="E978" s="47" t="str">
        <x:v>EN4SP_4SP_005</x:v>
      </x:c>
      <x:c r="F978" s="47" t="str"/>
      <x:c r="G978" s="33" t="str"/>
      <x:c r="H978" s="50" t="str"/>
      <x:c r="I978" s="50" t="str"/>
      <x:c r="J978" s="50" t="str"/>
      <x:c r="K978" s="47" t="str"/>
      <x:c r="L978" s="50" t="str"/>
      <x:c r="M978" s="50" t="str"/>
      <x:c r="N978" s="47" t="str"/>
      <x:c r="O978" s="50" t="str"/>
      <x:c r="P978" s="64" t="str">
        <x:f>IF(O978="","",O978*2)</x:f>
      </x:c>
      <x:c r="Q978" s="50" t="str"/>
      <x:c r="R978" s="47" t="str"/>
      <x:c r="S978" s="33" t="str">
        <x:v>Not Tested</x:v>
      </x:c>
      <x:c r="T978" s="64" t="str">
        <x:v>Eligible</x:v>
      </x:c>
      <x:c r="U978" s="47" t="str"/>
      <x:c r="V978" s="47" t="str"/>
      <x:c r="W978" s="47" t="str"/>
      <x:c r="X978" s="50" t="str"/>
      <x:c r="Y978" s="50" t="str"/>
      <x:c r="Z978" s="47" t="str"/>
      <x:c r="AA978" s="47" t="str">
        <x:v>No direct published reference located; do not display a crimp value.</x:v>
      </x:c>
      <x:c r="AB978" s="161" t="str">
        <x:v>Pending</x:v>
      </x:c>
    </x:row>
    <x:row r="979" ht="42" customHeight="1">
      <x:c r="A979" s="33" t="str">
        <x:v>Draft</x:v>
      </x:c>
      <x:c r="B979" s="47" t="str">
        <x:v>COMP_0975</x:v>
      </x:c>
      <x:c r="C979" s="47" t="str">
        <x:v>EN4SP_005</x:v>
      </x:c>
      <x:c r="D979" s="47" t="str">
        <x:v>ORFS90_F_SW_16_12</x:v>
      </x:c>
      <x:c r="E979" s="47" t="str">
        <x:v>EN4SP_4SP_005</x:v>
      </x:c>
      <x:c r="F979" s="47" t="str"/>
      <x:c r="G979" s="33" t="str"/>
      <x:c r="H979" s="50" t="str"/>
      <x:c r="I979" s="50" t="str"/>
      <x:c r="J979" s="50" t="str"/>
      <x:c r="K979" s="47" t="str"/>
      <x:c r="L979" s="50" t="str"/>
      <x:c r="M979" s="50" t="str"/>
      <x:c r="N979" s="47" t="str"/>
      <x:c r="O979" s="50" t="str"/>
      <x:c r="P979" s="64" t="str">
        <x:f>IF(O979="","",O979*2)</x:f>
      </x:c>
      <x:c r="Q979" s="50" t="str"/>
      <x:c r="R979" s="47" t="str"/>
      <x:c r="S979" s="33" t="str">
        <x:v>Not Tested</x:v>
      </x:c>
      <x:c r="T979" s="64" t="str">
        <x:v>Eligible</x:v>
      </x:c>
      <x:c r="U979" s="47" t="str"/>
      <x:c r="V979" s="47" t="str"/>
      <x:c r="W979" s="47" t="str"/>
      <x:c r="X979" s="50" t="str"/>
      <x:c r="Y979" s="50" t="str"/>
      <x:c r="Z979" s="47" t="str"/>
      <x:c r="AA979" s="47" t="str">
        <x:v>No direct published reference located; do not display a crimp value.</x:v>
      </x:c>
      <x:c r="AB979" s="161" t="str">
        <x:v>Pending</x:v>
      </x:c>
    </x:row>
    <x:row r="980" ht="42" customHeight="1">
      <x:c r="A980" s="33" t="str">
        <x:v>Draft</x:v>
      </x:c>
      <x:c r="B980" s="47" t="str">
        <x:v>COMP_0976</x:v>
      </x:c>
      <x:c r="C980" s="47" t="str">
        <x:v>EN4SP_006</x:v>
      </x:c>
      <x:c r="D980" s="47" t="str">
        <x:v>BSPP_F_SW_16_16</x:v>
      </x:c>
      <x:c r="E980" s="47" t="str">
        <x:v>EN4SP_4SP_006</x:v>
      </x:c>
      <x:c r="F980" s="47" t="str"/>
      <x:c r="G980" s="33" t="str"/>
      <x:c r="H980" s="50" t="str"/>
      <x:c r="I980" s="50" t="str"/>
      <x:c r="J980" s="50" t="str"/>
      <x:c r="K980" s="47" t="str"/>
      <x:c r="L980" s="50" t="str"/>
      <x:c r="M980" s="50" t="str"/>
      <x:c r="N980" s="47" t="str"/>
      <x:c r="O980" s="50" t="str"/>
      <x:c r="P980" s="64" t="str">
        <x:f>IF(O980="","",O980*2)</x:f>
      </x:c>
      <x:c r="Q980" s="50" t="str"/>
      <x:c r="R980" s="47" t="str"/>
      <x:c r="S980" s="33" t="str">
        <x:v>Not Tested</x:v>
      </x:c>
      <x:c r="T980" s="64" t="str">
        <x:v>Eligible</x:v>
      </x:c>
      <x:c r="U980" s="47" t="str"/>
      <x:c r="V980" s="47" t="str"/>
      <x:c r="W980" s="47" t="str"/>
      <x:c r="X980" s="50" t="str"/>
      <x:c r="Y980" s="50" t="str"/>
      <x:c r="Z980" s="47" t="str"/>
      <x:c r="AA980" s="47" t="str">
        <x:v>No direct published reference located; do not display a crimp value.</x:v>
      </x:c>
      <x:c r="AB980" s="161" t="str">
        <x:v>Pending</x:v>
      </x:c>
    </x:row>
    <x:row r="981" ht="42" customHeight="1">
      <x:c r="A981" s="33" t="str">
        <x:v>Draft</x:v>
      </x:c>
      <x:c r="B981" s="47" t="str">
        <x:v>COMP_0977</x:v>
      </x:c>
      <x:c r="C981" s="47" t="str">
        <x:v>EN4SP_006</x:v>
      </x:c>
      <x:c r="D981" s="47" t="str">
        <x:v>BSPP45_F_SW_16_16</x:v>
      </x:c>
      <x:c r="E981" s="47" t="str">
        <x:v>EN4SP_4SP_006</x:v>
      </x:c>
      <x:c r="F981" s="47" t="str"/>
      <x:c r="G981" s="33" t="str"/>
      <x:c r="H981" s="50" t="str"/>
      <x:c r="I981" s="50" t="str"/>
      <x:c r="J981" s="50" t="str"/>
      <x:c r="K981" s="47" t="str"/>
      <x:c r="L981" s="50" t="str"/>
      <x:c r="M981" s="50" t="str"/>
      <x:c r="N981" s="47" t="str"/>
      <x:c r="O981" s="50" t="str"/>
      <x:c r="P981" s="64" t="str">
        <x:f>IF(O981="","",O981*2)</x:f>
      </x:c>
      <x:c r="Q981" s="50" t="str"/>
      <x:c r="R981" s="47" t="str"/>
      <x:c r="S981" s="33" t="str">
        <x:v>Not Tested</x:v>
      </x:c>
      <x:c r="T981" s="64" t="str">
        <x:v>Eligible</x:v>
      </x:c>
      <x:c r="U981" s="47" t="str"/>
      <x:c r="V981" s="47" t="str"/>
      <x:c r="W981" s="47" t="str"/>
      <x:c r="X981" s="50" t="str"/>
      <x:c r="Y981" s="50" t="str"/>
      <x:c r="Z981" s="47" t="str"/>
      <x:c r="AA981" s="47" t="str">
        <x:v>No direct published reference located; do not display a crimp value.</x:v>
      </x:c>
      <x:c r="AB981" s="161" t="str">
        <x:v>Pending</x:v>
      </x:c>
    </x:row>
    <x:row r="982" ht="42" customHeight="1">
      <x:c r="A982" s="33" t="str">
        <x:v>Draft</x:v>
      </x:c>
      <x:c r="B982" s="47" t="str">
        <x:v>COMP_0978</x:v>
      </x:c>
      <x:c r="C982" s="47" t="str">
        <x:v>EN4SP_006</x:v>
      </x:c>
      <x:c r="D982" s="47" t="str">
        <x:v>BSPP90_F_SW_16_16</x:v>
      </x:c>
      <x:c r="E982" s="47" t="str">
        <x:v>EN4SP_4SP_006</x:v>
      </x:c>
      <x:c r="F982" s="47" t="str"/>
      <x:c r="G982" s="33" t="str"/>
      <x:c r="H982" s="50" t="str"/>
      <x:c r="I982" s="50" t="str"/>
      <x:c r="J982" s="50" t="str"/>
      <x:c r="K982" s="47" t="str"/>
      <x:c r="L982" s="50" t="str"/>
      <x:c r="M982" s="50" t="str"/>
      <x:c r="N982" s="47" t="str"/>
      <x:c r="O982" s="50" t="str"/>
      <x:c r="P982" s="64" t="str">
        <x:f>IF(O982="","",O982*2)</x:f>
      </x:c>
      <x:c r="Q982" s="50" t="str"/>
      <x:c r="R982" s="47" t="str"/>
      <x:c r="S982" s="33" t="str">
        <x:v>Not Tested</x:v>
      </x:c>
      <x:c r="T982" s="64" t="str">
        <x:v>Eligible</x:v>
      </x:c>
      <x:c r="U982" s="47" t="str"/>
      <x:c r="V982" s="47" t="str"/>
      <x:c r="W982" s="47" t="str"/>
      <x:c r="X982" s="50" t="str"/>
      <x:c r="Y982" s="50" t="str"/>
      <x:c r="Z982" s="47" t="str"/>
      <x:c r="AA982" s="47" t="str">
        <x:v>No direct published reference located; do not display a crimp value.</x:v>
      </x:c>
      <x:c r="AB982" s="161" t="str">
        <x:v>Pending</x:v>
      </x:c>
    </x:row>
    <x:row r="983" ht="42" customHeight="1">
      <x:c r="A983" s="33" t="str">
        <x:v>Draft</x:v>
      </x:c>
      <x:c r="B983" s="47" t="str">
        <x:v>COMP_0979</x:v>
      </x:c>
      <x:c r="C983" s="47" t="str">
        <x:v>EN4SP_006</x:v>
      </x:c>
      <x:c r="D983" s="47" t="str">
        <x:v>BSPT_M_FX_16_16</x:v>
      </x:c>
      <x:c r="E983" s="47" t="str">
        <x:v>EN4SP_4SP_006</x:v>
      </x:c>
      <x:c r="F983" s="47" t="str"/>
      <x:c r="G983" s="33" t="str"/>
      <x:c r="H983" s="50" t="str"/>
      <x:c r="I983" s="50" t="str"/>
      <x:c r="J983" s="50" t="str"/>
      <x:c r="K983" s="47" t="str"/>
      <x:c r="L983" s="50" t="str"/>
      <x:c r="M983" s="50" t="str"/>
      <x:c r="N983" s="47" t="str"/>
      <x:c r="O983" s="50" t="str"/>
      <x:c r="P983" s="64" t="str">
        <x:f>IF(O983="","",O983*2)</x:f>
      </x:c>
      <x:c r="Q983" s="50" t="str"/>
      <x:c r="R983" s="47" t="str"/>
      <x:c r="S983" s="33" t="str">
        <x:v>Not Tested</x:v>
      </x:c>
      <x:c r="T983" s="64" t="str">
        <x:v>Eligible</x:v>
      </x:c>
      <x:c r="U983" s="47" t="str"/>
      <x:c r="V983" s="47" t="str"/>
      <x:c r="W983" s="47" t="str"/>
      <x:c r="X983" s="50" t="str"/>
      <x:c r="Y983" s="50" t="str"/>
      <x:c r="Z983" s="47" t="str"/>
      <x:c r="AA983" s="47" t="str">
        <x:v>No direct published reference located; do not display a crimp value.</x:v>
      </x:c>
      <x:c r="AB983" s="161" t="str">
        <x:v>Pending</x:v>
      </x:c>
    </x:row>
    <x:row r="984" ht="42" customHeight="1">
      <x:c r="A984" s="33" t="str">
        <x:v>Draft</x:v>
      </x:c>
      <x:c r="B984" s="47" t="str">
        <x:v>COMP_0980</x:v>
      </x:c>
      <x:c r="C984" s="47" t="str">
        <x:v>EN4SP_006</x:v>
      </x:c>
      <x:c r="D984" s="47" t="str">
        <x:v>JIC_F_SW_12_16</x:v>
      </x:c>
      <x:c r="E984" s="47" t="str">
        <x:v>EN4SP_4SP_006</x:v>
      </x:c>
      <x:c r="F984" s="47" t="str"/>
      <x:c r="G984" s="33" t="str"/>
      <x:c r="H984" s="50" t="str"/>
      <x:c r="I984" s="50" t="str"/>
      <x:c r="J984" s="50" t="str"/>
      <x:c r="K984" s="47" t="str"/>
      <x:c r="L984" s="50" t="str"/>
      <x:c r="M984" s="50" t="str"/>
      <x:c r="N984" s="47" t="str"/>
      <x:c r="O984" s="50" t="str"/>
      <x:c r="P984" s="64" t="str">
        <x:f>IF(O984="","",O984*2)</x:f>
      </x:c>
      <x:c r="Q984" s="50" t="str"/>
      <x:c r="R984" s="47" t="str"/>
      <x:c r="S984" s="33" t="str">
        <x:v>Not Tested</x:v>
      </x:c>
      <x:c r="T984" s="64" t="str">
        <x:v>Eligible</x:v>
      </x:c>
      <x:c r="U984" s="47" t="str"/>
      <x:c r="V984" s="47" t="str"/>
      <x:c r="W984" s="47" t="str"/>
      <x:c r="X984" s="50" t="str"/>
      <x:c r="Y984" s="50" t="str"/>
      <x:c r="Z984" s="47" t="str"/>
      <x:c r="AA984" s="47" t="str">
        <x:v>No direct published reference located; do not display a crimp value.</x:v>
      </x:c>
      <x:c r="AB984" s="161" t="str">
        <x:v>Pending</x:v>
      </x:c>
    </x:row>
    <x:row r="985" ht="42" customHeight="1">
      <x:c r="A985" s="33" t="str">
        <x:v>Draft</x:v>
      </x:c>
      <x:c r="B985" s="47" t="str">
        <x:v>COMP_0981</x:v>
      </x:c>
      <x:c r="C985" s="47" t="str">
        <x:v>EN4SP_006</x:v>
      </x:c>
      <x:c r="D985" s="47" t="str">
        <x:v>JIC_F_SW_16_16</x:v>
      </x:c>
      <x:c r="E985" s="47" t="str">
        <x:v>EN4SP_4SP_006</x:v>
      </x:c>
      <x:c r="F985" s="47" t="str"/>
      <x:c r="G985" s="33" t="str"/>
      <x:c r="H985" s="50" t="str"/>
      <x:c r="I985" s="50" t="str"/>
      <x:c r="J985" s="50" t="str"/>
      <x:c r="K985" s="47" t="str"/>
      <x:c r="L985" s="50" t="str"/>
      <x:c r="M985" s="50" t="str"/>
      <x:c r="N985" s="47" t="str"/>
      <x:c r="O985" s="50" t="str"/>
      <x:c r="P985" s="64" t="str">
        <x:f>IF(O985="","",O985*2)</x:f>
      </x:c>
      <x:c r="Q985" s="50" t="str"/>
      <x:c r="R985" s="47" t="str"/>
      <x:c r="S985" s="33" t="str">
        <x:v>Not Tested</x:v>
      </x:c>
      <x:c r="T985" s="64" t="str">
        <x:v>Eligible</x:v>
      </x:c>
      <x:c r="U985" s="47" t="str"/>
      <x:c r="V985" s="47" t="str"/>
      <x:c r="W985" s="47" t="str"/>
      <x:c r="X985" s="50" t="str"/>
      <x:c r="Y985" s="50" t="str"/>
      <x:c r="Z985" s="47" t="str"/>
      <x:c r="AA985" s="47" t="str">
        <x:v>No direct published reference located; do not display a crimp value.</x:v>
      </x:c>
      <x:c r="AB985" s="161" t="str">
        <x:v>Pending</x:v>
      </x:c>
    </x:row>
    <x:row r="986" ht="42" customHeight="1">
      <x:c r="A986" s="33" t="str">
        <x:v>Draft</x:v>
      </x:c>
      <x:c r="B986" s="47" t="str">
        <x:v>COMP_0982</x:v>
      </x:c>
      <x:c r="C986" s="47" t="str">
        <x:v>EN4SP_006</x:v>
      </x:c>
      <x:c r="D986" s="47" t="str">
        <x:v>JIC_F_SW_20_16</x:v>
      </x:c>
      <x:c r="E986" s="47" t="str">
        <x:v>EN4SP_4SP_006</x:v>
      </x:c>
      <x:c r="F986" s="47" t="str"/>
      <x:c r="G986" s="33" t="str"/>
      <x:c r="H986" s="50" t="str"/>
      <x:c r="I986" s="50" t="str"/>
      <x:c r="J986" s="50" t="str"/>
      <x:c r="K986" s="47" t="str"/>
      <x:c r="L986" s="50" t="str"/>
      <x:c r="M986" s="50" t="str"/>
      <x:c r="N986" s="47" t="str"/>
      <x:c r="O986" s="50" t="str"/>
      <x:c r="P986" s="64" t="str">
        <x:f>IF(O986="","",O986*2)</x:f>
      </x:c>
      <x:c r="Q986" s="50" t="str"/>
      <x:c r="R986" s="47" t="str"/>
      <x:c r="S986" s="33" t="str">
        <x:v>Not Tested</x:v>
      </x:c>
      <x:c r="T986" s="64" t="str">
        <x:v>Eligible</x:v>
      </x:c>
      <x:c r="U986" s="47" t="str"/>
      <x:c r="V986" s="47" t="str"/>
      <x:c r="W986" s="47" t="str"/>
      <x:c r="X986" s="50" t="str"/>
      <x:c r="Y986" s="50" t="str"/>
      <x:c r="Z986" s="47" t="str"/>
      <x:c r="AA986" s="47" t="str">
        <x:v>No direct published reference located; do not display a crimp value.</x:v>
      </x:c>
      <x:c r="AB986" s="161" t="str">
        <x:v>Pending</x:v>
      </x:c>
    </x:row>
    <x:row r="987" ht="42" customHeight="1">
      <x:c r="A987" s="33" t="str">
        <x:v>Draft</x:v>
      </x:c>
      <x:c r="B987" s="47" t="str">
        <x:v>COMP_0983</x:v>
      </x:c>
      <x:c r="C987" s="47" t="str">
        <x:v>EN4SP_006</x:v>
      </x:c>
      <x:c r="D987" s="47" t="str">
        <x:v>JIC_M_FX_16_16</x:v>
      </x:c>
      <x:c r="E987" s="47" t="str">
        <x:v>EN4SP_4SP_006</x:v>
      </x:c>
      <x:c r="F987" s="47" t="str"/>
      <x:c r="G987" s="33" t="str"/>
      <x:c r="H987" s="50" t="str"/>
      <x:c r="I987" s="50" t="str"/>
      <x:c r="J987" s="50" t="str"/>
      <x:c r="K987" s="47" t="str"/>
      <x:c r="L987" s="50" t="str"/>
      <x:c r="M987" s="50" t="str"/>
      <x:c r="N987" s="47" t="str"/>
      <x:c r="O987" s="50" t="str"/>
      <x:c r="P987" s="64" t="str">
        <x:f>IF(O987="","",O987*2)</x:f>
      </x:c>
      <x:c r="Q987" s="50" t="str"/>
      <x:c r="R987" s="47" t="str"/>
      <x:c r="S987" s="33" t="str">
        <x:v>Not Tested</x:v>
      </x:c>
      <x:c r="T987" s="64" t="str">
        <x:v>Eligible</x:v>
      </x:c>
      <x:c r="U987" s="47" t="str"/>
      <x:c r="V987" s="47" t="str"/>
      <x:c r="W987" s="47" t="str"/>
      <x:c r="X987" s="50" t="str"/>
      <x:c r="Y987" s="50" t="str"/>
      <x:c r="Z987" s="47" t="str"/>
      <x:c r="AA987" s="47" t="str">
        <x:v>No direct published reference located; do not display a crimp value.</x:v>
      </x:c>
      <x:c r="AB987" s="161" t="str">
        <x:v>Pending</x:v>
      </x:c>
    </x:row>
    <x:row r="988" ht="42" customHeight="1">
      <x:c r="A988" s="33" t="str">
        <x:v>Draft</x:v>
      </x:c>
      <x:c r="B988" s="47" t="str">
        <x:v>COMP_0984</x:v>
      </x:c>
      <x:c r="C988" s="47" t="str">
        <x:v>EN4SP_006</x:v>
      </x:c>
      <x:c r="D988" s="47" t="str">
        <x:v>JIC_M_FX_20_16</x:v>
      </x:c>
      <x:c r="E988" s="47" t="str">
        <x:v>EN4SP_4SP_006</x:v>
      </x:c>
      <x:c r="F988" s="47" t="str"/>
      <x:c r="G988" s="33" t="str"/>
      <x:c r="H988" s="50" t="str"/>
      <x:c r="I988" s="50" t="str"/>
      <x:c r="J988" s="50" t="str"/>
      <x:c r="K988" s="47" t="str"/>
      <x:c r="L988" s="50" t="str"/>
      <x:c r="M988" s="50" t="str"/>
      <x:c r="N988" s="47" t="str"/>
      <x:c r="O988" s="50" t="str"/>
      <x:c r="P988" s="64" t="str">
        <x:f>IF(O988="","",O988*2)</x:f>
      </x:c>
      <x:c r="Q988" s="50" t="str"/>
      <x:c r="R988" s="47" t="str"/>
      <x:c r="S988" s="33" t="str">
        <x:v>Not Tested</x:v>
      </x:c>
      <x:c r="T988" s="64" t="str">
        <x:v>Eligible</x:v>
      </x:c>
      <x:c r="U988" s="47" t="str"/>
      <x:c r="V988" s="47" t="str"/>
      <x:c r="W988" s="47" t="str"/>
      <x:c r="X988" s="50" t="str"/>
      <x:c r="Y988" s="50" t="str"/>
      <x:c r="Z988" s="47" t="str"/>
      <x:c r="AA988" s="47" t="str">
        <x:v>No direct published reference located; do not display a crimp value.</x:v>
      </x:c>
      <x:c r="AB988" s="161" t="str">
        <x:v>Pending</x:v>
      </x:c>
    </x:row>
    <x:row r="989" ht="42" customHeight="1">
      <x:c r="A989" s="33" t="str">
        <x:v>Draft</x:v>
      </x:c>
      <x:c r="B989" s="47" t="str">
        <x:v>COMP_0985</x:v>
      </x:c>
      <x:c r="C989" s="47" t="str">
        <x:v>EN4SP_006</x:v>
      </x:c>
      <x:c r="D989" s="47" t="str">
        <x:v>JIC45_F_SW_16_16</x:v>
      </x:c>
      <x:c r="E989" s="47" t="str">
        <x:v>EN4SP_4SP_006</x:v>
      </x:c>
      <x:c r="F989" s="47" t="str"/>
      <x:c r="G989" s="33" t="str"/>
      <x:c r="H989" s="50" t="str"/>
      <x:c r="I989" s="50" t="str"/>
      <x:c r="J989" s="50" t="str"/>
      <x:c r="K989" s="47" t="str"/>
      <x:c r="L989" s="50" t="str"/>
      <x:c r="M989" s="50" t="str"/>
      <x:c r="N989" s="47" t="str"/>
      <x:c r="O989" s="50" t="str"/>
      <x:c r="P989" s="64" t="str">
        <x:f>IF(O989="","",O989*2)</x:f>
      </x:c>
      <x:c r="Q989" s="50" t="str"/>
      <x:c r="R989" s="47" t="str"/>
      <x:c r="S989" s="33" t="str">
        <x:v>Not Tested</x:v>
      </x:c>
      <x:c r="T989" s="64" t="str">
        <x:v>Eligible</x:v>
      </x:c>
      <x:c r="U989" s="47" t="str"/>
      <x:c r="V989" s="47" t="str"/>
      <x:c r="W989" s="47" t="str"/>
      <x:c r="X989" s="50" t="str"/>
      <x:c r="Y989" s="50" t="str"/>
      <x:c r="Z989" s="47" t="str"/>
      <x:c r="AA989" s="47" t="str">
        <x:v>No direct published reference located; do not display a crimp value.</x:v>
      </x:c>
      <x:c r="AB989" s="161" t="str">
        <x:v>Pending</x:v>
      </x:c>
    </x:row>
    <x:row r="990" ht="42" customHeight="1">
      <x:c r="A990" s="33" t="str">
        <x:v>Draft</x:v>
      </x:c>
      <x:c r="B990" s="47" t="str">
        <x:v>COMP_0986</x:v>
      </x:c>
      <x:c r="C990" s="47" t="str">
        <x:v>EN4SP_006</x:v>
      </x:c>
      <x:c r="D990" s="47" t="str">
        <x:v>JIC45_F_SW_20_16</x:v>
      </x:c>
      <x:c r="E990" s="47" t="str">
        <x:v>EN4SP_4SP_006</x:v>
      </x:c>
      <x:c r="F990" s="47" t="str"/>
      <x:c r="G990" s="33" t="str"/>
      <x:c r="H990" s="50" t="str"/>
      <x:c r="I990" s="50" t="str"/>
      <x:c r="J990" s="50" t="str"/>
      <x:c r="K990" s="47" t="str"/>
      <x:c r="L990" s="50" t="str"/>
      <x:c r="M990" s="50" t="str"/>
      <x:c r="N990" s="47" t="str"/>
      <x:c r="O990" s="50" t="str"/>
      <x:c r="P990" s="64" t="str">
        <x:f>IF(O990="","",O990*2)</x:f>
      </x:c>
      <x:c r="Q990" s="50" t="str"/>
      <x:c r="R990" s="47" t="str"/>
      <x:c r="S990" s="33" t="str">
        <x:v>Not Tested</x:v>
      </x:c>
      <x:c r="T990" s="64" t="str">
        <x:v>Eligible</x:v>
      </x:c>
      <x:c r="U990" s="47" t="str"/>
      <x:c r="V990" s="47" t="str"/>
      <x:c r="W990" s="47" t="str"/>
      <x:c r="X990" s="50" t="str"/>
      <x:c r="Y990" s="50" t="str"/>
      <x:c r="Z990" s="47" t="str"/>
      <x:c r="AA990" s="47" t="str">
        <x:v>No direct published reference located; do not display a crimp value.</x:v>
      </x:c>
      <x:c r="AB990" s="161" t="str">
        <x:v>Pending</x:v>
      </x:c>
    </x:row>
    <x:row r="991" ht="42" customHeight="1">
      <x:c r="A991" s="33" t="str">
        <x:v>Draft</x:v>
      </x:c>
      <x:c r="B991" s="47" t="str">
        <x:v>COMP_0987</x:v>
      </x:c>
      <x:c r="C991" s="47" t="str">
        <x:v>EN4SP_006</x:v>
      </x:c>
      <x:c r="D991" s="47" t="str">
        <x:v>JIC90_F_SW_16_16</x:v>
      </x:c>
      <x:c r="E991" s="47" t="str">
        <x:v>EN4SP_4SP_006</x:v>
      </x:c>
      <x:c r="F991" s="47" t="str"/>
      <x:c r="G991" s="33" t="str"/>
      <x:c r="H991" s="50" t="str"/>
      <x:c r="I991" s="50" t="str"/>
      <x:c r="J991" s="50" t="str"/>
      <x:c r="K991" s="47" t="str"/>
      <x:c r="L991" s="50" t="str"/>
      <x:c r="M991" s="50" t="str"/>
      <x:c r="N991" s="47" t="str"/>
      <x:c r="O991" s="50" t="str"/>
      <x:c r="P991" s="64" t="str">
        <x:f>IF(O991="","",O991*2)</x:f>
      </x:c>
      <x:c r="Q991" s="50" t="str"/>
      <x:c r="R991" s="47" t="str"/>
      <x:c r="S991" s="33" t="str">
        <x:v>Not Tested</x:v>
      </x:c>
      <x:c r="T991" s="64" t="str">
        <x:v>Eligible</x:v>
      </x:c>
      <x:c r="U991" s="47" t="str"/>
      <x:c r="V991" s="47" t="str"/>
      <x:c r="W991" s="47" t="str"/>
      <x:c r="X991" s="50" t="str"/>
      <x:c r="Y991" s="50" t="str"/>
      <x:c r="Z991" s="47" t="str"/>
      <x:c r="AA991" s="47" t="str">
        <x:v>No direct published reference located; do not display a crimp value.</x:v>
      </x:c>
      <x:c r="AB991" s="161" t="str">
        <x:v>Pending</x:v>
      </x:c>
    </x:row>
    <x:row r="992" ht="42" customHeight="1">
      <x:c r="A992" s="33" t="str">
        <x:v>Draft</x:v>
      </x:c>
      <x:c r="B992" s="47" t="str">
        <x:v>COMP_0988</x:v>
      </x:c>
      <x:c r="C992" s="47" t="str">
        <x:v>EN4SP_006</x:v>
      </x:c>
      <x:c r="D992" s="47" t="str">
        <x:v>JIC90_F_SW_20_16</x:v>
      </x:c>
      <x:c r="E992" s="47" t="str">
        <x:v>EN4SP_4SP_006</x:v>
      </x:c>
      <x:c r="F992" s="47" t="str"/>
      <x:c r="G992" s="33" t="str"/>
      <x:c r="H992" s="50" t="str"/>
      <x:c r="I992" s="50" t="str"/>
      <x:c r="J992" s="50" t="str"/>
      <x:c r="K992" s="47" t="str"/>
      <x:c r="L992" s="50" t="str"/>
      <x:c r="M992" s="50" t="str"/>
      <x:c r="N992" s="47" t="str"/>
      <x:c r="O992" s="50" t="str"/>
      <x:c r="P992" s="64" t="str">
        <x:f>IF(O992="","",O992*2)</x:f>
      </x:c>
      <x:c r="Q992" s="50" t="str"/>
      <x:c r="R992" s="47" t="str"/>
      <x:c r="S992" s="33" t="str">
        <x:v>Not Tested</x:v>
      </x:c>
      <x:c r="T992" s="64" t="str">
        <x:v>Eligible</x:v>
      </x:c>
      <x:c r="U992" s="47" t="str"/>
      <x:c r="V992" s="47" t="str"/>
      <x:c r="W992" s="47" t="str"/>
      <x:c r="X992" s="50" t="str"/>
      <x:c r="Y992" s="50" t="str"/>
      <x:c r="Z992" s="47" t="str"/>
      <x:c r="AA992" s="47" t="str">
        <x:v>No direct published reference located; do not display a crimp value.</x:v>
      </x:c>
      <x:c r="AB992" s="161" t="str">
        <x:v>Pending</x:v>
      </x:c>
    </x:row>
    <x:row r="993" ht="42" customHeight="1">
      <x:c r="A993" s="33" t="str">
        <x:v>Draft</x:v>
      </x:c>
      <x:c r="B993" s="47" t="str">
        <x:v>COMP_0989</x:v>
      </x:c>
      <x:c r="C993" s="47" t="str">
        <x:v>EN4SP_006</x:v>
      </x:c>
      <x:c r="D993" s="47" t="str">
        <x:v>NPT_M_FX_12_16</x:v>
      </x:c>
      <x:c r="E993" s="47" t="str">
        <x:v>EN4SP_4SP_006</x:v>
      </x:c>
      <x:c r="F993" s="47" t="str"/>
      <x:c r="G993" s="33" t="str"/>
      <x:c r="H993" s="50" t="str"/>
      <x:c r="I993" s="50" t="str"/>
      <x:c r="J993" s="50" t="str"/>
      <x:c r="K993" s="47" t="str"/>
      <x:c r="L993" s="50" t="str"/>
      <x:c r="M993" s="50" t="str"/>
      <x:c r="N993" s="47" t="str"/>
      <x:c r="O993" s="50" t="str"/>
      <x:c r="P993" s="64" t="str">
        <x:f>IF(O993="","",O993*2)</x:f>
      </x:c>
      <x:c r="Q993" s="50" t="str"/>
      <x:c r="R993" s="47" t="str"/>
      <x:c r="S993" s="33" t="str">
        <x:v>Not Tested</x:v>
      </x:c>
      <x:c r="T993" s="64" t="str">
        <x:v>Eligible</x:v>
      </x:c>
      <x:c r="U993" s="47" t="str"/>
      <x:c r="V993" s="47" t="str"/>
      <x:c r="W993" s="47" t="str"/>
      <x:c r="X993" s="50" t="str"/>
      <x:c r="Y993" s="50" t="str"/>
      <x:c r="Z993" s="47" t="str"/>
      <x:c r="AA993" s="47" t="str">
        <x:v>No direct published reference located; do not display a crimp value.</x:v>
      </x:c>
      <x:c r="AB993" s="161" t="str">
        <x:v>Pending</x:v>
      </x:c>
    </x:row>
    <x:row r="994" ht="42" customHeight="1">
      <x:c r="A994" s="33" t="str">
        <x:v>Draft</x:v>
      </x:c>
      <x:c r="B994" s="47" t="str">
        <x:v>COMP_0990</x:v>
      </x:c>
      <x:c r="C994" s="47" t="str">
        <x:v>EN4SP_006</x:v>
      </x:c>
      <x:c r="D994" s="47" t="str">
        <x:v>NPT_M_FX_16_16</x:v>
      </x:c>
      <x:c r="E994" s="47" t="str">
        <x:v>EN4SP_4SP_006</x:v>
      </x:c>
      <x:c r="F994" s="47" t="str"/>
      <x:c r="G994" s="33" t="str"/>
      <x:c r="H994" s="50" t="str"/>
      <x:c r="I994" s="50" t="str"/>
      <x:c r="J994" s="50" t="str"/>
      <x:c r="K994" s="47" t="str"/>
      <x:c r="L994" s="50" t="str"/>
      <x:c r="M994" s="50" t="str"/>
      <x:c r="N994" s="47" t="str"/>
      <x:c r="O994" s="50" t="str"/>
      <x:c r="P994" s="64" t="str">
        <x:f>IF(O994="","",O994*2)</x:f>
      </x:c>
      <x:c r="Q994" s="50" t="str"/>
      <x:c r="R994" s="47" t="str"/>
      <x:c r="S994" s="33" t="str">
        <x:v>Not Tested</x:v>
      </x:c>
      <x:c r="T994" s="64" t="str">
        <x:v>Eligible</x:v>
      </x:c>
      <x:c r="U994" s="47" t="str"/>
      <x:c r="V994" s="47" t="str"/>
      <x:c r="W994" s="47" t="str"/>
      <x:c r="X994" s="50" t="str"/>
      <x:c r="Y994" s="50" t="str"/>
      <x:c r="Z994" s="47" t="str"/>
      <x:c r="AA994" s="47" t="str">
        <x:v>No direct published reference located; do not display a crimp value.</x:v>
      </x:c>
      <x:c r="AB994" s="161" t="str">
        <x:v>Pending</x:v>
      </x:c>
    </x:row>
    <x:row r="995" ht="42" customHeight="1">
      <x:c r="A995" s="33" t="str">
        <x:v>Draft</x:v>
      </x:c>
      <x:c r="B995" s="47" t="str">
        <x:v>COMP_0991</x:v>
      </x:c>
      <x:c r="C995" s="47" t="str">
        <x:v>EN4SP_006</x:v>
      </x:c>
      <x:c r="D995" s="47" t="str">
        <x:v>NPT_M_FX_20_16</x:v>
      </x:c>
      <x:c r="E995" s="47" t="str">
        <x:v>EN4SP_4SP_006</x:v>
      </x:c>
      <x:c r="F995" s="47" t="str"/>
      <x:c r="G995" s="33" t="str"/>
      <x:c r="H995" s="50" t="str"/>
      <x:c r="I995" s="50" t="str"/>
      <x:c r="J995" s="50" t="str"/>
      <x:c r="K995" s="47" t="str"/>
      <x:c r="L995" s="50" t="str"/>
      <x:c r="M995" s="50" t="str"/>
      <x:c r="N995" s="47" t="str"/>
      <x:c r="O995" s="50" t="str"/>
      <x:c r="P995" s="64" t="str">
        <x:f>IF(O995="","",O995*2)</x:f>
      </x:c>
      <x:c r="Q995" s="50" t="str"/>
      <x:c r="R995" s="47" t="str"/>
      <x:c r="S995" s="33" t="str">
        <x:v>Not Tested</x:v>
      </x:c>
      <x:c r="T995" s="64" t="str">
        <x:v>Eligible</x:v>
      </x:c>
      <x:c r="U995" s="47" t="str"/>
      <x:c r="V995" s="47" t="str"/>
      <x:c r="W995" s="47" t="str"/>
      <x:c r="X995" s="50" t="str"/>
      <x:c r="Y995" s="50" t="str"/>
      <x:c r="Z995" s="47" t="str"/>
      <x:c r="AA995" s="47" t="str">
        <x:v>No direct published reference located; do not display a crimp value.</x:v>
      </x:c>
      <x:c r="AB995" s="161" t="str">
        <x:v>Pending</x:v>
      </x:c>
    </x:row>
    <x:row r="996" ht="42" customHeight="1">
      <x:c r="A996" s="33" t="str">
        <x:v>Draft</x:v>
      </x:c>
      <x:c r="B996" s="47" t="str">
        <x:v>COMP_0992</x:v>
      </x:c>
      <x:c r="C996" s="47" t="str">
        <x:v>EN4SP_006</x:v>
      </x:c>
      <x:c r="D996" s="47" t="str">
        <x:v>ORFS_F_SW_12_16</x:v>
      </x:c>
      <x:c r="E996" s="47" t="str">
        <x:v>EN4SP_4SP_006</x:v>
      </x:c>
      <x:c r="F996" s="47" t="str"/>
      <x:c r="G996" s="33" t="str"/>
      <x:c r="H996" s="50" t="str"/>
      <x:c r="I996" s="50" t="str"/>
      <x:c r="J996" s="50" t="str"/>
      <x:c r="K996" s="47" t="str"/>
      <x:c r="L996" s="50" t="str"/>
      <x:c r="M996" s="50" t="str"/>
      <x:c r="N996" s="47" t="str"/>
      <x:c r="O996" s="50" t="str"/>
      <x:c r="P996" s="64" t="str">
        <x:f>IF(O996="","",O996*2)</x:f>
      </x:c>
      <x:c r="Q996" s="50" t="str"/>
      <x:c r="R996" s="47" t="str"/>
      <x:c r="S996" s="33" t="str">
        <x:v>Not Tested</x:v>
      </x:c>
      <x:c r="T996" s="64" t="str">
        <x:v>Eligible</x:v>
      </x:c>
      <x:c r="U996" s="47" t="str"/>
      <x:c r="V996" s="47" t="str"/>
      <x:c r="W996" s="47" t="str"/>
      <x:c r="X996" s="50" t="str"/>
      <x:c r="Y996" s="50" t="str"/>
      <x:c r="Z996" s="47" t="str"/>
      <x:c r="AA996" s="47" t="str">
        <x:v>No direct published reference located; do not display a crimp value.</x:v>
      </x:c>
      <x:c r="AB996" s="161" t="str">
        <x:v>Pending</x:v>
      </x:c>
    </x:row>
    <x:row r="997" ht="42" customHeight="1">
      <x:c r="A997" s="33" t="str">
        <x:v>Draft</x:v>
      </x:c>
      <x:c r="B997" s="47" t="str">
        <x:v>COMP_0993</x:v>
      </x:c>
      <x:c r="C997" s="47" t="str">
        <x:v>EN4SP_006</x:v>
      </x:c>
      <x:c r="D997" s="47" t="str">
        <x:v>ORFS_F_SW_16_16</x:v>
      </x:c>
      <x:c r="E997" s="47" t="str">
        <x:v>EN4SP_4SP_006</x:v>
      </x:c>
      <x:c r="F997" s="47" t="str"/>
      <x:c r="G997" s="33" t="str"/>
      <x:c r="H997" s="50" t="str"/>
      <x:c r="I997" s="50" t="str"/>
      <x:c r="J997" s="50" t="str"/>
      <x:c r="K997" s="47" t="str"/>
      <x:c r="L997" s="50" t="str"/>
      <x:c r="M997" s="50" t="str"/>
      <x:c r="N997" s="47" t="str"/>
      <x:c r="O997" s="50" t="str"/>
      <x:c r="P997" s="64" t="str">
        <x:f>IF(O997="","",O997*2)</x:f>
      </x:c>
      <x:c r="Q997" s="50" t="str"/>
      <x:c r="R997" s="47" t="str"/>
      <x:c r="S997" s="33" t="str">
        <x:v>Not Tested</x:v>
      </x:c>
      <x:c r="T997" s="64" t="str">
        <x:v>Eligible</x:v>
      </x:c>
      <x:c r="U997" s="47" t="str"/>
      <x:c r="V997" s="47" t="str"/>
      <x:c r="W997" s="47" t="str"/>
      <x:c r="X997" s="50" t="str"/>
      <x:c r="Y997" s="50" t="str"/>
      <x:c r="Z997" s="47" t="str"/>
      <x:c r="AA997" s="47" t="str">
        <x:v>No direct published reference located; do not display a crimp value.</x:v>
      </x:c>
      <x:c r="AB997" s="161" t="str">
        <x:v>Pending</x:v>
      </x:c>
    </x:row>
    <x:row r="998" ht="42" customHeight="1">
      <x:c r="A998" s="33" t="str">
        <x:v>Draft</x:v>
      </x:c>
      <x:c r="B998" s="47" t="str">
        <x:v>COMP_0994</x:v>
      </x:c>
      <x:c r="C998" s="47" t="str">
        <x:v>EN4SP_006</x:v>
      </x:c>
      <x:c r="D998" s="47" t="str">
        <x:v>ORFS_F_SW_20_16</x:v>
      </x:c>
      <x:c r="E998" s="47" t="str">
        <x:v>EN4SP_4SP_006</x:v>
      </x:c>
      <x:c r="F998" s="47" t="str"/>
      <x:c r="G998" s="33" t="str"/>
      <x:c r="H998" s="50" t="str"/>
      <x:c r="I998" s="50" t="str"/>
      <x:c r="J998" s="50" t="str"/>
      <x:c r="K998" s="47" t="str"/>
      <x:c r="L998" s="50" t="str"/>
      <x:c r="M998" s="50" t="str"/>
      <x:c r="N998" s="47" t="str"/>
      <x:c r="O998" s="50" t="str"/>
      <x:c r="P998" s="64" t="str">
        <x:f>IF(O998="","",O998*2)</x:f>
      </x:c>
      <x:c r="Q998" s="50" t="str"/>
      <x:c r="R998" s="47" t="str"/>
      <x:c r="S998" s="33" t="str">
        <x:v>Not Tested</x:v>
      </x:c>
      <x:c r="T998" s="64" t="str">
        <x:v>Eligible</x:v>
      </x:c>
      <x:c r="U998" s="47" t="str"/>
      <x:c r="V998" s="47" t="str"/>
      <x:c r="W998" s="47" t="str"/>
      <x:c r="X998" s="50" t="str"/>
      <x:c r="Y998" s="50" t="str"/>
      <x:c r="Z998" s="47" t="str"/>
      <x:c r="AA998" s="47" t="str">
        <x:v>No direct published reference located; do not display a crimp value.</x:v>
      </x:c>
      <x:c r="AB998" s="161" t="str">
        <x:v>Pending</x:v>
      </x:c>
    </x:row>
    <x:row r="999" ht="42" customHeight="1">
      <x:c r="A999" s="33" t="str">
        <x:v>Draft</x:v>
      </x:c>
      <x:c r="B999" s="47" t="str">
        <x:v>COMP_0995</x:v>
      </x:c>
      <x:c r="C999" s="47" t="str">
        <x:v>EN4SP_006</x:v>
      </x:c>
      <x:c r="D999" s="47" t="str">
        <x:v>ORFS_M_FX_12_16</x:v>
      </x:c>
      <x:c r="E999" s="47" t="str">
        <x:v>EN4SP_4SP_006</x:v>
      </x:c>
      <x:c r="F999" s="47" t="str"/>
      <x:c r="G999" s="33" t="str"/>
      <x:c r="H999" s="50" t="str"/>
      <x:c r="I999" s="50" t="str"/>
      <x:c r="J999" s="50" t="str"/>
      <x:c r="K999" s="47" t="str"/>
      <x:c r="L999" s="50" t="str"/>
      <x:c r="M999" s="50" t="str"/>
      <x:c r="N999" s="47" t="str"/>
      <x:c r="O999" s="50" t="str"/>
      <x:c r="P999" s="64" t="str">
        <x:f>IF(O999="","",O999*2)</x:f>
      </x:c>
      <x:c r="Q999" s="50" t="str"/>
      <x:c r="R999" s="47" t="str"/>
      <x:c r="S999" s="33" t="str">
        <x:v>Not Tested</x:v>
      </x:c>
      <x:c r="T999" s="64" t="str">
        <x:v>Eligible</x:v>
      </x:c>
      <x:c r="U999" s="47" t="str"/>
      <x:c r="V999" s="47" t="str"/>
      <x:c r="W999" s="47" t="str"/>
      <x:c r="X999" s="50" t="str"/>
      <x:c r="Y999" s="50" t="str"/>
      <x:c r="Z999" s="47" t="str"/>
      <x:c r="AA999" s="47" t="str">
        <x:v>No direct published reference located; do not display a crimp value.</x:v>
      </x:c>
      <x:c r="AB999" s="161" t="str">
        <x:v>Pending</x:v>
      </x:c>
    </x:row>
    <x:row r="1000" ht="42" customHeight="1">
      <x:c r="A1000" s="33" t="str">
        <x:v>Draft</x:v>
      </x:c>
      <x:c r="B1000" s="47" t="str">
        <x:v>COMP_0996</x:v>
      </x:c>
      <x:c r="C1000" s="47" t="str">
        <x:v>EN4SP_006</x:v>
      </x:c>
      <x:c r="D1000" s="47" t="str">
        <x:v>ORFS_M_FX_16_16</x:v>
      </x:c>
      <x:c r="E1000" s="47" t="str">
        <x:v>EN4SP_4SP_006</x:v>
      </x:c>
      <x:c r="F1000" s="47" t="str"/>
      <x:c r="G1000" s="33" t="str"/>
      <x:c r="H1000" s="50" t="str"/>
      <x:c r="I1000" s="50" t="str"/>
      <x:c r="J1000" s="50" t="str"/>
      <x:c r="K1000" s="47" t="str"/>
      <x:c r="L1000" s="50" t="str"/>
      <x:c r="M1000" s="50" t="str"/>
      <x:c r="N1000" s="47" t="str"/>
      <x:c r="O1000" s="50" t="str"/>
      <x:c r="P1000" s="64" t="str">
        <x:f>IF(O1000="","",O1000*2)</x:f>
      </x:c>
      <x:c r="Q1000" s="50" t="str"/>
      <x:c r="R1000" s="47" t="str"/>
      <x:c r="S1000" s="33" t="str">
        <x:v>Not Tested</x:v>
      </x:c>
      <x:c r="T1000" s="64" t="str">
        <x:v>Eligible</x:v>
      </x:c>
      <x:c r="U1000" s="47" t="str"/>
      <x:c r="V1000" s="47" t="str"/>
      <x:c r="W1000" s="47" t="str"/>
      <x:c r="X1000" s="50" t="str"/>
      <x:c r="Y1000" s="50" t="str"/>
      <x:c r="Z1000" s="47" t="str"/>
      <x:c r="AA1000" s="47" t="str">
        <x:v>No direct published reference located; do not display a crimp value.</x:v>
      </x:c>
      <x:c r="AB1000" s="161" t="str">
        <x:v>Pending</x:v>
      </x:c>
    </x:row>
    <x:row r="1001" ht="42" customHeight="1">
      <x:c r="A1001" s="33" t="str">
        <x:v>Draft</x:v>
      </x:c>
      <x:c r="B1001" s="47" t="str">
        <x:v>COMP_0997</x:v>
      </x:c>
      <x:c r="C1001" s="47" t="str">
        <x:v>EN4SP_006</x:v>
      </x:c>
      <x:c r="D1001" s="47" t="str">
        <x:v>ORFS45_F_SW_16_16</x:v>
      </x:c>
      <x:c r="E1001" s="47" t="str">
        <x:v>EN4SP_4SP_006</x:v>
      </x:c>
      <x:c r="F1001" s="47" t="str"/>
      <x:c r="G1001" s="33" t="str"/>
      <x:c r="H1001" s="50" t="str"/>
      <x:c r="I1001" s="50" t="str"/>
      <x:c r="J1001" s="50" t="str"/>
      <x:c r="K1001" s="47" t="str"/>
      <x:c r="L1001" s="50" t="str"/>
      <x:c r="M1001" s="50" t="str"/>
      <x:c r="N1001" s="47" t="str"/>
      <x:c r="O1001" s="50" t="str"/>
      <x:c r="P1001" s="64" t="str">
        <x:f>IF(O1001="","",O1001*2)</x:f>
      </x:c>
      <x:c r="Q1001" s="50" t="str"/>
      <x:c r="R1001" s="47" t="str"/>
      <x:c r="S1001" s="33" t="str">
        <x:v>Not Tested</x:v>
      </x:c>
      <x:c r="T1001" s="64" t="str">
        <x:v>Eligible</x:v>
      </x:c>
      <x:c r="U1001" s="47" t="str"/>
      <x:c r="V1001" s="47" t="str"/>
      <x:c r="W1001" s="47" t="str"/>
      <x:c r="X1001" s="50" t="str"/>
      <x:c r="Y1001" s="50" t="str"/>
      <x:c r="Z1001" s="47" t="str"/>
      <x:c r="AA1001" s="47" t="str">
        <x:v>No direct published reference located; do not display a crimp value.</x:v>
      </x:c>
      <x:c r="AB1001" s="161" t="str">
        <x:v>Pending</x:v>
      </x:c>
    </x:row>
    <x:row r="1002" ht="42" customHeight="1">
      <x:c r="A1002" s="33" t="str">
        <x:v>Draft</x:v>
      </x:c>
      <x:c r="B1002" s="47" t="str">
        <x:v>COMP_0998</x:v>
      </x:c>
      <x:c r="C1002" s="47" t="str">
        <x:v>EN4SP_006</x:v>
      </x:c>
      <x:c r="D1002" s="47" t="str">
        <x:v>ORFS45_F_SW_20_16</x:v>
      </x:c>
      <x:c r="E1002" s="47" t="str">
        <x:v>EN4SP_4SP_006</x:v>
      </x:c>
      <x:c r="F1002" s="47" t="str"/>
      <x:c r="G1002" s="33" t="str"/>
      <x:c r="H1002" s="50" t="str"/>
      <x:c r="I1002" s="50" t="str"/>
      <x:c r="J1002" s="50" t="str"/>
      <x:c r="K1002" s="47" t="str"/>
      <x:c r="L1002" s="50" t="str"/>
      <x:c r="M1002" s="50" t="str"/>
      <x:c r="N1002" s="47" t="str"/>
      <x:c r="O1002" s="50" t="str"/>
      <x:c r="P1002" s="64" t="str">
        <x:f>IF(O1002="","",O1002*2)</x:f>
      </x:c>
      <x:c r="Q1002" s="50" t="str"/>
      <x:c r="R1002" s="47" t="str"/>
      <x:c r="S1002" s="33" t="str">
        <x:v>Not Tested</x:v>
      </x:c>
      <x:c r="T1002" s="64" t="str">
        <x:v>Eligible</x:v>
      </x:c>
      <x:c r="U1002" s="47" t="str"/>
      <x:c r="V1002" s="47" t="str"/>
      <x:c r="W1002" s="47" t="str"/>
      <x:c r="X1002" s="50" t="str"/>
      <x:c r="Y1002" s="50" t="str"/>
      <x:c r="Z1002" s="47" t="str"/>
      <x:c r="AA1002" s="47" t="str">
        <x:v>No direct published reference located; do not display a crimp value.</x:v>
      </x:c>
      <x:c r="AB1002" s="161" t="str">
        <x:v>Pending</x:v>
      </x:c>
    </x:row>
    <x:row r="1003" ht="42" customHeight="1">
      <x:c r="A1003" s="33" t="str">
        <x:v>Draft</x:v>
      </x:c>
      <x:c r="B1003" s="47" t="str">
        <x:v>COMP_0999</x:v>
      </x:c>
      <x:c r="C1003" s="47" t="str">
        <x:v>EN4SP_006</x:v>
      </x:c>
      <x:c r="D1003" s="47" t="str">
        <x:v>ORFS90_F_SW_16_16</x:v>
      </x:c>
      <x:c r="E1003" s="47" t="str">
        <x:v>EN4SP_4SP_006</x:v>
      </x:c>
      <x:c r="F1003" s="47" t="str"/>
      <x:c r="G1003" s="33" t="str"/>
      <x:c r="H1003" s="50" t="str"/>
      <x:c r="I1003" s="50" t="str"/>
      <x:c r="J1003" s="50" t="str"/>
      <x:c r="K1003" s="47" t="str"/>
      <x:c r="L1003" s="50" t="str"/>
      <x:c r="M1003" s="50" t="str"/>
      <x:c r="N1003" s="47" t="str"/>
      <x:c r="O1003" s="50" t="str"/>
      <x:c r="P1003" s="64" t="str">
        <x:f>IF(O1003="","",O1003*2)</x:f>
      </x:c>
      <x:c r="Q1003" s="50" t="str"/>
      <x:c r="R1003" s="47" t="str"/>
      <x:c r="S1003" s="33" t="str">
        <x:v>Not Tested</x:v>
      </x:c>
      <x:c r="T1003" s="64" t="str">
        <x:v>Eligible</x:v>
      </x:c>
      <x:c r="U1003" s="47" t="str"/>
      <x:c r="V1003" s="47" t="str"/>
      <x:c r="W1003" s="47" t="str"/>
      <x:c r="X1003" s="50" t="str"/>
      <x:c r="Y1003" s="50" t="str"/>
      <x:c r="Z1003" s="47" t="str"/>
      <x:c r="AA1003" s="47" t="str">
        <x:v>No direct published reference located; do not display a crimp value.</x:v>
      </x:c>
      <x:c r="AB1003" s="161" t="str">
        <x:v>Pending</x:v>
      </x:c>
    </x:row>
    <x:row r="1004" ht="42" customHeight="1">
      <x:c r="A1004" s="33" t="str">
        <x:v>Draft</x:v>
      </x:c>
      <x:c r="B1004" s="47" t="str">
        <x:v>COMP_1000</x:v>
      </x:c>
      <x:c r="C1004" s="47" t="str">
        <x:v>EN4SP_006</x:v>
      </x:c>
      <x:c r="D1004" s="47" t="str">
        <x:v>ORFS90_F_SW_20_16</x:v>
      </x:c>
      <x:c r="E1004" s="47" t="str">
        <x:v>EN4SP_4SP_006</x:v>
      </x:c>
      <x:c r="F1004" s="47" t="str"/>
      <x:c r="G1004" s="33" t="str"/>
      <x:c r="H1004" s="50" t="str"/>
      <x:c r="I1004" s="50" t="str"/>
      <x:c r="J1004" s="50" t="str"/>
      <x:c r="K1004" s="47" t="str"/>
      <x:c r="L1004" s="50" t="str"/>
      <x:c r="M1004" s="50" t="str"/>
      <x:c r="N1004" s="47" t="str"/>
      <x:c r="O1004" s="50" t="str"/>
      <x:c r="P1004" s="64" t="str">
        <x:f>IF(O1004="","",O1004*2)</x:f>
      </x:c>
      <x:c r="Q1004" s="50" t="str"/>
      <x:c r="R1004" s="47" t="str"/>
      <x:c r="S1004" s="33" t="str">
        <x:v>Not Tested</x:v>
      </x:c>
      <x:c r="T1004" s="64" t="str">
        <x:v>Eligible</x:v>
      </x:c>
      <x:c r="U1004" s="47" t="str"/>
      <x:c r="V1004" s="47" t="str"/>
      <x:c r="W1004" s="47" t="str"/>
      <x:c r="X1004" s="50" t="str"/>
      <x:c r="Y1004" s="50" t="str"/>
      <x:c r="Z1004" s="47" t="str"/>
      <x:c r="AA1004" s="47" t="str">
        <x:v>No direct published reference located; do not display a crimp value.</x:v>
      </x:c>
      <x:c r="AB1004" s="161" t="str">
        <x:v>Pending</x:v>
      </x:c>
    </x:row>
    <x:row r="1005" ht="42" customHeight="1">
      <x:c r="A1005" s="33" t="str">
        <x:v>Draft</x:v>
      </x:c>
      <x:c r="B1005" s="47" t="str">
        <x:v>COMP_1001</x:v>
      </x:c>
      <x:c r="C1005" s="47" t="str">
        <x:v>EN4SH_001</x:v>
      </x:c>
      <x:c r="D1005" s="47" t="str">
        <x:v>BSPP_F_SW_10_10</x:v>
      </x:c>
      <x:c r="E1005" s="47" t="str">
        <x:v>EN4SH_4SH_001</x:v>
      </x:c>
      <x:c r="F1005" s="47" t="str"/>
      <x:c r="G1005" s="33" t="str"/>
      <x:c r="H1005" s="50" t="str"/>
      <x:c r="I1005" s="50" t="str"/>
      <x:c r="J1005" s="50" t="str"/>
      <x:c r="K1005" s="47" t="str"/>
      <x:c r="L1005" s="50" t="str"/>
      <x:c r="M1005" s="50" t="str"/>
      <x:c r="N1005" s="47" t="str"/>
      <x:c r="O1005" s="50" t="str"/>
      <x:c r="P1005" s="64" t="str">
        <x:f>IF(O1005="","",O1005*2)</x:f>
      </x:c>
      <x:c r="Q1005" s="50" t="str"/>
      <x:c r="R1005" s="47" t="str"/>
      <x:c r="S1005" s="33" t="str">
        <x:v>Not Tested</x:v>
      </x:c>
      <x:c r="T1005" s="64" t="str">
        <x:v>Eligible</x:v>
      </x:c>
      <x:c r="U1005" s="47" t="str"/>
      <x:c r="V1005" s="47" t="str"/>
      <x:c r="W1005" s="47" t="str"/>
      <x:c r="X1005" s="50" t="str"/>
      <x:c r="Y1005" s="50" t="str"/>
      <x:c r="Z1005" s="47" t="str"/>
      <x:c r="AA1005" s="47" t="str">
        <x:v>No direct published reference located; do not display a crimp value.</x:v>
      </x:c>
      <x:c r="AB1005" s="161" t="str">
        <x:v>Pending</x:v>
      </x:c>
    </x:row>
    <x:row r="1006" ht="42" customHeight="1">
      <x:c r="A1006" s="33" t="str">
        <x:v>Draft</x:v>
      </x:c>
      <x:c r="B1006" s="47" t="str">
        <x:v>COMP_1002</x:v>
      </x:c>
      <x:c r="C1006" s="47" t="str">
        <x:v>EN4SH_001</x:v>
      </x:c>
      <x:c r="D1006" s="47" t="str">
        <x:v>BSPP45_F_SW_10_10</x:v>
      </x:c>
      <x:c r="E1006" s="47" t="str">
        <x:v>EN4SH_4SH_001</x:v>
      </x:c>
      <x:c r="F1006" s="47" t="str"/>
      <x:c r="G1006" s="33" t="str"/>
      <x:c r="H1006" s="50" t="str"/>
      <x:c r="I1006" s="50" t="str"/>
      <x:c r="J1006" s="50" t="str"/>
      <x:c r="K1006" s="47" t="str"/>
      <x:c r="L1006" s="50" t="str"/>
      <x:c r="M1006" s="50" t="str"/>
      <x:c r="N1006" s="47" t="str"/>
      <x:c r="O1006" s="50" t="str"/>
      <x:c r="P1006" s="64" t="str">
        <x:f>IF(O1006="","",O1006*2)</x:f>
      </x:c>
      <x:c r="Q1006" s="50" t="str"/>
      <x:c r="R1006" s="47" t="str"/>
      <x:c r="S1006" s="33" t="str">
        <x:v>Not Tested</x:v>
      </x:c>
      <x:c r="T1006" s="64" t="str">
        <x:v>Eligible</x:v>
      </x:c>
      <x:c r="U1006" s="47" t="str"/>
      <x:c r="V1006" s="47" t="str"/>
      <x:c r="W1006" s="47" t="str"/>
      <x:c r="X1006" s="50" t="str"/>
      <x:c r="Y1006" s="50" t="str"/>
      <x:c r="Z1006" s="47" t="str"/>
      <x:c r="AA1006" s="47" t="str">
        <x:v>No direct published reference located; do not display a crimp value.</x:v>
      </x:c>
      <x:c r="AB1006" s="161" t="str">
        <x:v>Pending</x:v>
      </x:c>
    </x:row>
    <x:row r="1007" ht="42" customHeight="1">
      <x:c r="A1007" s="33" t="str">
        <x:v>Draft</x:v>
      </x:c>
      <x:c r="B1007" s="47" t="str">
        <x:v>COMP_1003</x:v>
      </x:c>
      <x:c r="C1007" s="47" t="str">
        <x:v>EN4SH_001</x:v>
      </x:c>
      <x:c r="D1007" s="47" t="str">
        <x:v>BSPP90_F_SW_10_10</x:v>
      </x:c>
      <x:c r="E1007" s="47" t="str">
        <x:v>EN4SH_4SH_001</x:v>
      </x:c>
      <x:c r="F1007" s="47" t="str"/>
      <x:c r="G1007" s="33" t="str"/>
      <x:c r="H1007" s="50" t="str"/>
      <x:c r="I1007" s="50" t="str"/>
      <x:c r="J1007" s="50" t="str"/>
      <x:c r="K1007" s="47" t="str"/>
      <x:c r="L1007" s="50" t="str"/>
      <x:c r="M1007" s="50" t="str"/>
      <x:c r="N1007" s="47" t="str"/>
      <x:c r="O1007" s="50" t="str"/>
      <x:c r="P1007" s="64" t="str">
        <x:f>IF(O1007="","",O1007*2)</x:f>
      </x:c>
      <x:c r="Q1007" s="50" t="str"/>
      <x:c r="R1007" s="47" t="str"/>
      <x:c r="S1007" s="33" t="str">
        <x:v>Not Tested</x:v>
      </x:c>
      <x:c r="T1007" s="64" t="str">
        <x:v>Eligible</x:v>
      </x:c>
      <x:c r="U1007" s="47" t="str"/>
      <x:c r="V1007" s="47" t="str"/>
      <x:c r="W1007" s="47" t="str"/>
      <x:c r="X1007" s="50" t="str"/>
      <x:c r="Y1007" s="50" t="str"/>
      <x:c r="Z1007" s="47" t="str"/>
      <x:c r="AA1007" s="47" t="str">
        <x:v>No direct published reference located; do not display a crimp value.</x:v>
      </x:c>
      <x:c r="AB1007" s="161" t="str">
        <x:v>Pending</x:v>
      </x:c>
    </x:row>
    <x:row r="1008" ht="42" customHeight="1">
      <x:c r="A1008" s="33" t="str">
        <x:v>Draft</x:v>
      </x:c>
      <x:c r="B1008" s="47" t="str">
        <x:v>COMP_1004</x:v>
      </x:c>
      <x:c r="C1008" s="47" t="str">
        <x:v>EN4SH_001</x:v>
      </x:c>
      <x:c r="D1008" s="47" t="str">
        <x:v>JIC_F_SW_08_10</x:v>
      </x:c>
      <x:c r="E1008" s="47" t="str">
        <x:v>EN4SH_4SH_001</x:v>
      </x:c>
      <x:c r="F1008" s="47" t="str"/>
      <x:c r="G1008" s="33" t="str"/>
      <x:c r="H1008" s="50" t="str"/>
      <x:c r="I1008" s="50" t="str"/>
      <x:c r="J1008" s="50" t="str"/>
      <x:c r="K1008" s="47" t="str"/>
      <x:c r="L1008" s="50" t="str"/>
      <x:c r="M1008" s="50" t="str"/>
      <x:c r="N1008" s="47" t="str"/>
      <x:c r="O1008" s="50" t="str"/>
      <x:c r="P1008" s="64" t="str">
        <x:f>IF(O1008="","",O1008*2)</x:f>
      </x:c>
      <x:c r="Q1008" s="50" t="str"/>
      <x:c r="R1008" s="47" t="str"/>
      <x:c r="S1008" s="33" t="str">
        <x:v>Not Tested</x:v>
      </x:c>
      <x:c r="T1008" s="64" t="str">
        <x:v>Eligible</x:v>
      </x:c>
      <x:c r="U1008" s="47" t="str"/>
      <x:c r="V1008" s="47" t="str"/>
      <x:c r="W1008" s="47" t="str"/>
      <x:c r="X1008" s="50" t="str"/>
      <x:c r="Y1008" s="50" t="str"/>
      <x:c r="Z1008" s="47" t="str"/>
      <x:c r="AA1008" s="47" t="str">
        <x:v>No direct published reference located; do not display a crimp value.</x:v>
      </x:c>
      <x:c r="AB1008" s="161" t="str">
        <x:v>Pending</x:v>
      </x:c>
    </x:row>
    <x:row r="1009" ht="42" customHeight="1">
      <x:c r="A1009" s="33" t="str">
        <x:v>Draft</x:v>
      </x:c>
      <x:c r="B1009" s="47" t="str">
        <x:v>COMP_1005</x:v>
      </x:c>
      <x:c r="C1009" s="47" t="str">
        <x:v>EN4SH_001</x:v>
      </x:c>
      <x:c r="D1009" s="47" t="str">
        <x:v>JIC_F_SW_10_10</x:v>
      </x:c>
      <x:c r="E1009" s="47" t="str">
        <x:v>EN4SH_4SH_001</x:v>
      </x:c>
      <x:c r="F1009" s="47" t="str"/>
      <x:c r="G1009" s="33" t="str"/>
      <x:c r="H1009" s="50" t="str"/>
      <x:c r="I1009" s="50" t="str"/>
      <x:c r="J1009" s="50" t="str"/>
      <x:c r="K1009" s="47" t="str"/>
      <x:c r="L1009" s="50" t="str"/>
      <x:c r="M1009" s="50" t="str"/>
      <x:c r="N1009" s="47" t="str"/>
      <x:c r="O1009" s="50" t="str"/>
      <x:c r="P1009" s="64" t="str">
        <x:f>IF(O1009="","",O1009*2)</x:f>
      </x:c>
      <x:c r="Q1009" s="50" t="str"/>
      <x:c r="R1009" s="47" t="str"/>
      <x:c r="S1009" s="33" t="str">
        <x:v>Not Tested</x:v>
      </x:c>
      <x:c r="T1009" s="64" t="str">
        <x:v>Eligible</x:v>
      </x:c>
      <x:c r="U1009" s="47" t="str"/>
      <x:c r="V1009" s="47" t="str"/>
      <x:c r="W1009" s="47" t="str"/>
      <x:c r="X1009" s="50" t="str"/>
      <x:c r="Y1009" s="50" t="str"/>
      <x:c r="Z1009" s="47" t="str"/>
      <x:c r="AA1009" s="47" t="str">
        <x:v>No direct published reference located; do not display a crimp value.</x:v>
      </x:c>
      <x:c r="AB1009" s="161" t="str">
        <x:v>Pending</x:v>
      </x:c>
    </x:row>
    <x:row r="1010" ht="42" customHeight="1">
      <x:c r="A1010" s="33" t="str">
        <x:v>Draft</x:v>
      </x:c>
      <x:c r="B1010" s="47" t="str">
        <x:v>COMP_1006</x:v>
      </x:c>
      <x:c r="C1010" s="47" t="str">
        <x:v>EN4SH_001</x:v>
      </x:c>
      <x:c r="D1010" s="47" t="str">
        <x:v>JIC_F_SW_12_10</x:v>
      </x:c>
      <x:c r="E1010" s="47" t="str">
        <x:v>EN4SH_4SH_001</x:v>
      </x:c>
      <x:c r="F1010" s="47" t="str"/>
      <x:c r="G1010" s="33" t="str"/>
      <x:c r="H1010" s="50" t="str"/>
      <x:c r="I1010" s="50" t="str"/>
      <x:c r="J1010" s="50" t="str"/>
      <x:c r="K1010" s="47" t="str"/>
      <x:c r="L1010" s="50" t="str"/>
      <x:c r="M1010" s="50" t="str"/>
      <x:c r="N1010" s="47" t="str"/>
      <x:c r="O1010" s="50" t="str"/>
      <x:c r="P1010" s="64" t="str">
        <x:f>IF(O1010="","",O1010*2)</x:f>
      </x:c>
      <x:c r="Q1010" s="50" t="str"/>
      <x:c r="R1010" s="47" t="str"/>
      <x:c r="S1010" s="33" t="str">
        <x:v>Not Tested</x:v>
      </x:c>
      <x:c r="T1010" s="64" t="str">
        <x:v>Eligible</x:v>
      </x:c>
      <x:c r="U1010" s="47" t="str"/>
      <x:c r="V1010" s="47" t="str"/>
      <x:c r="W1010" s="47" t="str"/>
      <x:c r="X1010" s="50" t="str"/>
      <x:c r="Y1010" s="50" t="str"/>
      <x:c r="Z1010" s="47" t="str"/>
      <x:c r="AA1010" s="47" t="str">
        <x:v>No direct published reference located; do not display a crimp value.</x:v>
      </x:c>
      <x:c r="AB1010" s="161" t="str">
        <x:v>Pending</x:v>
      </x:c>
    </x:row>
    <x:row r="1011" ht="42" customHeight="1">
      <x:c r="A1011" s="33" t="str">
        <x:v>Draft</x:v>
      </x:c>
      <x:c r="B1011" s="47" t="str">
        <x:v>COMP_1007</x:v>
      </x:c>
      <x:c r="C1011" s="47" t="str">
        <x:v>EN4SH_001</x:v>
      </x:c>
      <x:c r="D1011" s="47" t="str">
        <x:v>JIC_M_FX_10_10</x:v>
      </x:c>
      <x:c r="E1011" s="47" t="str">
        <x:v>EN4SH_4SH_001</x:v>
      </x:c>
      <x:c r="F1011" s="47" t="str"/>
      <x:c r="G1011" s="33" t="str"/>
      <x:c r="H1011" s="50" t="str"/>
      <x:c r="I1011" s="50" t="str"/>
      <x:c r="J1011" s="50" t="str"/>
      <x:c r="K1011" s="47" t="str"/>
      <x:c r="L1011" s="50" t="str"/>
      <x:c r="M1011" s="50" t="str"/>
      <x:c r="N1011" s="47" t="str"/>
      <x:c r="O1011" s="50" t="str"/>
      <x:c r="P1011" s="64" t="str">
        <x:f>IF(O1011="","",O1011*2)</x:f>
      </x:c>
      <x:c r="Q1011" s="50" t="str"/>
      <x:c r="R1011" s="47" t="str"/>
      <x:c r="S1011" s="33" t="str">
        <x:v>Not Tested</x:v>
      </x:c>
      <x:c r="T1011" s="64" t="str">
        <x:v>Eligible</x:v>
      </x:c>
      <x:c r="U1011" s="47" t="str"/>
      <x:c r="V1011" s="47" t="str"/>
      <x:c r="W1011" s="47" t="str"/>
      <x:c r="X1011" s="50" t="str"/>
      <x:c r="Y1011" s="50" t="str"/>
      <x:c r="Z1011" s="47" t="str"/>
      <x:c r="AA1011" s="47" t="str">
        <x:v>No direct published reference located; do not display a crimp value.</x:v>
      </x:c>
      <x:c r="AB1011" s="161" t="str">
        <x:v>Pending</x:v>
      </x:c>
    </x:row>
    <x:row r="1012" ht="42" customHeight="1">
      <x:c r="A1012" s="33" t="str">
        <x:v>Draft</x:v>
      </x:c>
      <x:c r="B1012" s="47" t="str">
        <x:v>COMP_1008</x:v>
      </x:c>
      <x:c r="C1012" s="47" t="str">
        <x:v>EN4SH_001</x:v>
      </x:c>
      <x:c r="D1012" s="47" t="str">
        <x:v>JIC45_F_SW_10_10</x:v>
      </x:c>
      <x:c r="E1012" s="47" t="str">
        <x:v>EN4SH_4SH_001</x:v>
      </x:c>
      <x:c r="F1012" s="47" t="str"/>
      <x:c r="G1012" s="33" t="str"/>
      <x:c r="H1012" s="50" t="str"/>
      <x:c r="I1012" s="50" t="str"/>
      <x:c r="J1012" s="50" t="str"/>
      <x:c r="K1012" s="47" t="str"/>
      <x:c r="L1012" s="50" t="str"/>
      <x:c r="M1012" s="50" t="str"/>
      <x:c r="N1012" s="47" t="str"/>
      <x:c r="O1012" s="50" t="str"/>
      <x:c r="P1012" s="64" t="str">
        <x:f>IF(O1012="","",O1012*2)</x:f>
      </x:c>
      <x:c r="Q1012" s="50" t="str"/>
      <x:c r="R1012" s="47" t="str"/>
      <x:c r="S1012" s="33" t="str">
        <x:v>Not Tested</x:v>
      </x:c>
      <x:c r="T1012" s="64" t="str">
        <x:v>Eligible</x:v>
      </x:c>
      <x:c r="U1012" s="47" t="str"/>
      <x:c r="V1012" s="47" t="str"/>
      <x:c r="W1012" s="47" t="str"/>
      <x:c r="X1012" s="50" t="str"/>
      <x:c r="Y1012" s="50" t="str"/>
      <x:c r="Z1012" s="47" t="str"/>
      <x:c r="AA1012" s="47" t="str">
        <x:v>No direct published reference located; do not display a crimp value.</x:v>
      </x:c>
      <x:c r="AB1012" s="161" t="str">
        <x:v>Pending</x:v>
      </x:c>
    </x:row>
    <x:row r="1013" ht="42" customHeight="1">
      <x:c r="A1013" s="33" t="str">
        <x:v>Draft</x:v>
      </x:c>
      <x:c r="B1013" s="47" t="str">
        <x:v>COMP_1009</x:v>
      </x:c>
      <x:c r="C1013" s="47" t="str">
        <x:v>EN4SH_001</x:v>
      </x:c>
      <x:c r="D1013" s="47" t="str">
        <x:v>JIC45_F_SW_12_10</x:v>
      </x:c>
      <x:c r="E1013" s="47" t="str">
        <x:v>EN4SH_4SH_001</x:v>
      </x:c>
      <x:c r="F1013" s="47" t="str"/>
      <x:c r="G1013" s="33" t="str"/>
      <x:c r="H1013" s="50" t="str"/>
      <x:c r="I1013" s="50" t="str"/>
      <x:c r="J1013" s="50" t="str"/>
      <x:c r="K1013" s="47" t="str"/>
      <x:c r="L1013" s="50" t="str"/>
      <x:c r="M1013" s="50" t="str"/>
      <x:c r="N1013" s="47" t="str"/>
      <x:c r="O1013" s="50" t="str"/>
      <x:c r="P1013" s="64" t="str">
        <x:f>IF(O1013="","",O1013*2)</x:f>
      </x:c>
      <x:c r="Q1013" s="50" t="str"/>
      <x:c r="R1013" s="47" t="str"/>
      <x:c r="S1013" s="33" t="str">
        <x:v>Not Tested</x:v>
      </x:c>
      <x:c r="T1013" s="64" t="str">
        <x:v>Eligible</x:v>
      </x:c>
      <x:c r="U1013" s="47" t="str"/>
      <x:c r="V1013" s="47" t="str"/>
      <x:c r="W1013" s="47" t="str"/>
      <x:c r="X1013" s="50" t="str"/>
      <x:c r="Y1013" s="50" t="str"/>
      <x:c r="Z1013" s="47" t="str"/>
      <x:c r="AA1013" s="47" t="str">
        <x:v>No direct published reference located; do not display a crimp value.</x:v>
      </x:c>
      <x:c r="AB1013" s="161" t="str">
        <x:v>Pending</x:v>
      </x:c>
    </x:row>
    <x:row r="1014" ht="42" customHeight="1">
      <x:c r="A1014" s="33" t="str">
        <x:v>Draft</x:v>
      </x:c>
      <x:c r="B1014" s="47" t="str">
        <x:v>COMP_1010</x:v>
      </x:c>
      <x:c r="C1014" s="47" t="str">
        <x:v>EN4SH_001</x:v>
      </x:c>
      <x:c r="D1014" s="47" t="str">
        <x:v>JIC90_F_SW_10_10</x:v>
      </x:c>
      <x:c r="E1014" s="47" t="str">
        <x:v>EN4SH_4SH_001</x:v>
      </x:c>
      <x:c r="F1014" s="47" t="str"/>
      <x:c r="G1014" s="33" t="str"/>
      <x:c r="H1014" s="50" t="str"/>
      <x:c r="I1014" s="50" t="str"/>
      <x:c r="J1014" s="50" t="str"/>
      <x:c r="K1014" s="47" t="str"/>
      <x:c r="L1014" s="50" t="str"/>
      <x:c r="M1014" s="50" t="str"/>
      <x:c r="N1014" s="47" t="str"/>
      <x:c r="O1014" s="50" t="str"/>
      <x:c r="P1014" s="64" t="str">
        <x:f>IF(O1014="","",O1014*2)</x:f>
      </x:c>
      <x:c r="Q1014" s="50" t="str"/>
      <x:c r="R1014" s="47" t="str"/>
      <x:c r="S1014" s="33" t="str">
        <x:v>Not Tested</x:v>
      </x:c>
      <x:c r="T1014" s="64" t="str">
        <x:v>Eligible</x:v>
      </x:c>
      <x:c r="U1014" s="47" t="str"/>
      <x:c r="V1014" s="47" t="str"/>
      <x:c r="W1014" s="47" t="str"/>
      <x:c r="X1014" s="50" t="str"/>
      <x:c r="Y1014" s="50" t="str"/>
      <x:c r="Z1014" s="47" t="str"/>
      <x:c r="AA1014" s="47" t="str">
        <x:v>No direct published reference located; do not display a crimp value.</x:v>
      </x:c>
      <x:c r="AB1014" s="161" t="str">
        <x:v>Pending</x:v>
      </x:c>
    </x:row>
    <x:row r="1015" ht="42" customHeight="1">
      <x:c r="A1015" s="33" t="str">
        <x:v>Draft</x:v>
      </x:c>
      <x:c r="B1015" s="47" t="str">
        <x:v>COMP_1011</x:v>
      </x:c>
      <x:c r="C1015" s="47" t="str">
        <x:v>EN4SH_001</x:v>
      </x:c>
      <x:c r="D1015" s="47" t="str">
        <x:v>JIC90_F_SW_12_10</x:v>
      </x:c>
      <x:c r="E1015" s="47" t="str">
        <x:v>EN4SH_4SH_001</x:v>
      </x:c>
      <x:c r="F1015" s="47" t="str"/>
      <x:c r="G1015" s="33" t="str"/>
      <x:c r="H1015" s="50" t="str"/>
      <x:c r="I1015" s="50" t="str"/>
      <x:c r="J1015" s="50" t="str"/>
      <x:c r="K1015" s="47" t="str"/>
      <x:c r="L1015" s="50" t="str"/>
      <x:c r="M1015" s="50" t="str"/>
      <x:c r="N1015" s="47" t="str"/>
      <x:c r="O1015" s="50" t="str"/>
      <x:c r="P1015" s="64" t="str">
        <x:f>IF(O1015="","",O1015*2)</x:f>
      </x:c>
      <x:c r="Q1015" s="50" t="str"/>
      <x:c r="R1015" s="47" t="str"/>
      <x:c r="S1015" s="33" t="str">
        <x:v>Not Tested</x:v>
      </x:c>
      <x:c r="T1015" s="64" t="str">
        <x:v>Eligible</x:v>
      </x:c>
      <x:c r="U1015" s="47" t="str"/>
      <x:c r="V1015" s="47" t="str"/>
      <x:c r="W1015" s="47" t="str"/>
      <x:c r="X1015" s="50" t="str"/>
      <x:c r="Y1015" s="50" t="str"/>
      <x:c r="Z1015" s="47" t="str"/>
      <x:c r="AA1015" s="47" t="str">
        <x:v>No direct published reference located; do not display a crimp value.</x:v>
      </x:c>
      <x:c r="AB1015" s="161" t="str">
        <x:v>Pending</x:v>
      </x:c>
    </x:row>
    <x:row r="1016" ht="42" customHeight="1">
      <x:c r="A1016" s="33" t="str">
        <x:v>Draft</x:v>
      </x:c>
      <x:c r="B1016" s="47" t="str">
        <x:v>COMP_1012</x:v>
      </x:c>
      <x:c r="C1016" s="47" t="str">
        <x:v>EN4SH_001</x:v>
      </x:c>
      <x:c r="D1016" s="47" t="str">
        <x:v>NPT_M_FX_06_10</x:v>
      </x:c>
      <x:c r="E1016" s="47" t="str">
        <x:v>EN4SH_4SH_001</x:v>
      </x:c>
      <x:c r="F1016" s="47" t="str"/>
      <x:c r="G1016" s="33" t="str"/>
      <x:c r="H1016" s="50" t="str"/>
      <x:c r="I1016" s="50" t="str"/>
      <x:c r="J1016" s="50" t="str"/>
      <x:c r="K1016" s="47" t="str"/>
      <x:c r="L1016" s="50" t="str"/>
      <x:c r="M1016" s="50" t="str"/>
      <x:c r="N1016" s="47" t="str"/>
      <x:c r="O1016" s="50" t="str"/>
      <x:c r="P1016" s="64" t="str">
        <x:f>IF(O1016="","",O1016*2)</x:f>
      </x:c>
      <x:c r="Q1016" s="50" t="str"/>
      <x:c r="R1016" s="47" t="str"/>
      <x:c r="S1016" s="33" t="str">
        <x:v>Not Tested</x:v>
      </x:c>
      <x:c r="T1016" s="64" t="str">
        <x:v>Eligible</x:v>
      </x:c>
      <x:c r="U1016" s="47" t="str"/>
      <x:c r="V1016" s="47" t="str"/>
      <x:c r="W1016" s="47" t="str"/>
      <x:c r="X1016" s="50" t="str"/>
      <x:c r="Y1016" s="50" t="str"/>
      <x:c r="Z1016" s="47" t="str"/>
      <x:c r="AA1016" s="47" t="str">
        <x:v>No direct published reference located; do not display a crimp value.</x:v>
      </x:c>
      <x:c r="AB1016" s="161" t="str">
        <x:v>Pending</x:v>
      </x:c>
    </x:row>
    <x:row r="1017" ht="42" customHeight="1">
      <x:c r="A1017" s="33" t="str">
        <x:v>Draft</x:v>
      </x:c>
      <x:c r="B1017" s="47" t="str">
        <x:v>COMP_1013</x:v>
      </x:c>
      <x:c r="C1017" s="47" t="str">
        <x:v>EN4SH_001</x:v>
      </x:c>
      <x:c r="D1017" s="47" t="str">
        <x:v>NPT_M_FX_08_10</x:v>
      </x:c>
      <x:c r="E1017" s="47" t="str">
        <x:v>EN4SH_4SH_001</x:v>
      </x:c>
      <x:c r="F1017" s="47" t="str"/>
      <x:c r="G1017" s="33" t="str"/>
      <x:c r="H1017" s="50" t="str"/>
      <x:c r="I1017" s="50" t="str"/>
      <x:c r="J1017" s="50" t="str"/>
      <x:c r="K1017" s="47" t="str"/>
      <x:c r="L1017" s="50" t="str"/>
      <x:c r="M1017" s="50" t="str"/>
      <x:c r="N1017" s="47" t="str"/>
      <x:c r="O1017" s="50" t="str"/>
      <x:c r="P1017" s="64" t="str">
        <x:f>IF(O1017="","",O1017*2)</x:f>
      </x:c>
      <x:c r="Q1017" s="50" t="str"/>
      <x:c r="R1017" s="47" t="str"/>
      <x:c r="S1017" s="33" t="str">
        <x:v>Not Tested</x:v>
      </x:c>
      <x:c r="T1017" s="64" t="str">
        <x:v>Eligible</x:v>
      </x:c>
      <x:c r="U1017" s="47" t="str"/>
      <x:c r="V1017" s="47" t="str"/>
      <x:c r="W1017" s="47" t="str"/>
      <x:c r="X1017" s="50" t="str"/>
      <x:c r="Y1017" s="50" t="str"/>
      <x:c r="Z1017" s="47" t="str"/>
      <x:c r="AA1017" s="47" t="str">
        <x:v>No direct published reference located; do not display a crimp value.</x:v>
      </x:c>
      <x:c r="AB1017" s="161" t="str">
        <x:v>Pending</x:v>
      </x:c>
    </x:row>
    <x:row r="1018" ht="42" customHeight="1">
      <x:c r="A1018" s="33" t="str">
        <x:v>Draft</x:v>
      </x:c>
      <x:c r="B1018" s="47" t="str">
        <x:v>COMP_1014</x:v>
      </x:c>
      <x:c r="C1018" s="47" t="str">
        <x:v>EN4SH_001</x:v>
      </x:c>
      <x:c r="D1018" s="47" t="str">
        <x:v>NPT_M_FX_12_10</x:v>
      </x:c>
      <x:c r="E1018" s="47" t="str">
        <x:v>EN4SH_4SH_001</x:v>
      </x:c>
      <x:c r="F1018" s="47" t="str"/>
      <x:c r="G1018" s="33" t="str"/>
      <x:c r="H1018" s="50" t="str"/>
      <x:c r="I1018" s="50" t="str"/>
      <x:c r="J1018" s="50" t="str"/>
      <x:c r="K1018" s="47" t="str"/>
      <x:c r="L1018" s="50" t="str"/>
      <x:c r="M1018" s="50" t="str"/>
      <x:c r="N1018" s="47" t="str"/>
      <x:c r="O1018" s="50" t="str"/>
      <x:c r="P1018" s="64" t="str">
        <x:f>IF(O1018="","",O1018*2)</x:f>
      </x:c>
      <x:c r="Q1018" s="50" t="str"/>
      <x:c r="R1018" s="47" t="str"/>
      <x:c r="S1018" s="33" t="str">
        <x:v>Not Tested</x:v>
      </x:c>
      <x:c r="T1018" s="64" t="str">
        <x:v>Eligible</x:v>
      </x:c>
      <x:c r="U1018" s="47" t="str"/>
      <x:c r="V1018" s="47" t="str"/>
      <x:c r="W1018" s="47" t="str"/>
      <x:c r="X1018" s="50" t="str"/>
      <x:c r="Y1018" s="50" t="str"/>
      <x:c r="Z1018" s="47" t="str"/>
      <x:c r="AA1018" s="47" t="str">
        <x:v>No direct published reference located; do not display a crimp value.</x:v>
      </x:c>
      <x:c r="AB1018" s="161" t="str">
        <x:v>Pending</x:v>
      </x:c>
    </x:row>
    <x:row r="1019" ht="42" customHeight="1">
      <x:c r="A1019" s="33" t="str">
        <x:v>Draft</x:v>
      </x:c>
      <x:c r="B1019" s="47" t="str">
        <x:v>COMP_1015</x:v>
      </x:c>
      <x:c r="C1019" s="47" t="str">
        <x:v>EN4SH_001</x:v>
      </x:c>
      <x:c r="D1019" s="47" t="str">
        <x:v>ORFS_F_SW_08_10</x:v>
      </x:c>
      <x:c r="E1019" s="47" t="str">
        <x:v>EN4SH_4SH_001</x:v>
      </x:c>
      <x:c r="F1019" s="47" t="str"/>
      <x:c r="G1019" s="33" t="str"/>
      <x:c r="H1019" s="50" t="str"/>
      <x:c r="I1019" s="50" t="str"/>
      <x:c r="J1019" s="50" t="str"/>
      <x:c r="K1019" s="47" t="str"/>
      <x:c r="L1019" s="50" t="str"/>
      <x:c r="M1019" s="50" t="str"/>
      <x:c r="N1019" s="47" t="str"/>
      <x:c r="O1019" s="50" t="str"/>
      <x:c r="P1019" s="64" t="str">
        <x:f>IF(O1019="","",O1019*2)</x:f>
      </x:c>
      <x:c r="Q1019" s="50" t="str"/>
      <x:c r="R1019" s="47" t="str"/>
      <x:c r="S1019" s="33" t="str">
        <x:v>Not Tested</x:v>
      </x:c>
      <x:c r="T1019" s="64" t="str">
        <x:v>Eligible</x:v>
      </x:c>
      <x:c r="U1019" s="47" t="str"/>
      <x:c r="V1019" s="47" t="str"/>
      <x:c r="W1019" s="47" t="str"/>
      <x:c r="X1019" s="50" t="str"/>
      <x:c r="Y1019" s="50" t="str"/>
      <x:c r="Z1019" s="47" t="str"/>
      <x:c r="AA1019" s="47" t="str">
        <x:v>No direct published reference located; do not display a crimp value.</x:v>
      </x:c>
      <x:c r="AB1019" s="161" t="str">
        <x:v>Pending</x:v>
      </x:c>
    </x:row>
    <x:row r="1020" ht="42" customHeight="1">
      <x:c r="A1020" s="33" t="str">
        <x:v>Draft</x:v>
      </x:c>
      <x:c r="B1020" s="47" t="str">
        <x:v>COMP_1016</x:v>
      </x:c>
      <x:c r="C1020" s="47" t="str">
        <x:v>EN4SH_001</x:v>
      </x:c>
      <x:c r="D1020" s="47" t="str">
        <x:v>ORFS_F_SW_10_10</x:v>
      </x:c>
      <x:c r="E1020" s="47" t="str">
        <x:v>EN4SH_4SH_001</x:v>
      </x:c>
      <x:c r="F1020" s="47" t="str"/>
      <x:c r="G1020" s="33" t="str"/>
      <x:c r="H1020" s="50" t="str"/>
      <x:c r="I1020" s="50" t="str"/>
      <x:c r="J1020" s="50" t="str"/>
      <x:c r="K1020" s="47" t="str"/>
      <x:c r="L1020" s="50" t="str"/>
      <x:c r="M1020" s="50" t="str"/>
      <x:c r="N1020" s="47" t="str"/>
      <x:c r="O1020" s="50" t="str"/>
      <x:c r="P1020" s="64" t="str">
        <x:f>IF(O1020="","",O1020*2)</x:f>
      </x:c>
      <x:c r="Q1020" s="50" t="str"/>
      <x:c r="R1020" s="47" t="str"/>
      <x:c r="S1020" s="33" t="str">
        <x:v>Not Tested</x:v>
      </x:c>
      <x:c r="T1020" s="64" t="str">
        <x:v>Eligible</x:v>
      </x:c>
      <x:c r="U1020" s="47" t="str"/>
      <x:c r="V1020" s="47" t="str"/>
      <x:c r="W1020" s="47" t="str"/>
      <x:c r="X1020" s="50" t="str"/>
      <x:c r="Y1020" s="50" t="str"/>
      <x:c r="Z1020" s="47" t="str"/>
      <x:c r="AA1020" s="47" t="str">
        <x:v>No direct published reference located; do not display a crimp value.</x:v>
      </x:c>
      <x:c r="AB1020" s="161" t="str">
        <x:v>Pending</x:v>
      </x:c>
    </x:row>
    <x:row r="1021" ht="42" customHeight="1">
      <x:c r="A1021" s="33" t="str">
        <x:v>Draft</x:v>
      </x:c>
      <x:c r="B1021" s="47" t="str">
        <x:v>COMP_1017</x:v>
      </x:c>
      <x:c r="C1021" s="47" t="str">
        <x:v>EN4SH_001</x:v>
      </x:c>
      <x:c r="D1021" s="47" t="str">
        <x:v>ORFS_F_SW_12_10</x:v>
      </x:c>
      <x:c r="E1021" s="47" t="str">
        <x:v>EN4SH_4SH_001</x:v>
      </x:c>
      <x:c r="F1021" s="47" t="str"/>
      <x:c r="G1021" s="33" t="str"/>
      <x:c r="H1021" s="50" t="str"/>
      <x:c r="I1021" s="50" t="str"/>
      <x:c r="J1021" s="50" t="str"/>
      <x:c r="K1021" s="47" t="str"/>
      <x:c r="L1021" s="50" t="str"/>
      <x:c r="M1021" s="50" t="str"/>
      <x:c r="N1021" s="47" t="str"/>
      <x:c r="O1021" s="50" t="str"/>
      <x:c r="P1021" s="64" t="str">
        <x:f>IF(O1021="","",O1021*2)</x:f>
      </x:c>
      <x:c r="Q1021" s="50" t="str"/>
      <x:c r="R1021" s="47" t="str"/>
      <x:c r="S1021" s="33" t="str">
        <x:v>Not Tested</x:v>
      </x:c>
      <x:c r="T1021" s="64" t="str">
        <x:v>Eligible</x:v>
      </x:c>
      <x:c r="U1021" s="47" t="str"/>
      <x:c r="V1021" s="47" t="str"/>
      <x:c r="W1021" s="47" t="str"/>
      <x:c r="X1021" s="50" t="str"/>
      <x:c r="Y1021" s="50" t="str"/>
      <x:c r="Z1021" s="47" t="str"/>
      <x:c r="AA1021" s="47" t="str">
        <x:v>No direct published reference located; do not display a crimp value.</x:v>
      </x:c>
      <x:c r="AB1021" s="161" t="str">
        <x:v>Pending</x:v>
      </x:c>
    </x:row>
    <x:row r="1022" ht="42" customHeight="1">
      <x:c r="A1022" s="33" t="str">
        <x:v>Draft</x:v>
      </x:c>
      <x:c r="B1022" s="47" t="str">
        <x:v>COMP_1018</x:v>
      </x:c>
      <x:c r="C1022" s="47" t="str">
        <x:v>EN4SH_001</x:v>
      </x:c>
      <x:c r="D1022" s="47" t="str">
        <x:v>ORFS_M_FX_10_10</x:v>
      </x:c>
      <x:c r="E1022" s="47" t="str">
        <x:v>EN4SH_4SH_001</x:v>
      </x:c>
      <x:c r="F1022" s="47" t="str"/>
      <x:c r="G1022" s="33" t="str"/>
      <x:c r="H1022" s="50" t="str"/>
      <x:c r="I1022" s="50" t="str"/>
      <x:c r="J1022" s="50" t="str"/>
      <x:c r="K1022" s="47" t="str"/>
      <x:c r="L1022" s="50" t="str"/>
      <x:c r="M1022" s="50" t="str"/>
      <x:c r="N1022" s="47" t="str"/>
      <x:c r="O1022" s="50" t="str"/>
      <x:c r="P1022" s="64" t="str">
        <x:f>IF(O1022="","",O1022*2)</x:f>
      </x:c>
      <x:c r="Q1022" s="50" t="str"/>
      <x:c r="R1022" s="47" t="str"/>
      <x:c r="S1022" s="33" t="str">
        <x:v>Not Tested</x:v>
      </x:c>
      <x:c r="T1022" s="64" t="str">
        <x:v>Eligible</x:v>
      </x:c>
      <x:c r="U1022" s="47" t="str"/>
      <x:c r="V1022" s="47" t="str"/>
      <x:c r="W1022" s="47" t="str"/>
      <x:c r="X1022" s="50" t="str"/>
      <x:c r="Y1022" s="50" t="str"/>
      <x:c r="Z1022" s="47" t="str"/>
      <x:c r="AA1022" s="47" t="str">
        <x:v>No direct published reference located; do not display a crimp value.</x:v>
      </x:c>
      <x:c r="AB1022" s="161" t="str">
        <x:v>Pending</x:v>
      </x:c>
    </x:row>
    <x:row r="1023" ht="42" customHeight="1">
      <x:c r="A1023" s="33" t="str">
        <x:v>Draft</x:v>
      </x:c>
      <x:c r="B1023" s="47" t="str">
        <x:v>COMP_1019</x:v>
      </x:c>
      <x:c r="C1023" s="47" t="str">
        <x:v>EN4SH_001</x:v>
      </x:c>
      <x:c r="D1023" s="47" t="str">
        <x:v>ORFS_M_FX_12_10</x:v>
      </x:c>
      <x:c r="E1023" s="47" t="str">
        <x:v>EN4SH_4SH_001</x:v>
      </x:c>
      <x:c r="F1023" s="47" t="str"/>
      <x:c r="G1023" s="33" t="str"/>
      <x:c r="H1023" s="50" t="str"/>
      <x:c r="I1023" s="50" t="str"/>
      <x:c r="J1023" s="50" t="str"/>
      <x:c r="K1023" s="47" t="str"/>
      <x:c r="L1023" s="50" t="str"/>
      <x:c r="M1023" s="50" t="str"/>
      <x:c r="N1023" s="47" t="str"/>
      <x:c r="O1023" s="50" t="str"/>
      <x:c r="P1023" s="64" t="str">
        <x:f>IF(O1023="","",O1023*2)</x:f>
      </x:c>
      <x:c r="Q1023" s="50" t="str"/>
      <x:c r="R1023" s="47" t="str"/>
      <x:c r="S1023" s="33" t="str">
        <x:v>Not Tested</x:v>
      </x:c>
      <x:c r="T1023" s="64" t="str">
        <x:v>Eligible</x:v>
      </x:c>
      <x:c r="U1023" s="47" t="str"/>
      <x:c r="V1023" s="47" t="str"/>
      <x:c r="W1023" s="47" t="str"/>
      <x:c r="X1023" s="50" t="str"/>
      <x:c r="Y1023" s="50" t="str"/>
      <x:c r="Z1023" s="47" t="str"/>
      <x:c r="AA1023" s="47" t="str">
        <x:v>No direct published reference located; do not display a crimp value.</x:v>
      </x:c>
      <x:c r="AB1023" s="161" t="str">
        <x:v>Pending</x:v>
      </x:c>
    </x:row>
    <x:row r="1024" ht="42" customHeight="1">
      <x:c r="A1024" s="33" t="str">
        <x:v>Draft</x:v>
      </x:c>
      <x:c r="B1024" s="47" t="str">
        <x:v>COMP_1020</x:v>
      </x:c>
      <x:c r="C1024" s="47" t="str">
        <x:v>EN4SH_001</x:v>
      </x:c>
      <x:c r="D1024" s="47" t="str">
        <x:v>ORFS45_F_SW_10_10</x:v>
      </x:c>
      <x:c r="E1024" s="47" t="str">
        <x:v>EN4SH_4SH_001</x:v>
      </x:c>
      <x:c r="F1024" s="47" t="str"/>
      <x:c r="G1024" s="33" t="str"/>
      <x:c r="H1024" s="50" t="str"/>
      <x:c r="I1024" s="50" t="str"/>
      <x:c r="J1024" s="50" t="str"/>
      <x:c r="K1024" s="47" t="str"/>
      <x:c r="L1024" s="50" t="str"/>
      <x:c r="M1024" s="50" t="str"/>
      <x:c r="N1024" s="47" t="str"/>
      <x:c r="O1024" s="50" t="str"/>
      <x:c r="P1024" s="64" t="str">
        <x:f>IF(O1024="","",O1024*2)</x:f>
      </x:c>
      <x:c r="Q1024" s="50" t="str"/>
      <x:c r="R1024" s="47" t="str"/>
      <x:c r="S1024" s="33" t="str">
        <x:v>Not Tested</x:v>
      </x:c>
      <x:c r="T1024" s="64" t="str">
        <x:v>Eligible</x:v>
      </x:c>
      <x:c r="U1024" s="47" t="str"/>
      <x:c r="V1024" s="47" t="str"/>
      <x:c r="W1024" s="47" t="str"/>
      <x:c r="X1024" s="50" t="str"/>
      <x:c r="Y1024" s="50" t="str"/>
      <x:c r="Z1024" s="47" t="str"/>
      <x:c r="AA1024" s="47" t="str">
        <x:v>No direct published reference located; do not display a crimp value.</x:v>
      </x:c>
      <x:c r="AB1024" s="161" t="str">
        <x:v>Pending</x:v>
      </x:c>
    </x:row>
    <x:row r="1025" ht="42" customHeight="1">
      <x:c r="A1025" s="33" t="str">
        <x:v>Draft</x:v>
      </x:c>
      <x:c r="B1025" s="47" t="str">
        <x:v>COMP_1021</x:v>
      </x:c>
      <x:c r="C1025" s="47" t="str">
        <x:v>EN4SH_001</x:v>
      </x:c>
      <x:c r="D1025" s="47" t="str">
        <x:v>ORFS45_F_SW_12_10</x:v>
      </x:c>
      <x:c r="E1025" s="47" t="str">
        <x:v>EN4SH_4SH_001</x:v>
      </x:c>
      <x:c r="F1025" s="47" t="str"/>
      <x:c r="G1025" s="33" t="str"/>
      <x:c r="H1025" s="50" t="str"/>
      <x:c r="I1025" s="50" t="str"/>
      <x:c r="J1025" s="50" t="str"/>
      <x:c r="K1025" s="47" t="str"/>
      <x:c r="L1025" s="50" t="str"/>
      <x:c r="M1025" s="50" t="str"/>
      <x:c r="N1025" s="47" t="str"/>
      <x:c r="O1025" s="50" t="str"/>
      <x:c r="P1025" s="64" t="str">
        <x:f>IF(O1025="","",O1025*2)</x:f>
      </x:c>
      <x:c r="Q1025" s="50" t="str"/>
      <x:c r="R1025" s="47" t="str"/>
      <x:c r="S1025" s="33" t="str">
        <x:v>Not Tested</x:v>
      </x:c>
      <x:c r="T1025" s="64" t="str">
        <x:v>Eligible</x:v>
      </x:c>
      <x:c r="U1025" s="47" t="str"/>
      <x:c r="V1025" s="47" t="str"/>
      <x:c r="W1025" s="47" t="str"/>
      <x:c r="X1025" s="50" t="str"/>
      <x:c r="Y1025" s="50" t="str"/>
      <x:c r="Z1025" s="47" t="str"/>
      <x:c r="AA1025" s="47" t="str">
        <x:v>No direct published reference located; do not display a crimp value.</x:v>
      </x:c>
      <x:c r="AB1025" s="161" t="str">
        <x:v>Pending</x:v>
      </x:c>
    </x:row>
    <x:row r="1026" ht="42" customHeight="1">
      <x:c r="A1026" s="33" t="str">
        <x:v>Draft</x:v>
      </x:c>
      <x:c r="B1026" s="47" t="str">
        <x:v>COMP_1022</x:v>
      </x:c>
      <x:c r="C1026" s="47" t="str">
        <x:v>EN4SH_001</x:v>
      </x:c>
      <x:c r="D1026" s="47" t="str">
        <x:v>ORFS90_F_SW_08_10</x:v>
      </x:c>
      <x:c r="E1026" s="47" t="str">
        <x:v>EN4SH_4SH_001</x:v>
      </x:c>
      <x:c r="F1026" s="47" t="str"/>
      <x:c r="G1026" s="33" t="str"/>
      <x:c r="H1026" s="50" t="str"/>
      <x:c r="I1026" s="50" t="str"/>
      <x:c r="J1026" s="50" t="str"/>
      <x:c r="K1026" s="47" t="str"/>
      <x:c r="L1026" s="50" t="str"/>
      <x:c r="M1026" s="50" t="str"/>
      <x:c r="N1026" s="47" t="str"/>
      <x:c r="O1026" s="50" t="str"/>
      <x:c r="P1026" s="64" t="str">
        <x:f>IF(O1026="","",O1026*2)</x:f>
      </x:c>
      <x:c r="Q1026" s="50" t="str"/>
      <x:c r="R1026" s="47" t="str"/>
      <x:c r="S1026" s="33" t="str">
        <x:v>Not Tested</x:v>
      </x:c>
      <x:c r="T1026" s="64" t="str">
        <x:v>Eligible</x:v>
      </x:c>
      <x:c r="U1026" s="47" t="str"/>
      <x:c r="V1026" s="47" t="str"/>
      <x:c r="W1026" s="47" t="str"/>
      <x:c r="X1026" s="50" t="str"/>
      <x:c r="Y1026" s="50" t="str"/>
      <x:c r="Z1026" s="47" t="str"/>
      <x:c r="AA1026" s="47" t="str">
        <x:v>No direct published reference located; do not display a crimp value.</x:v>
      </x:c>
      <x:c r="AB1026" s="161" t="str">
        <x:v>Pending</x:v>
      </x:c>
    </x:row>
    <x:row r="1027" ht="42" customHeight="1">
      <x:c r="A1027" s="33" t="str">
        <x:v>Draft</x:v>
      </x:c>
      <x:c r="B1027" s="47" t="str">
        <x:v>COMP_1023</x:v>
      </x:c>
      <x:c r="C1027" s="47" t="str">
        <x:v>EN4SH_001</x:v>
      </x:c>
      <x:c r="D1027" s="47" t="str">
        <x:v>ORFS90_F_SW_10_10</x:v>
      </x:c>
      <x:c r="E1027" s="47" t="str">
        <x:v>EN4SH_4SH_001</x:v>
      </x:c>
      <x:c r="F1027" s="47" t="str"/>
      <x:c r="G1027" s="33" t="str"/>
      <x:c r="H1027" s="50" t="str"/>
      <x:c r="I1027" s="50" t="str"/>
      <x:c r="J1027" s="50" t="str"/>
      <x:c r="K1027" s="47" t="str"/>
      <x:c r="L1027" s="50" t="str"/>
      <x:c r="M1027" s="50" t="str"/>
      <x:c r="N1027" s="47" t="str"/>
      <x:c r="O1027" s="50" t="str"/>
      <x:c r="P1027" s="64" t="str">
        <x:f>IF(O1027="","",O1027*2)</x:f>
      </x:c>
      <x:c r="Q1027" s="50" t="str"/>
      <x:c r="R1027" s="47" t="str"/>
      <x:c r="S1027" s="33" t="str">
        <x:v>Not Tested</x:v>
      </x:c>
      <x:c r="T1027" s="64" t="str">
        <x:v>Eligible</x:v>
      </x:c>
      <x:c r="U1027" s="47" t="str"/>
      <x:c r="V1027" s="47" t="str"/>
      <x:c r="W1027" s="47" t="str"/>
      <x:c r="X1027" s="50" t="str"/>
      <x:c r="Y1027" s="50" t="str"/>
      <x:c r="Z1027" s="47" t="str"/>
      <x:c r="AA1027" s="47" t="str">
        <x:v>No direct published reference located; do not display a crimp value.</x:v>
      </x:c>
      <x:c r="AB1027" s="161" t="str">
        <x:v>Pending</x:v>
      </x:c>
    </x:row>
    <x:row r="1028" ht="42" customHeight="1">
      <x:c r="A1028" s="33" t="str">
        <x:v>Draft</x:v>
      </x:c>
      <x:c r="B1028" s="47" t="str">
        <x:v>COMP_1024</x:v>
      </x:c>
      <x:c r="C1028" s="47" t="str">
        <x:v>EN4SH_002</x:v>
      </x:c>
      <x:c r="D1028" s="47" t="str">
        <x:v>BSPP_F_SW_12_12</x:v>
      </x:c>
      <x:c r="E1028" s="47" t="str">
        <x:v>EN4SH_4SH_002</x:v>
      </x:c>
      <x:c r="F1028" s="47" t="str"/>
      <x:c r="G1028" s="33" t="str"/>
      <x:c r="H1028" s="50" t="str"/>
      <x:c r="I1028" s="50" t="str"/>
      <x:c r="J1028" s="50" t="str"/>
      <x:c r="K1028" s="47" t="str"/>
      <x:c r="L1028" s="50" t="str"/>
      <x:c r="M1028" s="50" t="str"/>
      <x:c r="N1028" s="47" t="str"/>
      <x:c r="O1028" s="50" t="str"/>
      <x:c r="P1028" s="64" t="str">
        <x:f>IF(O1028="","",O1028*2)</x:f>
      </x:c>
      <x:c r="Q1028" s="50" t="str"/>
      <x:c r="R1028" s="47" t="str"/>
      <x:c r="S1028" s="33" t="str">
        <x:v>Not Tested</x:v>
      </x:c>
      <x:c r="T1028" s="64" t="str">
        <x:v>Eligible</x:v>
      </x:c>
      <x:c r="U1028" s="47" t="str">
        <x:v>DHH W Series Bite-To-The-Wire</x:v>
      </x:c>
      <x:c r="V1028" s="47" t="str">
        <x:v>4SH-12</x:v>
      </x:c>
      <x:c r="W1028" s="47" t="str">
        <x:v>Crimp full shell</x:v>
      </x:c>
      <x:c r="X1028" s="50" t="n">
        <x:v>33.55</x:v>
      </x:c>
      <x:c r="Y1028" s="50" t="n">
        <x:v>0.13</x:v>
      </x:c>
      <x:c r="Z1028" s="47" t="str">
        <x:v>https://www.discounthydraulichose.com/v/vspfiles/downloadables/crimp.pdf (catalog p.104)</x:v>
      </x:c>
      <x:c r="AA1028" s="47" t="str">
        <x:v>Published reference data; applicability is limited to the listed reference system and hose code.</x:v>
      </x:c>
      <x:c r="AB1028" s="161" t="str">
        <x:v>Pending</x:v>
      </x:c>
    </x:row>
    <x:row r="1029" ht="42" customHeight="1">
      <x:c r="A1029" s="33" t="str">
        <x:v>Draft</x:v>
      </x:c>
      <x:c r="B1029" s="47" t="str">
        <x:v>COMP_1025</x:v>
      </x:c>
      <x:c r="C1029" s="47" t="str">
        <x:v>EN4SH_002</x:v>
      </x:c>
      <x:c r="D1029" s="47" t="str">
        <x:v>BSPP_M_FX_12_12</x:v>
      </x:c>
      <x:c r="E1029" s="47" t="str">
        <x:v>EN4SH_4SH_002</x:v>
      </x:c>
      <x:c r="F1029" s="47" t="str"/>
      <x:c r="G1029" s="33" t="str"/>
      <x:c r="H1029" s="50" t="str"/>
      <x:c r="I1029" s="50" t="str"/>
      <x:c r="J1029" s="50" t="str"/>
      <x:c r="K1029" s="47" t="str"/>
      <x:c r="L1029" s="50" t="str"/>
      <x:c r="M1029" s="50" t="str"/>
      <x:c r="N1029" s="47" t="str"/>
      <x:c r="O1029" s="50" t="str"/>
      <x:c r="P1029" s="64" t="str">
        <x:f>IF(O1029="","",O1029*2)</x:f>
      </x:c>
      <x:c r="Q1029" s="50" t="str"/>
      <x:c r="R1029" s="47" t="str"/>
      <x:c r="S1029" s="33" t="str">
        <x:v>Not Tested</x:v>
      </x:c>
      <x:c r="T1029" s="64" t="str">
        <x:v>Eligible</x:v>
      </x:c>
      <x:c r="U1029" s="47" t="str">
        <x:v>DHH W Series Bite-To-The-Wire</x:v>
      </x:c>
      <x:c r="V1029" s="47" t="str">
        <x:v>4SH-12</x:v>
      </x:c>
      <x:c r="W1029" s="47" t="str">
        <x:v>Crimp full shell</x:v>
      </x:c>
      <x:c r="X1029" s="50" t="n">
        <x:v>33.55</x:v>
      </x:c>
      <x:c r="Y1029" s="50" t="n">
        <x:v>0.13</x:v>
      </x:c>
      <x:c r="Z1029" s="47" t="str">
        <x:v>https://www.discounthydraulichose.com/v/vspfiles/downloadables/crimp.pdf (catalog p.104)</x:v>
      </x:c>
      <x:c r="AA1029" s="47" t="str">
        <x:v>Published reference data; applicability is limited to the listed reference system and hose code.</x:v>
      </x:c>
      <x:c r="AB1029" s="161" t="str">
        <x:v>Pending</x:v>
      </x:c>
    </x:row>
    <x:row r="1030" ht="42" customHeight="1">
      <x:c r="A1030" s="33" t="str">
        <x:v>Draft</x:v>
      </x:c>
      <x:c r="B1030" s="47" t="str">
        <x:v>COMP_1026</x:v>
      </x:c>
      <x:c r="C1030" s="47" t="str">
        <x:v>EN4SH_002</x:v>
      </x:c>
      <x:c r="D1030" s="47" t="str">
        <x:v>BSPP45_F_SW_12_12</x:v>
      </x:c>
      <x:c r="E1030" s="47" t="str">
        <x:v>EN4SH_4SH_002</x:v>
      </x:c>
      <x:c r="F1030" s="47" t="str"/>
      <x:c r="G1030" s="33" t="str"/>
      <x:c r="H1030" s="50" t="str"/>
      <x:c r="I1030" s="50" t="str"/>
      <x:c r="J1030" s="50" t="str"/>
      <x:c r="K1030" s="47" t="str"/>
      <x:c r="L1030" s="50" t="str"/>
      <x:c r="M1030" s="50" t="str"/>
      <x:c r="N1030" s="47" t="str"/>
      <x:c r="O1030" s="50" t="str"/>
      <x:c r="P1030" s="64" t="str">
        <x:f>IF(O1030="","",O1030*2)</x:f>
      </x:c>
      <x:c r="Q1030" s="50" t="str"/>
      <x:c r="R1030" s="47" t="str"/>
      <x:c r="S1030" s="33" t="str">
        <x:v>Not Tested</x:v>
      </x:c>
      <x:c r="T1030" s="64" t="str">
        <x:v>Eligible</x:v>
      </x:c>
      <x:c r="U1030" s="47" t="str">
        <x:v>DHH W Series Bite-To-The-Wire</x:v>
      </x:c>
      <x:c r="V1030" s="47" t="str">
        <x:v>4SH-12</x:v>
      </x:c>
      <x:c r="W1030" s="47" t="str">
        <x:v>Crimp full shell</x:v>
      </x:c>
      <x:c r="X1030" s="50" t="n">
        <x:v>33.55</x:v>
      </x:c>
      <x:c r="Y1030" s="50" t="n">
        <x:v>0.13</x:v>
      </x:c>
      <x:c r="Z1030" s="47" t="str">
        <x:v>https://www.discounthydraulichose.com/v/vspfiles/downloadables/crimp.pdf (catalog p.104)</x:v>
      </x:c>
      <x:c r="AA1030" s="47" t="str">
        <x:v>Published reference data; applicability is limited to the listed reference system and hose code.</x:v>
      </x:c>
      <x:c r="AB1030" s="161" t="str">
        <x:v>Pending</x:v>
      </x:c>
    </x:row>
    <x:row r="1031" ht="42" customHeight="1">
      <x:c r="A1031" s="33" t="str">
        <x:v>Draft</x:v>
      </x:c>
      <x:c r="B1031" s="47" t="str">
        <x:v>COMP_1027</x:v>
      </x:c>
      <x:c r="C1031" s="47" t="str">
        <x:v>EN4SH_002</x:v>
      </x:c>
      <x:c r="D1031" s="47" t="str">
        <x:v>BSPP90_F_SW_12_12</x:v>
      </x:c>
      <x:c r="E1031" s="47" t="str">
        <x:v>EN4SH_4SH_002</x:v>
      </x:c>
      <x:c r="F1031" s="47" t="str"/>
      <x:c r="G1031" s="33" t="str"/>
      <x:c r="H1031" s="50" t="str"/>
      <x:c r="I1031" s="50" t="str"/>
      <x:c r="J1031" s="50" t="str"/>
      <x:c r="K1031" s="47" t="str"/>
      <x:c r="L1031" s="50" t="str"/>
      <x:c r="M1031" s="50" t="str"/>
      <x:c r="N1031" s="47" t="str"/>
      <x:c r="O1031" s="50" t="str"/>
      <x:c r="P1031" s="64" t="str">
        <x:f>IF(O1031="","",O1031*2)</x:f>
      </x:c>
      <x:c r="Q1031" s="50" t="str"/>
      <x:c r="R1031" s="47" t="str"/>
      <x:c r="S1031" s="33" t="str">
        <x:v>Not Tested</x:v>
      </x:c>
      <x:c r="T1031" s="64" t="str">
        <x:v>Eligible</x:v>
      </x:c>
      <x:c r="U1031" s="47" t="str">
        <x:v>DHH W Series Bite-To-The-Wire</x:v>
      </x:c>
      <x:c r="V1031" s="47" t="str">
        <x:v>4SH-12</x:v>
      </x:c>
      <x:c r="W1031" s="47" t="str">
        <x:v>Crimp full shell</x:v>
      </x:c>
      <x:c r="X1031" s="50" t="n">
        <x:v>33.55</x:v>
      </x:c>
      <x:c r="Y1031" s="50" t="n">
        <x:v>0.13</x:v>
      </x:c>
      <x:c r="Z1031" s="47" t="str">
        <x:v>https://www.discounthydraulichose.com/v/vspfiles/downloadables/crimp.pdf (catalog p.104)</x:v>
      </x:c>
      <x:c r="AA1031" s="47" t="str">
        <x:v>Published reference data; applicability is limited to the listed reference system and hose code.</x:v>
      </x:c>
      <x:c r="AB1031" s="161" t="str">
        <x:v>Pending</x:v>
      </x:c>
    </x:row>
    <x:row r="1032" ht="42" customHeight="1">
      <x:c r="A1032" s="33" t="str">
        <x:v>Draft</x:v>
      </x:c>
      <x:c r="B1032" s="47" t="str">
        <x:v>COMP_1028</x:v>
      </x:c>
      <x:c r="C1032" s="47" t="str">
        <x:v>EN4SH_002</x:v>
      </x:c>
      <x:c r="D1032" s="47" t="str">
        <x:v>BSPT_M_FX_12_12</x:v>
      </x:c>
      <x:c r="E1032" s="47" t="str">
        <x:v>EN4SH_4SH_002</x:v>
      </x:c>
      <x:c r="F1032" s="47" t="str"/>
      <x:c r="G1032" s="33" t="str"/>
      <x:c r="H1032" s="50" t="str"/>
      <x:c r="I1032" s="50" t="str"/>
      <x:c r="J1032" s="50" t="str"/>
      <x:c r="K1032" s="47" t="str"/>
      <x:c r="L1032" s="50" t="str"/>
      <x:c r="M1032" s="50" t="str"/>
      <x:c r="N1032" s="47" t="str"/>
      <x:c r="O1032" s="50" t="str"/>
      <x:c r="P1032" s="64" t="str">
        <x:f>IF(O1032="","",O1032*2)</x:f>
      </x:c>
      <x:c r="Q1032" s="50" t="str"/>
      <x:c r="R1032" s="47" t="str"/>
      <x:c r="S1032" s="33" t="str">
        <x:v>Not Tested</x:v>
      </x:c>
      <x:c r="T1032" s="64" t="str">
        <x:v>Eligible</x:v>
      </x:c>
      <x:c r="U1032" s="47" t="str">
        <x:v>DHH W Series Bite-To-The-Wire</x:v>
      </x:c>
      <x:c r="V1032" s="47" t="str">
        <x:v>4SH-12</x:v>
      </x:c>
      <x:c r="W1032" s="47" t="str">
        <x:v>Crimp full shell</x:v>
      </x:c>
      <x:c r="X1032" s="50" t="n">
        <x:v>33.55</x:v>
      </x:c>
      <x:c r="Y1032" s="50" t="n">
        <x:v>0.13</x:v>
      </x:c>
      <x:c r="Z1032" s="47" t="str">
        <x:v>https://www.discounthydraulichose.com/v/vspfiles/downloadables/crimp.pdf (catalog p.104)</x:v>
      </x:c>
      <x:c r="AA1032" s="47" t="str">
        <x:v>Published reference data; applicability is limited to the listed reference system and hose code.</x:v>
      </x:c>
      <x:c r="AB1032" s="161" t="str">
        <x:v>Pending</x:v>
      </x:c>
    </x:row>
    <x:row r="1033" ht="42" customHeight="1">
      <x:c r="A1033" s="33" t="str">
        <x:v>Draft</x:v>
      </x:c>
      <x:c r="B1033" s="47" t="str">
        <x:v>COMP_1029</x:v>
      </x:c>
      <x:c r="C1033" s="47" t="str">
        <x:v>EN4SH_002</x:v>
      </x:c>
      <x:c r="D1033" s="47" t="str">
        <x:v>JIC_F_SW_08_12</x:v>
      </x:c>
      <x:c r="E1033" s="47" t="str">
        <x:v>EN4SH_4SH_002</x:v>
      </x:c>
      <x:c r="F1033" s="47" t="str"/>
      <x:c r="G1033" s="33" t="str"/>
      <x:c r="H1033" s="50" t="str"/>
      <x:c r="I1033" s="50" t="str"/>
      <x:c r="J1033" s="50" t="str"/>
      <x:c r="K1033" s="47" t="str"/>
      <x:c r="L1033" s="50" t="str"/>
      <x:c r="M1033" s="50" t="str"/>
      <x:c r="N1033" s="47" t="str"/>
      <x:c r="O1033" s="50" t="str"/>
      <x:c r="P1033" s="64" t="str">
        <x:f>IF(O1033="","",O1033*2)</x:f>
      </x:c>
      <x:c r="Q1033" s="50" t="str"/>
      <x:c r="R1033" s="47" t="str"/>
      <x:c r="S1033" s="33" t="str">
        <x:v>Not Tested</x:v>
      </x:c>
      <x:c r="T1033" s="64" t="str">
        <x:v>Eligible</x:v>
      </x:c>
      <x:c r="U1033" s="47" t="str">
        <x:v>DHH W Series Bite-To-The-Wire</x:v>
      </x:c>
      <x:c r="V1033" s="47" t="str">
        <x:v>4SH-12</x:v>
      </x:c>
      <x:c r="W1033" s="47" t="str">
        <x:v>Crimp full shell</x:v>
      </x:c>
      <x:c r="X1033" s="50" t="n">
        <x:v>33.55</x:v>
      </x:c>
      <x:c r="Y1033" s="50" t="n">
        <x:v>0.13</x:v>
      </x:c>
      <x:c r="Z1033" s="47" t="str">
        <x:v>https://www.discounthydraulichose.com/v/vspfiles/downloadables/crimp.pdf (catalog p.104)</x:v>
      </x:c>
      <x:c r="AA1033" s="47" t="str">
        <x:v>Published reference data; applicability is limited to the listed reference system and hose code.</x:v>
      </x:c>
      <x:c r="AB1033" s="161" t="str">
        <x:v>Pending</x:v>
      </x:c>
    </x:row>
    <x:row r="1034" ht="42" customHeight="1">
      <x:c r="A1034" s="33" t="str">
        <x:v>Draft</x:v>
      </x:c>
      <x:c r="B1034" s="47" t="str">
        <x:v>COMP_1030</x:v>
      </x:c>
      <x:c r="C1034" s="47" t="str">
        <x:v>EN4SH_002</x:v>
      </x:c>
      <x:c r="D1034" s="47" t="str">
        <x:v>JIC_F_SW_10_12</x:v>
      </x:c>
      <x:c r="E1034" s="47" t="str">
        <x:v>EN4SH_4SH_002</x:v>
      </x:c>
      <x:c r="F1034" s="47" t="str"/>
      <x:c r="G1034" s="33" t="str"/>
      <x:c r="H1034" s="50" t="str"/>
      <x:c r="I1034" s="50" t="str"/>
      <x:c r="J1034" s="50" t="str"/>
      <x:c r="K1034" s="47" t="str"/>
      <x:c r="L1034" s="50" t="str"/>
      <x:c r="M1034" s="50" t="str"/>
      <x:c r="N1034" s="47" t="str"/>
      <x:c r="O1034" s="50" t="str"/>
      <x:c r="P1034" s="64" t="str">
        <x:f>IF(O1034="","",O1034*2)</x:f>
      </x:c>
      <x:c r="Q1034" s="50" t="str"/>
      <x:c r="R1034" s="47" t="str"/>
      <x:c r="S1034" s="33" t="str">
        <x:v>Not Tested</x:v>
      </x:c>
      <x:c r="T1034" s="64" t="str">
        <x:v>Eligible</x:v>
      </x:c>
      <x:c r="U1034" s="47" t="str">
        <x:v>DHH W Series Bite-To-The-Wire</x:v>
      </x:c>
      <x:c r="V1034" s="47" t="str">
        <x:v>4SH-12</x:v>
      </x:c>
      <x:c r="W1034" s="47" t="str">
        <x:v>Crimp full shell</x:v>
      </x:c>
      <x:c r="X1034" s="50" t="n">
        <x:v>33.55</x:v>
      </x:c>
      <x:c r="Y1034" s="50" t="n">
        <x:v>0.13</x:v>
      </x:c>
      <x:c r="Z1034" s="47" t="str">
        <x:v>https://www.discounthydraulichose.com/v/vspfiles/downloadables/crimp.pdf (catalog p.104)</x:v>
      </x:c>
      <x:c r="AA1034" s="47" t="str">
        <x:v>Published reference data; applicability is limited to the listed reference system and hose code.</x:v>
      </x:c>
      <x:c r="AB1034" s="161" t="str">
        <x:v>Pending</x:v>
      </x:c>
    </x:row>
    <x:row r="1035" ht="42" customHeight="1">
      <x:c r="A1035" s="33" t="str">
        <x:v>Draft</x:v>
      </x:c>
      <x:c r="B1035" s="47" t="str">
        <x:v>COMP_1031</x:v>
      </x:c>
      <x:c r="C1035" s="47" t="str">
        <x:v>EN4SH_002</x:v>
      </x:c>
      <x:c r="D1035" s="47" t="str">
        <x:v>JIC_F_SW_12_12</x:v>
      </x:c>
      <x:c r="E1035" s="47" t="str">
        <x:v>EN4SH_4SH_002</x:v>
      </x:c>
      <x:c r="F1035" s="47" t="str"/>
      <x:c r="G1035" s="33" t="str"/>
      <x:c r="H1035" s="50" t="str"/>
      <x:c r="I1035" s="50" t="str"/>
      <x:c r="J1035" s="50" t="str"/>
      <x:c r="K1035" s="47" t="str"/>
      <x:c r="L1035" s="50" t="str"/>
      <x:c r="M1035" s="50" t="str"/>
      <x:c r="N1035" s="47" t="str"/>
      <x:c r="O1035" s="50" t="str"/>
      <x:c r="P1035" s="64" t="str">
        <x:f>IF(O1035="","",O1035*2)</x:f>
      </x:c>
      <x:c r="Q1035" s="50" t="str"/>
      <x:c r="R1035" s="47" t="str"/>
      <x:c r="S1035" s="33" t="str">
        <x:v>Not Tested</x:v>
      </x:c>
      <x:c r="T1035" s="64" t="str">
        <x:v>Eligible</x:v>
      </x:c>
      <x:c r="U1035" s="47" t="str">
        <x:v>DHH W Series Bite-To-The-Wire</x:v>
      </x:c>
      <x:c r="V1035" s="47" t="str">
        <x:v>4SH-12</x:v>
      </x:c>
      <x:c r="W1035" s="47" t="str">
        <x:v>Crimp full shell</x:v>
      </x:c>
      <x:c r="X1035" s="50" t="n">
        <x:v>33.55</x:v>
      </x:c>
      <x:c r="Y1035" s="50" t="n">
        <x:v>0.13</x:v>
      </x:c>
      <x:c r="Z1035" s="47" t="str">
        <x:v>https://www.discounthydraulichose.com/v/vspfiles/downloadables/crimp.pdf (catalog p.104)</x:v>
      </x:c>
      <x:c r="AA1035" s="47" t="str">
        <x:v>Published reference data; applicability is limited to the listed reference system and hose code.</x:v>
      </x:c>
      <x:c r="AB1035" s="161" t="str">
        <x:v>Pending</x:v>
      </x:c>
    </x:row>
    <x:row r="1036" ht="42" customHeight="1">
      <x:c r="A1036" s="33" t="str">
        <x:v>Draft</x:v>
      </x:c>
      <x:c r="B1036" s="47" t="str">
        <x:v>COMP_1032</x:v>
      </x:c>
      <x:c r="C1036" s="47" t="str">
        <x:v>EN4SH_002</x:v>
      </x:c>
      <x:c r="D1036" s="47" t="str">
        <x:v>JIC_F_SW_14_12</x:v>
      </x:c>
      <x:c r="E1036" s="47" t="str">
        <x:v>EN4SH_4SH_002</x:v>
      </x:c>
      <x:c r="F1036" s="47" t="str"/>
      <x:c r="G1036" s="33" t="str"/>
      <x:c r="H1036" s="50" t="str"/>
      <x:c r="I1036" s="50" t="str"/>
      <x:c r="J1036" s="50" t="str"/>
      <x:c r="K1036" s="47" t="str"/>
      <x:c r="L1036" s="50" t="str"/>
      <x:c r="M1036" s="50" t="str"/>
      <x:c r="N1036" s="47" t="str"/>
      <x:c r="O1036" s="50" t="str"/>
      <x:c r="P1036" s="64" t="str">
        <x:f>IF(O1036="","",O1036*2)</x:f>
      </x:c>
      <x:c r="Q1036" s="50" t="str"/>
      <x:c r="R1036" s="47" t="str"/>
      <x:c r="S1036" s="33" t="str">
        <x:v>Not Tested</x:v>
      </x:c>
      <x:c r="T1036" s="64" t="str">
        <x:v>Eligible</x:v>
      </x:c>
      <x:c r="U1036" s="47" t="str">
        <x:v>DHH W Series Bite-To-The-Wire</x:v>
      </x:c>
      <x:c r="V1036" s="47" t="str">
        <x:v>4SH-12</x:v>
      </x:c>
      <x:c r="W1036" s="47" t="str">
        <x:v>Crimp full shell</x:v>
      </x:c>
      <x:c r="X1036" s="50" t="n">
        <x:v>33.55</x:v>
      </x:c>
      <x:c r="Y1036" s="50" t="n">
        <x:v>0.13</x:v>
      </x:c>
      <x:c r="Z1036" s="47" t="str">
        <x:v>https://www.discounthydraulichose.com/v/vspfiles/downloadables/crimp.pdf (catalog p.104)</x:v>
      </x:c>
      <x:c r="AA1036" s="47" t="str">
        <x:v>Published reference data; applicability is limited to the listed reference system and hose code.</x:v>
      </x:c>
      <x:c r="AB1036" s="161" t="str">
        <x:v>Pending</x:v>
      </x:c>
    </x:row>
    <x:row r="1037" ht="42" customHeight="1">
      <x:c r="A1037" s="33" t="str">
        <x:v>Draft</x:v>
      </x:c>
      <x:c r="B1037" s="47" t="str">
        <x:v>COMP_1033</x:v>
      </x:c>
      <x:c r="C1037" s="47" t="str">
        <x:v>EN4SH_002</x:v>
      </x:c>
      <x:c r="D1037" s="47" t="str">
        <x:v>JIC_F_SW_16_12</x:v>
      </x:c>
      <x:c r="E1037" s="47" t="str">
        <x:v>EN4SH_4SH_002</x:v>
      </x:c>
      <x:c r="F1037" s="47" t="str"/>
      <x:c r="G1037" s="33" t="str"/>
      <x:c r="H1037" s="50" t="str"/>
      <x:c r="I1037" s="50" t="str"/>
      <x:c r="J1037" s="50" t="str"/>
      <x:c r="K1037" s="47" t="str"/>
      <x:c r="L1037" s="50" t="str"/>
      <x:c r="M1037" s="50" t="str"/>
      <x:c r="N1037" s="47" t="str"/>
      <x:c r="O1037" s="50" t="str"/>
      <x:c r="P1037" s="64" t="str">
        <x:f>IF(O1037="","",O1037*2)</x:f>
      </x:c>
      <x:c r="Q1037" s="50" t="str"/>
      <x:c r="R1037" s="47" t="str"/>
      <x:c r="S1037" s="33" t="str">
        <x:v>Not Tested</x:v>
      </x:c>
      <x:c r="T1037" s="64" t="str">
        <x:v>Eligible</x:v>
      </x:c>
      <x:c r="U1037" s="47" t="str">
        <x:v>DHH W Series Bite-To-The-Wire</x:v>
      </x:c>
      <x:c r="V1037" s="47" t="str">
        <x:v>4SH-12</x:v>
      </x:c>
      <x:c r="W1037" s="47" t="str">
        <x:v>Crimp full shell</x:v>
      </x:c>
      <x:c r="X1037" s="50" t="n">
        <x:v>33.55</x:v>
      </x:c>
      <x:c r="Y1037" s="50" t="n">
        <x:v>0.13</x:v>
      </x:c>
      <x:c r="Z1037" s="47" t="str">
        <x:v>https://www.discounthydraulichose.com/v/vspfiles/downloadables/crimp.pdf (catalog p.104)</x:v>
      </x:c>
      <x:c r="AA1037" s="47" t="str">
        <x:v>Published reference data; applicability is limited to the listed reference system and hose code.</x:v>
      </x:c>
      <x:c r="AB1037" s="161" t="str">
        <x:v>Pending</x:v>
      </x:c>
    </x:row>
    <x:row r="1038" ht="42" customHeight="1">
      <x:c r="A1038" s="33" t="str">
        <x:v>Draft</x:v>
      </x:c>
      <x:c r="B1038" s="47" t="str">
        <x:v>COMP_1034</x:v>
      </x:c>
      <x:c r="C1038" s="47" t="str">
        <x:v>EN4SH_002</x:v>
      </x:c>
      <x:c r="D1038" s="47" t="str">
        <x:v>JIC_M_FX_12_12</x:v>
      </x:c>
      <x:c r="E1038" s="47" t="str">
        <x:v>EN4SH_4SH_002</x:v>
      </x:c>
      <x:c r="F1038" s="47" t="str"/>
      <x:c r="G1038" s="33" t="str"/>
      <x:c r="H1038" s="50" t="str"/>
      <x:c r="I1038" s="50" t="str"/>
      <x:c r="J1038" s="50" t="str"/>
      <x:c r="K1038" s="47" t="str"/>
      <x:c r="L1038" s="50" t="str"/>
      <x:c r="M1038" s="50" t="str"/>
      <x:c r="N1038" s="47" t="str"/>
      <x:c r="O1038" s="50" t="str"/>
      <x:c r="P1038" s="64" t="str">
        <x:f>IF(O1038="","",O1038*2)</x:f>
      </x:c>
      <x:c r="Q1038" s="50" t="str"/>
      <x:c r="R1038" s="47" t="str"/>
      <x:c r="S1038" s="33" t="str">
        <x:v>Not Tested</x:v>
      </x:c>
      <x:c r="T1038" s="64" t="str">
        <x:v>Eligible</x:v>
      </x:c>
      <x:c r="U1038" s="47" t="str">
        <x:v>DHH W Series Bite-To-The-Wire</x:v>
      </x:c>
      <x:c r="V1038" s="47" t="str">
        <x:v>4SH-12</x:v>
      </x:c>
      <x:c r="W1038" s="47" t="str">
        <x:v>Crimp full shell</x:v>
      </x:c>
      <x:c r="X1038" s="50" t="n">
        <x:v>33.55</x:v>
      </x:c>
      <x:c r="Y1038" s="50" t="n">
        <x:v>0.13</x:v>
      </x:c>
      <x:c r="Z1038" s="47" t="str">
        <x:v>https://www.discounthydraulichose.com/v/vspfiles/downloadables/crimp.pdf (catalog p.104)</x:v>
      </x:c>
      <x:c r="AA1038" s="47" t="str">
        <x:v>Published reference data; applicability is limited to the listed reference system and hose code.</x:v>
      </x:c>
      <x:c r="AB1038" s="161" t="str">
        <x:v>Pending</x:v>
      </x:c>
    </x:row>
    <x:row r="1039" ht="42" customHeight="1">
      <x:c r="A1039" s="33" t="str">
        <x:v>Draft</x:v>
      </x:c>
      <x:c r="B1039" s="47" t="str">
        <x:v>COMP_1035</x:v>
      </x:c>
      <x:c r="C1039" s="47" t="str">
        <x:v>EN4SH_002</x:v>
      </x:c>
      <x:c r="D1039" s="47" t="str">
        <x:v>JIC_M_FX_14_12</x:v>
      </x:c>
      <x:c r="E1039" s="47" t="str">
        <x:v>EN4SH_4SH_002</x:v>
      </x:c>
      <x:c r="F1039" s="47" t="str"/>
      <x:c r="G1039" s="33" t="str"/>
      <x:c r="H1039" s="50" t="str"/>
      <x:c r="I1039" s="50" t="str"/>
      <x:c r="J1039" s="50" t="str"/>
      <x:c r="K1039" s="47" t="str"/>
      <x:c r="L1039" s="50" t="str"/>
      <x:c r="M1039" s="50" t="str"/>
      <x:c r="N1039" s="47" t="str"/>
      <x:c r="O1039" s="50" t="str"/>
      <x:c r="P1039" s="64" t="str">
        <x:f>IF(O1039="","",O1039*2)</x:f>
      </x:c>
      <x:c r="Q1039" s="50" t="str"/>
      <x:c r="R1039" s="47" t="str"/>
      <x:c r="S1039" s="33" t="str">
        <x:v>Not Tested</x:v>
      </x:c>
      <x:c r="T1039" s="64" t="str">
        <x:v>Eligible</x:v>
      </x:c>
      <x:c r="U1039" s="47" t="str">
        <x:v>DHH W Series Bite-To-The-Wire</x:v>
      </x:c>
      <x:c r="V1039" s="47" t="str">
        <x:v>4SH-12</x:v>
      </x:c>
      <x:c r="W1039" s="47" t="str">
        <x:v>Crimp full shell</x:v>
      </x:c>
      <x:c r="X1039" s="50" t="n">
        <x:v>33.55</x:v>
      </x:c>
      <x:c r="Y1039" s="50" t="n">
        <x:v>0.13</x:v>
      </x:c>
      <x:c r="Z1039" s="47" t="str">
        <x:v>https://www.discounthydraulichose.com/v/vspfiles/downloadables/crimp.pdf (catalog p.104)</x:v>
      </x:c>
      <x:c r="AA1039" s="47" t="str">
        <x:v>Published reference data; applicability is limited to the listed reference system and hose code.</x:v>
      </x:c>
      <x:c r="AB1039" s="161" t="str">
        <x:v>Pending</x:v>
      </x:c>
    </x:row>
    <x:row r="1040" ht="42" customHeight="1">
      <x:c r="A1040" s="33" t="str">
        <x:v>Draft</x:v>
      </x:c>
      <x:c r="B1040" s="47" t="str">
        <x:v>COMP_1036</x:v>
      </x:c>
      <x:c r="C1040" s="47" t="str">
        <x:v>EN4SH_002</x:v>
      </x:c>
      <x:c r="D1040" s="47" t="str">
        <x:v>JIC_M_FX_16_12</x:v>
      </x:c>
      <x:c r="E1040" s="47" t="str">
        <x:v>EN4SH_4SH_002</x:v>
      </x:c>
      <x:c r="F1040" s="47" t="str"/>
      <x:c r="G1040" s="33" t="str"/>
      <x:c r="H1040" s="50" t="str"/>
      <x:c r="I1040" s="50" t="str"/>
      <x:c r="J1040" s="50" t="str"/>
      <x:c r="K1040" s="47" t="str"/>
      <x:c r="L1040" s="50" t="str"/>
      <x:c r="M1040" s="50" t="str"/>
      <x:c r="N1040" s="47" t="str"/>
      <x:c r="O1040" s="50" t="str"/>
      <x:c r="P1040" s="64" t="str">
        <x:f>IF(O1040="","",O1040*2)</x:f>
      </x:c>
      <x:c r="Q1040" s="50" t="str"/>
      <x:c r="R1040" s="47" t="str"/>
      <x:c r="S1040" s="33" t="str">
        <x:v>Not Tested</x:v>
      </x:c>
      <x:c r="T1040" s="64" t="str">
        <x:v>Eligible</x:v>
      </x:c>
      <x:c r="U1040" s="47" t="str">
        <x:v>DHH W Series Bite-To-The-Wire</x:v>
      </x:c>
      <x:c r="V1040" s="47" t="str">
        <x:v>4SH-12</x:v>
      </x:c>
      <x:c r="W1040" s="47" t="str">
        <x:v>Crimp full shell</x:v>
      </x:c>
      <x:c r="X1040" s="50" t="n">
        <x:v>33.55</x:v>
      </x:c>
      <x:c r="Y1040" s="50" t="n">
        <x:v>0.13</x:v>
      </x:c>
      <x:c r="Z1040" s="47" t="str">
        <x:v>https://www.discounthydraulichose.com/v/vspfiles/downloadables/crimp.pdf (catalog p.104)</x:v>
      </x:c>
      <x:c r="AA1040" s="47" t="str">
        <x:v>Published reference data; applicability is limited to the listed reference system and hose code.</x:v>
      </x:c>
      <x:c r="AB1040" s="161" t="str">
        <x:v>Pending</x:v>
      </x:c>
    </x:row>
    <x:row r="1041" ht="42" customHeight="1">
      <x:c r="A1041" s="33" t="str">
        <x:v>Draft</x:v>
      </x:c>
      <x:c r="B1041" s="47" t="str">
        <x:v>COMP_1037</x:v>
      </x:c>
      <x:c r="C1041" s="47" t="str">
        <x:v>EN4SH_002</x:v>
      </x:c>
      <x:c r="D1041" s="47" t="str">
        <x:v>JIC45_F_SW_12_12</x:v>
      </x:c>
      <x:c r="E1041" s="47" t="str">
        <x:v>EN4SH_4SH_002</x:v>
      </x:c>
      <x:c r="F1041" s="47" t="str"/>
      <x:c r="G1041" s="33" t="str"/>
      <x:c r="H1041" s="50" t="str"/>
      <x:c r="I1041" s="50" t="str"/>
      <x:c r="J1041" s="50" t="str"/>
      <x:c r="K1041" s="47" t="str"/>
      <x:c r="L1041" s="50" t="str"/>
      <x:c r="M1041" s="50" t="str"/>
      <x:c r="N1041" s="47" t="str"/>
      <x:c r="O1041" s="50" t="str"/>
      <x:c r="P1041" s="64" t="str">
        <x:f>IF(O1041="","",O1041*2)</x:f>
      </x:c>
      <x:c r="Q1041" s="50" t="str"/>
      <x:c r="R1041" s="47" t="str"/>
      <x:c r="S1041" s="33" t="str">
        <x:v>Not Tested</x:v>
      </x:c>
      <x:c r="T1041" s="64" t="str">
        <x:v>Eligible</x:v>
      </x:c>
      <x:c r="U1041" s="47" t="str">
        <x:v>DHH W Series Bite-To-The-Wire</x:v>
      </x:c>
      <x:c r="V1041" s="47" t="str">
        <x:v>4SH-12</x:v>
      </x:c>
      <x:c r="W1041" s="47" t="str">
        <x:v>Crimp full shell</x:v>
      </x:c>
      <x:c r="X1041" s="50" t="n">
        <x:v>33.55</x:v>
      </x:c>
      <x:c r="Y1041" s="50" t="n">
        <x:v>0.13</x:v>
      </x:c>
      <x:c r="Z1041" s="47" t="str">
        <x:v>https://www.discounthydraulichose.com/v/vspfiles/downloadables/crimp.pdf (catalog p.104)</x:v>
      </x:c>
      <x:c r="AA1041" s="47" t="str">
        <x:v>Published reference data; applicability is limited to the listed reference system and hose code.</x:v>
      </x:c>
      <x:c r="AB1041" s="161" t="str">
        <x:v>Pending</x:v>
      </x:c>
    </x:row>
    <x:row r="1042" ht="42" customHeight="1">
      <x:c r="A1042" s="33" t="str">
        <x:v>Draft</x:v>
      </x:c>
      <x:c r="B1042" s="47" t="str">
        <x:v>COMP_1038</x:v>
      </x:c>
      <x:c r="C1042" s="47" t="str">
        <x:v>EN4SH_002</x:v>
      </x:c>
      <x:c r="D1042" s="47" t="str">
        <x:v>JIC45_F_SW_16_12</x:v>
      </x:c>
      <x:c r="E1042" s="47" t="str">
        <x:v>EN4SH_4SH_002</x:v>
      </x:c>
      <x:c r="F1042" s="47" t="str"/>
      <x:c r="G1042" s="33" t="str"/>
      <x:c r="H1042" s="50" t="str"/>
      <x:c r="I1042" s="50" t="str"/>
      <x:c r="J1042" s="50" t="str"/>
      <x:c r="K1042" s="47" t="str"/>
      <x:c r="L1042" s="50" t="str"/>
      <x:c r="M1042" s="50" t="str"/>
      <x:c r="N1042" s="47" t="str"/>
      <x:c r="O1042" s="50" t="str"/>
      <x:c r="P1042" s="64" t="str">
        <x:f>IF(O1042="","",O1042*2)</x:f>
      </x:c>
      <x:c r="Q1042" s="50" t="str"/>
      <x:c r="R1042" s="47" t="str"/>
      <x:c r="S1042" s="33" t="str">
        <x:v>Not Tested</x:v>
      </x:c>
      <x:c r="T1042" s="64" t="str">
        <x:v>Eligible</x:v>
      </x:c>
      <x:c r="U1042" s="47" t="str">
        <x:v>DHH W Series Bite-To-The-Wire</x:v>
      </x:c>
      <x:c r="V1042" s="47" t="str">
        <x:v>4SH-12</x:v>
      </x:c>
      <x:c r="W1042" s="47" t="str">
        <x:v>Crimp full shell</x:v>
      </x:c>
      <x:c r="X1042" s="50" t="n">
        <x:v>33.55</x:v>
      </x:c>
      <x:c r="Y1042" s="50" t="n">
        <x:v>0.13</x:v>
      </x:c>
      <x:c r="Z1042" s="47" t="str">
        <x:v>https://www.discounthydraulichose.com/v/vspfiles/downloadables/crimp.pdf (catalog p.104)</x:v>
      </x:c>
      <x:c r="AA1042" s="47" t="str">
        <x:v>Published reference data; applicability is limited to the listed reference system and hose code.</x:v>
      </x:c>
      <x:c r="AB1042" s="161" t="str">
        <x:v>Pending</x:v>
      </x:c>
    </x:row>
    <x:row r="1043" ht="42" customHeight="1">
      <x:c r="A1043" s="33" t="str">
        <x:v>Draft</x:v>
      </x:c>
      <x:c r="B1043" s="47" t="str">
        <x:v>COMP_1039</x:v>
      </x:c>
      <x:c r="C1043" s="47" t="str">
        <x:v>EN4SH_002</x:v>
      </x:c>
      <x:c r="D1043" s="47" t="str">
        <x:v>JIC90_F_SW_12_12</x:v>
      </x:c>
      <x:c r="E1043" s="47" t="str">
        <x:v>EN4SH_4SH_002</x:v>
      </x:c>
      <x:c r="F1043" s="47" t="str"/>
      <x:c r="G1043" s="33" t="str"/>
      <x:c r="H1043" s="50" t="str"/>
      <x:c r="I1043" s="50" t="str"/>
      <x:c r="J1043" s="50" t="str"/>
      <x:c r="K1043" s="47" t="str"/>
      <x:c r="L1043" s="50" t="str"/>
      <x:c r="M1043" s="50" t="str"/>
      <x:c r="N1043" s="47" t="str"/>
      <x:c r="O1043" s="50" t="str"/>
      <x:c r="P1043" s="64" t="str">
        <x:f>IF(O1043="","",O1043*2)</x:f>
      </x:c>
      <x:c r="Q1043" s="50" t="str"/>
      <x:c r="R1043" s="47" t="str"/>
      <x:c r="S1043" s="33" t="str">
        <x:v>Not Tested</x:v>
      </x:c>
      <x:c r="T1043" s="64" t="str">
        <x:v>Eligible</x:v>
      </x:c>
      <x:c r="U1043" s="47" t="str">
        <x:v>DHH W Series Bite-To-The-Wire</x:v>
      </x:c>
      <x:c r="V1043" s="47" t="str">
        <x:v>4SH-12</x:v>
      </x:c>
      <x:c r="W1043" s="47" t="str">
        <x:v>Crimp full shell</x:v>
      </x:c>
      <x:c r="X1043" s="50" t="n">
        <x:v>33.55</x:v>
      </x:c>
      <x:c r="Y1043" s="50" t="n">
        <x:v>0.13</x:v>
      </x:c>
      <x:c r="Z1043" s="47" t="str">
        <x:v>https://www.discounthydraulichose.com/v/vspfiles/downloadables/crimp.pdf (catalog p.104)</x:v>
      </x:c>
      <x:c r="AA1043" s="47" t="str">
        <x:v>Published reference data; applicability is limited to the listed reference system and hose code.</x:v>
      </x:c>
      <x:c r="AB1043" s="161" t="str">
        <x:v>Pending</x:v>
      </x:c>
    </x:row>
    <x:row r="1044" ht="42" customHeight="1">
      <x:c r="A1044" s="33" t="str">
        <x:v>Draft</x:v>
      </x:c>
      <x:c r="B1044" s="47" t="str">
        <x:v>COMP_1040</x:v>
      </x:c>
      <x:c r="C1044" s="47" t="str">
        <x:v>EN4SH_002</x:v>
      </x:c>
      <x:c r="D1044" s="47" t="str">
        <x:v>JIC90_F_SW_16_12</x:v>
      </x:c>
      <x:c r="E1044" s="47" t="str">
        <x:v>EN4SH_4SH_002</x:v>
      </x:c>
      <x:c r="F1044" s="47" t="str"/>
      <x:c r="G1044" s="33" t="str"/>
      <x:c r="H1044" s="50" t="str"/>
      <x:c r="I1044" s="50" t="str"/>
      <x:c r="J1044" s="50" t="str"/>
      <x:c r="K1044" s="47" t="str"/>
      <x:c r="L1044" s="50" t="str"/>
      <x:c r="M1044" s="50" t="str"/>
      <x:c r="N1044" s="47" t="str"/>
      <x:c r="O1044" s="50" t="str"/>
      <x:c r="P1044" s="64" t="str">
        <x:f>IF(O1044="","",O1044*2)</x:f>
      </x:c>
      <x:c r="Q1044" s="50" t="str"/>
      <x:c r="R1044" s="47" t="str"/>
      <x:c r="S1044" s="33" t="str">
        <x:v>Not Tested</x:v>
      </x:c>
      <x:c r="T1044" s="64" t="str">
        <x:v>Eligible</x:v>
      </x:c>
      <x:c r="U1044" s="47" t="str">
        <x:v>DHH W Series Bite-To-The-Wire</x:v>
      </x:c>
      <x:c r="V1044" s="47" t="str">
        <x:v>4SH-12</x:v>
      </x:c>
      <x:c r="W1044" s="47" t="str">
        <x:v>Crimp full shell</x:v>
      </x:c>
      <x:c r="X1044" s="50" t="n">
        <x:v>33.55</x:v>
      </x:c>
      <x:c r="Y1044" s="50" t="n">
        <x:v>0.13</x:v>
      </x:c>
      <x:c r="Z1044" s="47" t="str">
        <x:v>https://www.discounthydraulichose.com/v/vspfiles/downloadables/crimp.pdf (catalog p.104)</x:v>
      </x:c>
      <x:c r="AA1044" s="47" t="str">
        <x:v>Published reference data; applicability is limited to the listed reference system and hose code.</x:v>
      </x:c>
      <x:c r="AB1044" s="161" t="str">
        <x:v>Pending</x:v>
      </x:c>
    </x:row>
    <x:row r="1045" ht="42" customHeight="1">
      <x:c r="A1045" s="33" t="str">
        <x:v>Draft</x:v>
      </x:c>
      <x:c r="B1045" s="47" t="str">
        <x:v>COMP_1041</x:v>
      </x:c>
      <x:c r="C1045" s="47" t="str">
        <x:v>EN4SH_002</x:v>
      </x:c>
      <x:c r="D1045" s="47" t="str">
        <x:v>NPT_F_FX_12_12</x:v>
      </x:c>
      <x:c r="E1045" s="47" t="str">
        <x:v>EN4SH_4SH_002</x:v>
      </x:c>
      <x:c r="F1045" s="47" t="str"/>
      <x:c r="G1045" s="33" t="str"/>
      <x:c r="H1045" s="50" t="str"/>
      <x:c r="I1045" s="50" t="str"/>
      <x:c r="J1045" s="50" t="str"/>
      <x:c r="K1045" s="47" t="str"/>
      <x:c r="L1045" s="50" t="str"/>
      <x:c r="M1045" s="50" t="str"/>
      <x:c r="N1045" s="47" t="str"/>
      <x:c r="O1045" s="50" t="str"/>
      <x:c r="P1045" s="64" t="str">
        <x:f>IF(O1045="","",O1045*2)</x:f>
      </x:c>
      <x:c r="Q1045" s="50" t="str"/>
      <x:c r="R1045" s="47" t="str"/>
      <x:c r="S1045" s="33" t="str">
        <x:v>Not Tested</x:v>
      </x:c>
      <x:c r="T1045" s="64" t="str">
        <x:v>Eligible</x:v>
      </x:c>
      <x:c r="U1045" s="47" t="str">
        <x:v>DHH W Series Bite-To-The-Wire</x:v>
      </x:c>
      <x:c r="V1045" s="47" t="str">
        <x:v>4SH-12</x:v>
      </x:c>
      <x:c r="W1045" s="47" t="str">
        <x:v>Crimp full shell</x:v>
      </x:c>
      <x:c r="X1045" s="50" t="n">
        <x:v>33.55</x:v>
      </x:c>
      <x:c r="Y1045" s="50" t="n">
        <x:v>0.13</x:v>
      </x:c>
      <x:c r="Z1045" s="47" t="str">
        <x:v>https://www.discounthydraulichose.com/v/vspfiles/downloadables/crimp.pdf (catalog p.104)</x:v>
      </x:c>
      <x:c r="AA1045" s="47" t="str">
        <x:v>Published reference data; applicability is limited to the listed reference system and hose code.</x:v>
      </x:c>
      <x:c r="AB1045" s="161" t="str">
        <x:v>Pending</x:v>
      </x:c>
    </x:row>
    <x:row r="1046" ht="42" customHeight="1">
      <x:c r="A1046" s="33" t="str">
        <x:v>Draft</x:v>
      </x:c>
      <x:c r="B1046" s="47" t="str">
        <x:v>COMP_1042</x:v>
      </x:c>
      <x:c r="C1046" s="47" t="str">
        <x:v>EN4SH_002</x:v>
      </x:c>
      <x:c r="D1046" s="47" t="str">
        <x:v>NPT_M_FX_08_12</x:v>
      </x:c>
      <x:c r="E1046" s="47" t="str">
        <x:v>EN4SH_4SH_002</x:v>
      </x:c>
      <x:c r="F1046" s="47" t="str"/>
      <x:c r="G1046" s="33" t="str"/>
      <x:c r="H1046" s="50" t="str"/>
      <x:c r="I1046" s="50" t="str"/>
      <x:c r="J1046" s="50" t="str"/>
      <x:c r="K1046" s="47" t="str"/>
      <x:c r="L1046" s="50" t="str"/>
      <x:c r="M1046" s="50" t="str"/>
      <x:c r="N1046" s="47" t="str"/>
      <x:c r="O1046" s="50" t="str"/>
      <x:c r="P1046" s="64" t="str">
        <x:f>IF(O1046="","",O1046*2)</x:f>
      </x:c>
      <x:c r="Q1046" s="50" t="str"/>
      <x:c r="R1046" s="47" t="str"/>
      <x:c r="S1046" s="33" t="str">
        <x:v>Not Tested</x:v>
      </x:c>
      <x:c r="T1046" s="64" t="str">
        <x:v>Eligible</x:v>
      </x:c>
      <x:c r="U1046" s="47" t="str">
        <x:v>DHH W Series Bite-To-The-Wire</x:v>
      </x:c>
      <x:c r="V1046" s="47" t="str">
        <x:v>4SH-12</x:v>
      </x:c>
      <x:c r="W1046" s="47" t="str">
        <x:v>Crimp full shell</x:v>
      </x:c>
      <x:c r="X1046" s="50" t="n">
        <x:v>33.55</x:v>
      </x:c>
      <x:c r="Y1046" s="50" t="n">
        <x:v>0.13</x:v>
      </x:c>
      <x:c r="Z1046" s="47" t="str">
        <x:v>https://www.discounthydraulichose.com/v/vspfiles/downloadables/crimp.pdf (catalog p.104)</x:v>
      </x:c>
      <x:c r="AA1046" s="47" t="str">
        <x:v>Published reference data; applicability is limited to the listed reference system and hose code.</x:v>
      </x:c>
      <x:c r="AB1046" s="161" t="str">
        <x:v>Pending</x:v>
      </x:c>
    </x:row>
    <x:row r="1047" ht="42" customHeight="1">
      <x:c r="A1047" s="33" t="str">
        <x:v>Draft</x:v>
      </x:c>
      <x:c r="B1047" s="47" t="str">
        <x:v>COMP_1043</x:v>
      </x:c>
      <x:c r="C1047" s="47" t="str">
        <x:v>EN4SH_002</x:v>
      </x:c>
      <x:c r="D1047" s="47" t="str">
        <x:v>NPT_M_FX_12_12</x:v>
      </x:c>
      <x:c r="E1047" s="47" t="str">
        <x:v>EN4SH_4SH_002</x:v>
      </x:c>
      <x:c r="F1047" s="47" t="str"/>
      <x:c r="G1047" s="33" t="str"/>
      <x:c r="H1047" s="50" t="str"/>
      <x:c r="I1047" s="50" t="str"/>
      <x:c r="J1047" s="50" t="str"/>
      <x:c r="K1047" s="47" t="str"/>
      <x:c r="L1047" s="50" t="str"/>
      <x:c r="M1047" s="50" t="str"/>
      <x:c r="N1047" s="47" t="str"/>
      <x:c r="O1047" s="50" t="str"/>
      <x:c r="P1047" s="64" t="str">
        <x:f>IF(O1047="","",O1047*2)</x:f>
      </x:c>
      <x:c r="Q1047" s="50" t="str"/>
      <x:c r="R1047" s="47" t="str"/>
      <x:c r="S1047" s="33" t="str">
        <x:v>Not Tested</x:v>
      </x:c>
      <x:c r="T1047" s="64" t="str">
        <x:v>Eligible</x:v>
      </x:c>
      <x:c r="U1047" s="47" t="str">
        <x:v>DHH W Series Bite-To-The-Wire</x:v>
      </x:c>
      <x:c r="V1047" s="47" t="str">
        <x:v>4SH-12</x:v>
      </x:c>
      <x:c r="W1047" s="47" t="str">
        <x:v>Crimp full shell</x:v>
      </x:c>
      <x:c r="X1047" s="50" t="n">
        <x:v>33.55</x:v>
      </x:c>
      <x:c r="Y1047" s="50" t="n">
        <x:v>0.13</x:v>
      </x:c>
      <x:c r="Z1047" s="47" t="str">
        <x:v>https://www.discounthydraulichose.com/v/vspfiles/downloadables/crimp.pdf (catalog p.104)</x:v>
      </x:c>
      <x:c r="AA1047" s="47" t="str">
        <x:v>Published reference data; applicability is limited to the listed reference system and hose code.</x:v>
      </x:c>
      <x:c r="AB1047" s="161" t="str">
        <x:v>Pending</x:v>
      </x:c>
    </x:row>
    <x:row r="1048" ht="42" customHeight="1">
      <x:c r="A1048" s="33" t="str">
        <x:v>Draft</x:v>
      </x:c>
      <x:c r="B1048" s="47" t="str">
        <x:v>COMP_1044</x:v>
      </x:c>
      <x:c r="C1048" s="47" t="str">
        <x:v>EN4SH_002</x:v>
      </x:c>
      <x:c r="D1048" s="47" t="str">
        <x:v>NPT_M_FX_16_12</x:v>
      </x:c>
      <x:c r="E1048" s="47" t="str">
        <x:v>EN4SH_4SH_002</x:v>
      </x:c>
      <x:c r="F1048" s="47" t="str"/>
      <x:c r="G1048" s="33" t="str"/>
      <x:c r="H1048" s="50" t="str"/>
      <x:c r="I1048" s="50" t="str"/>
      <x:c r="J1048" s="50" t="str"/>
      <x:c r="K1048" s="47" t="str"/>
      <x:c r="L1048" s="50" t="str"/>
      <x:c r="M1048" s="50" t="str"/>
      <x:c r="N1048" s="47" t="str"/>
      <x:c r="O1048" s="50" t="str"/>
      <x:c r="P1048" s="64" t="str">
        <x:f>IF(O1048="","",O1048*2)</x:f>
      </x:c>
      <x:c r="Q1048" s="50" t="str"/>
      <x:c r="R1048" s="47" t="str"/>
      <x:c r="S1048" s="33" t="str">
        <x:v>Not Tested</x:v>
      </x:c>
      <x:c r="T1048" s="64" t="str">
        <x:v>Eligible</x:v>
      </x:c>
      <x:c r="U1048" s="47" t="str">
        <x:v>DHH W Series Bite-To-The-Wire</x:v>
      </x:c>
      <x:c r="V1048" s="47" t="str">
        <x:v>4SH-12</x:v>
      </x:c>
      <x:c r="W1048" s="47" t="str">
        <x:v>Crimp full shell</x:v>
      </x:c>
      <x:c r="X1048" s="50" t="n">
        <x:v>33.55</x:v>
      </x:c>
      <x:c r="Y1048" s="50" t="n">
        <x:v>0.13</x:v>
      </x:c>
      <x:c r="Z1048" s="47" t="str">
        <x:v>https://www.discounthydraulichose.com/v/vspfiles/downloadables/crimp.pdf (catalog p.104)</x:v>
      </x:c>
      <x:c r="AA1048" s="47" t="str">
        <x:v>Published reference data; applicability is limited to the listed reference system and hose code.</x:v>
      </x:c>
      <x:c r="AB1048" s="161" t="str">
        <x:v>Pending</x:v>
      </x:c>
    </x:row>
    <x:row r="1049" ht="42" customHeight="1">
      <x:c r="A1049" s="33" t="str">
        <x:v>Draft</x:v>
      </x:c>
      <x:c r="B1049" s="47" t="str">
        <x:v>COMP_1045</x:v>
      </x:c>
      <x:c r="C1049" s="47" t="str">
        <x:v>EN4SH_002</x:v>
      </x:c>
      <x:c r="D1049" s="47" t="str">
        <x:v>NPT90_M_SW_12_12</x:v>
      </x:c>
      <x:c r="E1049" s="47" t="str">
        <x:v>EN4SH_4SH_002</x:v>
      </x:c>
      <x:c r="F1049" s="47" t="str"/>
      <x:c r="G1049" s="33" t="str"/>
      <x:c r="H1049" s="50" t="str"/>
      <x:c r="I1049" s="50" t="str"/>
      <x:c r="J1049" s="50" t="str"/>
      <x:c r="K1049" s="47" t="str"/>
      <x:c r="L1049" s="50" t="str"/>
      <x:c r="M1049" s="50" t="str"/>
      <x:c r="N1049" s="47" t="str"/>
      <x:c r="O1049" s="50" t="str"/>
      <x:c r="P1049" s="64" t="str">
        <x:f>IF(O1049="","",O1049*2)</x:f>
      </x:c>
      <x:c r="Q1049" s="50" t="str"/>
      <x:c r="R1049" s="47" t="str"/>
      <x:c r="S1049" s="33" t="str">
        <x:v>Not Tested</x:v>
      </x:c>
      <x:c r="T1049" s="64" t="str">
        <x:v>Eligible</x:v>
      </x:c>
      <x:c r="U1049" s="47" t="str">
        <x:v>DHH W Series Bite-To-The-Wire</x:v>
      </x:c>
      <x:c r="V1049" s="47" t="str">
        <x:v>4SH-12</x:v>
      </x:c>
      <x:c r="W1049" s="47" t="str">
        <x:v>Crimp full shell</x:v>
      </x:c>
      <x:c r="X1049" s="50" t="n">
        <x:v>33.55</x:v>
      </x:c>
      <x:c r="Y1049" s="50" t="n">
        <x:v>0.13</x:v>
      </x:c>
      <x:c r="Z1049" s="47" t="str">
        <x:v>https://www.discounthydraulichose.com/v/vspfiles/downloadables/crimp.pdf (catalog p.104)</x:v>
      </x:c>
      <x:c r="AA1049" s="47" t="str">
        <x:v>Published reference data; applicability is limited to the listed reference system and hose code.</x:v>
      </x:c>
      <x:c r="AB1049" s="161" t="str">
        <x:v>Pending</x:v>
      </x:c>
    </x:row>
    <x:row r="1050" ht="42" customHeight="1">
      <x:c r="A1050" s="33" t="str">
        <x:v>Draft</x:v>
      </x:c>
      <x:c r="B1050" s="47" t="str">
        <x:v>COMP_1046</x:v>
      </x:c>
      <x:c r="C1050" s="47" t="str">
        <x:v>EN4SH_002</x:v>
      </x:c>
      <x:c r="D1050" s="47" t="str">
        <x:v>ORFS_F_SW_10_12</x:v>
      </x:c>
      <x:c r="E1050" s="47" t="str">
        <x:v>EN4SH_4SH_002</x:v>
      </x:c>
      <x:c r="F1050" s="47" t="str"/>
      <x:c r="G1050" s="33" t="str"/>
      <x:c r="H1050" s="50" t="str"/>
      <x:c r="I1050" s="50" t="str"/>
      <x:c r="J1050" s="50" t="str"/>
      <x:c r="K1050" s="47" t="str"/>
      <x:c r="L1050" s="50" t="str"/>
      <x:c r="M1050" s="50" t="str"/>
      <x:c r="N1050" s="47" t="str"/>
      <x:c r="O1050" s="50" t="str"/>
      <x:c r="P1050" s="64" t="str">
        <x:f>IF(O1050="","",O1050*2)</x:f>
      </x:c>
      <x:c r="Q1050" s="50" t="str"/>
      <x:c r="R1050" s="47" t="str"/>
      <x:c r="S1050" s="33" t="str">
        <x:v>Not Tested</x:v>
      </x:c>
      <x:c r="T1050" s="64" t="str">
        <x:v>Eligible</x:v>
      </x:c>
      <x:c r="U1050" s="47" t="str">
        <x:v>DHH W Series Bite-To-The-Wire</x:v>
      </x:c>
      <x:c r="V1050" s="47" t="str">
        <x:v>4SH-12</x:v>
      </x:c>
      <x:c r="W1050" s="47" t="str">
        <x:v>Crimp full shell</x:v>
      </x:c>
      <x:c r="X1050" s="50" t="n">
        <x:v>33.55</x:v>
      </x:c>
      <x:c r="Y1050" s="50" t="n">
        <x:v>0.13</x:v>
      </x:c>
      <x:c r="Z1050" s="47" t="str">
        <x:v>https://www.discounthydraulichose.com/v/vspfiles/downloadables/crimp.pdf (catalog p.104)</x:v>
      </x:c>
      <x:c r="AA1050" s="47" t="str">
        <x:v>Published reference data; applicability is limited to the listed reference system and hose code.</x:v>
      </x:c>
      <x:c r="AB1050" s="161" t="str">
        <x:v>Pending</x:v>
      </x:c>
    </x:row>
    <x:row r="1051" ht="42" customHeight="1">
      <x:c r="A1051" s="33" t="str">
        <x:v>Draft</x:v>
      </x:c>
      <x:c r="B1051" s="47" t="str">
        <x:v>COMP_1047</x:v>
      </x:c>
      <x:c r="C1051" s="47" t="str">
        <x:v>EN4SH_002</x:v>
      </x:c>
      <x:c r="D1051" s="47" t="str">
        <x:v>ORFS_F_SW_12_12</x:v>
      </x:c>
      <x:c r="E1051" s="47" t="str">
        <x:v>EN4SH_4SH_002</x:v>
      </x:c>
      <x:c r="F1051" s="47" t="str"/>
      <x:c r="G1051" s="33" t="str"/>
      <x:c r="H1051" s="50" t="str"/>
      <x:c r="I1051" s="50" t="str"/>
      <x:c r="J1051" s="50" t="str"/>
      <x:c r="K1051" s="47" t="str"/>
      <x:c r="L1051" s="50" t="str"/>
      <x:c r="M1051" s="50" t="str"/>
      <x:c r="N1051" s="47" t="str"/>
      <x:c r="O1051" s="50" t="str"/>
      <x:c r="P1051" s="64" t="str">
        <x:f>IF(O1051="","",O1051*2)</x:f>
      </x:c>
      <x:c r="Q1051" s="50" t="str"/>
      <x:c r="R1051" s="47" t="str"/>
      <x:c r="S1051" s="33" t="str">
        <x:v>Not Tested</x:v>
      </x:c>
      <x:c r="T1051" s="64" t="str">
        <x:v>Eligible</x:v>
      </x:c>
      <x:c r="U1051" s="47" t="str">
        <x:v>DHH W Series Bite-To-The-Wire</x:v>
      </x:c>
      <x:c r="V1051" s="47" t="str">
        <x:v>4SH-12</x:v>
      </x:c>
      <x:c r="W1051" s="47" t="str">
        <x:v>Crimp full shell</x:v>
      </x:c>
      <x:c r="X1051" s="50" t="n">
        <x:v>33.55</x:v>
      </x:c>
      <x:c r="Y1051" s="50" t="n">
        <x:v>0.13</x:v>
      </x:c>
      <x:c r="Z1051" s="47" t="str">
        <x:v>https://www.discounthydraulichose.com/v/vspfiles/downloadables/crimp.pdf (catalog p.104)</x:v>
      </x:c>
      <x:c r="AA1051" s="47" t="str">
        <x:v>Published reference data; applicability is limited to the listed reference system and hose code.</x:v>
      </x:c>
      <x:c r="AB1051" s="161" t="str">
        <x:v>Pending</x:v>
      </x:c>
    </x:row>
    <x:row r="1052" ht="42" customHeight="1">
      <x:c r="A1052" s="33" t="str">
        <x:v>Draft</x:v>
      </x:c>
      <x:c r="B1052" s="47" t="str">
        <x:v>COMP_1048</x:v>
      </x:c>
      <x:c r="C1052" s="47" t="str">
        <x:v>EN4SH_002</x:v>
      </x:c>
      <x:c r="D1052" s="47" t="str">
        <x:v>ORFS_F_SW_16_12</x:v>
      </x:c>
      <x:c r="E1052" s="47" t="str">
        <x:v>EN4SH_4SH_002</x:v>
      </x:c>
      <x:c r="F1052" s="47" t="str"/>
      <x:c r="G1052" s="33" t="str"/>
      <x:c r="H1052" s="50" t="str"/>
      <x:c r="I1052" s="50" t="str"/>
      <x:c r="J1052" s="50" t="str"/>
      <x:c r="K1052" s="47" t="str"/>
      <x:c r="L1052" s="50" t="str"/>
      <x:c r="M1052" s="50" t="str"/>
      <x:c r="N1052" s="47" t="str"/>
      <x:c r="O1052" s="50" t="str"/>
      <x:c r="P1052" s="64" t="str">
        <x:f>IF(O1052="","",O1052*2)</x:f>
      </x:c>
      <x:c r="Q1052" s="50" t="str"/>
      <x:c r="R1052" s="47" t="str"/>
      <x:c r="S1052" s="33" t="str">
        <x:v>Not Tested</x:v>
      </x:c>
      <x:c r="T1052" s="64" t="str">
        <x:v>Eligible</x:v>
      </x:c>
      <x:c r="U1052" s="47" t="str">
        <x:v>DHH W Series Bite-To-The-Wire</x:v>
      </x:c>
      <x:c r="V1052" s="47" t="str">
        <x:v>4SH-12</x:v>
      </x:c>
      <x:c r="W1052" s="47" t="str">
        <x:v>Crimp full shell</x:v>
      </x:c>
      <x:c r="X1052" s="50" t="n">
        <x:v>33.55</x:v>
      </x:c>
      <x:c r="Y1052" s="50" t="n">
        <x:v>0.13</x:v>
      </x:c>
      <x:c r="Z1052" s="47" t="str">
        <x:v>https://www.discounthydraulichose.com/v/vspfiles/downloadables/crimp.pdf (catalog p.104)</x:v>
      </x:c>
      <x:c r="AA1052" s="47" t="str">
        <x:v>Published reference data; applicability is limited to the listed reference system and hose code.</x:v>
      </x:c>
      <x:c r="AB1052" s="161" t="str">
        <x:v>Pending</x:v>
      </x:c>
    </x:row>
    <x:row r="1053" ht="42" customHeight="1">
      <x:c r="A1053" s="33" t="str">
        <x:v>Draft</x:v>
      </x:c>
      <x:c r="B1053" s="47" t="str">
        <x:v>COMP_1049</x:v>
      </x:c>
      <x:c r="C1053" s="47" t="str">
        <x:v>EN4SH_002</x:v>
      </x:c>
      <x:c r="D1053" s="47" t="str">
        <x:v>ORFS_M_FX_12_12</x:v>
      </x:c>
      <x:c r="E1053" s="47" t="str">
        <x:v>EN4SH_4SH_002</x:v>
      </x:c>
      <x:c r="F1053" s="47" t="str"/>
      <x:c r="G1053" s="33" t="str"/>
      <x:c r="H1053" s="50" t="str"/>
      <x:c r="I1053" s="50" t="str"/>
      <x:c r="J1053" s="50" t="str"/>
      <x:c r="K1053" s="47" t="str"/>
      <x:c r="L1053" s="50" t="str"/>
      <x:c r="M1053" s="50" t="str"/>
      <x:c r="N1053" s="47" t="str"/>
      <x:c r="O1053" s="50" t="str"/>
      <x:c r="P1053" s="64" t="str">
        <x:f>IF(O1053="","",O1053*2)</x:f>
      </x:c>
      <x:c r="Q1053" s="50" t="str"/>
      <x:c r="R1053" s="47" t="str"/>
      <x:c r="S1053" s="33" t="str">
        <x:v>Not Tested</x:v>
      </x:c>
      <x:c r="T1053" s="64" t="str">
        <x:v>Eligible</x:v>
      </x:c>
      <x:c r="U1053" s="47" t="str">
        <x:v>DHH W Series Bite-To-The-Wire</x:v>
      </x:c>
      <x:c r="V1053" s="47" t="str">
        <x:v>4SH-12</x:v>
      </x:c>
      <x:c r="W1053" s="47" t="str">
        <x:v>Crimp full shell</x:v>
      </x:c>
      <x:c r="X1053" s="50" t="n">
        <x:v>33.55</x:v>
      </x:c>
      <x:c r="Y1053" s="50" t="n">
        <x:v>0.13</x:v>
      </x:c>
      <x:c r="Z1053" s="47" t="str">
        <x:v>https://www.discounthydraulichose.com/v/vspfiles/downloadables/crimp.pdf (catalog p.104)</x:v>
      </x:c>
      <x:c r="AA1053" s="47" t="str">
        <x:v>Published reference data; applicability is limited to the listed reference system and hose code.</x:v>
      </x:c>
      <x:c r="AB1053" s="161" t="str">
        <x:v>Pending</x:v>
      </x:c>
    </x:row>
    <x:row r="1054" ht="42" customHeight="1">
      <x:c r="A1054" s="33" t="str">
        <x:v>Draft</x:v>
      </x:c>
      <x:c r="B1054" s="47" t="str">
        <x:v>COMP_1050</x:v>
      </x:c>
      <x:c r="C1054" s="47" t="str">
        <x:v>EN4SH_002</x:v>
      </x:c>
      <x:c r="D1054" s="47" t="str">
        <x:v>ORFS_M_FX_16_12</x:v>
      </x:c>
      <x:c r="E1054" s="47" t="str">
        <x:v>EN4SH_4SH_002</x:v>
      </x:c>
      <x:c r="F1054" s="47" t="str"/>
      <x:c r="G1054" s="33" t="str"/>
      <x:c r="H1054" s="50" t="str"/>
      <x:c r="I1054" s="50" t="str"/>
      <x:c r="J1054" s="50" t="str"/>
      <x:c r="K1054" s="47" t="str"/>
      <x:c r="L1054" s="50" t="str"/>
      <x:c r="M1054" s="50" t="str"/>
      <x:c r="N1054" s="47" t="str"/>
      <x:c r="O1054" s="50" t="str"/>
      <x:c r="P1054" s="64" t="str">
        <x:f>IF(O1054="","",O1054*2)</x:f>
      </x:c>
      <x:c r="Q1054" s="50" t="str"/>
      <x:c r="R1054" s="47" t="str"/>
      <x:c r="S1054" s="33" t="str">
        <x:v>Not Tested</x:v>
      </x:c>
      <x:c r="T1054" s="64" t="str">
        <x:v>Eligible</x:v>
      </x:c>
      <x:c r="U1054" s="47" t="str">
        <x:v>DHH W Series Bite-To-The-Wire</x:v>
      </x:c>
      <x:c r="V1054" s="47" t="str">
        <x:v>4SH-12</x:v>
      </x:c>
      <x:c r="W1054" s="47" t="str">
        <x:v>Crimp full shell</x:v>
      </x:c>
      <x:c r="X1054" s="50" t="n">
        <x:v>33.55</x:v>
      </x:c>
      <x:c r="Y1054" s="50" t="n">
        <x:v>0.13</x:v>
      </x:c>
      <x:c r="Z1054" s="47" t="str">
        <x:v>https://www.discounthydraulichose.com/v/vspfiles/downloadables/crimp.pdf (catalog p.104)</x:v>
      </x:c>
      <x:c r="AA1054" s="47" t="str">
        <x:v>Published reference data; applicability is limited to the listed reference system and hose code.</x:v>
      </x:c>
      <x:c r="AB1054" s="161" t="str">
        <x:v>Pending</x:v>
      </x:c>
    </x:row>
    <x:row r="1055" ht="42" customHeight="1">
      <x:c r="A1055" s="33" t="str">
        <x:v>Draft</x:v>
      </x:c>
      <x:c r="B1055" s="47" t="str">
        <x:v>COMP_1051</x:v>
      </x:c>
      <x:c r="C1055" s="47" t="str">
        <x:v>EN4SH_002</x:v>
      </x:c>
      <x:c r="D1055" s="47" t="str">
        <x:v>ORFS45_F_SW_10_12</x:v>
      </x:c>
      <x:c r="E1055" s="47" t="str">
        <x:v>EN4SH_4SH_002</x:v>
      </x:c>
      <x:c r="F1055" s="47" t="str"/>
      <x:c r="G1055" s="33" t="str"/>
      <x:c r="H1055" s="50" t="str"/>
      <x:c r="I1055" s="50" t="str"/>
      <x:c r="J1055" s="50" t="str"/>
      <x:c r="K1055" s="47" t="str"/>
      <x:c r="L1055" s="50" t="str"/>
      <x:c r="M1055" s="50" t="str"/>
      <x:c r="N1055" s="47" t="str"/>
      <x:c r="O1055" s="50" t="str"/>
      <x:c r="P1055" s="64" t="str">
        <x:f>IF(O1055="","",O1055*2)</x:f>
      </x:c>
      <x:c r="Q1055" s="50" t="str"/>
      <x:c r="R1055" s="47" t="str"/>
      <x:c r="S1055" s="33" t="str">
        <x:v>Not Tested</x:v>
      </x:c>
      <x:c r="T1055" s="64" t="str">
        <x:v>Eligible</x:v>
      </x:c>
      <x:c r="U1055" s="47" t="str">
        <x:v>DHH W Series Bite-To-The-Wire</x:v>
      </x:c>
      <x:c r="V1055" s="47" t="str">
        <x:v>4SH-12</x:v>
      </x:c>
      <x:c r="W1055" s="47" t="str">
        <x:v>Crimp full shell</x:v>
      </x:c>
      <x:c r="X1055" s="50" t="n">
        <x:v>33.55</x:v>
      </x:c>
      <x:c r="Y1055" s="50" t="n">
        <x:v>0.13</x:v>
      </x:c>
      <x:c r="Z1055" s="47" t="str">
        <x:v>https://www.discounthydraulichose.com/v/vspfiles/downloadables/crimp.pdf (catalog p.104)</x:v>
      </x:c>
      <x:c r="AA1055" s="47" t="str">
        <x:v>Published reference data; applicability is limited to the listed reference system and hose code.</x:v>
      </x:c>
      <x:c r="AB1055" s="161" t="str">
        <x:v>Pending</x:v>
      </x:c>
    </x:row>
    <x:row r="1056" ht="42" customHeight="1">
      <x:c r="A1056" s="33" t="str">
        <x:v>Draft</x:v>
      </x:c>
      <x:c r="B1056" s="47" t="str">
        <x:v>COMP_1052</x:v>
      </x:c>
      <x:c r="C1056" s="47" t="str">
        <x:v>EN4SH_002</x:v>
      </x:c>
      <x:c r="D1056" s="47" t="str">
        <x:v>ORFS45_F_SW_12_12</x:v>
      </x:c>
      <x:c r="E1056" s="47" t="str">
        <x:v>EN4SH_4SH_002</x:v>
      </x:c>
      <x:c r="F1056" s="47" t="str"/>
      <x:c r="G1056" s="33" t="str"/>
      <x:c r="H1056" s="50" t="str"/>
      <x:c r="I1056" s="50" t="str"/>
      <x:c r="J1056" s="50" t="str"/>
      <x:c r="K1056" s="47" t="str"/>
      <x:c r="L1056" s="50" t="str"/>
      <x:c r="M1056" s="50" t="str"/>
      <x:c r="N1056" s="47" t="str"/>
      <x:c r="O1056" s="50" t="str"/>
      <x:c r="P1056" s="64" t="str">
        <x:f>IF(O1056="","",O1056*2)</x:f>
      </x:c>
      <x:c r="Q1056" s="50" t="str"/>
      <x:c r="R1056" s="47" t="str"/>
      <x:c r="S1056" s="33" t="str">
        <x:v>Not Tested</x:v>
      </x:c>
      <x:c r="T1056" s="64" t="str">
        <x:v>Eligible</x:v>
      </x:c>
      <x:c r="U1056" s="47" t="str">
        <x:v>DHH W Series Bite-To-The-Wire</x:v>
      </x:c>
      <x:c r="V1056" s="47" t="str">
        <x:v>4SH-12</x:v>
      </x:c>
      <x:c r="W1056" s="47" t="str">
        <x:v>Crimp full shell</x:v>
      </x:c>
      <x:c r="X1056" s="50" t="n">
        <x:v>33.55</x:v>
      </x:c>
      <x:c r="Y1056" s="50" t="n">
        <x:v>0.13</x:v>
      </x:c>
      <x:c r="Z1056" s="47" t="str">
        <x:v>https://www.discounthydraulichose.com/v/vspfiles/downloadables/crimp.pdf (catalog p.104)</x:v>
      </x:c>
      <x:c r="AA1056" s="47" t="str">
        <x:v>Published reference data; applicability is limited to the listed reference system and hose code.</x:v>
      </x:c>
      <x:c r="AB1056" s="161" t="str">
        <x:v>Pending</x:v>
      </x:c>
    </x:row>
    <x:row r="1057" ht="42" customHeight="1">
      <x:c r="A1057" s="33" t="str">
        <x:v>Draft</x:v>
      </x:c>
      <x:c r="B1057" s="47" t="str">
        <x:v>COMP_1053</x:v>
      </x:c>
      <x:c r="C1057" s="47" t="str">
        <x:v>EN4SH_002</x:v>
      </x:c>
      <x:c r="D1057" s="47" t="str">
        <x:v>ORFS45_F_SW_16_12</x:v>
      </x:c>
      <x:c r="E1057" s="47" t="str">
        <x:v>EN4SH_4SH_002</x:v>
      </x:c>
      <x:c r="F1057" s="47" t="str"/>
      <x:c r="G1057" s="33" t="str"/>
      <x:c r="H1057" s="50" t="str"/>
      <x:c r="I1057" s="50" t="str"/>
      <x:c r="J1057" s="50" t="str"/>
      <x:c r="K1057" s="47" t="str"/>
      <x:c r="L1057" s="50" t="str"/>
      <x:c r="M1057" s="50" t="str"/>
      <x:c r="N1057" s="47" t="str"/>
      <x:c r="O1057" s="50" t="str"/>
      <x:c r="P1057" s="64" t="str">
        <x:f>IF(O1057="","",O1057*2)</x:f>
      </x:c>
      <x:c r="Q1057" s="50" t="str"/>
      <x:c r="R1057" s="47" t="str"/>
      <x:c r="S1057" s="33" t="str">
        <x:v>Not Tested</x:v>
      </x:c>
      <x:c r="T1057" s="64" t="str">
        <x:v>Eligible</x:v>
      </x:c>
      <x:c r="U1057" s="47" t="str">
        <x:v>DHH W Series Bite-To-The-Wire</x:v>
      </x:c>
      <x:c r="V1057" s="47" t="str">
        <x:v>4SH-12</x:v>
      </x:c>
      <x:c r="W1057" s="47" t="str">
        <x:v>Crimp full shell</x:v>
      </x:c>
      <x:c r="X1057" s="50" t="n">
        <x:v>33.55</x:v>
      </x:c>
      <x:c r="Y1057" s="50" t="n">
        <x:v>0.13</x:v>
      </x:c>
      <x:c r="Z1057" s="47" t="str">
        <x:v>https://www.discounthydraulichose.com/v/vspfiles/downloadables/crimp.pdf (catalog p.104)</x:v>
      </x:c>
      <x:c r="AA1057" s="47" t="str">
        <x:v>Published reference data; applicability is limited to the listed reference system and hose code.</x:v>
      </x:c>
      <x:c r="AB1057" s="161" t="str">
        <x:v>Pending</x:v>
      </x:c>
    </x:row>
    <x:row r="1058" ht="42" customHeight="1">
      <x:c r="A1058" s="33" t="str">
        <x:v>Draft</x:v>
      </x:c>
      <x:c r="B1058" s="47" t="str">
        <x:v>COMP_1054</x:v>
      </x:c>
      <x:c r="C1058" s="47" t="str">
        <x:v>EN4SH_002</x:v>
      </x:c>
      <x:c r="D1058" s="47" t="str">
        <x:v>ORFS90_F_SW_10_12</x:v>
      </x:c>
      <x:c r="E1058" s="47" t="str">
        <x:v>EN4SH_4SH_002</x:v>
      </x:c>
      <x:c r="F1058" s="47" t="str"/>
      <x:c r="G1058" s="33" t="str"/>
      <x:c r="H1058" s="50" t="str"/>
      <x:c r="I1058" s="50" t="str"/>
      <x:c r="J1058" s="50" t="str"/>
      <x:c r="K1058" s="47" t="str"/>
      <x:c r="L1058" s="50" t="str"/>
      <x:c r="M1058" s="50" t="str"/>
      <x:c r="N1058" s="47" t="str"/>
      <x:c r="O1058" s="50" t="str"/>
      <x:c r="P1058" s="64" t="str">
        <x:f>IF(O1058="","",O1058*2)</x:f>
      </x:c>
      <x:c r="Q1058" s="50" t="str"/>
      <x:c r="R1058" s="47" t="str"/>
      <x:c r="S1058" s="33" t="str">
        <x:v>Not Tested</x:v>
      </x:c>
      <x:c r="T1058" s="64" t="str">
        <x:v>Eligible</x:v>
      </x:c>
      <x:c r="U1058" s="47" t="str">
        <x:v>DHH W Series Bite-To-The-Wire</x:v>
      </x:c>
      <x:c r="V1058" s="47" t="str">
        <x:v>4SH-12</x:v>
      </x:c>
      <x:c r="W1058" s="47" t="str">
        <x:v>Crimp full shell</x:v>
      </x:c>
      <x:c r="X1058" s="50" t="n">
        <x:v>33.55</x:v>
      </x:c>
      <x:c r="Y1058" s="50" t="n">
        <x:v>0.13</x:v>
      </x:c>
      <x:c r="Z1058" s="47" t="str">
        <x:v>https://www.discounthydraulichose.com/v/vspfiles/downloadables/crimp.pdf (catalog p.104)</x:v>
      </x:c>
      <x:c r="AA1058" s="47" t="str">
        <x:v>Published reference data; applicability is limited to the listed reference system and hose code.</x:v>
      </x:c>
      <x:c r="AB1058" s="161" t="str">
        <x:v>Pending</x:v>
      </x:c>
    </x:row>
    <x:row r="1059" ht="42" customHeight="1">
      <x:c r="A1059" s="33" t="str">
        <x:v>Draft</x:v>
      </x:c>
      <x:c r="B1059" s="47" t="str">
        <x:v>COMP_1055</x:v>
      </x:c>
      <x:c r="C1059" s="47" t="str">
        <x:v>EN4SH_002</x:v>
      </x:c>
      <x:c r="D1059" s="47" t="str">
        <x:v>ORFS90_F_SW_12_12</x:v>
      </x:c>
      <x:c r="E1059" s="47" t="str">
        <x:v>EN4SH_4SH_002</x:v>
      </x:c>
      <x:c r="F1059" s="47" t="str"/>
      <x:c r="G1059" s="33" t="str"/>
      <x:c r="H1059" s="50" t="str"/>
      <x:c r="I1059" s="50" t="str"/>
      <x:c r="J1059" s="50" t="str"/>
      <x:c r="K1059" s="47" t="str"/>
      <x:c r="L1059" s="50" t="str"/>
      <x:c r="M1059" s="50" t="str"/>
      <x:c r="N1059" s="47" t="str"/>
      <x:c r="O1059" s="50" t="str"/>
      <x:c r="P1059" s="64" t="str">
        <x:f>IF(O1059="","",O1059*2)</x:f>
      </x:c>
      <x:c r="Q1059" s="50" t="str"/>
      <x:c r="R1059" s="47" t="str"/>
      <x:c r="S1059" s="33" t="str">
        <x:v>Not Tested</x:v>
      </x:c>
      <x:c r="T1059" s="64" t="str">
        <x:v>Eligible</x:v>
      </x:c>
      <x:c r="U1059" s="47" t="str">
        <x:v>DHH W Series Bite-To-The-Wire</x:v>
      </x:c>
      <x:c r="V1059" s="47" t="str">
        <x:v>4SH-12</x:v>
      </x:c>
      <x:c r="W1059" s="47" t="str">
        <x:v>Crimp full shell</x:v>
      </x:c>
      <x:c r="X1059" s="50" t="n">
        <x:v>33.55</x:v>
      </x:c>
      <x:c r="Y1059" s="50" t="n">
        <x:v>0.13</x:v>
      </x:c>
      <x:c r="Z1059" s="47" t="str">
        <x:v>https://www.discounthydraulichose.com/v/vspfiles/downloadables/crimp.pdf (catalog p.104)</x:v>
      </x:c>
      <x:c r="AA1059" s="47" t="str">
        <x:v>Published reference data; applicability is limited to the listed reference system and hose code.</x:v>
      </x:c>
      <x:c r="AB1059" s="161" t="str">
        <x:v>Pending</x:v>
      </x:c>
    </x:row>
    <x:row r="1060" ht="42" customHeight="1">
      <x:c r="A1060" s="33" t="str">
        <x:v>Draft</x:v>
      </x:c>
      <x:c r="B1060" s="47" t="str">
        <x:v>COMP_1056</x:v>
      </x:c>
      <x:c r="C1060" s="47" t="str">
        <x:v>EN4SH_002</x:v>
      </x:c>
      <x:c r="D1060" s="47" t="str">
        <x:v>ORFS90_F_SW_16_12</x:v>
      </x:c>
      <x:c r="E1060" s="47" t="str">
        <x:v>EN4SH_4SH_002</x:v>
      </x:c>
      <x:c r="F1060" s="47" t="str"/>
      <x:c r="G1060" s="33" t="str"/>
      <x:c r="H1060" s="50" t="str"/>
      <x:c r="I1060" s="50" t="str"/>
      <x:c r="J1060" s="50" t="str"/>
      <x:c r="K1060" s="47" t="str"/>
      <x:c r="L1060" s="50" t="str"/>
      <x:c r="M1060" s="50" t="str"/>
      <x:c r="N1060" s="47" t="str"/>
      <x:c r="O1060" s="50" t="str"/>
      <x:c r="P1060" s="64" t="str">
        <x:f>IF(O1060="","",O1060*2)</x:f>
      </x:c>
      <x:c r="Q1060" s="50" t="str"/>
      <x:c r="R1060" s="47" t="str"/>
      <x:c r="S1060" s="33" t="str">
        <x:v>Not Tested</x:v>
      </x:c>
      <x:c r="T1060" s="64" t="str">
        <x:v>Eligible</x:v>
      </x:c>
      <x:c r="U1060" s="47" t="str">
        <x:v>DHH W Series Bite-To-The-Wire</x:v>
      </x:c>
      <x:c r="V1060" s="47" t="str">
        <x:v>4SH-12</x:v>
      </x:c>
      <x:c r="W1060" s="47" t="str">
        <x:v>Crimp full shell</x:v>
      </x:c>
      <x:c r="X1060" s="50" t="n">
        <x:v>33.55</x:v>
      </x:c>
      <x:c r="Y1060" s="50" t="n">
        <x:v>0.13</x:v>
      </x:c>
      <x:c r="Z1060" s="47" t="str">
        <x:v>https://www.discounthydraulichose.com/v/vspfiles/downloadables/crimp.pdf (catalog p.104)</x:v>
      </x:c>
      <x:c r="AA1060" s="47" t="str">
        <x:v>Published reference data; applicability is limited to the listed reference system and hose code.</x:v>
      </x:c>
      <x:c r="AB1060" s="161" t="str">
        <x:v>Pending</x:v>
      </x:c>
    </x:row>
    <x:row r="1061" ht="42" customHeight="1">
      <x:c r="A1061" s="33" t="str">
        <x:v>Draft</x:v>
      </x:c>
      <x:c r="B1061" s="47" t="str">
        <x:v>COMP_1057</x:v>
      </x:c>
      <x:c r="C1061" s="47" t="str">
        <x:v>EN4SH_003</x:v>
      </x:c>
      <x:c r="D1061" s="47" t="str">
        <x:v>BSPP_F_SW_16_16</x:v>
      </x:c>
      <x:c r="E1061" s="47" t="str">
        <x:v>EN4SH_4SH_003</x:v>
      </x:c>
      <x:c r="F1061" s="47" t="str"/>
      <x:c r="G1061" s="33" t="str"/>
      <x:c r="H1061" s="50" t="str"/>
      <x:c r="I1061" s="50" t="str"/>
      <x:c r="J1061" s="50" t="str"/>
      <x:c r="K1061" s="47" t="str"/>
      <x:c r="L1061" s="50" t="str"/>
      <x:c r="M1061" s="50" t="str"/>
      <x:c r="N1061" s="47" t="str"/>
      <x:c r="O1061" s="50" t="str"/>
      <x:c r="P1061" s="64" t="str">
        <x:f>IF(O1061="","",O1061*2)</x:f>
      </x:c>
      <x:c r="Q1061" s="50" t="str"/>
      <x:c r="R1061" s="47" t="str"/>
      <x:c r="S1061" s="33" t="str">
        <x:v>Not Tested</x:v>
      </x:c>
      <x:c r="T1061" s="64" t="str">
        <x:v>Eligible</x:v>
      </x:c>
      <x:c r="U1061" s="47" t="str">
        <x:v>DHH W Series Bite-To-The-Wire</x:v>
      </x:c>
      <x:c r="V1061" s="47" t="str">
        <x:v>4SH-16</x:v>
      </x:c>
      <x:c r="W1061" s="47" t="str">
        <x:v>Crimp full shell</x:v>
      </x:c>
      <x:c r="X1061" s="50" t="n">
        <x:v>41.4</x:v>
      </x:c>
      <x:c r="Y1061" s="50" t="n">
        <x:v>0.13</x:v>
      </x:c>
      <x:c r="Z1061" s="47" t="str">
        <x:v>https://www.discounthydraulichose.com/v/vspfiles/downloadables/crimp.pdf (catalog p.104)</x:v>
      </x:c>
      <x:c r="AA1061" s="47" t="str">
        <x:v>Published reference data; applicability is limited to the listed reference system and hose code.</x:v>
      </x:c>
      <x:c r="AB1061" s="161" t="str">
        <x:v>Pending</x:v>
      </x:c>
    </x:row>
    <x:row r="1062" ht="42" customHeight="1">
      <x:c r="A1062" s="33" t="str">
        <x:v>Draft</x:v>
      </x:c>
      <x:c r="B1062" s="47" t="str">
        <x:v>COMP_1058</x:v>
      </x:c>
      <x:c r="C1062" s="47" t="str">
        <x:v>EN4SH_003</x:v>
      </x:c>
      <x:c r="D1062" s="47" t="str">
        <x:v>BSPP45_F_SW_16_16</x:v>
      </x:c>
      <x:c r="E1062" s="47" t="str">
        <x:v>EN4SH_4SH_003</x:v>
      </x:c>
      <x:c r="F1062" s="47" t="str"/>
      <x:c r="G1062" s="33" t="str"/>
      <x:c r="H1062" s="50" t="str"/>
      <x:c r="I1062" s="50" t="str"/>
      <x:c r="J1062" s="50" t="str"/>
      <x:c r="K1062" s="47" t="str"/>
      <x:c r="L1062" s="50" t="str"/>
      <x:c r="M1062" s="50" t="str"/>
      <x:c r="N1062" s="47" t="str"/>
      <x:c r="O1062" s="50" t="str"/>
      <x:c r="P1062" s="64" t="str">
        <x:f>IF(O1062="","",O1062*2)</x:f>
      </x:c>
      <x:c r="Q1062" s="50" t="str"/>
      <x:c r="R1062" s="47" t="str"/>
      <x:c r="S1062" s="33" t="str">
        <x:v>Not Tested</x:v>
      </x:c>
      <x:c r="T1062" s="64" t="str">
        <x:v>Eligible</x:v>
      </x:c>
      <x:c r="U1062" s="47" t="str">
        <x:v>DHH W Series Bite-To-The-Wire</x:v>
      </x:c>
      <x:c r="V1062" s="47" t="str">
        <x:v>4SH-16</x:v>
      </x:c>
      <x:c r="W1062" s="47" t="str">
        <x:v>Crimp full shell</x:v>
      </x:c>
      <x:c r="X1062" s="50" t="n">
        <x:v>41.4</x:v>
      </x:c>
      <x:c r="Y1062" s="50" t="n">
        <x:v>0.13</x:v>
      </x:c>
      <x:c r="Z1062" s="47" t="str">
        <x:v>https://www.discounthydraulichose.com/v/vspfiles/downloadables/crimp.pdf (catalog p.104)</x:v>
      </x:c>
      <x:c r="AA1062" s="47" t="str">
        <x:v>Published reference data; applicability is limited to the listed reference system and hose code.</x:v>
      </x:c>
      <x:c r="AB1062" s="161" t="str">
        <x:v>Pending</x:v>
      </x:c>
    </x:row>
    <x:row r="1063" ht="42" customHeight="1">
      <x:c r="A1063" s="33" t="str">
        <x:v>Draft</x:v>
      </x:c>
      <x:c r="B1063" s="47" t="str">
        <x:v>COMP_1059</x:v>
      </x:c>
      <x:c r="C1063" s="47" t="str">
        <x:v>EN4SH_003</x:v>
      </x:c>
      <x:c r="D1063" s="47" t="str">
        <x:v>BSPP90_F_SW_16_16</x:v>
      </x:c>
      <x:c r="E1063" s="47" t="str">
        <x:v>EN4SH_4SH_003</x:v>
      </x:c>
      <x:c r="F1063" s="47" t="str"/>
      <x:c r="G1063" s="33" t="str"/>
      <x:c r="H1063" s="50" t="str"/>
      <x:c r="I1063" s="50" t="str"/>
      <x:c r="J1063" s="50" t="str"/>
      <x:c r="K1063" s="47" t="str"/>
      <x:c r="L1063" s="50" t="str"/>
      <x:c r="M1063" s="50" t="str"/>
      <x:c r="N1063" s="47" t="str"/>
      <x:c r="O1063" s="50" t="str"/>
      <x:c r="P1063" s="64" t="str">
        <x:f>IF(O1063="","",O1063*2)</x:f>
      </x:c>
      <x:c r="Q1063" s="50" t="str"/>
      <x:c r="R1063" s="47" t="str"/>
      <x:c r="S1063" s="33" t="str">
        <x:v>Not Tested</x:v>
      </x:c>
      <x:c r="T1063" s="64" t="str">
        <x:v>Eligible</x:v>
      </x:c>
      <x:c r="U1063" s="47" t="str">
        <x:v>DHH W Series Bite-To-The-Wire</x:v>
      </x:c>
      <x:c r="V1063" s="47" t="str">
        <x:v>4SH-16</x:v>
      </x:c>
      <x:c r="W1063" s="47" t="str">
        <x:v>Crimp full shell</x:v>
      </x:c>
      <x:c r="X1063" s="50" t="n">
        <x:v>41.4</x:v>
      </x:c>
      <x:c r="Y1063" s="50" t="n">
        <x:v>0.13</x:v>
      </x:c>
      <x:c r="Z1063" s="47" t="str">
        <x:v>https://www.discounthydraulichose.com/v/vspfiles/downloadables/crimp.pdf (catalog p.104)</x:v>
      </x:c>
      <x:c r="AA1063" s="47" t="str">
        <x:v>Published reference data; applicability is limited to the listed reference system and hose code.</x:v>
      </x:c>
      <x:c r="AB1063" s="161" t="str">
        <x:v>Pending</x:v>
      </x:c>
    </x:row>
    <x:row r="1064" ht="42" customHeight="1">
      <x:c r="A1064" s="33" t="str">
        <x:v>Draft</x:v>
      </x:c>
      <x:c r="B1064" s="47" t="str">
        <x:v>COMP_1060</x:v>
      </x:c>
      <x:c r="C1064" s="47" t="str">
        <x:v>EN4SH_003</x:v>
      </x:c>
      <x:c r="D1064" s="47" t="str">
        <x:v>BSPT_M_FX_16_16</x:v>
      </x:c>
      <x:c r="E1064" s="47" t="str">
        <x:v>EN4SH_4SH_003</x:v>
      </x:c>
      <x:c r="F1064" s="47" t="str"/>
      <x:c r="G1064" s="33" t="str"/>
      <x:c r="H1064" s="50" t="str"/>
      <x:c r="I1064" s="50" t="str"/>
      <x:c r="J1064" s="50" t="str"/>
      <x:c r="K1064" s="47" t="str"/>
      <x:c r="L1064" s="50" t="str"/>
      <x:c r="M1064" s="50" t="str"/>
      <x:c r="N1064" s="47" t="str"/>
      <x:c r="O1064" s="50" t="str"/>
      <x:c r="P1064" s="64" t="str">
        <x:f>IF(O1064="","",O1064*2)</x:f>
      </x:c>
      <x:c r="Q1064" s="50" t="str"/>
      <x:c r="R1064" s="47" t="str"/>
      <x:c r="S1064" s="33" t="str">
        <x:v>Not Tested</x:v>
      </x:c>
      <x:c r="T1064" s="64" t="str">
        <x:v>Eligible</x:v>
      </x:c>
      <x:c r="U1064" s="47" t="str">
        <x:v>DHH W Series Bite-To-The-Wire</x:v>
      </x:c>
      <x:c r="V1064" s="47" t="str">
        <x:v>4SH-16</x:v>
      </x:c>
      <x:c r="W1064" s="47" t="str">
        <x:v>Crimp full shell</x:v>
      </x:c>
      <x:c r="X1064" s="50" t="n">
        <x:v>41.4</x:v>
      </x:c>
      <x:c r="Y1064" s="50" t="n">
        <x:v>0.13</x:v>
      </x:c>
      <x:c r="Z1064" s="47" t="str">
        <x:v>https://www.discounthydraulichose.com/v/vspfiles/downloadables/crimp.pdf (catalog p.104)</x:v>
      </x:c>
      <x:c r="AA1064" s="47" t="str">
        <x:v>Published reference data; applicability is limited to the listed reference system and hose code.</x:v>
      </x:c>
      <x:c r="AB1064" s="161" t="str">
        <x:v>Pending</x:v>
      </x:c>
    </x:row>
    <x:row r="1065" ht="42" customHeight="1">
      <x:c r="A1065" s="33" t="str">
        <x:v>Draft</x:v>
      </x:c>
      <x:c r="B1065" s="47" t="str">
        <x:v>COMP_1061</x:v>
      </x:c>
      <x:c r="C1065" s="47" t="str">
        <x:v>EN4SH_003</x:v>
      </x:c>
      <x:c r="D1065" s="47" t="str">
        <x:v>JIC_F_SW_12_16</x:v>
      </x:c>
      <x:c r="E1065" s="47" t="str">
        <x:v>EN4SH_4SH_003</x:v>
      </x:c>
      <x:c r="F1065" s="47" t="str"/>
      <x:c r="G1065" s="33" t="str"/>
      <x:c r="H1065" s="50" t="str"/>
      <x:c r="I1065" s="50" t="str"/>
      <x:c r="J1065" s="50" t="str"/>
      <x:c r="K1065" s="47" t="str"/>
      <x:c r="L1065" s="50" t="str"/>
      <x:c r="M1065" s="50" t="str"/>
      <x:c r="N1065" s="47" t="str"/>
      <x:c r="O1065" s="50" t="str"/>
      <x:c r="P1065" s="64" t="str">
        <x:f>IF(O1065="","",O1065*2)</x:f>
      </x:c>
      <x:c r="Q1065" s="50" t="str"/>
      <x:c r="R1065" s="47" t="str"/>
      <x:c r="S1065" s="33" t="str">
        <x:v>Not Tested</x:v>
      </x:c>
      <x:c r="T1065" s="64" t="str">
        <x:v>Eligible</x:v>
      </x:c>
      <x:c r="U1065" s="47" t="str">
        <x:v>DHH W Series Bite-To-The-Wire</x:v>
      </x:c>
      <x:c r="V1065" s="47" t="str">
        <x:v>4SH-16</x:v>
      </x:c>
      <x:c r="W1065" s="47" t="str">
        <x:v>Crimp full shell</x:v>
      </x:c>
      <x:c r="X1065" s="50" t="n">
        <x:v>41.4</x:v>
      </x:c>
      <x:c r="Y1065" s="50" t="n">
        <x:v>0.13</x:v>
      </x:c>
      <x:c r="Z1065" s="47" t="str">
        <x:v>https://www.discounthydraulichose.com/v/vspfiles/downloadables/crimp.pdf (catalog p.104)</x:v>
      </x:c>
      <x:c r="AA1065" s="47" t="str">
        <x:v>Published reference data; applicability is limited to the listed reference system and hose code.</x:v>
      </x:c>
      <x:c r="AB1065" s="161" t="str">
        <x:v>Pending</x:v>
      </x:c>
    </x:row>
    <x:row r="1066" ht="42" customHeight="1">
      <x:c r="A1066" s="33" t="str">
        <x:v>Draft</x:v>
      </x:c>
      <x:c r="B1066" s="47" t="str">
        <x:v>COMP_1062</x:v>
      </x:c>
      <x:c r="C1066" s="47" t="str">
        <x:v>EN4SH_003</x:v>
      </x:c>
      <x:c r="D1066" s="47" t="str">
        <x:v>JIC_F_SW_16_16</x:v>
      </x:c>
      <x:c r="E1066" s="47" t="str">
        <x:v>EN4SH_4SH_003</x:v>
      </x:c>
      <x:c r="F1066" s="47" t="str"/>
      <x:c r="G1066" s="33" t="str"/>
      <x:c r="H1066" s="50" t="str"/>
      <x:c r="I1066" s="50" t="str"/>
      <x:c r="J1066" s="50" t="str"/>
      <x:c r="K1066" s="47" t="str"/>
      <x:c r="L1066" s="50" t="str"/>
      <x:c r="M1066" s="50" t="str"/>
      <x:c r="N1066" s="47" t="str"/>
      <x:c r="O1066" s="50" t="str"/>
      <x:c r="P1066" s="64" t="str">
        <x:f>IF(O1066="","",O1066*2)</x:f>
      </x:c>
      <x:c r="Q1066" s="50" t="str"/>
      <x:c r="R1066" s="47" t="str"/>
      <x:c r="S1066" s="33" t="str">
        <x:v>Not Tested</x:v>
      </x:c>
      <x:c r="T1066" s="64" t="str">
        <x:v>Eligible</x:v>
      </x:c>
      <x:c r="U1066" s="47" t="str">
        <x:v>DHH W Series Bite-To-The-Wire</x:v>
      </x:c>
      <x:c r="V1066" s="47" t="str">
        <x:v>4SH-16</x:v>
      </x:c>
      <x:c r="W1066" s="47" t="str">
        <x:v>Crimp full shell</x:v>
      </x:c>
      <x:c r="X1066" s="50" t="n">
        <x:v>41.4</x:v>
      </x:c>
      <x:c r="Y1066" s="50" t="n">
        <x:v>0.13</x:v>
      </x:c>
      <x:c r="Z1066" s="47" t="str">
        <x:v>https://www.discounthydraulichose.com/v/vspfiles/downloadables/crimp.pdf (catalog p.104)</x:v>
      </x:c>
      <x:c r="AA1066" s="47" t="str">
        <x:v>Published reference data; applicability is limited to the listed reference system and hose code.</x:v>
      </x:c>
      <x:c r="AB1066" s="161" t="str">
        <x:v>Pending</x:v>
      </x:c>
    </x:row>
    <x:row r="1067" ht="42" customHeight="1">
      <x:c r="A1067" s="33" t="str">
        <x:v>Draft</x:v>
      </x:c>
      <x:c r="B1067" s="47" t="str">
        <x:v>COMP_1063</x:v>
      </x:c>
      <x:c r="C1067" s="47" t="str">
        <x:v>EN4SH_003</x:v>
      </x:c>
      <x:c r="D1067" s="47" t="str">
        <x:v>JIC_F_SW_20_16</x:v>
      </x:c>
      <x:c r="E1067" s="47" t="str">
        <x:v>EN4SH_4SH_003</x:v>
      </x:c>
      <x:c r="F1067" s="47" t="str"/>
      <x:c r="G1067" s="33" t="str"/>
      <x:c r="H1067" s="50" t="str"/>
      <x:c r="I1067" s="50" t="str"/>
      <x:c r="J1067" s="50" t="str"/>
      <x:c r="K1067" s="47" t="str"/>
      <x:c r="L1067" s="50" t="str"/>
      <x:c r="M1067" s="50" t="str"/>
      <x:c r="N1067" s="47" t="str"/>
      <x:c r="O1067" s="50" t="str"/>
      <x:c r="P1067" s="64" t="str">
        <x:f>IF(O1067="","",O1067*2)</x:f>
      </x:c>
      <x:c r="Q1067" s="50" t="str"/>
      <x:c r="R1067" s="47" t="str"/>
      <x:c r="S1067" s="33" t="str">
        <x:v>Not Tested</x:v>
      </x:c>
      <x:c r="T1067" s="64" t="str">
        <x:v>Eligible</x:v>
      </x:c>
      <x:c r="U1067" s="47" t="str">
        <x:v>DHH W Series Bite-To-The-Wire</x:v>
      </x:c>
      <x:c r="V1067" s="47" t="str">
        <x:v>4SH-16</x:v>
      </x:c>
      <x:c r="W1067" s="47" t="str">
        <x:v>Crimp full shell</x:v>
      </x:c>
      <x:c r="X1067" s="50" t="n">
        <x:v>41.4</x:v>
      </x:c>
      <x:c r="Y1067" s="50" t="n">
        <x:v>0.13</x:v>
      </x:c>
      <x:c r="Z1067" s="47" t="str">
        <x:v>https://www.discounthydraulichose.com/v/vspfiles/downloadables/crimp.pdf (catalog p.104)</x:v>
      </x:c>
      <x:c r="AA1067" s="47" t="str">
        <x:v>Published reference data; applicability is limited to the listed reference system and hose code.</x:v>
      </x:c>
      <x:c r="AB1067" s="161" t="str">
        <x:v>Pending</x:v>
      </x:c>
    </x:row>
    <x:row r="1068" ht="42" customHeight="1">
      <x:c r="A1068" s="33" t="str">
        <x:v>Draft</x:v>
      </x:c>
      <x:c r="B1068" s="47" t="str">
        <x:v>COMP_1064</x:v>
      </x:c>
      <x:c r="C1068" s="47" t="str">
        <x:v>EN4SH_003</x:v>
      </x:c>
      <x:c r="D1068" s="47" t="str">
        <x:v>JIC_M_FX_16_16</x:v>
      </x:c>
      <x:c r="E1068" s="47" t="str">
        <x:v>EN4SH_4SH_003</x:v>
      </x:c>
      <x:c r="F1068" s="47" t="str"/>
      <x:c r="G1068" s="33" t="str"/>
      <x:c r="H1068" s="50" t="str"/>
      <x:c r="I1068" s="50" t="str"/>
      <x:c r="J1068" s="50" t="str"/>
      <x:c r="K1068" s="47" t="str"/>
      <x:c r="L1068" s="50" t="str"/>
      <x:c r="M1068" s="50" t="str"/>
      <x:c r="N1068" s="47" t="str"/>
      <x:c r="O1068" s="50" t="str"/>
      <x:c r="P1068" s="64" t="str">
        <x:f>IF(O1068="","",O1068*2)</x:f>
      </x:c>
      <x:c r="Q1068" s="50" t="str"/>
      <x:c r="R1068" s="47" t="str"/>
      <x:c r="S1068" s="33" t="str">
        <x:v>Not Tested</x:v>
      </x:c>
      <x:c r="T1068" s="64" t="str">
        <x:v>Eligible</x:v>
      </x:c>
      <x:c r="U1068" s="47" t="str">
        <x:v>DHH W Series Bite-To-The-Wire</x:v>
      </x:c>
      <x:c r="V1068" s="47" t="str">
        <x:v>4SH-16</x:v>
      </x:c>
      <x:c r="W1068" s="47" t="str">
        <x:v>Crimp full shell</x:v>
      </x:c>
      <x:c r="X1068" s="50" t="n">
        <x:v>41.4</x:v>
      </x:c>
      <x:c r="Y1068" s="50" t="n">
        <x:v>0.13</x:v>
      </x:c>
      <x:c r="Z1068" s="47" t="str">
        <x:v>https://www.discounthydraulichose.com/v/vspfiles/downloadables/crimp.pdf (catalog p.104)</x:v>
      </x:c>
      <x:c r="AA1068" s="47" t="str">
        <x:v>Published reference data; applicability is limited to the listed reference system and hose code.</x:v>
      </x:c>
      <x:c r="AB1068" s="161" t="str">
        <x:v>Pending</x:v>
      </x:c>
    </x:row>
    <x:row r="1069" ht="42" customHeight="1">
      <x:c r="A1069" s="33" t="str">
        <x:v>Draft</x:v>
      </x:c>
      <x:c r="B1069" s="47" t="str">
        <x:v>COMP_1065</x:v>
      </x:c>
      <x:c r="C1069" s="47" t="str">
        <x:v>EN4SH_003</x:v>
      </x:c>
      <x:c r="D1069" s="47" t="str">
        <x:v>JIC_M_FX_20_16</x:v>
      </x:c>
      <x:c r="E1069" s="47" t="str">
        <x:v>EN4SH_4SH_003</x:v>
      </x:c>
      <x:c r="F1069" s="47" t="str"/>
      <x:c r="G1069" s="33" t="str"/>
      <x:c r="H1069" s="50" t="str"/>
      <x:c r="I1069" s="50" t="str"/>
      <x:c r="J1069" s="50" t="str"/>
      <x:c r="K1069" s="47" t="str"/>
      <x:c r="L1069" s="50" t="str"/>
      <x:c r="M1069" s="50" t="str"/>
      <x:c r="N1069" s="47" t="str"/>
      <x:c r="O1069" s="50" t="str"/>
      <x:c r="P1069" s="64" t="str">
        <x:f>IF(O1069="","",O1069*2)</x:f>
      </x:c>
      <x:c r="Q1069" s="50" t="str"/>
      <x:c r="R1069" s="47" t="str"/>
      <x:c r="S1069" s="33" t="str">
        <x:v>Not Tested</x:v>
      </x:c>
      <x:c r="T1069" s="64" t="str">
        <x:v>Eligible</x:v>
      </x:c>
      <x:c r="U1069" s="47" t="str">
        <x:v>DHH W Series Bite-To-The-Wire</x:v>
      </x:c>
      <x:c r="V1069" s="47" t="str">
        <x:v>4SH-16</x:v>
      </x:c>
      <x:c r="W1069" s="47" t="str">
        <x:v>Crimp full shell</x:v>
      </x:c>
      <x:c r="X1069" s="50" t="n">
        <x:v>41.4</x:v>
      </x:c>
      <x:c r="Y1069" s="50" t="n">
        <x:v>0.13</x:v>
      </x:c>
      <x:c r="Z1069" s="47" t="str">
        <x:v>https://www.discounthydraulichose.com/v/vspfiles/downloadables/crimp.pdf (catalog p.104)</x:v>
      </x:c>
      <x:c r="AA1069" s="47" t="str">
        <x:v>Published reference data; applicability is limited to the listed reference system and hose code.</x:v>
      </x:c>
      <x:c r="AB1069" s="161" t="str">
        <x:v>Pending</x:v>
      </x:c>
    </x:row>
    <x:row r="1070" ht="42" customHeight="1">
      <x:c r="A1070" s="33" t="str">
        <x:v>Draft</x:v>
      </x:c>
      <x:c r="B1070" s="47" t="str">
        <x:v>COMP_1066</x:v>
      </x:c>
      <x:c r="C1070" s="47" t="str">
        <x:v>EN4SH_003</x:v>
      </x:c>
      <x:c r="D1070" s="47" t="str">
        <x:v>JIC45_F_SW_16_16</x:v>
      </x:c>
      <x:c r="E1070" s="47" t="str">
        <x:v>EN4SH_4SH_003</x:v>
      </x:c>
      <x:c r="F1070" s="47" t="str"/>
      <x:c r="G1070" s="33" t="str"/>
      <x:c r="H1070" s="50" t="str"/>
      <x:c r="I1070" s="50" t="str"/>
      <x:c r="J1070" s="50" t="str"/>
      <x:c r="K1070" s="47" t="str"/>
      <x:c r="L1070" s="50" t="str"/>
      <x:c r="M1070" s="50" t="str"/>
      <x:c r="N1070" s="47" t="str"/>
      <x:c r="O1070" s="50" t="str"/>
      <x:c r="P1070" s="64" t="str">
        <x:f>IF(O1070="","",O1070*2)</x:f>
      </x:c>
      <x:c r="Q1070" s="50" t="str"/>
      <x:c r="R1070" s="47" t="str"/>
      <x:c r="S1070" s="33" t="str">
        <x:v>Not Tested</x:v>
      </x:c>
      <x:c r="T1070" s="64" t="str">
        <x:v>Eligible</x:v>
      </x:c>
      <x:c r="U1070" s="47" t="str">
        <x:v>DHH W Series Bite-To-The-Wire</x:v>
      </x:c>
      <x:c r="V1070" s="47" t="str">
        <x:v>4SH-16</x:v>
      </x:c>
      <x:c r="W1070" s="47" t="str">
        <x:v>Crimp full shell</x:v>
      </x:c>
      <x:c r="X1070" s="50" t="n">
        <x:v>41.4</x:v>
      </x:c>
      <x:c r="Y1070" s="50" t="n">
        <x:v>0.13</x:v>
      </x:c>
      <x:c r="Z1070" s="47" t="str">
        <x:v>https://www.discounthydraulichose.com/v/vspfiles/downloadables/crimp.pdf (catalog p.104)</x:v>
      </x:c>
      <x:c r="AA1070" s="47" t="str">
        <x:v>Published reference data; applicability is limited to the listed reference system and hose code.</x:v>
      </x:c>
      <x:c r="AB1070" s="161" t="str">
        <x:v>Pending</x:v>
      </x:c>
    </x:row>
    <x:row r="1071" ht="42" customHeight="1">
      <x:c r="A1071" s="33" t="str">
        <x:v>Draft</x:v>
      </x:c>
      <x:c r="B1071" s="47" t="str">
        <x:v>COMP_1067</x:v>
      </x:c>
      <x:c r="C1071" s="47" t="str">
        <x:v>EN4SH_003</x:v>
      </x:c>
      <x:c r="D1071" s="47" t="str">
        <x:v>JIC45_F_SW_20_16</x:v>
      </x:c>
      <x:c r="E1071" s="47" t="str">
        <x:v>EN4SH_4SH_003</x:v>
      </x:c>
      <x:c r="F1071" s="47" t="str"/>
      <x:c r="G1071" s="33" t="str"/>
      <x:c r="H1071" s="50" t="str"/>
      <x:c r="I1071" s="50" t="str"/>
      <x:c r="J1071" s="50" t="str"/>
      <x:c r="K1071" s="47" t="str"/>
      <x:c r="L1071" s="50" t="str"/>
      <x:c r="M1071" s="50" t="str"/>
      <x:c r="N1071" s="47" t="str"/>
      <x:c r="O1071" s="50" t="str"/>
      <x:c r="P1071" s="64" t="str">
        <x:f>IF(O1071="","",O1071*2)</x:f>
      </x:c>
      <x:c r="Q1071" s="50" t="str"/>
      <x:c r="R1071" s="47" t="str"/>
      <x:c r="S1071" s="33" t="str">
        <x:v>Not Tested</x:v>
      </x:c>
      <x:c r="T1071" s="64" t="str">
        <x:v>Eligible</x:v>
      </x:c>
      <x:c r="U1071" s="47" t="str">
        <x:v>DHH W Series Bite-To-The-Wire</x:v>
      </x:c>
      <x:c r="V1071" s="47" t="str">
        <x:v>4SH-16</x:v>
      </x:c>
      <x:c r="W1071" s="47" t="str">
        <x:v>Crimp full shell</x:v>
      </x:c>
      <x:c r="X1071" s="50" t="n">
        <x:v>41.4</x:v>
      </x:c>
      <x:c r="Y1071" s="50" t="n">
        <x:v>0.13</x:v>
      </x:c>
      <x:c r="Z1071" s="47" t="str">
        <x:v>https://www.discounthydraulichose.com/v/vspfiles/downloadables/crimp.pdf (catalog p.104)</x:v>
      </x:c>
      <x:c r="AA1071" s="47" t="str">
        <x:v>Published reference data; applicability is limited to the listed reference system and hose code.</x:v>
      </x:c>
      <x:c r="AB1071" s="161" t="str">
        <x:v>Pending</x:v>
      </x:c>
    </x:row>
    <x:row r="1072" ht="42" customHeight="1">
      <x:c r="A1072" s="33" t="str">
        <x:v>Draft</x:v>
      </x:c>
      <x:c r="B1072" s="47" t="str">
        <x:v>COMP_1068</x:v>
      </x:c>
      <x:c r="C1072" s="47" t="str">
        <x:v>EN4SH_003</x:v>
      </x:c>
      <x:c r="D1072" s="47" t="str">
        <x:v>JIC90_F_SW_16_16</x:v>
      </x:c>
      <x:c r="E1072" s="47" t="str">
        <x:v>EN4SH_4SH_003</x:v>
      </x:c>
      <x:c r="F1072" s="47" t="str"/>
      <x:c r="G1072" s="33" t="str"/>
      <x:c r="H1072" s="50" t="str"/>
      <x:c r="I1072" s="50" t="str"/>
      <x:c r="J1072" s="50" t="str"/>
      <x:c r="K1072" s="47" t="str"/>
      <x:c r="L1072" s="50" t="str"/>
      <x:c r="M1072" s="50" t="str"/>
      <x:c r="N1072" s="47" t="str"/>
      <x:c r="O1072" s="50" t="str"/>
      <x:c r="P1072" s="64" t="str">
        <x:f>IF(O1072="","",O1072*2)</x:f>
      </x:c>
      <x:c r="Q1072" s="50" t="str"/>
      <x:c r="R1072" s="47" t="str"/>
      <x:c r="S1072" s="33" t="str">
        <x:v>Not Tested</x:v>
      </x:c>
      <x:c r="T1072" s="64" t="str">
        <x:v>Eligible</x:v>
      </x:c>
      <x:c r="U1072" s="47" t="str">
        <x:v>DHH W Series Bite-To-The-Wire</x:v>
      </x:c>
      <x:c r="V1072" s="47" t="str">
        <x:v>4SH-16</x:v>
      </x:c>
      <x:c r="W1072" s="47" t="str">
        <x:v>Crimp full shell</x:v>
      </x:c>
      <x:c r="X1072" s="50" t="n">
        <x:v>41.4</x:v>
      </x:c>
      <x:c r="Y1072" s="50" t="n">
        <x:v>0.13</x:v>
      </x:c>
      <x:c r="Z1072" s="47" t="str">
        <x:v>https://www.discounthydraulichose.com/v/vspfiles/downloadables/crimp.pdf (catalog p.104)</x:v>
      </x:c>
      <x:c r="AA1072" s="47" t="str">
        <x:v>Published reference data; applicability is limited to the listed reference system and hose code.</x:v>
      </x:c>
      <x:c r="AB1072" s="161" t="str">
        <x:v>Pending</x:v>
      </x:c>
    </x:row>
    <x:row r="1073" ht="42" customHeight="1">
      <x:c r="A1073" s="33" t="str">
        <x:v>Draft</x:v>
      </x:c>
      <x:c r="B1073" s="47" t="str">
        <x:v>COMP_1069</x:v>
      </x:c>
      <x:c r="C1073" s="47" t="str">
        <x:v>EN4SH_003</x:v>
      </x:c>
      <x:c r="D1073" s="47" t="str">
        <x:v>JIC90_F_SW_20_16</x:v>
      </x:c>
      <x:c r="E1073" s="47" t="str">
        <x:v>EN4SH_4SH_003</x:v>
      </x:c>
      <x:c r="F1073" s="47" t="str"/>
      <x:c r="G1073" s="33" t="str"/>
      <x:c r="H1073" s="50" t="str"/>
      <x:c r="I1073" s="50" t="str"/>
      <x:c r="J1073" s="50" t="str"/>
      <x:c r="K1073" s="47" t="str"/>
      <x:c r="L1073" s="50" t="str"/>
      <x:c r="M1073" s="50" t="str"/>
      <x:c r="N1073" s="47" t="str"/>
      <x:c r="O1073" s="50" t="str"/>
      <x:c r="P1073" s="64" t="str">
        <x:f>IF(O1073="","",O1073*2)</x:f>
      </x:c>
      <x:c r="Q1073" s="50" t="str"/>
      <x:c r="R1073" s="47" t="str"/>
      <x:c r="S1073" s="33" t="str">
        <x:v>Not Tested</x:v>
      </x:c>
      <x:c r="T1073" s="64" t="str">
        <x:v>Eligible</x:v>
      </x:c>
      <x:c r="U1073" s="47" t="str">
        <x:v>DHH W Series Bite-To-The-Wire</x:v>
      </x:c>
      <x:c r="V1073" s="47" t="str">
        <x:v>4SH-16</x:v>
      </x:c>
      <x:c r="W1073" s="47" t="str">
        <x:v>Crimp full shell</x:v>
      </x:c>
      <x:c r="X1073" s="50" t="n">
        <x:v>41.4</x:v>
      </x:c>
      <x:c r="Y1073" s="50" t="n">
        <x:v>0.13</x:v>
      </x:c>
      <x:c r="Z1073" s="47" t="str">
        <x:v>https://www.discounthydraulichose.com/v/vspfiles/downloadables/crimp.pdf (catalog p.104)</x:v>
      </x:c>
      <x:c r="AA1073" s="47" t="str">
        <x:v>Published reference data; applicability is limited to the listed reference system and hose code.</x:v>
      </x:c>
      <x:c r="AB1073" s="161" t="str">
        <x:v>Pending</x:v>
      </x:c>
    </x:row>
    <x:row r="1074" ht="42" customHeight="1">
      <x:c r="A1074" s="33" t="str">
        <x:v>Draft</x:v>
      </x:c>
      <x:c r="B1074" s="47" t="str">
        <x:v>COMP_1070</x:v>
      </x:c>
      <x:c r="C1074" s="47" t="str">
        <x:v>EN4SH_003</x:v>
      </x:c>
      <x:c r="D1074" s="47" t="str">
        <x:v>NPT_M_FX_12_16</x:v>
      </x:c>
      <x:c r="E1074" s="47" t="str">
        <x:v>EN4SH_4SH_003</x:v>
      </x:c>
      <x:c r="F1074" s="47" t="str"/>
      <x:c r="G1074" s="33" t="str"/>
      <x:c r="H1074" s="50" t="str"/>
      <x:c r="I1074" s="50" t="str"/>
      <x:c r="J1074" s="50" t="str"/>
      <x:c r="K1074" s="47" t="str"/>
      <x:c r="L1074" s="50" t="str"/>
      <x:c r="M1074" s="50" t="str"/>
      <x:c r="N1074" s="47" t="str"/>
      <x:c r="O1074" s="50" t="str"/>
      <x:c r="P1074" s="64" t="str">
        <x:f>IF(O1074="","",O1074*2)</x:f>
      </x:c>
      <x:c r="Q1074" s="50" t="str"/>
      <x:c r="R1074" s="47" t="str"/>
      <x:c r="S1074" s="33" t="str">
        <x:v>Not Tested</x:v>
      </x:c>
      <x:c r="T1074" s="64" t="str">
        <x:v>Eligible</x:v>
      </x:c>
      <x:c r="U1074" s="47" t="str">
        <x:v>DHH W Series Bite-To-The-Wire</x:v>
      </x:c>
      <x:c r="V1074" s="47" t="str">
        <x:v>4SH-16</x:v>
      </x:c>
      <x:c r="W1074" s="47" t="str">
        <x:v>Crimp full shell</x:v>
      </x:c>
      <x:c r="X1074" s="50" t="n">
        <x:v>41.4</x:v>
      </x:c>
      <x:c r="Y1074" s="50" t="n">
        <x:v>0.13</x:v>
      </x:c>
      <x:c r="Z1074" s="47" t="str">
        <x:v>https://www.discounthydraulichose.com/v/vspfiles/downloadables/crimp.pdf (catalog p.104)</x:v>
      </x:c>
      <x:c r="AA1074" s="47" t="str">
        <x:v>Published reference data; applicability is limited to the listed reference system and hose code.</x:v>
      </x:c>
      <x:c r="AB1074" s="161" t="str">
        <x:v>Pending</x:v>
      </x:c>
    </x:row>
    <x:row r="1075" ht="42" customHeight="1">
      <x:c r="A1075" s="33" t="str">
        <x:v>Draft</x:v>
      </x:c>
      <x:c r="B1075" s="47" t="str">
        <x:v>COMP_1071</x:v>
      </x:c>
      <x:c r="C1075" s="47" t="str">
        <x:v>EN4SH_003</x:v>
      </x:c>
      <x:c r="D1075" s="47" t="str">
        <x:v>NPT_M_FX_16_16</x:v>
      </x:c>
      <x:c r="E1075" s="47" t="str">
        <x:v>EN4SH_4SH_003</x:v>
      </x:c>
      <x:c r="F1075" s="47" t="str"/>
      <x:c r="G1075" s="33" t="str"/>
      <x:c r="H1075" s="50" t="str"/>
      <x:c r="I1075" s="50" t="str"/>
      <x:c r="J1075" s="50" t="str"/>
      <x:c r="K1075" s="47" t="str"/>
      <x:c r="L1075" s="50" t="str"/>
      <x:c r="M1075" s="50" t="str"/>
      <x:c r="N1075" s="47" t="str"/>
      <x:c r="O1075" s="50" t="str"/>
      <x:c r="P1075" s="64" t="str">
        <x:f>IF(O1075="","",O1075*2)</x:f>
      </x:c>
      <x:c r="Q1075" s="50" t="str"/>
      <x:c r="R1075" s="47" t="str"/>
      <x:c r="S1075" s="33" t="str">
        <x:v>Not Tested</x:v>
      </x:c>
      <x:c r="T1075" s="64" t="str">
        <x:v>Eligible</x:v>
      </x:c>
      <x:c r="U1075" s="47" t="str">
        <x:v>DHH W Series Bite-To-The-Wire</x:v>
      </x:c>
      <x:c r="V1075" s="47" t="str">
        <x:v>4SH-16</x:v>
      </x:c>
      <x:c r="W1075" s="47" t="str">
        <x:v>Crimp full shell</x:v>
      </x:c>
      <x:c r="X1075" s="50" t="n">
        <x:v>41.4</x:v>
      </x:c>
      <x:c r="Y1075" s="50" t="n">
        <x:v>0.13</x:v>
      </x:c>
      <x:c r="Z1075" s="47" t="str">
        <x:v>https://www.discounthydraulichose.com/v/vspfiles/downloadables/crimp.pdf (catalog p.104)</x:v>
      </x:c>
      <x:c r="AA1075" s="47" t="str">
        <x:v>Published reference data; applicability is limited to the listed reference system and hose code.</x:v>
      </x:c>
      <x:c r="AB1075" s="161" t="str">
        <x:v>Pending</x:v>
      </x:c>
    </x:row>
    <x:row r="1076" ht="42" customHeight="1">
      <x:c r="A1076" s="33" t="str">
        <x:v>Draft</x:v>
      </x:c>
      <x:c r="B1076" s="47" t="str">
        <x:v>COMP_1072</x:v>
      </x:c>
      <x:c r="C1076" s="47" t="str">
        <x:v>EN4SH_003</x:v>
      </x:c>
      <x:c r="D1076" s="47" t="str">
        <x:v>NPT_M_FX_20_16</x:v>
      </x:c>
      <x:c r="E1076" s="47" t="str">
        <x:v>EN4SH_4SH_003</x:v>
      </x:c>
      <x:c r="F1076" s="47" t="str"/>
      <x:c r="G1076" s="33" t="str"/>
      <x:c r="H1076" s="50" t="str"/>
      <x:c r="I1076" s="50" t="str"/>
      <x:c r="J1076" s="50" t="str"/>
      <x:c r="K1076" s="47" t="str"/>
      <x:c r="L1076" s="50" t="str"/>
      <x:c r="M1076" s="50" t="str"/>
      <x:c r="N1076" s="47" t="str"/>
      <x:c r="O1076" s="50" t="str"/>
      <x:c r="P1076" s="64" t="str">
        <x:f>IF(O1076="","",O1076*2)</x:f>
      </x:c>
      <x:c r="Q1076" s="50" t="str"/>
      <x:c r="R1076" s="47" t="str"/>
      <x:c r="S1076" s="33" t="str">
        <x:v>Not Tested</x:v>
      </x:c>
      <x:c r="T1076" s="64" t="str">
        <x:v>Eligible</x:v>
      </x:c>
      <x:c r="U1076" s="47" t="str">
        <x:v>DHH W Series Bite-To-The-Wire</x:v>
      </x:c>
      <x:c r="V1076" s="47" t="str">
        <x:v>4SH-16</x:v>
      </x:c>
      <x:c r="W1076" s="47" t="str">
        <x:v>Crimp full shell</x:v>
      </x:c>
      <x:c r="X1076" s="50" t="n">
        <x:v>41.4</x:v>
      </x:c>
      <x:c r="Y1076" s="50" t="n">
        <x:v>0.13</x:v>
      </x:c>
      <x:c r="Z1076" s="47" t="str">
        <x:v>https://www.discounthydraulichose.com/v/vspfiles/downloadables/crimp.pdf (catalog p.104)</x:v>
      </x:c>
      <x:c r="AA1076" s="47" t="str">
        <x:v>Published reference data; applicability is limited to the listed reference system and hose code.</x:v>
      </x:c>
      <x:c r="AB1076" s="161" t="str">
        <x:v>Pending</x:v>
      </x:c>
    </x:row>
    <x:row r="1077" ht="42" customHeight="1">
      <x:c r="A1077" s="33" t="str">
        <x:v>Draft</x:v>
      </x:c>
      <x:c r="B1077" s="47" t="str">
        <x:v>COMP_1073</x:v>
      </x:c>
      <x:c r="C1077" s="47" t="str">
        <x:v>EN4SH_003</x:v>
      </x:c>
      <x:c r="D1077" s="47" t="str">
        <x:v>ORFS_F_SW_12_16</x:v>
      </x:c>
      <x:c r="E1077" s="47" t="str">
        <x:v>EN4SH_4SH_003</x:v>
      </x:c>
      <x:c r="F1077" s="47" t="str"/>
      <x:c r="G1077" s="33" t="str"/>
      <x:c r="H1077" s="50" t="str"/>
      <x:c r="I1077" s="50" t="str"/>
      <x:c r="J1077" s="50" t="str"/>
      <x:c r="K1077" s="47" t="str"/>
      <x:c r="L1077" s="50" t="str"/>
      <x:c r="M1077" s="50" t="str"/>
      <x:c r="N1077" s="47" t="str"/>
      <x:c r="O1077" s="50" t="str"/>
      <x:c r="P1077" s="64" t="str">
        <x:f>IF(O1077="","",O1077*2)</x:f>
      </x:c>
      <x:c r="Q1077" s="50" t="str"/>
      <x:c r="R1077" s="47" t="str"/>
      <x:c r="S1077" s="33" t="str">
        <x:v>Not Tested</x:v>
      </x:c>
      <x:c r="T1077" s="64" t="str">
        <x:v>Eligible</x:v>
      </x:c>
      <x:c r="U1077" s="47" t="str">
        <x:v>DHH W Series Bite-To-The-Wire</x:v>
      </x:c>
      <x:c r="V1077" s="47" t="str">
        <x:v>4SH-16</x:v>
      </x:c>
      <x:c r="W1077" s="47" t="str">
        <x:v>Crimp full shell</x:v>
      </x:c>
      <x:c r="X1077" s="50" t="n">
        <x:v>41.4</x:v>
      </x:c>
      <x:c r="Y1077" s="50" t="n">
        <x:v>0.13</x:v>
      </x:c>
      <x:c r="Z1077" s="47" t="str">
        <x:v>https://www.discounthydraulichose.com/v/vspfiles/downloadables/crimp.pdf (catalog p.104)</x:v>
      </x:c>
      <x:c r="AA1077" s="47" t="str">
        <x:v>Published reference data; applicability is limited to the listed reference system and hose code.</x:v>
      </x:c>
      <x:c r="AB1077" s="161" t="str">
        <x:v>Pending</x:v>
      </x:c>
    </x:row>
    <x:row r="1078" ht="42" customHeight="1">
      <x:c r="A1078" s="33" t="str">
        <x:v>Draft</x:v>
      </x:c>
      <x:c r="B1078" s="47" t="str">
        <x:v>COMP_1074</x:v>
      </x:c>
      <x:c r="C1078" s="47" t="str">
        <x:v>EN4SH_003</x:v>
      </x:c>
      <x:c r="D1078" s="47" t="str">
        <x:v>ORFS_F_SW_16_16</x:v>
      </x:c>
      <x:c r="E1078" s="47" t="str">
        <x:v>EN4SH_4SH_003</x:v>
      </x:c>
      <x:c r="F1078" s="47" t="str"/>
      <x:c r="G1078" s="33" t="str"/>
      <x:c r="H1078" s="50" t="str"/>
      <x:c r="I1078" s="50" t="str"/>
      <x:c r="J1078" s="50" t="str"/>
      <x:c r="K1078" s="47" t="str"/>
      <x:c r="L1078" s="50" t="str"/>
      <x:c r="M1078" s="50" t="str"/>
      <x:c r="N1078" s="47" t="str"/>
      <x:c r="O1078" s="50" t="str"/>
      <x:c r="P1078" s="64" t="str">
        <x:f>IF(O1078="","",O1078*2)</x:f>
      </x:c>
      <x:c r="Q1078" s="50" t="str"/>
      <x:c r="R1078" s="47" t="str"/>
      <x:c r="S1078" s="33" t="str">
        <x:v>Not Tested</x:v>
      </x:c>
      <x:c r="T1078" s="64" t="str">
        <x:v>Eligible</x:v>
      </x:c>
      <x:c r="U1078" s="47" t="str">
        <x:v>DHH W Series Bite-To-The-Wire</x:v>
      </x:c>
      <x:c r="V1078" s="47" t="str">
        <x:v>4SH-16</x:v>
      </x:c>
      <x:c r="W1078" s="47" t="str">
        <x:v>Crimp full shell</x:v>
      </x:c>
      <x:c r="X1078" s="50" t="n">
        <x:v>41.4</x:v>
      </x:c>
      <x:c r="Y1078" s="50" t="n">
        <x:v>0.13</x:v>
      </x:c>
      <x:c r="Z1078" s="47" t="str">
        <x:v>https://www.discounthydraulichose.com/v/vspfiles/downloadables/crimp.pdf (catalog p.104)</x:v>
      </x:c>
      <x:c r="AA1078" s="47" t="str">
        <x:v>Published reference data; applicability is limited to the listed reference system and hose code.</x:v>
      </x:c>
      <x:c r="AB1078" s="161" t="str">
        <x:v>Pending</x:v>
      </x:c>
    </x:row>
    <x:row r="1079" ht="42" customHeight="1">
      <x:c r="A1079" s="33" t="str">
        <x:v>Draft</x:v>
      </x:c>
      <x:c r="B1079" s="47" t="str">
        <x:v>COMP_1075</x:v>
      </x:c>
      <x:c r="C1079" s="47" t="str">
        <x:v>EN4SH_003</x:v>
      </x:c>
      <x:c r="D1079" s="47" t="str">
        <x:v>ORFS_F_SW_20_16</x:v>
      </x:c>
      <x:c r="E1079" s="47" t="str">
        <x:v>EN4SH_4SH_003</x:v>
      </x:c>
      <x:c r="F1079" s="47" t="str"/>
      <x:c r="G1079" s="33" t="str"/>
      <x:c r="H1079" s="50" t="str"/>
      <x:c r="I1079" s="50" t="str"/>
      <x:c r="J1079" s="50" t="str"/>
      <x:c r="K1079" s="47" t="str"/>
      <x:c r="L1079" s="50" t="str"/>
      <x:c r="M1079" s="50" t="str"/>
      <x:c r="N1079" s="47" t="str"/>
      <x:c r="O1079" s="50" t="str"/>
      <x:c r="P1079" s="64" t="str">
        <x:f>IF(O1079="","",O1079*2)</x:f>
      </x:c>
      <x:c r="Q1079" s="50" t="str"/>
      <x:c r="R1079" s="47" t="str"/>
      <x:c r="S1079" s="33" t="str">
        <x:v>Not Tested</x:v>
      </x:c>
      <x:c r="T1079" s="64" t="str">
        <x:v>Eligible</x:v>
      </x:c>
      <x:c r="U1079" s="47" t="str">
        <x:v>DHH W Series Bite-To-The-Wire</x:v>
      </x:c>
      <x:c r="V1079" s="47" t="str">
        <x:v>4SH-16</x:v>
      </x:c>
      <x:c r="W1079" s="47" t="str">
        <x:v>Crimp full shell</x:v>
      </x:c>
      <x:c r="X1079" s="50" t="n">
        <x:v>41.4</x:v>
      </x:c>
      <x:c r="Y1079" s="50" t="n">
        <x:v>0.13</x:v>
      </x:c>
      <x:c r="Z1079" s="47" t="str">
        <x:v>https://www.discounthydraulichose.com/v/vspfiles/downloadables/crimp.pdf (catalog p.104)</x:v>
      </x:c>
      <x:c r="AA1079" s="47" t="str">
        <x:v>Published reference data; applicability is limited to the listed reference system and hose code.</x:v>
      </x:c>
      <x:c r="AB1079" s="161" t="str">
        <x:v>Pending</x:v>
      </x:c>
    </x:row>
    <x:row r="1080" ht="42" customHeight="1">
      <x:c r="A1080" s="33" t="str">
        <x:v>Draft</x:v>
      </x:c>
      <x:c r="B1080" s="47" t="str">
        <x:v>COMP_1076</x:v>
      </x:c>
      <x:c r="C1080" s="47" t="str">
        <x:v>EN4SH_003</x:v>
      </x:c>
      <x:c r="D1080" s="47" t="str">
        <x:v>ORFS_M_FX_12_16</x:v>
      </x:c>
      <x:c r="E1080" s="47" t="str">
        <x:v>EN4SH_4SH_003</x:v>
      </x:c>
      <x:c r="F1080" s="47" t="str"/>
      <x:c r="G1080" s="33" t="str"/>
      <x:c r="H1080" s="50" t="str"/>
      <x:c r="I1080" s="50" t="str"/>
      <x:c r="J1080" s="50" t="str"/>
      <x:c r="K1080" s="47" t="str"/>
      <x:c r="L1080" s="50" t="str"/>
      <x:c r="M1080" s="50" t="str"/>
      <x:c r="N1080" s="47" t="str"/>
      <x:c r="O1080" s="50" t="str"/>
      <x:c r="P1080" s="64" t="str">
        <x:f>IF(O1080="","",O1080*2)</x:f>
      </x:c>
      <x:c r="Q1080" s="50" t="str"/>
      <x:c r="R1080" s="47" t="str"/>
      <x:c r="S1080" s="33" t="str">
        <x:v>Not Tested</x:v>
      </x:c>
      <x:c r="T1080" s="64" t="str">
        <x:v>Eligible</x:v>
      </x:c>
      <x:c r="U1080" s="47" t="str">
        <x:v>DHH W Series Bite-To-The-Wire</x:v>
      </x:c>
      <x:c r="V1080" s="47" t="str">
        <x:v>4SH-16</x:v>
      </x:c>
      <x:c r="W1080" s="47" t="str">
        <x:v>Crimp full shell</x:v>
      </x:c>
      <x:c r="X1080" s="50" t="n">
        <x:v>41.4</x:v>
      </x:c>
      <x:c r="Y1080" s="50" t="n">
        <x:v>0.13</x:v>
      </x:c>
      <x:c r="Z1080" s="47" t="str">
        <x:v>https://www.discounthydraulichose.com/v/vspfiles/downloadables/crimp.pdf (catalog p.104)</x:v>
      </x:c>
      <x:c r="AA1080" s="47" t="str">
        <x:v>Published reference data; applicability is limited to the listed reference system and hose code.</x:v>
      </x:c>
      <x:c r="AB1080" s="161" t="str">
        <x:v>Pending</x:v>
      </x:c>
    </x:row>
    <x:row r="1081" ht="42" customHeight="1">
      <x:c r="A1081" s="33" t="str">
        <x:v>Draft</x:v>
      </x:c>
      <x:c r="B1081" s="47" t="str">
        <x:v>COMP_1077</x:v>
      </x:c>
      <x:c r="C1081" s="47" t="str">
        <x:v>EN4SH_003</x:v>
      </x:c>
      <x:c r="D1081" s="47" t="str">
        <x:v>ORFS_M_FX_16_16</x:v>
      </x:c>
      <x:c r="E1081" s="47" t="str">
        <x:v>EN4SH_4SH_003</x:v>
      </x:c>
      <x:c r="F1081" s="47" t="str"/>
      <x:c r="G1081" s="33" t="str"/>
      <x:c r="H1081" s="50" t="str"/>
      <x:c r="I1081" s="50" t="str"/>
      <x:c r="J1081" s="50" t="str"/>
      <x:c r="K1081" s="47" t="str"/>
      <x:c r="L1081" s="50" t="str"/>
      <x:c r="M1081" s="50" t="str"/>
      <x:c r="N1081" s="47" t="str"/>
      <x:c r="O1081" s="50" t="str"/>
      <x:c r="P1081" s="64" t="str">
        <x:f>IF(O1081="","",O1081*2)</x:f>
      </x:c>
      <x:c r="Q1081" s="50" t="str"/>
      <x:c r="R1081" s="47" t="str"/>
      <x:c r="S1081" s="33" t="str">
        <x:v>Not Tested</x:v>
      </x:c>
      <x:c r="T1081" s="64" t="str">
        <x:v>Eligible</x:v>
      </x:c>
      <x:c r="U1081" s="47" t="str">
        <x:v>DHH W Series Bite-To-The-Wire</x:v>
      </x:c>
      <x:c r="V1081" s="47" t="str">
        <x:v>4SH-16</x:v>
      </x:c>
      <x:c r="W1081" s="47" t="str">
        <x:v>Crimp full shell</x:v>
      </x:c>
      <x:c r="X1081" s="50" t="n">
        <x:v>41.4</x:v>
      </x:c>
      <x:c r="Y1081" s="50" t="n">
        <x:v>0.13</x:v>
      </x:c>
      <x:c r="Z1081" s="47" t="str">
        <x:v>https://www.discounthydraulichose.com/v/vspfiles/downloadables/crimp.pdf (catalog p.104)</x:v>
      </x:c>
      <x:c r="AA1081" s="47" t="str">
        <x:v>Published reference data; applicability is limited to the listed reference system and hose code.</x:v>
      </x:c>
      <x:c r="AB1081" s="161" t="str">
        <x:v>Pending</x:v>
      </x:c>
    </x:row>
    <x:row r="1082" ht="42" customHeight="1">
      <x:c r="A1082" s="33" t="str">
        <x:v>Draft</x:v>
      </x:c>
      <x:c r="B1082" s="47" t="str">
        <x:v>COMP_1078</x:v>
      </x:c>
      <x:c r="C1082" s="47" t="str">
        <x:v>EN4SH_003</x:v>
      </x:c>
      <x:c r="D1082" s="47" t="str">
        <x:v>ORFS45_F_SW_16_16</x:v>
      </x:c>
      <x:c r="E1082" s="47" t="str">
        <x:v>EN4SH_4SH_003</x:v>
      </x:c>
      <x:c r="F1082" s="47" t="str"/>
      <x:c r="G1082" s="33" t="str"/>
      <x:c r="H1082" s="50" t="str"/>
      <x:c r="I1082" s="50" t="str"/>
      <x:c r="J1082" s="50" t="str"/>
      <x:c r="K1082" s="47" t="str"/>
      <x:c r="L1082" s="50" t="str"/>
      <x:c r="M1082" s="50" t="str"/>
      <x:c r="N1082" s="47" t="str"/>
      <x:c r="O1082" s="50" t="str"/>
      <x:c r="P1082" s="64" t="str">
        <x:f>IF(O1082="","",O1082*2)</x:f>
      </x:c>
      <x:c r="Q1082" s="50" t="str"/>
      <x:c r="R1082" s="47" t="str"/>
      <x:c r="S1082" s="33" t="str">
        <x:v>Not Tested</x:v>
      </x:c>
      <x:c r="T1082" s="64" t="str">
        <x:v>Eligible</x:v>
      </x:c>
      <x:c r="U1082" s="47" t="str">
        <x:v>DHH W Series Bite-To-The-Wire</x:v>
      </x:c>
      <x:c r="V1082" s="47" t="str">
        <x:v>4SH-16</x:v>
      </x:c>
      <x:c r="W1082" s="47" t="str">
        <x:v>Crimp full shell</x:v>
      </x:c>
      <x:c r="X1082" s="50" t="n">
        <x:v>41.4</x:v>
      </x:c>
      <x:c r="Y1082" s="50" t="n">
        <x:v>0.13</x:v>
      </x:c>
      <x:c r="Z1082" s="47" t="str">
        <x:v>https://www.discounthydraulichose.com/v/vspfiles/downloadables/crimp.pdf (catalog p.104)</x:v>
      </x:c>
      <x:c r="AA1082" s="47" t="str">
        <x:v>Published reference data; applicability is limited to the listed reference system and hose code.</x:v>
      </x:c>
      <x:c r="AB1082" s="161" t="str">
        <x:v>Pending</x:v>
      </x:c>
    </x:row>
    <x:row r="1083" ht="42" customHeight="1">
      <x:c r="A1083" s="33" t="str">
        <x:v>Draft</x:v>
      </x:c>
      <x:c r="B1083" s="47" t="str">
        <x:v>COMP_1079</x:v>
      </x:c>
      <x:c r="C1083" s="47" t="str">
        <x:v>EN4SH_003</x:v>
      </x:c>
      <x:c r="D1083" s="47" t="str">
        <x:v>ORFS45_F_SW_20_16</x:v>
      </x:c>
      <x:c r="E1083" s="47" t="str">
        <x:v>EN4SH_4SH_003</x:v>
      </x:c>
      <x:c r="F1083" s="47" t="str"/>
      <x:c r="G1083" s="33" t="str"/>
      <x:c r="H1083" s="50" t="str"/>
      <x:c r="I1083" s="50" t="str"/>
      <x:c r="J1083" s="50" t="str"/>
      <x:c r="K1083" s="47" t="str"/>
      <x:c r="L1083" s="50" t="str"/>
      <x:c r="M1083" s="50" t="str"/>
      <x:c r="N1083" s="47" t="str"/>
      <x:c r="O1083" s="50" t="str"/>
      <x:c r="P1083" s="64" t="str">
        <x:f>IF(O1083="","",O1083*2)</x:f>
      </x:c>
      <x:c r="Q1083" s="50" t="str"/>
      <x:c r="R1083" s="47" t="str"/>
      <x:c r="S1083" s="33" t="str">
        <x:v>Not Tested</x:v>
      </x:c>
      <x:c r="T1083" s="64" t="str">
        <x:v>Eligible</x:v>
      </x:c>
      <x:c r="U1083" s="47" t="str">
        <x:v>DHH W Series Bite-To-The-Wire</x:v>
      </x:c>
      <x:c r="V1083" s="47" t="str">
        <x:v>4SH-16</x:v>
      </x:c>
      <x:c r="W1083" s="47" t="str">
        <x:v>Crimp full shell</x:v>
      </x:c>
      <x:c r="X1083" s="50" t="n">
        <x:v>41.4</x:v>
      </x:c>
      <x:c r="Y1083" s="50" t="n">
        <x:v>0.13</x:v>
      </x:c>
      <x:c r="Z1083" s="47" t="str">
        <x:v>https://www.discounthydraulichose.com/v/vspfiles/downloadables/crimp.pdf (catalog p.104)</x:v>
      </x:c>
      <x:c r="AA1083" s="47" t="str">
        <x:v>Published reference data; applicability is limited to the listed reference system and hose code.</x:v>
      </x:c>
      <x:c r="AB1083" s="161" t="str">
        <x:v>Pending</x:v>
      </x:c>
    </x:row>
    <x:row r="1084" ht="42" customHeight="1">
      <x:c r="A1084" s="33" t="str">
        <x:v>Draft</x:v>
      </x:c>
      <x:c r="B1084" s="47" t="str">
        <x:v>COMP_1080</x:v>
      </x:c>
      <x:c r="C1084" s="47" t="str">
        <x:v>EN4SH_003</x:v>
      </x:c>
      <x:c r="D1084" s="47" t="str">
        <x:v>ORFS90_F_SW_16_16</x:v>
      </x:c>
      <x:c r="E1084" s="47" t="str">
        <x:v>EN4SH_4SH_003</x:v>
      </x:c>
      <x:c r="F1084" s="47" t="str"/>
      <x:c r="G1084" s="33" t="str"/>
      <x:c r="H1084" s="50" t="str"/>
      <x:c r="I1084" s="50" t="str"/>
      <x:c r="J1084" s="50" t="str"/>
      <x:c r="K1084" s="47" t="str"/>
      <x:c r="L1084" s="50" t="str"/>
      <x:c r="M1084" s="50" t="str"/>
      <x:c r="N1084" s="47" t="str"/>
      <x:c r="O1084" s="50" t="str"/>
      <x:c r="P1084" s="64" t="str">
        <x:f>IF(O1084="","",O1084*2)</x:f>
      </x:c>
      <x:c r="Q1084" s="50" t="str"/>
      <x:c r="R1084" s="47" t="str"/>
      <x:c r="S1084" s="33" t="str">
        <x:v>Not Tested</x:v>
      </x:c>
      <x:c r="T1084" s="64" t="str">
        <x:v>Eligible</x:v>
      </x:c>
      <x:c r="U1084" s="47" t="str">
        <x:v>DHH W Series Bite-To-The-Wire</x:v>
      </x:c>
      <x:c r="V1084" s="47" t="str">
        <x:v>4SH-16</x:v>
      </x:c>
      <x:c r="W1084" s="47" t="str">
        <x:v>Crimp full shell</x:v>
      </x:c>
      <x:c r="X1084" s="50" t="n">
        <x:v>41.4</x:v>
      </x:c>
      <x:c r="Y1084" s="50" t="n">
        <x:v>0.13</x:v>
      </x:c>
      <x:c r="Z1084" s="47" t="str">
        <x:v>https://www.discounthydraulichose.com/v/vspfiles/downloadables/crimp.pdf (catalog p.104)</x:v>
      </x:c>
      <x:c r="AA1084" s="47" t="str">
        <x:v>Published reference data; applicability is limited to the listed reference system and hose code.</x:v>
      </x:c>
      <x:c r="AB1084" s="161" t="str">
        <x:v>Pending</x:v>
      </x:c>
    </x:row>
    <x:row r="1085" ht="42" customHeight="1">
      <x:c r="A1085" s="34" t="str">
        <x:v>Draft</x:v>
      </x:c>
      <x:c r="B1085" s="48" t="str">
        <x:v>COMP_1081</x:v>
      </x:c>
      <x:c r="C1085" s="48" t="str">
        <x:v>EN4SH_003</x:v>
      </x:c>
      <x:c r="D1085" s="48" t="str">
        <x:v>ORFS90_F_SW_20_16</x:v>
      </x:c>
      <x:c r="E1085" s="48" t="str">
        <x:v>EN4SH_4SH_003</x:v>
      </x:c>
      <x:c r="F1085" s="48" t="str"/>
      <x:c r="G1085" s="34" t="str"/>
      <x:c r="H1085" s="51" t="str"/>
      <x:c r="I1085" s="51" t="str"/>
      <x:c r="J1085" s="51" t="str"/>
      <x:c r="K1085" s="48" t="str"/>
      <x:c r="L1085" s="51" t="str"/>
      <x:c r="M1085" s="51" t="str"/>
      <x:c r="N1085" s="48" t="str"/>
      <x:c r="O1085" s="51" t="str"/>
      <x:c r="P1085" s="65" t="str">
        <x:f>IF(O1085="","",O1085*2)</x:f>
      </x:c>
      <x:c r="Q1085" s="51" t="str"/>
      <x:c r="R1085" s="48" t="str"/>
      <x:c r="S1085" s="34" t="str">
        <x:v>Not Tested</x:v>
      </x:c>
      <x:c r="T1085" s="65" t="str">
        <x:v>Eligible</x:v>
      </x:c>
      <x:c r="U1085" s="48" t="str">
        <x:v>DHH W Series Bite-To-The-Wire</x:v>
      </x:c>
      <x:c r="V1085" s="48" t="str">
        <x:v>4SH-16</x:v>
      </x:c>
      <x:c r="W1085" s="48" t="str">
        <x:v>Crimp full shell</x:v>
      </x:c>
      <x:c r="X1085" s="51" t="n">
        <x:v>41.4</x:v>
      </x:c>
      <x:c r="Y1085" s="51" t="n">
        <x:v>0.13</x:v>
      </x:c>
      <x:c r="Z1085" s="48" t="str">
        <x:v>https://www.discounthydraulichose.com/v/vspfiles/downloadables/crimp.pdf (catalog p.104)</x:v>
      </x:c>
      <x:c r="AA1085" s="48" t="str">
        <x:v>Published reference data; applicability is limited to the listed reference system and hose code.</x:v>
      </x:c>
      <x:c r="AB1085" s="162" t="str">
        <x:v>Pending</x:v>
      </x:c>
    </x:row>
  </x:sheetData>
  <x:mergeCells>
    <x:mergeCell ref="A1:AB1"/>
    <x:mergeCell ref="A2:AB2"/>
  </x:mergeCells>
  <x:conditionalFormatting sqref="A5:A1085">
    <x:cfRule type="containsText" dxfId="12" priority="1" operator="containsText" text="Ready"/>
    <x:cfRule type="containsText" dxfId="13" priority="2" operator="containsText" text="Blocked"/>
    <x:cfRule type="containsText" dxfId="14" priority="3" operator="containsText" text="Draft"/>
  </x:conditionalFormatting>
  <x:conditionalFormatting sqref="B5:B1085">
    <x:cfRule type="duplicateValues" dxfId="15" priority="4"/>
  </x:conditionalFormatting>
  <x:dataValidations count="6">
    <x:dataValidation type="list" sqref="A5:A1085">
      <x:formula1>"Draft,Ready,Blocked"</x:formula1>
    </x:dataValidation>
    <x:dataValidation type="list" sqref="G5:G1085">
      <x:formula1>"No Skive,External Skive,Internal + External Skive,Other"</x:formula1>
    </x:dataValidation>
    <x:dataValidation type="list" sqref="S5:S1085">
      <x:formula1>"Approved,Pending,Rejected,Not Tested"</x:formula1>
    </x:dataValidation>
    <x:dataValidation type="list" sqref="A5:A5004">
      <x:formula1>"Draft,Published,Archived"</x:formula1>
    </x:dataValidation>
    <x:dataValidation type="list" sqref="T5:T5004">
      <x:formula1>"Eligible,Manual Quote Only,Blocked"</x:formula1>
    </x:dataValidation>
    <x:dataValidation type="list" sqref="AB5:AB5004">
      <x:formula1>"Complete,Inherited,Pending"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04e7680dd5f4686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4" hidden="0" customWidth="1"/>
    <x:col min="3" max="3" width="34" hidden="0" customWidth="1"/>
    <x:col min="4" max="4" width="42" hidden="0" customWidth="1"/>
    <x:col min="5" max="5" width="18" hidden="0" customWidth="1"/>
    <x:col min="6" max="6" width="38" hidden="0" customWidth="1"/>
    <x:col min="7" max="7" width="16" hidden="0" customWidth="1"/>
    <x:col min="8" max="8" width="16" hidden="0" customWidth="1"/>
    <x:col min="9" max="9" width="20" hidden="0" customWidth="1"/>
    <x:col min="10" max="10" width="14" hidden="0" customWidth="1"/>
    <x:col min="11" max="11" width="16" hidden="0" customWidth="1"/>
    <x:col min="12" max="12" width="20" hidden="0" customWidth="1"/>
    <x:col min="13" max="13" width="14" hidden="0" customWidth="1"/>
    <x:col min="14" max="14" width="16" hidden="0" customWidth="1"/>
    <x:col min="15" max="15" width="20" hidden="0" customWidth="1"/>
    <x:col min="16" max="16" width="14" hidden="0" customWidth="1"/>
    <x:col min="17" max="17" width="20" hidden="0" customWidth="1"/>
    <x:col min="18" max="18" width="42" hidden="0" customWidth="1"/>
    <x:col min="19" max="19" width="48" hidden="0" customWidth="1"/>
    <x:col min="20" max="20" width="19" hidden="0" customWidth="1"/>
    <x:col min="21" max="21" width="22" hidden="0" customWidth="1"/>
  </x:cols>
  <x:sheetData>
    <x:row r="1" ht="21.600000381469727" hidden="0" customHeight="1">
      <x:c r="A1" s="3" t="str">
        <x:v>Adapters / 过渡接头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</x:row>
    <x:row r="2" ht="15" hidden="0" customHeight="1">
      <x:c r="A2" s="12" t="str">
        <x:v>填写说明: 一行代表一个过渡接头产品家族或具体 SKU；136个具体SKU可进入询价，17个无具体SKU的家族行仅用于目录分组，不可直接加入 Quote。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  <x:c r="O2" s="13"/>
      <x:c r="P2" s="13"/>
      <x:c r="Q2" s="13"/>
      <x:c r="R2" s="13"/>
      <x:c r="S2" s="14"/>
    </x:row>
    <x:row r="3"/>
    <x:row r="4" ht="24" hidden="0" customHeight="1">
      <x:c r="A4" s="20" t="str">
        <x:v>* Catalog Publication Status / 目录发布状态</x:v>
      </x:c>
      <x:c r="B4" s="20" t="str">
        <x:v>* Adapter Family ID / 过渡接头系列编号</x:v>
      </x:c>
      <x:c r="C4" s="19" t="str">
        <x:v>Adapter SKU / 过渡接头SKU</x:v>
      </x:c>
      <x:c r="D4" s="20" t="str">
        <x:v>* SKU Template / SKU编号模板</x:v>
      </x:c>
      <x:c r="E4" s="20" t="str">
        <x:v>* Catalog Model / 目录型号</x:v>
      </x:c>
      <x:c r="F4" s="20" t="str">
        <x:v>* Website Product Name / 网站产品名称</x:v>
      </x:c>
      <x:c r="G4" s="20" t="str">
        <x:v>* Shape Code / 形状代码</x:v>
      </x:c>
      <x:c r="H4" s="20" t="str">
        <x:v>* Interface 1 / 接口1</x:v>
      </x:c>
      <x:c r="I4" s="20" t="str">
        <x:v>* Connection Form 1 / 连接形式1</x:v>
      </x:c>
      <x:c r="J4" s="19" t="str">
        <x:v>Size 1 / 尺寸1</x:v>
      </x:c>
      <x:c r="K4" s="20" t="str">
        <x:v>* Interface 2 / 接口2</x:v>
      </x:c>
      <x:c r="L4" s="20" t="str">
        <x:v>* Connection Form 2 / 连接形式2</x:v>
      </x:c>
      <x:c r="M4" s="19" t="str">
        <x:v>Size 2 / 尺寸2</x:v>
      </x:c>
      <x:c r="N4" s="19" t="str">
        <x:v>Interface 3 / 接口3</x:v>
      </x:c>
      <x:c r="O4" s="19" t="str">
        <x:v>Connection Form 3 / 连接形式3</x:v>
      </x:c>
      <x:c r="P4" s="19" t="str">
        <x:v>Size 3 / 尺寸3</x:v>
      </x:c>
      <x:c r="Q4" s="20" t="str">
        <x:v>* Website Display / 网站展示</x:v>
      </x:c>
      <x:c r="R4" s="20" t="str">
        <x:v>* Source Document/Page / 目录来源</x:v>
      </x:c>
      <x:c r="S4" s="19" t="str">
        <x:v>Notes / 备注</x:v>
      </x:c>
      <x:c r="T4" s="154" t="str">
        <x:v>* RFQ Eligibility / 询价资格</x:v>
      </x:c>
      <x:c r="U4" s="154" t="str">
        <x:v>* Technical Data Status / 技术资料状态</x:v>
      </x:c>
    </x:row>
    <x:row r="5" ht="42" hidden="0" customHeight="1">
      <x:c r="A5" s="32" t="str">
        <x:v>Draft</x:v>
      </x:c>
      <x:c r="B5" s="46" t="str">
        <x:v>ADP_FAM_1EN</x:v>
      </x:c>
      <x:c r="C5" s="46" t="str"/>
      <x:c r="D5" s="46" t="str">
        <x:v>ADP_ST_MOR_MFX_{SIZE1}_NPT_MFX_{SIZE2}</x:v>
      </x:c>
      <x:c r="E5" s="46" t="str">
        <x:v>1EN</x:v>
      </x:c>
      <x:c r="F5" s="46" t="str">
        <x:v>Metric O-Ring Male to NPT Male Adapter</x:v>
      </x:c>
      <x:c r="G5" s="46" t="str">
        <x:v>ST</x:v>
      </x:c>
      <x:c r="H5" s="46" t="str">
        <x:v>MOR</x:v>
      </x:c>
      <x:c r="I5" s="46" t="str">
        <x:v>MFX</x:v>
      </x:c>
      <x:c r="J5" s="46" t="str"/>
      <x:c r="K5" s="46" t="str">
        <x:v>NPT</x:v>
      </x:c>
      <x:c r="L5" s="46" t="str">
        <x:v>MFX</x:v>
      </x:c>
      <x:c r="M5" s="46" t="str"/>
      <x:c r="N5" s="46" t="str"/>
      <x:c r="O5" s="46" t="str"/>
      <x:c r="P5" s="46" t="str"/>
      <x:c r="Q5" s="46" t="str">
        <x:v>YES - RFQ family</x:v>
      </x:c>
      <x:c r="R5" s="46" t="str">
        <x:v>62d65f8412ff5.pdf catalog p.51 / PDF p.35</x:v>
      </x:c>
      <x:c r="S5" s="46" t="str">
        <x:v>Size matrix not supplied; do not generate a final SKU until sizes are populated.</x:v>
      </x:c>
      <x:c r="T5" s="161" t="str">
        <x:v>Blocked</x:v>
      </x:c>
      <x:c r="U5" s="161" t="str">
        <x:v>Pending</x:v>
      </x:c>
    </x:row>
    <x:row r="6" ht="42" hidden="0" customHeight="1">
      <x:c r="A6" s="33" t="str">
        <x:v>Draft</x:v>
      </x:c>
      <x:c r="B6" s="47" t="str">
        <x:v>ADP_FAM_1CN</x:v>
      </x:c>
      <x:c r="C6" s="47" t="str"/>
      <x:c r="D6" s="47" t="str">
        <x:v>ADP_ST_DINL_MFX_{SIZE1}_NPT_MFX_{SIZE2}</x:v>
      </x:c>
      <x:c r="E6" s="47" t="str">
        <x:v>1CN</x:v>
      </x:c>
      <x:c r="F6" s="47" t="str">
        <x:v>DIN 24 Degree Light Metric Male to NPT Male Adapter</x:v>
      </x:c>
      <x:c r="G6" s="47" t="str">
        <x:v>ST</x:v>
      </x:c>
      <x:c r="H6" s="47" t="str">
        <x:v>DINL</x:v>
      </x:c>
      <x:c r="I6" s="47" t="str">
        <x:v>MFX</x:v>
      </x:c>
      <x:c r="J6" s="47" t="str"/>
      <x:c r="K6" s="47" t="str">
        <x:v>NPT</x:v>
      </x:c>
      <x:c r="L6" s="47" t="str">
        <x:v>MFX</x:v>
      </x:c>
      <x:c r="M6" s="47" t="str"/>
      <x:c r="N6" s="47" t="str"/>
      <x:c r="O6" s="47" t="str"/>
      <x:c r="P6" s="47" t="str"/>
      <x:c r="Q6" s="47" t="str">
        <x:v>YES - RFQ family</x:v>
      </x:c>
      <x:c r="R6" s="47" t="str">
        <x:v>62d65f8412ff5.pdf catalog p.51 / PDF p.35</x:v>
      </x:c>
      <x:c r="S6" s="47" t="str">
        <x:v>Size matrix not supplied; do not generate a final SKU until sizes are populated.</x:v>
      </x:c>
      <x:c r="T6" s="161" t="str">
        <x:v>Blocked</x:v>
      </x:c>
      <x:c r="U6" s="161" t="str">
        <x:v>Pending</x:v>
      </x:c>
    </x:row>
    <x:row r="7" ht="42" hidden="0" customHeight="1">
      <x:c r="A7" s="33" t="str">
        <x:v>Draft</x:v>
      </x:c>
      <x:c r="B7" s="47" t="str">
        <x:v>ADP_FAM_1DN</x:v>
      </x:c>
      <x:c r="C7" s="47" t="str"/>
      <x:c r="D7" s="47" t="str">
        <x:v>ADP_ST_DINS_MFX_{SIZE1}_NPT_MFX_{SIZE2}</x:v>
      </x:c>
      <x:c r="E7" s="47" t="str">
        <x:v>1DN</x:v>
      </x:c>
      <x:c r="F7" s="47" t="str">
        <x:v>DIN 24 Degree Heavy Metric Male to NPT Male Adapter</x:v>
      </x:c>
      <x:c r="G7" s="47" t="str">
        <x:v>ST</x:v>
      </x:c>
      <x:c r="H7" s="47" t="str">
        <x:v>DINS</x:v>
      </x:c>
      <x:c r="I7" s="47" t="str">
        <x:v>MFX</x:v>
      </x:c>
      <x:c r="J7" s="47" t="str"/>
      <x:c r="K7" s="47" t="str">
        <x:v>NPT</x:v>
      </x:c>
      <x:c r="L7" s="47" t="str">
        <x:v>MFX</x:v>
      </x:c>
      <x:c r="M7" s="47" t="str"/>
      <x:c r="N7" s="47" t="str"/>
      <x:c r="O7" s="47" t="str"/>
      <x:c r="P7" s="47" t="str"/>
      <x:c r="Q7" s="47" t="str">
        <x:v>YES - RFQ family</x:v>
      </x:c>
      <x:c r="R7" s="47" t="str">
        <x:v>62d65f8412ff5.pdf catalog p.51 / PDF p.35</x:v>
      </x:c>
      <x:c r="S7" s="47" t="str">
        <x:v>Size matrix not supplied; do not generate a final SKU until sizes are populated.</x:v>
      </x:c>
      <x:c r="T7" s="161" t="str">
        <x:v>Blocked</x:v>
      </x:c>
      <x:c r="U7" s="161" t="str">
        <x:v>Pending</x:v>
      </x:c>
    </x:row>
    <x:row r="8" ht="42" hidden="0" customHeight="1">
      <x:c r="A8" s="33" t="str">
        <x:v>Draft</x:v>
      </x:c>
      <x:c r="B8" s="47" t="str">
        <x:v>ADP_FAM_1CN9</x:v>
      </x:c>
      <x:c r="C8" s="47" t="str"/>
      <x:c r="D8" s="47" t="str">
        <x:v>ADP_90_DINL_MFX_{SIZE1}_NPT_MFX_{SIZE2}</x:v>
      </x:c>
      <x:c r="E8" s="47" t="str">
        <x:v>1CN9</x:v>
      </x:c>
      <x:c r="F8" s="47" t="str">
        <x:v>90 Degree DIN 24 Degree Light Metric Male to NPT Male Adapter</x:v>
      </x:c>
      <x:c r="G8" s="47" t="str">
        <x:v>90</x:v>
      </x:c>
      <x:c r="H8" s="47" t="str">
        <x:v>DINL</x:v>
      </x:c>
      <x:c r="I8" s="47" t="str">
        <x:v>MFX</x:v>
      </x:c>
      <x:c r="J8" s="47" t="str"/>
      <x:c r="K8" s="47" t="str">
        <x:v>NPT</x:v>
      </x:c>
      <x:c r="L8" s="47" t="str">
        <x:v>MFX</x:v>
      </x:c>
      <x:c r="M8" s="47" t="str"/>
      <x:c r="N8" s="47" t="str"/>
      <x:c r="O8" s="47" t="str"/>
      <x:c r="P8" s="47" t="str"/>
      <x:c r="Q8" s="47" t="str">
        <x:v>YES - RFQ family</x:v>
      </x:c>
      <x:c r="R8" s="47" t="str">
        <x:v>62d65f8412ff5.pdf catalog p.51 / PDF p.35</x:v>
      </x:c>
      <x:c r="S8" s="47" t="str">
        <x:v>Size matrix not supplied; do not generate a final SKU until sizes are populated.</x:v>
      </x:c>
      <x:c r="T8" s="161" t="str">
        <x:v>Blocked</x:v>
      </x:c>
      <x:c r="U8" s="161" t="str">
        <x:v>Pending</x:v>
      </x:c>
    </x:row>
    <x:row r="9" ht="42" hidden="0" customHeight="1">
      <x:c r="A9" s="33" t="str">
        <x:v>Draft</x:v>
      </x:c>
      <x:c r="B9" s="47" t="str">
        <x:v>ADP_FAM_1DN9</x:v>
      </x:c>
      <x:c r="C9" s="47" t="str"/>
      <x:c r="D9" s="47" t="str">
        <x:v>ADP_90_DINS_MFX_{SIZE1}_NPT_MFX_{SIZE2}</x:v>
      </x:c>
      <x:c r="E9" s="47" t="str">
        <x:v>1DN9</x:v>
      </x:c>
      <x:c r="F9" s="47" t="str">
        <x:v>90 Degree DIN 24 Degree Heavy Metric Male to NPT Male Adapter</x:v>
      </x:c>
      <x:c r="G9" s="47" t="str">
        <x:v>90</x:v>
      </x:c>
      <x:c r="H9" s="47" t="str">
        <x:v>DINS</x:v>
      </x:c>
      <x:c r="I9" s="47" t="str">
        <x:v>MFX</x:v>
      </x:c>
      <x:c r="J9" s="47" t="str"/>
      <x:c r="K9" s="47" t="str">
        <x:v>NPT</x:v>
      </x:c>
      <x:c r="L9" s="47" t="str">
        <x:v>MFX</x:v>
      </x:c>
      <x:c r="M9" s="47" t="str"/>
      <x:c r="N9" s="47" t="str"/>
      <x:c r="O9" s="47" t="str"/>
      <x:c r="P9" s="47" t="str"/>
      <x:c r="Q9" s="47" t="str">
        <x:v>YES - RFQ family</x:v>
      </x:c>
      <x:c r="R9" s="47" t="str">
        <x:v>62d65f8412ff5.pdf catalog p.51 / PDF p.35</x:v>
      </x:c>
      <x:c r="S9" s="47" t="str">
        <x:v>Size matrix not supplied; do not generate a final SKU until sizes are populated.</x:v>
      </x:c>
      <x:c r="T9" s="161" t="str">
        <x:v>Blocked</x:v>
      </x:c>
      <x:c r="U9" s="161" t="str">
        <x:v>Pending</x:v>
      </x:c>
    </x:row>
    <x:row r="10" ht="42" hidden="0" customHeight="1">
      <x:c r="A10" s="33" t="str">
        <x:v>Draft</x:v>
      </x:c>
      <x:c r="B10" s="47" t="str">
        <x:v>ADP_FAM_1CO</x:v>
      </x:c>
      <x:c r="C10" s="47" t="str"/>
      <x:c r="D10" s="47" t="str">
        <x:v>ADP_ST_DINL_MFX_{SIZE1}_ORB_MFX_{SIZE2}</x:v>
      </x:c>
      <x:c r="E10" s="47" t="str">
        <x:v>1CO</x:v>
      </x:c>
      <x:c r="F10" s="47" t="str">
        <x:v>DIN 24 Degree Light Metric Male to SAE ORB Male Adapter</x:v>
      </x:c>
      <x:c r="G10" s="47" t="str">
        <x:v>ST</x:v>
      </x:c>
      <x:c r="H10" s="47" t="str">
        <x:v>DINL</x:v>
      </x:c>
      <x:c r="I10" s="47" t="str">
        <x:v>MFX</x:v>
      </x:c>
      <x:c r="J10" s="47" t="str"/>
      <x:c r="K10" s="47" t="str">
        <x:v>ORB</x:v>
      </x:c>
      <x:c r="L10" s="47" t="str">
        <x:v>MFX</x:v>
      </x:c>
      <x:c r="M10" s="47" t="str"/>
      <x:c r="N10" s="47" t="str"/>
      <x:c r="O10" s="47" t="str"/>
      <x:c r="P10" s="47" t="str"/>
      <x:c r="Q10" s="47" t="str">
        <x:v>YES - RFQ family</x:v>
      </x:c>
      <x:c r="R10" s="47" t="str">
        <x:v>62d65f8412ff5.pdf catalog p.51 / PDF p.35</x:v>
      </x:c>
      <x:c r="S10" s="47" t="str">
        <x:v>Size matrix not supplied; do not generate a final SKU until sizes are populated.</x:v>
      </x:c>
      <x:c r="T10" s="161" t="str">
        <x:v>Blocked</x:v>
      </x:c>
      <x:c r="U10" s="161" t="str">
        <x:v>Pending</x:v>
      </x:c>
    </x:row>
    <x:row r="11" ht="42" hidden="0" customHeight="1">
      <x:c r="A11" s="33" t="str">
        <x:v>Draft</x:v>
      </x:c>
      <x:c r="B11" s="47" t="str">
        <x:v>ADP_FAM_1DO</x:v>
      </x:c>
      <x:c r="C11" s="47" t="str"/>
      <x:c r="D11" s="47" t="str">
        <x:v>ADP_ST_DINS_MFX_{SIZE1}_ORB_MFX_{SIZE2}</x:v>
      </x:c>
      <x:c r="E11" s="47" t="str">
        <x:v>1DO</x:v>
      </x:c>
      <x:c r="F11" s="47" t="str">
        <x:v>DIN 24 Degree Heavy Metric Male to SAE ORB Male Adapter</x:v>
      </x:c>
      <x:c r="G11" s="47" t="str">
        <x:v>ST</x:v>
      </x:c>
      <x:c r="H11" s="47" t="str">
        <x:v>DINS</x:v>
      </x:c>
      <x:c r="I11" s="47" t="str">
        <x:v>MFX</x:v>
      </x:c>
      <x:c r="J11" s="47" t="str"/>
      <x:c r="K11" s="47" t="str">
        <x:v>ORB</x:v>
      </x:c>
      <x:c r="L11" s="47" t="str">
        <x:v>MFX</x:v>
      </x:c>
      <x:c r="M11" s="47" t="str"/>
      <x:c r="N11" s="47" t="str"/>
      <x:c r="O11" s="47" t="str"/>
      <x:c r="P11" s="47" t="str"/>
      <x:c r="Q11" s="47" t="str">
        <x:v>YES - RFQ family</x:v>
      </x:c>
      <x:c r="R11" s="47" t="str">
        <x:v>62d65f8412ff5.pdf catalog p.51 / PDF p.35</x:v>
      </x:c>
      <x:c r="S11" s="47" t="str">
        <x:v>Size matrix not supplied; do not generate a final SKU until sizes are populated.</x:v>
      </x:c>
      <x:c r="T11" s="161" t="str">
        <x:v>Blocked</x:v>
      </x:c>
      <x:c r="U11" s="161" t="str">
        <x:v>Pending</x:v>
      </x:c>
    </x:row>
    <x:row r="12" ht="42" hidden="0" customHeight="1">
      <x:c r="A12" s="33" t="str">
        <x:v>Draft</x:v>
      </x:c>
      <x:c r="B12" s="47" t="str">
        <x:v>ADP_FAM_1CO9_OG</x:v>
      </x:c>
      <x:c r="C12" s="47" t="str"/>
      <x:c r="D12" s="47" t="str">
        <x:v>ADP_90_DINL_MFX_{SIZE1}_ORB_MADJ_{SIZE2}</x:v>
      </x:c>
      <x:c r="E12" s="47" t="str">
        <x:v>1CO9-OG</x:v>
      </x:c>
      <x:c r="F12" s="47" t="str">
        <x:v>90 Degree DIN 24 Degree Light Metric Male to SAE ORB Adapter</x:v>
      </x:c>
      <x:c r="G12" s="47" t="str">
        <x:v>90</x:v>
      </x:c>
      <x:c r="H12" s="47" t="str">
        <x:v>DINL</x:v>
      </x:c>
      <x:c r="I12" s="47" t="str">
        <x:v>MFX</x:v>
      </x:c>
      <x:c r="J12" s="47" t="str"/>
      <x:c r="K12" s="47" t="str">
        <x:v>ORB</x:v>
      </x:c>
      <x:c r="L12" s="47" t="str">
        <x:v>MADJ</x:v>
      </x:c>
      <x:c r="M12" s="47" t="str"/>
      <x:c r="N12" s="47" t="str"/>
      <x:c r="O12" s="47" t="str"/>
      <x:c r="P12" s="47" t="str"/>
      <x:c r="Q12" s="47" t="str">
        <x:v>YES - RFQ family</x:v>
      </x:c>
      <x:c r="R12" s="47" t="str">
        <x:v>62d65f8412ff5.pdf catalog p.51 / PDF p.35</x:v>
      </x:c>
      <x:c r="S12" s="47" t="str">
        <x:v>Size matrix not supplied; do not generate a final SKU until sizes are populated.</x:v>
      </x:c>
      <x:c r="T12" s="161" t="str">
        <x:v>Blocked</x:v>
      </x:c>
      <x:c r="U12" s="161" t="str">
        <x:v>Pending</x:v>
      </x:c>
    </x:row>
    <x:row r="13" ht="42" hidden="0" customHeight="1">
      <x:c r="A13" s="33" t="str">
        <x:v>Draft</x:v>
      </x:c>
      <x:c r="B13" s="47" t="str">
        <x:v>ADP_FAM_1DO9_OG</x:v>
      </x:c>
      <x:c r="C13" s="47" t="str"/>
      <x:c r="D13" s="47" t="str">
        <x:v>ADP_90_DINS_MFX_{SIZE1}_ORB_MADJ_{SIZE2}</x:v>
      </x:c>
      <x:c r="E13" s="47" t="str">
        <x:v>1DO9-OG</x:v>
      </x:c>
      <x:c r="F13" s="47" t="str">
        <x:v>90 Degree DIN 24 Degree Heavy Metric Male to SAE ORB Adapter</x:v>
      </x:c>
      <x:c r="G13" s="47" t="str">
        <x:v>90</x:v>
      </x:c>
      <x:c r="H13" s="47" t="str">
        <x:v>DINS</x:v>
      </x:c>
      <x:c r="I13" s="47" t="str">
        <x:v>MFX</x:v>
      </x:c>
      <x:c r="J13" s="47" t="str"/>
      <x:c r="K13" s="47" t="str">
        <x:v>ORB</x:v>
      </x:c>
      <x:c r="L13" s="47" t="str">
        <x:v>MADJ</x:v>
      </x:c>
      <x:c r="M13" s="47" t="str"/>
      <x:c r="N13" s="47" t="str"/>
      <x:c r="O13" s="47" t="str"/>
      <x:c r="P13" s="47" t="str"/>
      <x:c r="Q13" s="47" t="str">
        <x:v>YES - RFQ family</x:v>
      </x:c>
      <x:c r="R13" s="47" t="str">
        <x:v>62d65f8412ff5.pdf catalog p.51 / PDF p.35</x:v>
      </x:c>
      <x:c r="S13" s="47" t="str">
        <x:v>Size matrix not supplied; do not generate a final SKU until sizes are populated.</x:v>
      </x:c>
      <x:c r="T13" s="161" t="str">
        <x:v>Blocked</x:v>
      </x:c>
      <x:c r="U13" s="161" t="str">
        <x:v>Pending</x:v>
      </x:c>
    </x:row>
    <x:row r="14" ht="42" hidden="0" customHeight="1">
      <x:c r="A14" s="33" t="str">
        <x:v>Draft</x:v>
      </x:c>
      <x:c r="B14" s="47" t="str">
        <x:v>ADP_FAM_ACCO_OG</x:v>
      </x:c>
      <x:c r="C14" s="47" t="str"/>
      <x:c r="D14" s="47" t="str">
        <x:v>ADP_RT_DINL_MFX_{SIZE1}_DINL_MFX_{SIZE2}_ORB_MADJ_{SIZE3}</x:v>
      </x:c>
      <x:c r="E14" s="47" t="str">
        <x:v>ACCO-OG</x:v>
      </x:c>
      <x:c r="F14" s="47" t="str">
        <x:v>DIN 24 Degree Light Metric to SAE ORB Adjustable Run Tee</x:v>
      </x:c>
      <x:c r="G14" s="47" t="str">
        <x:v>RT</x:v>
      </x:c>
      <x:c r="H14" s="47" t="str">
        <x:v>DINL</x:v>
      </x:c>
      <x:c r="I14" s="47" t="str">
        <x:v>MFX</x:v>
      </x:c>
      <x:c r="J14" s="47" t="str"/>
      <x:c r="K14" s="47" t="str">
        <x:v>DINL</x:v>
      </x:c>
      <x:c r="L14" s="47" t="str">
        <x:v>MFX</x:v>
      </x:c>
      <x:c r="M14" s="47" t="str"/>
      <x:c r="N14" s="47" t="str">
        <x:v>ORB</x:v>
      </x:c>
      <x:c r="O14" s="47" t="str">
        <x:v>MADJ</x:v>
      </x:c>
      <x:c r="P14" s="47" t="str"/>
      <x:c r="Q14" s="47" t="str">
        <x:v>YES - RFQ family</x:v>
      </x:c>
      <x:c r="R14" s="47" t="str">
        <x:v>62d65f8412ff5.pdf catalog p.51 / PDF p.35</x:v>
      </x:c>
      <x:c r="S14" s="47" t="str">
        <x:v>Size matrix not supplied; do not generate a final SKU until sizes are populated.</x:v>
      </x:c>
      <x:c r="T14" s="161" t="str">
        <x:v>Blocked</x:v>
      </x:c>
      <x:c r="U14" s="161" t="str">
        <x:v>Pending</x:v>
      </x:c>
    </x:row>
    <x:row r="15" ht="42" hidden="0" customHeight="1">
      <x:c r="A15" s="33" t="str">
        <x:v>Draft</x:v>
      </x:c>
      <x:c r="B15" s="47" t="str">
        <x:v>ADP_FAM_ADDO_OG</x:v>
      </x:c>
      <x:c r="C15" s="47" t="str"/>
      <x:c r="D15" s="47" t="str">
        <x:v>ADP_RT_DINS_MFX_{SIZE1}_DINS_MFX_{SIZE2}_ORB_MADJ_{SIZE3}</x:v>
      </x:c>
      <x:c r="E15" s="47" t="str">
        <x:v>ADDO-OG</x:v>
      </x:c>
      <x:c r="F15" s="47" t="str">
        <x:v>DIN 24 Degree Heavy Metric to SAE ORB Adjustable Run Tee</x:v>
      </x:c>
      <x:c r="G15" s="47" t="str">
        <x:v>RT</x:v>
      </x:c>
      <x:c r="H15" s="47" t="str">
        <x:v>DINS</x:v>
      </x:c>
      <x:c r="I15" s="47" t="str">
        <x:v>MFX</x:v>
      </x:c>
      <x:c r="J15" s="47" t="str"/>
      <x:c r="K15" s="47" t="str">
        <x:v>DINS</x:v>
      </x:c>
      <x:c r="L15" s="47" t="str">
        <x:v>MFX</x:v>
      </x:c>
      <x:c r="M15" s="47" t="str"/>
      <x:c r="N15" s="47" t="str">
        <x:v>ORB</x:v>
      </x:c>
      <x:c r="O15" s="47" t="str">
        <x:v>MADJ</x:v>
      </x:c>
      <x:c r="P15" s="47" t="str"/>
      <x:c r="Q15" s="47" t="str">
        <x:v>YES - RFQ family</x:v>
      </x:c>
      <x:c r="R15" s="47" t="str">
        <x:v>62d65f8412ff5.pdf catalog p.51 / PDF p.35</x:v>
      </x:c>
      <x:c r="S15" s="47" t="str">
        <x:v>Size matrix not supplied; do not generate a final SKU until sizes are populated.</x:v>
      </x:c>
      <x:c r="T15" s="161" t="str">
        <x:v>Blocked</x:v>
      </x:c>
      <x:c r="U15" s="161" t="str">
        <x:v>Pending</x:v>
      </x:c>
    </x:row>
    <x:row r="16" ht="42" hidden="0" customHeight="1">
      <x:c r="A16" s="33" t="str">
        <x:v>Draft</x:v>
      </x:c>
      <x:c r="B16" s="47" t="str">
        <x:v>ADP_FAM_ACOC_OG</x:v>
      </x:c>
      <x:c r="C16" s="47" t="str"/>
      <x:c r="D16" s="47" t="str">
        <x:v>ADP_BT_DINL_MFX_{SIZE1}_DINL_MFX_{SIZE2}_ORB_MADJ_{SIZE3}</x:v>
      </x:c>
      <x:c r="E16" s="47" t="str">
        <x:v>ACOC-OG</x:v>
      </x:c>
      <x:c r="F16" s="47" t="str">
        <x:v>DIN 24 Degree Light Metric to SAE ORB Adjustable Branch Tee</x:v>
      </x:c>
      <x:c r="G16" s="47" t="str">
        <x:v>BT</x:v>
      </x:c>
      <x:c r="H16" s="47" t="str">
        <x:v>DINL</x:v>
      </x:c>
      <x:c r="I16" s="47" t="str">
        <x:v>MFX</x:v>
      </x:c>
      <x:c r="J16" s="47" t="str"/>
      <x:c r="K16" s="47" t="str">
        <x:v>DINL</x:v>
      </x:c>
      <x:c r="L16" s="47" t="str">
        <x:v>MFX</x:v>
      </x:c>
      <x:c r="M16" s="47" t="str"/>
      <x:c r="N16" s="47" t="str">
        <x:v>ORB</x:v>
      </x:c>
      <x:c r="O16" s="47" t="str">
        <x:v>MADJ</x:v>
      </x:c>
      <x:c r="P16" s="47" t="str"/>
      <x:c r="Q16" s="47" t="str">
        <x:v>YES - RFQ family</x:v>
      </x:c>
      <x:c r="R16" s="47" t="str">
        <x:v>62d65f8412ff5.pdf catalog p.51 / PDF p.35</x:v>
      </x:c>
      <x:c r="S16" s="47" t="str">
        <x:v>Size matrix not supplied; do not generate a final SKU until sizes are populated.</x:v>
      </x:c>
      <x:c r="T16" s="161" t="str">
        <x:v>Blocked</x:v>
      </x:c>
      <x:c r="U16" s="161" t="str">
        <x:v>Pending</x:v>
      </x:c>
    </x:row>
    <x:row r="17" ht="42" hidden="0" customHeight="1">
      <x:c r="A17" s="33" t="str">
        <x:v>Draft</x:v>
      </x:c>
      <x:c r="B17" s="47" t="str">
        <x:v>ADP_FAM_ADOD_OG</x:v>
      </x:c>
      <x:c r="C17" s="47" t="str"/>
      <x:c r="D17" s="47" t="str">
        <x:v>ADP_BT_DINS_MFX_{SIZE1}_DINS_MFX_{SIZE2}_ORB_MADJ_{SIZE3}</x:v>
      </x:c>
      <x:c r="E17" s="47" t="str">
        <x:v>ADOD-OG</x:v>
      </x:c>
      <x:c r="F17" s="47" t="str">
        <x:v>DIN 24 Degree Heavy Metric to SAE ORB Adjustable Branch Tee</x:v>
      </x:c>
      <x:c r="G17" s="47" t="str">
        <x:v>BT</x:v>
      </x:c>
      <x:c r="H17" s="47" t="str">
        <x:v>DINS</x:v>
      </x:c>
      <x:c r="I17" s="47" t="str">
        <x:v>MFX</x:v>
      </x:c>
      <x:c r="J17" s="47" t="str"/>
      <x:c r="K17" s="47" t="str">
        <x:v>DINS</x:v>
      </x:c>
      <x:c r="L17" s="47" t="str">
        <x:v>MFX</x:v>
      </x:c>
      <x:c r="M17" s="47" t="str"/>
      <x:c r="N17" s="47" t="str">
        <x:v>ORB</x:v>
      </x:c>
      <x:c r="O17" s="47" t="str">
        <x:v>MADJ</x:v>
      </x:c>
      <x:c r="P17" s="47" t="str"/>
      <x:c r="Q17" s="47" t="str">
        <x:v>YES - RFQ family</x:v>
      </x:c>
      <x:c r="R17" s="47" t="str">
        <x:v>62d65f8412ff5.pdf catalog p.51 / PDF p.35</x:v>
      </x:c>
      <x:c r="S17" s="47" t="str">
        <x:v>Size matrix not supplied; do not generate a final SKU until sizes are populated.</x:v>
      </x:c>
      <x:c r="T17" s="161" t="str">
        <x:v>Blocked</x:v>
      </x:c>
      <x:c r="U17" s="161" t="str">
        <x:v>Pending</x:v>
      </x:c>
    </x:row>
    <x:row r="18" ht="42" hidden="0" customHeight="1">
      <x:c r="A18" s="33" t="str">
        <x:v>Draft</x:v>
      </x:c>
      <x:c r="B18" s="47" t="str">
        <x:v>ADP_FAM_1QO</x:v>
      </x:c>
      <x:c r="C18" s="47" t="str"/>
      <x:c r="D18" s="47" t="str">
        <x:v>ADP_ST_MET74_MFX_{SIZE1}_ORB_MFX_{SIZE2}</x:v>
      </x:c>
      <x:c r="E18" s="47" t="str">
        <x:v>1QO</x:v>
      </x:c>
      <x:c r="F18" s="47" t="str">
        <x:v>Metric 74 Degree Cone Male to SAE ORB Male Adapter</x:v>
      </x:c>
      <x:c r="G18" s="47" t="str">
        <x:v>ST</x:v>
      </x:c>
      <x:c r="H18" s="47" t="str">
        <x:v>MET74</x:v>
      </x:c>
      <x:c r="I18" s="47" t="str">
        <x:v>MFX</x:v>
      </x:c>
      <x:c r="J18" s="47" t="str"/>
      <x:c r="K18" s="47" t="str">
        <x:v>ORB</x:v>
      </x:c>
      <x:c r="L18" s="47" t="str">
        <x:v>MFX</x:v>
      </x:c>
      <x:c r="M18" s="47" t="str"/>
      <x:c r="N18" s="47" t="str"/>
      <x:c r="O18" s="47" t="str"/>
      <x:c r="P18" s="47" t="str"/>
      <x:c r="Q18" s="47" t="str">
        <x:v>YES - RFQ family</x:v>
      </x:c>
      <x:c r="R18" s="47" t="str">
        <x:v>62d65f8412ff5.pdf catalog p.51 / PDF p.35</x:v>
      </x:c>
      <x:c r="S18" s="47" t="str">
        <x:v>Size matrix not supplied; do not generate a final SKU until sizes are populated.</x:v>
      </x:c>
      <x:c r="T18" s="161" t="str">
        <x:v>Blocked</x:v>
      </x:c>
      <x:c r="U18" s="161" t="str">
        <x:v>Pending</x:v>
      </x:c>
    </x:row>
    <x:row r="19" ht="42" hidden="0" customHeight="1">
      <x:c r="A19" s="33" t="str">
        <x:v>Draft</x:v>
      </x:c>
      <x:c r="B19" s="47" t="str">
        <x:v>ADP_FAM_1QO9</x:v>
      </x:c>
      <x:c r="C19" s="47" t="str"/>
      <x:c r="D19" s="47" t="str">
        <x:v>ADP_90_MET74_MFX_{SIZE1}_ORB_MADJ_{SIZE2}</x:v>
      </x:c>
      <x:c r="E19" s="47" t="str">
        <x:v>1QO9</x:v>
      </x:c>
      <x:c r="F19" s="47" t="str">
        <x:v>90 Degree Metric 74 Degree Cone Male to SAE ORB Adapter</x:v>
      </x:c>
      <x:c r="G19" s="47" t="str">
        <x:v>90</x:v>
      </x:c>
      <x:c r="H19" s="47" t="str">
        <x:v>MET74</x:v>
      </x:c>
      <x:c r="I19" s="47" t="str">
        <x:v>MFX</x:v>
      </x:c>
      <x:c r="J19" s="47" t="str"/>
      <x:c r="K19" s="47" t="str">
        <x:v>ORB</x:v>
      </x:c>
      <x:c r="L19" s="47" t="str">
        <x:v>MADJ</x:v>
      </x:c>
      <x:c r="M19" s="47" t="str"/>
      <x:c r="N19" s="47" t="str"/>
      <x:c r="O19" s="47" t="str"/>
      <x:c r="P19" s="47" t="str"/>
      <x:c r="Q19" s="47" t="str">
        <x:v>YES - RFQ family</x:v>
      </x:c>
      <x:c r="R19" s="47" t="str">
        <x:v>62d65f8412ff5.pdf catalog p.51 / PDF p.35</x:v>
      </x:c>
      <x:c r="S19" s="47" t="str">
        <x:v>Size matrix not supplied; do not generate a final SKU until sizes are populated.</x:v>
      </x:c>
      <x:c r="T19" s="161" t="str">
        <x:v>Blocked</x:v>
      </x:c>
      <x:c r="U19" s="161" t="str">
        <x:v>Pending</x:v>
      </x:c>
    </x:row>
    <x:row r="20" ht="42" hidden="0" customHeight="1">
      <x:c r="A20" s="33" t="str">
        <x:v>Draft</x:v>
      </x:c>
      <x:c r="B20" s="47" t="str">
        <x:v>ADP_FAM_1QN</x:v>
      </x:c>
      <x:c r="C20" s="47" t="str"/>
      <x:c r="D20" s="47" t="str">
        <x:v>ADP_ST_MET74_MFX_{SIZE1}_NPT_MFX_{SIZE2}</x:v>
      </x:c>
      <x:c r="E20" s="47" t="str">
        <x:v>1QN</x:v>
      </x:c>
      <x:c r="F20" s="47" t="str">
        <x:v>Metric 74 Degree Cone Male to NPT Male Adapter</x:v>
      </x:c>
      <x:c r="G20" s="47" t="str">
        <x:v>ST</x:v>
      </x:c>
      <x:c r="H20" s="47" t="str">
        <x:v>MET74</x:v>
      </x:c>
      <x:c r="I20" s="47" t="str">
        <x:v>MFX</x:v>
      </x:c>
      <x:c r="J20" s="47" t="str"/>
      <x:c r="K20" s="47" t="str">
        <x:v>NPT</x:v>
      </x:c>
      <x:c r="L20" s="47" t="str">
        <x:v>MFX</x:v>
      </x:c>
      <x:c r="M20" s="47" t="str"/>
      <x:c r="N20" s="47" t="str"/>
      <x:c r="O20" s="47" t="str"/>
      <x:c r="P20" s="47" t="str"/>
      <x:c r="Q20" s="47" t="str">
        <x:v>YES - RFQ family</x:v>
      </x:c>
      <x:c r="R20" s="47" t="str">
        <x:v>62d65f8412ff5.pdf catalog p.51 / PDF p.35</x:v>
      </x:c>
      <x:c r="S20" s="47" t="str">
        <x:v>Size matrix not supplied; do not generate a final SKU until sizes are populated.</x:v>
      </x:c>
      <x:c r="T20" s="161" t="str">
        <x:v>Blocked</x:v>
      </x:c>
      <x:c r="U20" s="161" t="str">
        <x:v>Pending</x:v>
      </x:c>
    </x:row>
    <x:row r="21" ht="42" hidden="0" customHeight="1">
      <x:c r="A21" s="34" t="str">
        <x:v>Draft</x:v>
      </x:c>
      <x:c r="B21" s="48" t="str">
        <x:v>ADP_FAM_1QN9</x:v>
      </x:c>
      <x:c r="C21" s="48" t="str"/>
      <x:c r="D21" s="48" t="str">
        <x:v>ADP_90_MET74_MFX_{SIZE1}_NPT_MFX_{SIZE2}</x:v>
      </x:c>
      <x:c r="E21" s="48" t="str">
        <x:v>1QN9</x:v>
      </x:c>
      <x:c r="F21" s="48" t="str">
        <x:v>90 Degree Metric 74 Degree Cone Male to NPT Male Adapter</x:v>
      </x:c>
      <x:c r="G21" s="48" t="str">
        <x:v>90</x:v>
      </x:c>
      <x:c r="H21" s="48" t="str">
        <x:v>MET74</x:v>
      </x:c>
      <x:c r="I21" s="48" t="str">
        <x:v>MFX</x:v>
      </x:c>
      <x:c r="J21" s="48" t="str"/>
      <x:c r="K21" s="48" t="str">
        <x:v>NPT</x:v>
      </x:c>
      <x:c r="L21" s="48" t="str">
        <x:v>MFX</x:v>
      </x:c>
      <x:c r="M21" s="48" t="str"/>
      <x:c r="N21" s="48" t="str"/>
      <x:c r="O21" s="48" t="str"/>
      <x:c r="P21" s="48" t="str"/>
      <x:c r="Q21" s="48" t="str">
        <x:v>YES - RFQ family</x:v>
      </x:c>
      <x:c r="R21" s="48" t="str">
        <x:v>62d65f8412ff5.pdf catalog p.51 / PDF p.35</x:v>
      </x:c>
      <x:c r="S21" s="48" t="str">
        <x:v>Size matrix not supplied; do not generate a final SKU until sizes are populated.</x:v>
      </x:c>
      <x:c r="T21" s="161" t="str">
        <x:v>Blocked</x:v>
      </x:c>
      <x:c r="U21" s="161" t="str">
        <x:v>Pending</x:v>
      </x:c>
    </x:row>
    <x:row r="22" ht="42" hidden="0" customHeight="1">
      <x:c r="A22" t="str">
        <x:v>Draft</x:v>
      </x:c>
      <x:c r="B22" t="str">
        <x:v>ADP_FAM_JIC_NPT_ST</x:v>
      </x:c>
      <x:c r="C22" t="str">
        <x:v>ADP_ST_JIC_M_10_NPT_M_04</x:v>
      </x:c>
      <x:c r="D22" t="str">
        <x:v>ADP_ST_JIC_M_{SIZE1}_NPT_M_{SIZE2}</x:v>
      </x:c>
      <x:c r="E22" t="str">
        <x:v>2404-10-04</x:v>
      </x:c>
      <x:c r="F22" s="116" t="str">
        <x:v>Straight JIC 37 Degree Male -10 to NPTF Male -04 Adapter</x:v>
      </x:c>
      <x:c r="G22" t="str">
        <x:v>ST</x:v>
      </x:c>
      <x:c r="H22" t="str">
        <x:v>JIC</x:v>
      </x:c>
      <x:c r="I22" t="str">
        <x:v>M</x:v>
      </x:c>
      <x:c r="J22" t="str">
        <x:v>-10</x:v>
      </x:c>
      <x:c r="K22" t="str">
        <x:v>NPT</x:v>
      </x:c>
      <x:c r="L22" t="str">
        <x:v>M</x:v>
      </x:c>
      <x:c r="M22" t="str">
        <x:v>-4</x:v>
      </x:c>
      <x:c r="N22"/>
      <x:c r="O22"/>
      <x:c r="P22"/>
      <x:c r="Q22" t="str">
        <x:v>YES - RFQ SKU</x:v>
      </x:c>
      <x:c r="R22" s="116" t="str">
        <x:v>https://www.discounthydraulichose.com/2404-jic-37-male-x-nptf-male-pipe.html</x:v>
      </x:c>
      <x:c r="S22" s="116" t="str">
        <x:v>Market-reference size combination. Availability, price and lead time are subject to supplier confirmation.</x:v>
      </x:c>
      <x:c r="T22" s="161" t="str">
        <x:v>Eligible</x:v>
      </x:c>
      <x:c r="U22" s="161" t="str">
        <x:v>Pending</x:v>
      </x:c>
    </x:row>
    <x:row r="23" ht="42" hidden="0" customHeight="1">
      <x:c r="A23" t="str">
        <x:v>Draft</x:v>
      </x:c>
      <x:c r="B23" t="str">
        <x:v>ADP_FAM_JIC_NPT_ST</x:v>
      </x:c>
      <x:c r="C23" t="str">
        <x:v>ADP_ST_JIC_M_10_NPT_M_06</x:v>
      </x:c>
      <x:c r="D23" t="str">
        <x:v>ADP_ST_JIC_M_{SIZE1}_NPT_M_{SIZE2}</x:v>
      </x:c>
      <x:c r="E23" t="str">
        <x:v>2404-10-06</x:v>
      </x:c>
      <x:c r="F23" s="116" t="str">
        <x:v>Straight JIC 37 Degree Male -10 to NPTF Male -06 Adapter</x:v>
      </x:c>
      <x:c r="G23" t="str">
        <x:v>ST</x:v>
      </x:c>
      <x:c r="H23" t="str">
        <x:v>JIC</x:v>
      </x:c>
      <x:c r="I23" t="str">
        <x:v>M</x:v>
      </x:c>
      <x:c r="J23" t="str">
        <x:v>-10</x:v>
      </x:c>
      <x:c r="K23" t="str">
        <x:v>NPT</x:v>
      </x:c>
      <x:c r="L23" t="str">
        <x:v>M</x:v>
      </x:c>
      <x:c r="M23" t="str">
        <x:v>-6</x:v>
      </x:c>
      <x:c r="N23"/>
      <x:c r="O23"/>
      <x:c r="P23"/>
      <x:c r="Q23" t="str">
        <x:v>YES - RFQ SKU</x:v>
      </x:c>
      <x:c r="R23" s="116" t="str">
        <x:v>https://www.discounthydraulichose.com/2404-jic-37-male-x-nptf-male-pipe.html</x:v>
      </x:c>
      <x:c r="S23" s="116" t="str">
        <x:v>Market-reference size combination. Availability, price and lead time are subject to supplier confirmation.</x:v>
      </x:c>
      <x:c r="T23" s="161" t="str">
        <x:v>Eligible</x:v>
      </x:c>
      <x:c r="U23" s="161" t="str">
        <x:v>Pending</x:v>
      </x:c>
    </x:row>
    <x:row r="24" ht="42" hidden="0" customHeight="1">
      <x:c r="A24" t="str">
        <x:v>Draft</x:v>
      </x:c>
      <x:c r="B24" t="str">
        <x:v>ADP_FAM_JIC_NPT_ST</x:v>
      </x:c>
      <x:c r="C24" t="str">
        <x:v>ADP_ST_JIC_M_10_NPT_M_08</x:v>
      </x:c>
      <x:c r="D24" t="str">
        <x:v>ADP_ST_JIC_M_{SIZE1}_NPT_M_{SIZE2}</x:v>
      </x:c>
      <x:c r="E24" t="str">
        <x:v>2404-10-08</x:v>
      </x:c>
      <x:c r="F24" s="116" t="str">
        <x:v>Straight JIC 37 Degree Male -10 to NPTF Male -08 Adapter</x:v>
      </x:c>
      <x:c r="G24" t="str">
        <x:v>ST</x:v>
      </x:c>
      <x:c r="H24" t="str">
        <x:v>JIC</x:v>
      </x:c>
      <x:c r="I24" t="str">
        <x:v>M</x:v>
      </x:c>
      <x:c r="J24" t="str">
        <x:v>-10</x:v>
      </x:c>
      <x:c r="K24" t="str">
        <x:v>NPT</x:v>
      </x:c>
      <x:c r="L24" t="str">
        <x:v>M</x:v>
      </x:c>
      <x:c r="M24" t="str">
        <x:v>-8</x:v>
      </x:c>
      <x:c r="N24"/>
      <x:c r="O24"/>
      <x:c r="P24"/>
      <x:c r="Q24" t="str">
        <x:v>YES - RFQ SKU</x:v>
      </x:c>
      <x:c r="R24" s="116" t="str">
        <x:v>https://www.discounthydraulichose.com/2404-jic-37-male-x-nptf-male-pipe.html</x:v>
      </x:c>
      <x:c r="S24" s="116" t="str">
        <x:v>Market-reference size combination. Availability, price and lead time are subject to supplier confirmation.</x:v>
      </x:c>
      <x:c r="T24" s="161" t="str">
        <x:v>Eligible</x:v>
      </x:c>
      <x:c r="U24" s="161" t="str">
        <x:v>Pending</x:v>
      </x:c>
    </x:row>
    <x:row r="25" ht="42" hidden="0" customHeight="1">
      <x:c r="A25" t="str">
        <x:v>Draft</x:v>
      </x:c>
      <x:c r="B25" t="str">
        <x:v>ADP_FAM_JIC_NPT_ST</x:v>
      </x:c>
      <x:c r="C25" t="str">
        <x:v>ADP_ST_JIC_M_10_NPT_M_12</x:v>
      </x:c>
      <x:c r="D25" t="str">
        <x:v>ADP_ST_JIC_M_{SIZE1}_NPT_M_{SIZE2}</x:v>
      </x:c>
      <x:c r="E25" t="str">
        <x:v>2404-10-12</x:v>
      </x:c>
      <x:c r="F25" s="116" t="str">
        <x:v>Straight JIC 37 Degree Male -10 to NPTF Male -12 Adapter</x:v>
      </x:c>
      <x:c r="G25" t="str">
        <x:v>ST</x:v>
      </x:c>
      <x:c r="H25" t="str">
        <x:v>JIC</x:v>
      </x:c>
      <x:c r="I25" t="str">
        <x:v>M</x:v>
      </x:c>
      <x:c r="J25" t="str">
        <x:v>-10</x:v>
      </x:c>
      <x:c r="K25" t="str">
        <x:v>NPT</x:v>
      </x:c>
      <x:c r="L25" t="str">
        <x:v>M</x:v>
      </x:c>
      <x:c r="M25" t="str">
        <x:v>-12</x:v>
      </x:c>
      <x:c r="N25"/>
      <x:c r="O25"/>
      <x:c r="P25"/>
      <x:c r="Q25" t="str">
        <x:v>YES - RFQ SKU</x:v>
      </x:c>
      <x:c r="R25" s="116" t="str">
        <x:v>https://www.discounthydraulichose.com/2404-jic-37-male-x-nptf-male-pipe.html</x:v>
      </x:c>
      <x:c r="S25" s="116" t="str">
        <x:v>Market-reference size combination. Availability, price and lead time are subject to supplier confirmation.</x:v>
      </x:c>
      <x:c r="T25" s="161" t="str">
        <x:v>Eligible</x:v>
      </x:c>
      <x:c r="U25" s="161" t="str">
        <x:v>Pending</x:v>
      </x:c>
    </x:row>
    <x:row r="26" ht="42" hidden="0" customHeight="1">
      <x:c r="A26" t="str">
        <x:v>Draft</x:v>
      </x:c>
      <x:c r="B26" t="str">
        <x:v>ADP_FAM_JIC_NPT_ST</x:v>
      </x:c>
      <x:c r="C26" t="str">
        <x:v>ADP_ST_JIC_M_10_NPT_M_16</x:v>
      </x:c>
      <x:c r="D26" t="str">
        <x:v>ADP_ST_JIC_M_{SIZE1}_NPT_M_{SIZE2}</x:v>
      </x:c>
      <x:c r="E26" t="str">
        <x:v>2404-10-16</x:v>
      </x:c>
      <x:c r="F26" s="116" t="str">
        <x:v>Straight JIC 37 Degree Male -10 to NPTF Male -16 Adapter</x:v>
      </x:c>
      <x:c r="G26" t="str">
        <x:v>ST</x:v>
      </x:c>
      <x:c r="H26" t="str">
        <x:v>JIC</x:v>
      </x:c>
      <x:c r="I26" t="str">
        <x:v>M</x:v>
      </x:c>
      <x:c r="J26" t="str">
        <x:v>-10</x:v>
      </x:c>
      <x:c r="K26" t="str">
        <x:v>NPT</x:v>
      </x:c>
      <x:c r="L26" t="str">
        <x:v>M</x:v>
      </x:c>
      <x:c r="M26" t="str">
        <x:v>-16</x:v>
      </x:c>
      <x:c r="N26"/>
      <x:c r="O26"/>
      <x:c r="P26"/>
      <x:c r="Q26" t="str">
        <x:v>YES - RFQ SKU</x:v>
      </x:c>
      <x:c r="R26" s="116" t="str">
        <x:v>https://www.discounthydraulichose.com/2404-jic-37-male-x-nptf-male-pipe.html</x:v>
      </x:c>
      <x:c r="S26" s="116" t="str">
        <x:v>Market-reference size combination. Availability, price and lead time are subject to supplier confirmation.</x:v>
      </x:c>
      <x:c r="T26" s="161" t="str">
        <x:v>Eligible</x:v>
      </x:c>
      <x:c r="U26" s="161" t="str">
        <x:v>Pending</x:v>
      </x:c>
    </x:row>
    <x:row r="27" ht="42" hidden="0" customHeight="1">
      <x:c r="A27" t="str">
        <x:v>Draft</x:v>
      </x:c>
      <x:c r="B27" t="str">
        <x:v>ADP_FAM_JIC_NPT_ST</x:v>
      </x:c>
      <x:c r="C27" t="str">
        <x:v>ADP_ST_JIC_M_12_NPT_M_06</x:v>
      </x:c>
      <x:c r="D27" t="str">
        <x:v>ADP_ST_JIC_M_{SIZE1}_NPT_M_{SIZE2}</x:v>
      </x:c>
      <x:c r="E27" t="str">
        <x:v>2404-12-06</x:v>
      </x:c>
      <x:c r="F27" s="116" t="str">
        <x:v>Straight JIC 37 Degree Male -12 to NPTF Male -06 Adapter</x:v>
      </x:c>
      <x:c r="G27" t="str">
        <x:v>ST</x:v>
      </x:c>
      <x:c r="H27" t="str">
        <x:v>JIC</x:v>
      </x:c>
      <x:c r="I27" t="str">
        <x:v>M</x:v>
      </x:c>
      <x:c r="J27" t="str">
        <x:v>-12</x:v>
      </x:c>
      <x:c r="K27" t="str">
        <x:v>NPT</x:v>
      </x:c>
      <x:c r="L27" t="str">
        <x:v>M</x:v>
      </x:c>
      <x:c r="M27" t="str">
        <x:v>-6</x:v>
      </x:c>
      <x:c r="N27"/>
      <x:c r="O27"/>
      <x:c r="P27"/>
      <x:c r="Q27" t="str">
        <x:v>YES - RFQ SKU</x:v>
      </x:c>
      <x:c r="R27" s="116" t="str">
        <x:v>https://www.discounthydraulichose.com/2404-jic-37-male-x-nptf-male-pipe.html</x:v>
      </x:c>
      <x:c r="S27" s="116" t="str">
        <x:v>Market-reference size combination. Availability, price and lead time are subject to supplier confirmation.</x:v>
      </x:c>
      <x:c r="T27" s="161" t="str">
        <x:v>Eligible</x:v>
      </x:c>
      <x:c r="U27" s="161" t="str">
        <x:v>Pending</x:v>
      </x:c>
    </x:row>
    <x:row r="28" ht="42" hidden="0" customHeight="1">
      <x:c r="A28" t="str">
        <x:v>Draft</x:v>
      </x:c>
      <x:c r="B28" t="str">
        <x:v>ADP_FAM_JIC_NPT_ST</x:v>
      </x:c>
      <x:c r="C28" t="str">
        <x:v>ADP_ST_JIC_M_12_NPT_M_08</x:v>
      </x:c>
      <x:c r="D28" t="str">
        <x:v>ADP_ST_JIC_M_{SIZE1}_NPT_M_{SIZE2}</x:v>
      </x:c>
      <x:c r="E28" t="str">
        <x:v>2404-12-08</x:v>
      </x:c>
      <x:c r="F28" s="116" t="str">
        <x:v>Straight JIC 37 Degree Male -12 to NPTF Male -08 Adapter</x:v>
      </x:c>
      <x:c r="G28" t="str">
        <x:v>ST</x:v>
      </x:c>
      <x:c r="H28" t="str">
        <x:v>JIC</x:v>
      </x:c>
      <x:c r="I28" t="str">
        <x:v>M</x:v>
      </x:c>
      <x:c r="J28" t="str">
        <x:v>-12</x:v>
      </x:c>
      <x:c r="K28" t="str">
        <x:v>NPT</x:v>
      </x:c>
      <x:c r="L28" t="str">
        <x:v>M</x:v>
      </x:c>
      <x:c r="M28" t="str">
        <x:v>-8</x:v>
      </x:c>
      <x:c r="N28"/>
      <x:c r="O28"/>
      <x:c r="P28"/>
      <x:c r="Q28" t="str">
        <x:v>YES - RFQ SKU</x:v>
      </x:c>
      <x:c r="R28" s="116" t="str">
        <x:v>https://www.discounthydraulichose.com/2404-jic-37-male-x-nptf-male-pipe.html</x:v>
      </x:c>
      <x:c r="S28" s="116" t="str">
        <x:v>Market-reference size combination. Availability, price and lead time are subject to supplier confirmation.</x:v>
      </x:c>
      <x:c r="T28" s="161" t="str">
        <x:v>Eligible</x:v>
      </x:c>
      <x:c r="U28" s="161" t="str">
        <x:v>Pending</x:v>
      </x:c>
    </x:row>
    <x:row r="29" ht="42" hidden="0" customHeight="1">
      <x:c r="A29" t="str">
        <x:v>Draft</x:v>
      </x:c>
      <x:c r="B29" t="str">
        <x:v>ADP_FAM_JIC_NPT_ST</x:v>
      </x:c>
      <x:c r="C29" t="str">
        <x:v>ADP_ST_JIC_M_12_NPT_M_12</x:v>
      </x:c>
      <x:c r="D29" t="str">
        <x:v>ADP_ST_JIC_M_{SIZE1}_NPT_M_{SIZE2}</x:v>
      </x:c>
      <x:c r="E29" t="str">
        <x:v>2404-12-12</x:v>
      </x:c>
      <x:c r="F29" s="116" t="str">
        <x:v>Straight JIC 37 Degree Male -12 to NPTF Male -12 Adapter</x:v>
      </x:c>
      <x:c r="G29" t="str">
        <x:v>ST</x:v>
      </x:c>
      <x:c r="H29" t="str">
        <x:v>JIC</x:v>
      </x:c>
      <x:c r="I29" t="str">
        <x:v>M</x:v>
      </x:c>
      <x:c r="J29" t="str">
        <x:v>-12</x:v>
      </x:c>
      <x:c r="K29" t="str">
        <x:v>NPT</x:v>
      </x:c>
      <x:c r="L29" t="str">
        <x:v>M</x:v>
      </x:c>
      <x:c r="M29" t="str">
        <x:v>-12</x:v>
      </x:c>
      <x:c r="N29"/>
      <x:c r="O29"/>
      <x:c r="P29"/>
      <x:c r="Q29" t="str">
        <x:v>YES - RFQ SKU</x:v>
      </x:c>
      <x:c r="R29" s="116" t="str">
        <x:v>https://www.discounthydraulichose.com/2404-jic-37-male-x-nptf-male-pipe.html</x:v>
      </x:c>
      <x:c r="S29" s="116" t="str">
        <x:v>Market-reference size combination. Availability, price and lead time are subject to supplier confirmation.</x:v>
      </x:c>
      <x:c r="T29" s="161" t="str">
        <x:v>Eligible</x:v>
      </x:c>
      <x:c r="U29" s="161" t="str">
        <x:v>Pending</x:v>
      </x:c>
    </x:row>
    <x:row r="30" ht="42" hidden="0" customHeight="1">
      <x:c r="A30" t="str">
        <x:v>Draft</x:v>
      </x:c>
      <x:c r="B30" t="str">
        <x:v>ADP_FAM_JIC_NPT_ST</x:v>
      </x:c>
      <x:c r="C30" t="str">
        <x:v>ADP_ST_JIC_M_12_NPT_M_16</x:v>
      </x:c>
      <x:c r="D30" t="str">
        <x:v>ADP_ST_JIC_M_{SIZE1}_NPT_M_{SIZE2}</x:v>
      </x:c>
      <x:c r="E30" t="str">
        <x:v>2404-12-16</x:v>
      </x:c>
      <x:c r="F30" s="116" t="str">
        <x:v>Straight JIC 37 Degree Male -12 to NPTF Male -16 Adapter</x:v>
      </x:c>
      <x:c r="G30" t="str">
        <x:v>ST</x:v>
      </x:c>
      <x:c r="H30" t="str">
        <x:v>JIC</x:v>
      </x:c>
      <x:c r="I30" t="str">
        <x:v>M</x:v>
      </x:c>
      <x:c r="J30" t="str">
        <x:v>-12</x:v>
      </x:c>
      <x:c r="K30" t="str">
        <x:v>NPT</x:v>
      </x:c>
      <x:c r="L30" t="str">
        <x:v>M</x:v>
      </x:c>
      <x:c r="M30" t="str">
        <x:v>-16</x:v>
      </x:c>
      <x:c r="N30"/>
      <x:c r="O30"/>
      <x:c r="P30"/>
      <x:c r="Q30" t="str">
        <x:v>YES - RFQ SKU</x:v>
      </x:c>
      <x:c r="R30" s="116" t="str">
        <x:v>https://www.discounthydraulichose.com/2404-jic-37-male-x-nptf-male-pipe.html</x:v>
      </x:c>
      <x:c r="S30" s="116" t="str">
        <x:v>Market-reference size combination. Availability, price and lead time are subject to supplier confirmation.</x:v>
      </x:c>
      <x:c r="T30" s="161" t="str">
        <x:v>Eligible</x:v>
      </x:c>
      <x:c r="U30" s="161" t="str">
        <x:v>Pending</x:v>
      </x:c>
    </x:row>
    <x:row r="31" ht="42" hidden="0" customHeight="1">
      <x:c r="A31" t="str">
        <x:v>Draft</x:v>
      </x:c>
      <x:c r="B31" t="str">
        <x:v>ADP_FAM_JIC_NPT_ST</x:v>
      </x:c>
      <x:c r="C31" t="str">
        <x:v>ADP_ST_JIC_M_12_NPT_M_20</x:v>
      </x:c>
      <x:c r="D31" t="str">
        <x:v>ADP_ST_JIC_M_{SIZE1}_NPT_M_{SIZE2}</x:v>
      </x:c>
      <x:c r="E31" t="str">
        <x:v>2404-12-20</x:v>
      </x:c>
      <x:c r="F31" s="116" t="str">
        <x:v>Straight JIC 37 Degree Male -12 to NPTF Male -20 Adapter</x:v>
      </x:c>
      <x:c r="G31" t="str">
        <x:v>ST</x:v>
      </x:c>
      <x:c r="H31" t="str">
        <x:v>JIC</x:v>
      </x:c>
      <x:c r="I31" t="str">
        <x:v>M</x:v>
      </x:c>
      <x:c r="J31" t="str">
        <x:v>-12</x:v>
      </x:c>
      <x:c r="K31" t="str">
        <x:v>NPT</x:v>
      </x:c>
      <x:c r="L31" t="str">
        <x:v>M</x:v>
      </x:c>
      <x:c r="M31" t="str">
        <x:v>-20</x:v>
      </x:c>
      <x:c r="N31"/>
      <x:c r="O31"/>
      <x:c r="P31"/>
      <x:c r="Q31" t="str">
        <x:v>YES - RFQ SKU</x:v>
      </x:c>
      <x:c r="R31" s="116" t="str">
        <x:v>https://www.discounthydraulichose.com/2404-jic-37-male-x-nptf-male-pipe.html</x:v>
      </x:c>
      <x:c r="S31" s="116" t="str">
        <x:v>Market-reference size combination. Availability, price and lead time are subject to supplier confirmation.</x:v>
      </x:c>
      <x:c r="T31" s="161" t="str">
        <x:v>Eligible</x:v>
      </x:c>
      <x:c r="U31" s="161" t="str">
        <x:v>Pending</x:v>
      </x:c>
    </x:row>
    <x:row r="32" ht="42" hidden="0" customHeight="1">
      <x:c r="A32" t="str">
        <x:v>Draft</x:v>
      </x:c>
      <x:c r="B32" t="str">
        <x:v>ADP_FAM_JIC_NPT_ST</x:v>
      </x:c>
      <x:c r="C32" t="str">
        <x:v>ADP_ST_JIC_M_12_NPT_M_24</x:v>
      </x:c>
      <x:c r="D32" t="str">
        <x:v>ADP_ST_JIC_M_{SIZE1}_NPT_M_{SIZE2}</x:v>
      </x:c>
      <x:c r="E32" t="str">
        <x:v>2404-12-24</x:v>
      </x:c>
      <x:c r="F32" s="116" t="str">
        <x:v>Straight JIC 37 Degree Male -12 to NPTF Male -24 Adapter</x:v>
      </x:c>
      <x:c r="G32" t="str">
        <x:v>ST</x:v>
      </x:c>
      <x:c r="H32" t="str">
        <x:v>JIC</x:v>
      </x:c>
      <x:c r="I32" t="str">
        <x:v>M</x:v>
      </x:c>
      <x:c r="J32" t="str">
        <x:v>-12</x:v>
      </x:c>
      <x:c r="K32" t="str">
        <x:v>NPT</x:v>
      </x:c>
      <x:c r="L32" t="str">
        <x:v>M</x:v>
      </x:c>
      <x:c r="M32" t="str">
        <x:v>-24</x:v>
      </x:c>
      <x:c r="N32"/>
      <x:c r="O32"/>
      <x:c r="P32"/>
      <x:c r="Q32" t="str">
        <x:v>YES - RFQ SKU</x:v>
      </x:c>
      <x:c r="R32" s="116" t="str">
        <x:v>https://www.discounthydraulichose.com/2404-jic-37-male-x-nptf-male-pipe.html</x:v>
      </x:c>
      <x:c r="S32" s="116" t="str">
        <x:v>Market-reference size combination. Availability, price and lead time are subject to supplier confirmation.</x:v>
      </x:c>
      <x:c r="T32" s="161" t="str">
        <x:v>Eligible</x:v>
      </x:c>
      <x:c r="U32" s="161" t="str">
        <x:v>Pending</x:v>
      </x:c>
    </x:row>
    <x:row r="33" ht="42" hidden="0" customHeight="1">
      <x:c r="A33" t="str">
        <x:v>Draft</x:v>
      </x:c>
      <x:c r="B33" t="str">
        <x:v>ADP_FAM_JIC_NPT_ST</x:v>
      </x:c>
      <x:c r="C33" t="str">
        <x:v>ADP_ST_JIC_M_14_NPT_M_08</x:v>
      </x:c>
      <x:c r="D33" t="str">
        <x:v>ADP_ST_JIC_M_{SIZE1}_NPT_M_{SIZE2}</x:v>
      </x:c>
      <x:c r="E33" t="str">
        <x:v>2404-14-08</x:v>
      </x:c>
      <x:c r="F33" s="116" t="str">
        <x:v>Straight JIC 37 Degree Male -14 to NPTF Male -08 Adapter</x:v>
      </x:c>
      <x:c r="G33" t="str">
        <x:v>ST</x:v>
      </x:c>
      <x:c r="H33" t="str">
        <x:v>JIC</x:v>
      </x:c>
      <x:c r="I33" t="str">
        <x:v>M</x:v>
      </x:c>
      <x:c r="J33" t="str">
        <x:v>-14</x:v>
      </x:c>
      <x:c r="K33" t="str">
        <x:v>NPT</x:v>
      </x:c>
      <x:c r="L33" t="str">
        <x:v>M</x:v>
      </x:c>
      <x:c r="M33" t="str">
        <x:v>-8</x:v>
      </x:c>
      <x:c r="N33"/>
      <x:c r="O33"/>
      <x:c r="P33"/>
      <x:c r="Q33" t="str">
        <x:v>YES - RFQ SKU</x:v>
      </x:c>
      <x:c r="R33" s="116" t="str">
        <x:v>https://www.discounthydraulichose.com/2404-jic-37-male-x-nptf-male-pipe.html</x:v>
      </x:c>
      <x:c r="S33" s="116" t="str">
        <x:v>Market-reference size combination. Availability, price and lead time are subject to supplier confirmation.</x:v>
      </x:c>
      <x:c r="T33" s="161" t="str">
        <x:v>Eligible</x:v>
      </x:c>
      <x:c r="U33" s="161" t="str">
        <x:v>Pending</x:v>
      </x:c>
    </x:row>
    <x:row r="34" ht="42" hidden="0" customHeight="1">
      <x:c r="A34" t="str">
        <x:v>Draft</x:v>
      </x:c>
      <x:c r="B34" t="str">
        <x:v>ADP_FAM_JIC_NPT_ST</x:v>
      </x:c>
      <x:c r="C34" t="str">
        <x:v>ADP_ST_JIC_M_14_NPT_M_12</x:v>
      </x:c>
      <x:c r="D34" t="str">
        <x:v>ADP_ST_JIC_M_{SIZE1}_NPT_M_{SIZE2}</x:v>
      </x:c>
      <x:c r="E34" t="str">
        <x:v>2404-14-12</x:v>
      </x:c>
      <x:c r="F34" s="116" t="str">
        <x:v>Straight JIC 37 Degree Male -14 to NPTF Male -12 Adapter</x:v>
      </x:c>
      <x:c r="G34" t="str">
        <x:v>ST</x:v>
      </x:c>
      <x:c r="H34" t="str">
        <x:v>JIC</x:v>
      </x:c>
      <x:c r="I34" t="str">
        <x:v>M</x:v>
      </x:c>
      <x:c r="J34" t="str">
        <x:v>-14</x:v>
      </x:c>
      <x:c r="K34" t="str">
        <x:v>NPT</x:v>
      </x:c>
      <x:c r="L34" t="str">
        <x:v>M</x:v>
      </x:c>
      <x:c r="M34" t="str">
        <x:v>-12</x:v>
      </x:c>
      <x:c r="N34"/>
      <x:c r="O34"/>
      <x:c r="P34"/>
      <x:c r="Q34" t="str">
        <x:v>YES - RFQ SKU</x:v>
      </x:c>
      <x:c r="R34" s="116" t="str">
        <x:v>https://www.discounthydraulichose.com/2404-jic-37-male-x-nptf-male-pipe.html</x:v>
      </x:c>
      <x:c r="S34" s="116" t="str">
        <x:v>Market-reference size combination. Availability, price and lead time are subject to supplier confirmation.</x:v>
      </x:c>
      <x:c r="T34" s="161" t="str">
        <x:v>Eligible</x:v>
      </x:c>
      <x:c r="U34" s="161" t="str">
        <x:v>Pending</x:v>
      </x:c>
    </x:row>
    <x:row r="35" ht="42" hidden="0" customHeight="1">
      <x:c r="A35" t="str">
        <x:v>Draft</x:v>
      </x:c>
      <x:c r="B35" t="str">
        <x:v>ADP_FAM_JIC_NPT_ST</x:v>
      </x:c>
      <x:c r="C35" t="str">
        <x:v>ADP_ST_JIC_M_16_NPT_M_08</x:v>
      </x:c>
      <x:c r="D35" t="str">
        <x:v>ADP_ST_JIC_M_{SIZE1}_NPT_M_{SIZE2}</x:v>
      </x:c>
      <x:c r="E35" t="str">
        <x:v>2404-16-08</x:v>
      </x:c>
      <x:c r="F35" s="116" t="str">
        <x:v>Straight JIC 37 Degree Male -16 to NPTF Male -08 Adapter</x:v>
      </x:c>
      <x:c r="G35" t="str">
        <x:v>ST</x:v>
      </x:c>
      <x:c r="H35" t="str">
        <x:v>JIC</x:v>
      </x:c>
      <x:c r="I35" t="str">
        <x:v>M</x:v>
      </x:c>
      <x:c r="J35" t="str">
        <x:v>-16</x:v>
      </x:c>
      <x:c r="K35" t="str">
        <x:v>NPT</x:v>
      </x:c>
      <x:c r="L35" t="str">
        <x:v>M</x:v>
      </x:c>
      <x:c r="M35" t="str">
        <x:v>-8</x:v>
      </x:c>
      <x:c r="N35"/>
      <x:c r="O35"/>
      <x:c r="P35"/>
      <x:c r="Q35" t="str">
        <x:v>YES - RFQ SKU</x:v>
      </x:c>
      <x:c r="R35" s="116" t="str">
        <x:v>https://www.discounthydraulichose.com/2404-jic-37-male-x-nptf-male-pipe.html</x:v>
      </x:c>
      <x:c r="S35" s="116" t="str">
        <x:v>Market-reference size combination. Availability, price and lead time are subject to supplier confirmation.</x:v>
      </x:c>
      <x:c r="T35" s="161" t="str">
        <x:v>Eligible</x:v>
      </x:c>
      <x:c r="U35" s="161" t="str">
        <x:v>Pending</x:v>
      </x:c>
    </x:row>
    <x:row r="36" ht="42" hidden="0" customHeight="1">
      <x:c r="A36" t="str">
        <x:v>Draft</x:v>
      </x:c>
      <x:c r="B36" t="str">
        <x:v>ADP_FAM_JIC_NPT_ST</x:v>
      </x:c>
      <x:c r="C36" t="str">
        <x:v>ADP_ST_JIC_M_16_NPT_M_12</x:v>
      </x:c>
      <x:c r="D36" t="str">
        <x:v>ADP_ST_JIC_M_{SIZE1}_NPT_M_{SIZE2}</x:v>
      </x:c>
      <x:c r="E36" t="str">
        <x:v>2404-16-12</x:v>
      </x:c>
      <x:c r="F36" s="116" t="str">
        <x:v>Straight JIC 37 Degree Male -16 to NPTF Male -12 Adapter</x:v>
      </x:c>
      <x:c r="G36" t="str">
        <x:v>ST</x:v>
      </x:c>
      <x:c r="H36" t="str">
        <x:v>JIC</x:v>
      </x:c>
      <x:c r="I36" t="str">
        <x:v>M</x:v>
      </x:c>
      <x:c r="J36" t="str">
        <x:v>-16</x:v>
      </x:c>
      <x:c r="K36" t="str">
        <x:v>NPT</x:v>
      </x:c>
      <x:c r="L36" t="str">
        <x:v>M</x:v>
      </x:c>
      <x:c r="M36" t="str">
        <x:v>-12</x:v>
      </x:c>
      <x:c r="N36"/>
      <x:c r="O36"/>
      <x:c r="P36"/>
      <x:c r="Q36" t="str">
        <x:v>YES - RFQ SKU</x:v>
      </x:c>
      <x:c r="R36" s="116" t="str">
        <x:v>https://www.discounthydraulichose.com/2404-jic-37-male-x-nptf-male-pipe.html</x:v>
      </x:c>
      <x:c r="S36" s="116" t="str">
        <x:v>Market-reference size combination. Availability, price and lead time are subject to supplier confirmation.</x:v>
      </x:c>
      <x:c r="T36" s="161" t="str">
        <x:v>Eligible</x:v>
      </x:c>
      <x:c r="U36" s="161" t="str">
        <x:v>Pending</x:v>
      </x:c>
    </x:row>
    <x:row r="37" ht="42" hidden="0" customHeight="1">
      <x:c r="A37" t="str">
        <x:v>Draft</x:v>
      </x:c>
      <x:c r="B37" t="str">
        <x:v>ADP_FAM_JIC_NPT_ST</x:v>
      </x:c>
      <x:c r="C37" t="str">
        <x:v>ADP_ST_JIC_M_16_NPT_M_16</x:v>
      </x:c>
      <x:c r="D37" t="str">
        <x:v>ADP_ST_JIC_M_{SIZE1}_NPT_M_{SIZE2}</x:v>
      </x:c>
      <x:c r="E37" t="str">
        <x:v>2404-16-16</x:v>
      </x:c>
      <x:c r="F37" s="116" t="str">
        <x:v>Straight JIC 37 Degree Male -16 to NPTF Male -16 Adapter</x:v>
      </x:c>
      <x:c r="G37" t="str">
        <x:v>ST</x:v>
      </x:c>
      <x:c r="H37" t="str">
        <x:v>JIC</x:v>
      </x:c>
      <x:c r="I37" t="str">
        <x:v>M</x:v>
      </x:c>
      <x:c r="J37" t="str">
        <x:v>-16</x:v>
      </x:c>
      <x:c r="K37" t="str">
        <x:v>NPT</x:v>
      </x:c>
      <x:c r="L37" t="str">
        <x:v>M</x:v>
      </x:c>
      <x:c r="M37" t="str">
        <x:v>-16</x:v>
      </x:c>
      <x:c r="N37"/>
      <x:c r="O37"/>
      <x:c r="P37"/>
      <x:c r="Q37" t="str">
        <x:v>YES - RFQ SKU</x:v>
      </x:c>
      <x:c r="R37" s="116" t="str">
        <x:v>https://www.discounthydraulichose.com/2404-jic-37-male-x-nptf-male-pipe.html</x:v>
      </x:c>
      <x:c r="S37" s="116" t="str">
        <x:v>Market-reference size combination. Availability, price and lead time are subject to supplier confirmation.</x:v>
      </x:c>
      <x:c r="T37" s="161" t="str">
        <x:v>Eligible</x:v>
      </x:c>
      <x:c r="U37" s="161" t="str">
        <x:v>Pending</x:v>
      </x:c>
    </x:row>
    <x:row r="38" ht="42" hidden="0" customHeight="1">
      <x:c r="A38" t="str">
        <x:v>Draft</x:v>
      </x:c>
      <x:c r="B38" t="str">
        <x:v>ADP_FAM_JIC_NPT_ST</x:v>
      </x:c>
      <x:c r="C38" t="str">
        <x:v>ADP_ST_JIC_M_16_NPT_M_20</x:v>
      </x:c>
      <x:c r="D38" t="str">
        <x:v>ADP_ST_JIC_M_{SIZE1}_NPT_M_{SIZE2}</x:v>
      </x:c>
      <x:c r="E38" t="str">
        <x:v>2404-16-20</x:v>
      </x:c>
      <x:c r="F38" s="116" t="str">
        <x:v>Straight JIC 37 Degree Male -16 to NPTF Male -20 Adapter</x:v>
      </x:c>
      <x:c r="G38" t="str">
        <x:v>ST</x:v>
      </x:c>
      <x:c r="H38" t="str">
        <x:v>JIC</x:v>
      </x:c>
      <x:c r="I38" t="str">
        <x:v>M</x:v>
      </x:c>
      <x:c r="J38" t="str">
        <x:v>-16</x:v>
      </x:c>
      <x:c r="K38" t="str">
        <x:v>NPT</x:v>
      </x:c>
      <x:c r="L38" t="str">
        <x:v>M</x:v>
      </x:c>
      <x:c r="M38" t="str">
        <x:v>-20</x:v>
      </x:c>
      <x:c r="N38"/>
      <x:c r="O38"/>
      <x:c r="P38"/>
      <x:c r="Q38" t="str">
        <x:v>YES - RFQ SKU</x:v>
      </x:c>
      <x:c r="R38" s="116" t="str">
        <x:v>https://www.discounthydraulichose.com/2404-jic-37-male-x-nptf-male-pipe.html</x:v>
      </x:c>
      <x:c r="S38" s="116" t="str">
        <x:v>Market-reference size combination. Availability, price and lead time are subject to supplier confirmation.</x:v>
      </x:c>
      <x:c r="T38" s="161" t="str">
        <x:v>Eligible</x:v>
      </x:c>
      <x:c r="U38" s="161" t="str">
        <x:v>Pending</x:v>
      </x:c>
    </x:row>
    <x:row r="39" ht="42" hidden="0" customHeight="1">
      <x:c r="A39" t="str">
        <x:v>Draft</x:v>
      </x:c>
      <x:c r="B39" t="str">
        <x:v>ADP_FAM_JIC_NPT_ST</x:v>
      </x:c>
      <x:c r="C39" t="str">
        <x:v>ADP_ST_JIC_M_16_NPT_M_24</x:v>
      </x:c>
      <x:c r="D39" t="str">
        <x:v>ADP_ST_JIC_M_{SIZE1}_NPT_M_{SIZE2}</x:v>
      </x:c>
      <x:c r="E39" t="str">
        <x:v>2404-16-24</x:v>
      </x:c>
      <x:c r="F39" s="116" t="str">
        <x:v>Straight JIC 37 Degree Male -16 to NPTF Male -24 Adapter</x:v>
      </x:c>
      <x:c r="G39" t="str">
        <x:v>ST</x:v>
      </x:c>
      <x:c r="H39" t="str">
        <x:v>JIC</x:v>
      </x:c>
      <x:c r="I39" t="str">
        <x:v>M</x:v>
      </x:c>
      <x:c r="J39" t="str">
        <x:v>-16</x:v>
      </x:c>
      <x:c r="K39" t="str">
        <x:v>NPT</x:v>
      </x:c>
      <x:c r="L39" t="str">
        <x:v>M</x:v>
      </x:c>
      <x:c r="M39" t="str">
        <x:v>-24</x:v>
      </x:c>
      <x:c r="N39"/>
      <x:c r="O39"/>
      <x:c r="P39"/>
      <x:c r="Q39" t="str">
        <x:v>YES - RFQ SKU</x:v>
      </x:c>
      <x:c r="R39" s="116" t="str">
        <x:v>https://www.discounthydraulichose.com/2404-jic-37-male-x-nptf-male-pipe.html</x:v>
      </x:c>
      <x:c r="S39" s="116" t="str">
        <x:v>Market-reference size combination. Availability, price and lead time are subject to supplier confirmation.</x:v>
      </x:c>
      <x:c r="T39" s="161" t="str">
        <x:v>Eligible</x:v>
      </x:c>
      <x:c r="U39" s="161" t="str">
        <x:v>Pending</x:v>
      </x:c>
    </x:row>
    <x:row r="40" ht="42" hidden="0" customHeight="1">
      <x:c r="A40" t="str">
        <x:v>Draft</x:v>
      </x:c>
      <x:c r="B40" t="str">
        <x:v>ADP_FAM_JIC_NPT_ST</x:v>
      </x:c>
      <x:c r="C40" t="str">
        <x:v>ADP_ST_JIC_M_20_NPT_M_12</x:v>
      </x:c>
      <x:c r="D40" t="str">
        <x:v>ADP_ST_JIC_M_{SIZE1}_NPT_M_{SIZE2}</x:v>
      </x:c>
      <x:c r="E40" t="str">
        <x:v>2404-20-12</x:v>
      </x:c>
      <x:c r="F40" s="116" t="str">
        <x:v>Straight JIC 37 Degree Male -20 to NPTF Male -12 Adapter</x:v>
      </x:c>
      <x:c r="G40" t="str">
        <x:v>ST</x:v>
      </x:c>
      <x:c r="H40" t="str">
        <x:v>JIC</x:v>
      </x:c>
      <x:c r="I40" t="str">
        <x:v>M</x:v>
      </x:c>
      <x:c r="J40" t="str">
        <x:v>-20</x:v>
      </x:c>
      <x:c r="K40" t="str">
        <x:v>NPT</x:v>
      </x:c>
      <x:c r="L40" t="str">
        <x:v>M</x:v>
      </x:c>
      <x:c r="M40" t="str">
        <x:v>-12</x:v>
      </x:c>
      <x:c r="N40"/>
      <x:c r="O40"/>
      <x:c r="P40"/>
      <x:c r="Q40" t="str">
        <x:v>YES - RFQ SKU</x:v>
      </x:c>
      <x:c r="R40" s="116" t="str">
        <x:v>https://www.discounthydraulichose.com/2404-jic-37-male-x-nptf-male-pipe.html</x:v>
      </x:c>
      <x:c r="S40" s="116" t="str">
        <x:v>Market-reference size combination. Availability, price and lead time are subject to supplier confirmation.</x:v>
      </x:c>
      <x:c r="T40" s="161" t="str">
        <x:v>Eligible</x:v>
      </x:c>
      <x:c r="U40" s="161" t="str">
        <x:v>Pending</x:v>
      </x:c>
    </x:row>
    <x:row r="41" ht="42" hidden="0" customHeight="1">
      <x:c r="A41" t="str">
        <x:v>Draft</x:v>
      </x:c>
      <x:c r="B41" t="str">
        <x:v>ADP_FAM_JIC_NPT_ST</x:v>
      </x:c>
      <x:c r="C41" t="str">
        <x:v>ADP_ST_JIC_M_20_NPT_M_16</x:v>
      </x:c>
      <x:c r="D41" t="str">
        <x:v>ADP_ST_JIC_M_{SIZE1}_NPT_M_{SIZE2}</x:v>
      </x:c>
      <x:c r="E41" t="str">
        <x:v>2404-20-16</x:v>
      </x:c>
      <x:c r="F41" s="116" t="str">
        <x:v>Straight JIC 37 Degree Male -20 to NPTF Male -16 Adapter</x:v>
      </x:c>
      <x:c r="G41" t="str">
        <x:v>ST</x:v>
      </x:c>
      <x:c r="H41" t="str">
        <x:v>JIC</x:v>
      </x:c>
      <x:c r="I41" t="str">
        <x:v>M</x:v>
      </x:c>
      <x:c r="J41" t="str">
        <x:v>-20</x:v>
      </x:c>
      <x:c r="K41" t="str">
        <x:v>NPT</x:v>
      </x:c>
      <x:c r="L41" t="str">
        <x:v>M</x:v>
      </x:c>
      <x:c r="M41" t="str">
        <x:v>-16</x:v>
      </x:c>
      <x:c r="N41"/>
      <x:c r="O41"/>
      <x:c r="P41"/>
      <x:c r="Q41" t="str">
        <x:v>YES - RFQ SKU</x:v>
      </x:c>
      <x:c r="R41" s="116" t="str">
        <x:v>https://www.discounthydraulichose.com/2404-jic-37-male-x-nptf-male-pipe.html</x:v>
      </x:c>
      <x:c r="S41" s="116" t="str">
        <x:v>Market-reference size combination. Availability, price and lead time are subject to supplier confirmation.</x:v>
      </x:c>
      <x:c r="T41" s="161" t="str">
        <x:v>Eligible</x:v>
      </x:c>
      <x:c r="U41" s="161" t="str">
        <x:v>Pending</x:v>
      </x:c>
    </x:row>
    <x:row r="42" ht="42" hidden="0" customHeight="1">
      <x:c r="A42" t="str">
        <x:v>Draft</x:v>
      </x:c>
      <x:c r="B42" t="str">
        <x:v>ADP_FAM_JIC_NPT_ST</x:v>
      </x:c>
      <x:c r="C42" t="str">
        <x:v>ADP_ST_JIC_M_20_NPT_M_20</x:v>
      </x:c>
      <x:c r="D42" t="str">
        <x:v>ADP_ST_JIC_M_{SIZE1}_NPT_M_{SIZE2}</x:v>
      </x:c>
      <x:c r="E42" t="str">
        <x:v>2404-20-20</x:v>
      </x:c>
      <x:c r="F42" s="116" t="str">
        <x:v>Straight JIC 37 Degree Male -20 to NPTF Male -20 Adapter</x:v>
      </x:c>
      <x:c r="G42" t="str">
        <x:v>ST</x:v>
      </x:c>
      <x:c r="H42" t="str">
        <x:v>JIC</x:v>
      </x:c>
      <x:c r="I42" t="str">
        <x:v>M</x:v>
      </x:c>
      <x:c r="J42" t="str">
        <x:v>-20</x:v>
      </x:c>
      <x:c r="K42" t="str">
        <x:v>NPT</x:v>
      </x:c>
      <x:c r="L42" t="str">
        <x:v>M</x:v>
      </x:c>
      <x:c r="M42" t="str">
        <x:v>-20</x:v>
      </x:c>
      <x:c r="N42"/>
      <x:c r="O42"/>
      <x:c r="P42"/>
      <x:c r="Q42" t="str">
        <x:v>YES - RFQ SKU</x:v>
      </x:c>
      <x:c r="R42" s="116" t="str">
        <x:v>https://www.discounthydraulichose.com/2404-jic-37-male-x-nptf-male-pipe.html</x:v>
      </x:c>
      <x:c r="S42" s="116" t="str">
        <x:v>Market-reference size combination. Availability, price and lead time are subject to supplier confirmation.</x:v>
      </x:c>
      <x:c r="T42" s="161" t="str">
        <x:v>Eligible</x:v>
      </x:c>
      <x:c r="U42" s="161" t="str">
        <x:v>Pending</x:v>
      </x:c>
    </x:row>
    <x:row r="43" ht="42" hidden="0" customHeight="1">
      <x:c r="A43" t="str">
        <x:v>Draft</x:v>
      </x:c>
      <x:c r="B43" t="str">
        <x:v>ADP_FAM_JIC_NPT_ST</x:v>
      </x:c>
      <x:c r="C43" t="str">
        <x:v>ADP_ST_JIC_M_20_NPT_M_24</x:v>
      </x:c>
      <x:c r="D43" t="str">
        <x:v>ADP_ST_JIC_M_{SIZE1}_NPT_M_{SIZE2}</x:v>
      </x:c>
      <x:c r="E43" t="str">
        <x:v>2404-20-24</x:v>
      </x:c>
      <x:c r="F43" s="116" t="str">
        <x:v>Straight JIC 37 Degree Male -20 to NPTF Male -24 Adapter</x:v>
      </x:c>
      <x:c r="G43" t="str">
        <x:v>ST</x:v>
      </x:c>
      <x:c r="H43" t="str">
        <x:v>JIC</x:v>
      </x:c>
      <x:c r="I43" t="str">
        <x:v>M</x:v>
      </x:c>
      <x:c r="J43" t="str">
        <x:v>-20</x:v>
      </x:c>
      <x:c r="K43" t="str">
        <x:v>NPT</x:v>
      </x:c>
      <x:c r="L43" t="str">
        <x:v>M</x:v>
      </x:c>
      <x:c r="M43" t="str">
        <x:v>-24</x:v>
      </x:c>
      <x:c r="N43"/>
      <x:c r="O43"/>
      <x:c r="P43"/>
      <x:c r="Q43" t="str">
        <x:v>YES - RFQ SKU</x:v>
      </x:c>
      <x:c r="R43" s="116" t="str">
        <x:v>https://www.discounthydraulichose.com/2404-jic-37-male-x-nptf-male-pipe.html</x:v>
      </x:c>
      <x:c r="S43" s="116" t="str">
        <x:v>Market-reference size combination. Availability, price and lead time are subject to supplier confirmation.</x:v>
      </x:c>
      <x:c r="T43" s="161" t="str">
        <x:v>Eligible</x:v>
      </x:c>
      <x:c r="U43" s="161" t="str">
        <x:v>Pending</x:v>
      </x:c>
    </x:row>
    <x:row r="44" ht="42" hidden="0" customHeight="1">
      <x:c r="A44" t="str">
        <x:v>Draft</x:v>
      </x:c>
      <x:c r="B44" t="str">
        <x:v>ADP_FAM_JIC_NPT_ST</x:v>
      </x:c>
      <x:c r="C44" t="str">
        <x:v>ADP_ST_JIC_M_24_NPT_M_16</x:v>
      </x:c>
      <x:c r="D44" t="str">
        <x:v>ADP_ST_JIC_M_{SIZE1}_NPT_M_{SIZE2}</x:v>
      </x:c>
      <x:c r="E44" t="str">
        <x:v>2404-24-16</x:v>
      </x:c>
      <x:c r="F44" s="116" t="str">
        <x:v>Straight JIC 37 Degree Male -24 to NPTF Male -16 Adapter</x:v>
      </x:c>
      <x:c r="G44" t="str">
        <x:v>ST</x:v>
      </x:c>
      <x:c r="H44" t="str">
        <x:v>JIC</x:v>
      </x:c>
      <x:c r="I44" t="str">
        <x:v>M</x:v>
      </x:c>
      <x:c r="J44" t="str">
        <x:v>-24</x:v>
      </x:c>
      <x:c r="K44" t="str">
        <x:v>NPT</x:v>
      </x:c>
      <x:c r="L44" t="str">
        <x:v>M</x:v>
      </x:c>
      <x:c r="M44" t="str">
        <x:v>-16</x:v>
      </x:c>
      <x:c r="N44"/>
      <x:c r="O44"/>
      <x:c r="P44"/>
      <x:c r="Q44" t="str">
        <x:v>YES - RFQ SKU</x:v>
      </x:c>
      <x:c r="R44" s="116" t="str">
        <x:v>https://www.discounthydraulichose.com/2404-jic-37-male-x-nptf-male-pipe.html</x:v>
      </x:c>
      <x:c r="S44" s="116" t="str">
        <x:v>Market-reference size combination. Availability, price and lead time are subject to supplier confirmation.</x:v>
      </x:c>
      <x:c r="T44" s="161" t="str">
        <x:v>Eligible</x:v>
      </x:c>
      <x:c r="U44" s="161" t="str">
        <x:v>Pending</x:v>
      </x:c>
    </x:row>
    <x:row r="45" ht="42" hidden="0" customHeight="1">
      <x:c r="A45" t="str">
        <x:v>Draft</x:v>
      </x:c>
      <x:c r="B45" t="str">
        <x:v>ADP_FAM_JIC_NPT_ST</x:v>
      </x:c>
      <x:c r="C45" t="str">
        <x:v>ADP_ST_JIC_M_24_NPT_M_20</x:v>
      </x:c>
      <x:c r="D45" t="str">
        <x:v>ADP_ST_JIC_M_{SIZE1}_NPT_M_{SIZE2}</x:v>
      </x:c>
      <x:c r="E45" t="str">
        <x:v>2404-24-20</x:v>
      </x:c>
      <x:c r="F45" s="116" t="str">
        <x:v>Straight JIC 37 Degree Male -24 to NPTF Male -20 Adapter</x:v>
      </x:c>
      <x:c r="G45" t="str">
        <x:v>ST</x:v>
      </x:c>
      <x:c r="H45" t="str">
        <x:v>JIC</x:v>
      </x:c>
      <x:c r="I45" t="str">
        <x:v>M</x:v>
      </x:c>
      <x:c r="J45" t="str">
        <x:v>-24</x:v>
      </x:c>
      <x:c r="K45" t="str">
        <x:v>NPT</x:v>
      </x:c>
      <x:c r="L45" t="str">
        <x:v>M</x:v>
      </x:c>
      <x:c r="M45" t="str">
        <x:v>-20</x:v>
      </x:c>
      <x:c r="N45"/>
      <x:c r="O45"/>
      <x:c r="P45"/>
      <x:c r="Q45" t="str">
        <x:v>YES - RFQ SKU</x:v>
      </x:c>
      <x:c r="R45" s="116" t="str">
        <x:v>https://www.discounthydraulichose.com/2404-jic-37-male-x-nptf-male-pipe.html</x:v>
      </x:c>
      <x:c r="S45" s="116" t="str">
        <x:v>Market-reference size combination. Availability, price and lead time are subject to supplier confirmation.</x:v>
      </x:c>
      <x:c r="T45" s="161" t="str">
        <x:v>Eligible</x:v>
      </x:c>
      <x:c r="U45" s="161" t="str">
        <x:v>Pending</x:v>
      </x:c>
    </x:row>
    <x:row r="46" ht="42" hidden="0" customHeight="1">
      <x:c r="A46" t="str">
        <x:v>Draft</x:v>
      </x:c>
      <x:c r="B46" t="str">
        <x:v>ADP_FAM_JIC_NPT_ST</x:v>
      </x:c>
      <x:c r="C46" t="str">
        <x:v>ADP_ST_JIC_M_24_NPT_M_24</x:v>
      </x:c>
      <x:c r="D46" t="str">
        <x:v>ADP_ST_JIC_M_{SIZE1}_NPT_M_{SIZE2}</x:v>
      </x:c>
      <x:c r="E46" t="str">
        <x:v>2404-24-24</x:v>
      </x:c>
      <x:c r="F46" s="116" t="str">
        <x:v>Straight JIC 37 Degree Male -24 to NPTF Male -24 Adapter</x:v>
      </x:c>
      <x:c r="G46" t="str">
        <x:v>ST</x:v>
      </x:c>
      <x:c r="H46" t="str">
        <x:v>JIC</x:v>
      </x:c>
      <x:c r="I46" t="str">
        <x:v>M</x:v>
      </x:c>
      <x:c r="J46" t="str">
        <x:v>-24</x:v>
      </x:c>
      <x:c r="K46" t="str">
        <x:v>NPT</x:v>
      </x:c>
      <x:c r="L46" t="str">
        <x:v>M</x:v>
      </x:c>
      <x:c r="M46" t="str">
        <x:v>-24</x:v>
      </x:c>
      <x:c r="N46"/>
      <x:c r="O46"/>
      <x:c r="P46"/>
      <x:c r="Q46" t="str">
        <x:v>YES - RFQ SKU</x:v>
      </x:c>
      <x:c r="R46" s="116" t="str">
        <x:v>https://www.discounthydraulichose.com/2404-jic-37-male-x-nptf-male-pipe.html</x:v>
      </x:c>
      <x:c r="S46" s="116" t="str">
        <x:v>Market-reference size combination. Availability, price and lead time are subject to supplier confirmation.</x:v>
      </x:c>
      <x:c r="T46" s="161" t="str">
        <x:v>Eligible</x:v>
      </x:c>
      <x:c r="U46" s="161" t="str">
        <x:v>Pending</x:v>
      </x:c>
    </x:row>
    <x:row r="47" ht="42" hidden="0" customHeight="1">
      <x:c r="A47" t="str">
        <x:v>Draft</x:v>
      </x:c>
      <x:c r="B47" t="str">
        <x:v>ADP_FAM_JIC_NPT_ST</x:v>
      </x:c>
      <x:c r="C47" t="str">
        <x:v>ADP_ST_JIC_M_24_NPT_M_32</x:v>
      </x:c>
      <x:c r="D47" t="str">
        <x:v>ADP_ST_JIC_M_{SIZE1}_NPT_M_{SIZE2}</x:v>
      </x:c>
      <x:c r="E47" t="str">
        <x:v>2404-24-32</x:v>
      </x:c>
      <x:c r="F47" s="116" t="str">
        <x:v>Straight JIC 37 Degree Male -24 to NPTF Male -32 Adapter</x:v>
      </x:c>
      <x:c r="G47" t="str">
        <x:v>ST</x:v>
      </x:c>
      <x:c r="H47" t="str">
        <x:v>JIC</x:v>
      </x:c>
      <x:c r="I47" t="str">
        <x:v>M</x:v>
      </x:c>
      <x:c r="J47" t="str">
        <x:v>-24</x:v>
      </x:c>
      <x:c r="K47" t="str">
        <x:v>NPT</x:v>
      </x:c>
      <x:c r="L47" t="str">
        <x:v>M</x:v>
      </x:c>
      <x:c r="M47" t="str">
        <x:v>-32</x:v>
      </x:c>
      <x:c r="N47"/>
      <x:c r="O47"/>
      <x:c r="P47"/>
      <x:c r="Q47" t="str">
        <x:v>YES - RFQ SKU</x:v>
      </x:c>
      <x:c r="R47" s="116" t="str">
        <x:v>https://www.discounthydraulichose.com/2404-jic-37-male-x-nptf-male-pipe.html</x:v>
      </x:c>
      <x:c r="S47" s="116" t="str">
        <x:v>Market-reference size combination. Availability, price and lead time are subject to supplier confirmation.</x:v>
      </x:c>
      <x:c r="T47" s="161" t="str">
        <x:v>Eligible</x:v>
      </x:c>
      <x:c r="U47" s="161" t="str">
        <x:v>Pending</x:v>
      </x:c>
    </x:row>
    <x:row r="48" ht="42" hidden="0" customHeight="1">
      <x:c r="A48" t="str">
        <x:v>Draft</x:v>
      </x:c>
      <x:c r="B48" t="str">
        <x:v>ADP_FAM_JIC_NPT_ST</x:v>
      </x:c>
      <x:c r="C48" t="str">
        <x:v>ADP_ST_JIC_M_32_NPT_M_16</x:v>
      </x:c>
      <x:c r="D48" t="str">
        <x:v>ADP_ST_JIC_M_{SIZE1}_NPT_M_{SIZE2}</x:v>
      </x:c>
      <x:c r="E48" t="str">
        <x:v>2404-32-16</x:v>
      </x:c>
      <x:c r="F48" s="116" t="str">
        <x:v>Straight JIC 37 Degree Male -32 to NPTF Male -16 Adapter</x:v>
      </x:c>
      <x:c r="G48" t="str">
        <x:v>ST</x:v>
      </x:c>
      <x:c r="H48" t="str">
        <x:v>JIC</x:v>
      </x:c>
      <x:c r="I48" t="str">
        <x:v>M</x:v>
      </x:c>
      <x:c r="J48" t="str">
        <x:v>-32</x:v>
      </x:c>
      <x:c r="K48" t="str">
        <x:v>NPT</x:v>
      </x:c>
      <x:c r="L48" t="str">
        <x:v>M</x:v>
      </x:c>
      <x:c r="M48" t="str">
        <x:v>-16</x:v>
      </x:c>
      <x:c r="N48"/>
      <x:c r="O48"/>
      <x:c r="P48"/>
      <x:c r="Q48" t="str">
        <x:v>YES - RFQ SKU</x:v>
      </x:c>
      <x:c r="R48" s="116" t="str">
        <x:v>https://www.discounthydraulichose.com/2404-jic-37-male-x-nptf-male-pipe.html</x:v>
      </x:c>
      <x:c r="S48" s="116" t="str">
        <x:v>Market-reference size combination. Availability, price and lead time are subject to supplier confirmation.</x:v>
      </x:c>
      <x:c r="T48" s="161" t="str">
        <x:v>Eligible</x:v>
      </x:c>
      <x:c r="U48" s="161" t="str">
        <x:v>Pending</x:v>
      </x:c>
    </x:row>
    <x:row r="49" ht="42" hidden="0" customHeight="1">
      <x:c r="A49" t="str">
        <x:v>Draft</x:v>
      </x:c>
      <x:c r="B49" t="str">
        <x:v>ADP_FAM_JIC_NPT_ST</x:v>
      </x:c>
      <x:c r="C49" t="str">
        <x:v>ADP_ST_JIC_M_32_NPT_M_20</x:v>
      </x:c>
      <x:c r="D49" t="str">
        <x:v>ADP_ST_JIC_M_{SIZE1}_NPT_M_{SIZE2}</x:v>
      </x:c>
      <x:c r="E49" t="str">
        <x:v>2404-32-20</x:v>
      </x:c>
      <x:c r="F49" s="116" t="str">
        <x:v>Straight JIC 37 Degree Male -32 to NPTF Male -20 Adapter</x:v>
      </x:c>
      <x:c r="G49" t="str">
        <x:v>ST</x:v>
      </x:c>
      <x:c r="H49" t="str">
        <x:v>JIC</x:v>
      </x:c>
      <x:c r="I49" t="str">
        <x:v>M</x:v>
      </x:c>
      <x:c r="J49" t="str">
        <x:v>-32</x:v>
      </x:c>
      <x:c r="K49" t="str">
        <x:v>NPT</x:v>
      </x:c>
      <x:c r="L49" t="str">
        <x:v>M</x:v>
      </x:c>
      <x:c r="M49" t="str">
        <x:v>-20</x:v>
      </x:c>
      <x:c r="N49"/>
      <x:c r="O49"/>
      <x:c r="P49"/>
      <x:c r="Q49" t="str">
        <x:v>YES - RFQ SKU</x:v>
      </x:c>
      <x:c r="R49" s="116" t="str">
        <x:v>https://www.discounthydraulichose.com/2404-jic-37-male-x-nptf-male-pipe.html</x:v>
      </x:c>
      <x:c r="S49" s="116" t="str">
        <x:v>Market-reference size combination. Availability, price and lead time are subject to supplier confirmation.</x:v>
      </x:c>
      <x:c r="T49" s="161" t="str">
        <x:v>Eligible</x:v>
      </x:c>
      <x:c r="U49" s="161" t="str">
        <x:v>Pending</x:v>
      </x:c>
    </x:row>
    <x:row r="50" ht="42" hidden="0" customHeight="1">
      <x:c r="A50" t="str">
        <x:v>Draft</x:v>
      </x:c>
      <x:c r="B50" t="str">
        <x:v>ADP_FAM_JIC_NPT_ST</x:v>
      </x:c>
      <x:c r="C50" t="str">
        <x:v>ADP_ST_JIC_M_32_NPT_M_24</x:v>
      </x:c>
      <x:c r="D50" t="str">
        <x:v>ADP_ST_JIC_M_{SIZE1}_NPT_M_{SIZE2}</x:v>
      </x:c>
      <x:c r="E50" t="str">
        <x:v>2404-32-24</x:v>
      </x:c>
      <x:c r="F50" s="116" t="str">
        <x:v>Straight JIC 37 Degree Male -32 to NPTF Male -24 Adapter</x:v>
      </x:c>
      <x:c r="G50" t="str">
        <x:v>ST</x:v>
      </x:c>
      <x:c r="H50" t="str">
        <x:v>JIC</x:v>
      </x:c>
      <x:c r="I50" t="str">
        <x:v>M</x:v>
      </x:c>
      <x:c r="J50" t="str">
        <x:v>-32</x:v>
      </x:c>
      <x:c r="K50" t="str">
        <x:v>NPT</x:v>
      </x:c>
      <x:c r="L50" t="str">
        <x:v>M</x:v>
      </x:c>
      <x:c r="M50" t="str">
        <x:v>-24</x:v>
      </x:c>
      <x:c r="N50"/>
      <x:c r="O50"/>
      <x:c r="P50"/>
      <x:c r="Q50" t="str">
        <x:v>YES - RFQ SKU</x:v>
      </x:c>
      <x:c r="R50" s="116" t="str">
        <x:v>https://www.discounthydraulichose.com/2404-jic-37-male-x-nptf-male-pipe.html</x:v>
      </x:c>
      <x:c r="S50" s="116" t="str">
        <x:v>Market-reference size combination. Availability, price and lead time are subject to supplier confirmation.</x:v>
      </x:c>
      <x:c r="T50" s="161" t="str">
        <x:v>Eligible</x:v>
      </x:c>
      <x:c r="U50" s="161" t="str">
        <x:v>Pending</x:v>
      </x:c>
    </x:row>
    <x:row r="51" ht="42" hidden="0" customHeight="1">
      <x:c r="A51" t="str">
        <x:v>Draft</x:v>
      </x:c>
      <x:c r="B51" t="str">
        <x:v>ADP_FAM_JIC_NPT_ST</x:v>
      </x:c>
      <x:c r="C51" t="str">
        <x:v>ADP_ST_JIC_M_32_NPT_M_32</x:v>
      </x:c>
      <x:c r="D51" t="str">
        <x:v>ADP_ST_JIC_M_{SIZE1}_NPT_M_{SIZE2}</x:v>
      </x:c>
      <x:c r="E51" t="str">
        <x:v>2404-32-32</x:v>
      </x:c>
      <x:c r="F51" s="116" t="str">
        <x:v>Straight JIC 37 Degree Male -32 to NPTF Male -32 Adapter</x:v>
      </x:c>
      <x:c r="G51" t="str">
        <x:v>ST</x:v>
      </x:c>
      <x:c r="H51" t="str">
        <x:v>JIC</x:v>
      </x:c>
      <x:c r="I51" t="str">
        <x:v>M</x:v>
      </x:c>
      <x:c r="J51" t="str">
        <x:v>-32</x:v>
      </x:c>
      <x:c r="K51" t="str">
        <x:v>NPT</x:v>
      </x:c>
      <x:c r="L51" t="str">
        <x:v>M</x:v>
      </x:c>
      <x:c r="M51" t="str">
        <x:v>-32</x:v>
      </x:c>
      <x:c r="N51"/>
      <x:c r="O51"/>
      <x:c r="P51"/>
      <x:c r="Q51" t="str">
        <x:v>YES - RFQ SKU</x:v>
      </x:c>
      <x:c r="R51" s="116" t="str">
        <x:v>https://www.discounthydraulichose.com/2404-jic-37-male-x-nptf-male-pipe.html</x:v>
      </x:c>
      <x:c r="S51" s="116" t="str">
        <x:v>Market-reference size combination. Availability, price and lead time are subject to supplier confirmation.</x:v>
      </x:c>
      <x:c r="T51" s="161" t="str">
        <x:v>Eligible</x:v>
      </x:c>
      <x:c r="U51" s="161" t="str">
        <x:v>Pending</x:v>
      </x:c>
    </x:row>
    <x:row r="52" ht="42" hidden="0" customHeight="1">
      <x:c r="A52" t="str">
        <x:v>Draft</x:v>
      </x:c>
      <x:c r="B52" t="str">
        <x:v>ADP_FAM_JIC_NPT_ST</x:v>
      </x:c>
      <x:c r="C52" t="str">
        <x:v>ADP_ST_JIC_M_02_NPT_M_02</x:v>
      </x:c>
      <x:c r="D52" t="str">
        <x:v>ADP_ST_JIC_M_{SIZE1}_NPT_M_{SIZE2}</x:v>
      </x:c>
      <x:c r="E52" t="str">
        <x:v>2404-02-02</x:v>
      </x:c>
      <x:c r="F52" s="116" t="str">
        <x:v>Straight JIC 37 Degree Male -02 to NPTF Male -02 Adapter</x:v>
      </x:c>
      <x:c r="G52" t="str">
        <x:v>ST</x:v>
      </x:c>
      <x:c r="H52" t="str">
        <x:v>JIC</x:v>
      </x:c>
      <x:c r="I52" t="str">
        <x:v>M</x:v>
      </x:c>
      <x:c r="J52" t="str">
        <x:v>-2</x:v>
      </x:c>
      <x:c r="K52" t="str">
        <x:v>NPT</x:v>
      </x:c>
      <x:c r="L52" t="str">
        <x:v>M</x:v>
      </x:c>
      <x:c r="M52" t="str">
        <x:v>-2</x:v>
      </x:c>
      <x:c r="N52"/>
      <x:c r="O52"/>
      <x:c r="P52"/>
      <x:c r="Q52" t="str">
        <x:v>YES - RFQ SKU</x:v>
      </x:c>
      <x:c r="R52" s="116" t="str">
        <x:v>https://www.discounthydraulichose.com/2404-jic-37-male-x-nptf-male-pipe.html</x:v>
      </x:c>
      <x:c r="S52" s="116" t="str">
        <x:v>Market-reference size combination. Availability, price and lead time are subject to supplier confirmation.</x:v>
      </x:c>
      <x:c r="T52" s="161" t="str">
        <x:v>Eligible</x:v>
      </x:c>
      <x:c r="U52" s="161" t="str">
        <x:v>Pending</x:v>
      </x:c>
    </x:row>
    <x:row r="53" ht="42" hidden="0" customHeight="1">
      <x:c r="A53" t="str">
        <x:v>Draft</x:v>
      </x:c>
      <x:c r="B53" t="str">
        <x:v>ADP_FAM_JIC_NPT_ST</x:v>
      </x:c>
      <x:c r="C53" t="str">
        <x:v>ADP_ST_JIC_M_03_NPT_M_02</x:v>
      </x:c>
      <x:c r="D53" t="str">
        <x:v>ADP_ST_JIC_M_{SIZE1}_NPT_M_{SIZE2}</x:v>
      </x:c>
      <x:c r="E53" t="str">
        <x:v>2404-03-02</x:v>
      </x:c>
      <x:c r="F53" s="116" t="str">
        <x:v>Straight JIC 37 Degree Male -03 to NPTF Male -02 Adapter</x:v>
      </x:c>
      <x:c r="G53" t="str">
        <x:v>ST</x:v>
      </x:c>
      <x:c r="H53" t="str">
        <x:v>JIC</x:v>
      </x:c>
      <x:c r="I53" t="str">
        <x:v>M</x:v>
      </x:c>
      <x:c r="J53" t="str">
        <x:v>-3</x:v>
      </x:c>
      <x:c r="K53" t="str">
        <x:v>NPT</x:v>
      </x:c>
      <x:c r="L53" t="str">
        <x:v>M</x:v>
      </x:c>
      <x:c r="M53" t="str">
        <x:v>-2</x:v>
      </x:c>
      <x:c r="N53"/>
      <x:c r="O53"/>
      <x:c r="P53"/>
      <x:c r="Q53" t="str">
        <x:v>YES - RFQ SKU</x:v>
      </x:c>
      <x:c r="R53" s="116" t="str">
        <x:v>https://www.discounthydraulichose.com/2404-jic-37-male-x-nptf-male-pipe.html</x:v>
      </x:c>
      <x:c r="S53" s="116" t="str">
        <x:v>Market-reference size combination. Availability, price and lead time are subject to supplier confirmation.</x:v>
      </x:c>
      <x:c r="T53" s="161" t="str">
        <x:v>Eligible</x:v>
      </x:c>
      <x:c r="U53" s="161" t="str">
        <x:v>Pending</x:v>
      </x:c>
    </x:row>
    <x:row r="54" ht="42" hidden="0" customHeight="1">
      <x:c r="A54" t="str">
        <x:v>Draft</x:v>
      </x:c>
      <x:c r="B54" t="str">
        <x:v>ADP_FAM_JIC_NPT_ST</x:v>
      </x:c>
      <x:c r="C54" t="str">
        <x:v>ADP_ST_JIC_M_04_NPT_M_02</x:v>
      </x:c>
      <x:c r="D54" t="str">
        <x:v>ADP_ST_JIC_M_{SIZE1}_NPT_M_{SIZE2}</x:v>
      </x:c>
      <x:c r="E54" t="str">
        <x:v>2404-04-02</x:v>
      </x:c>
      <x:c r="F54" s="116" t="str">
        <x:v>Straight JIC 37 Degree Male -04 to NPTF Male -02 Adapter</x:v>
      </x:c>
      <x:c r="G54" t="str">
        <x:v>ST</x:v>
      </x:c>
      <x:c r="H54" t="str">
        <x:v>JIC</x:v>
      </x:c>
      <x:c r="I54" t="str">
        <x:v>M</x:v>
      </x:c>
      <x:c r="J54" t="str">
        <x:v>-4</x:v>
      </x:c>
      <x:c r="K54" t="str">
        <x:v>NPT</x:v>
      </x:c>
      <x:c r="L54" t="str">
        <x:v>M</x:v>
      </x:c>
      <x:c r="M54" t="str">
        <x:v>-2</x:v>
      </x:c>
      <x:c r="N54"/>
      <x:c r="O54"/>
      <x:c r="P54"/>
      <x:c r="Q54" t="str">
        <x:v>YES - RFQ SKU</x:v>
      </x:c>
      <x:c r="R54" s="116" t="str">
        <x:v>https://www.discounthydraulichose.com/2404-jic-37-male-x-nptf-male-pipe.html</x:v>
      </x:c>
      <x:c r="S54" s="116" t="str">
        <x:v>Market-reference size combination. Availability, price and lead time are subject to supplier confirmation.</x:v>
      </x:c>
      <x:c r="T54" s="161" t="str">
        <x:v>Eligible</x:v>
      </x:c>
      <x:c r="U54" s="161" t="str">
        <x:v>Pending</x:v>
      </x:c>
    </x:row>
    <x:row r="55" ht="42" hidden="0" customHeight="1">
      <x:c r="A55" t="str">
        <x:v>Draft</x:v>
      </x:c>
      <x:c r="B55" t="str">
        <x:v>ADP_FAM_JIC_NPT_ST</x:v>
      </x:c>
      <x:c r="C55" t="str">
        <x:v>ADP_ST_JIC_M_04_NPT_M_04</x:v>
      </x:c>
      <x:c r="D55" t="str">
        <x:v>ADP_ST_JIC_M_{SIZE1}_NPT_M_{SIZE2}</x:v>
      </x:c>
      <x:c r="E55" t="str">
        <x:v>2404-04-04</x:v>
      </x:c>
      <x:c r="F55" s="116" t="str">
        <x:v>Straight JIC 37 Degree Male -04 to NPTF Male -04 Adapter</x:v>
      </x:c>
      <x:c r="G55" t="str">
        <x:v>ST</x:v>
      </x:c>
      <x:c r="H55" t="str">
        <x:v>JIC</x:v>
      </x:c>
      <x:c r="I55" t="str">
        <x:v>M</x:v>
      </x:c>
      <x:c r="J55" t="str">
        <x:v>-4</x:v>
      </x:c>
      <x:c r="K55" t="str">
        <x:v>NPT</x:v>
      </x:c>
      <x:c r="L55" t="str">
        <x:v>M</x:v>
      </x:c>
      <x:c r="M55" t="str">
        <x:v>-4</x:v>
      </x:c>
      <x:c r="N55"/>
      <x:c r="O55"/>
      <x:c r="P55"/>
      <x:c r="Q55" t="str">
        <x:v>YES - RFQ SKU</x:v>
      </x:c>
      <x:c r="R55" s="116" t="str">
        <x:v>https://www.discounthydraulichose.com/2404-jic-37-male-x-nptf-male-pipe.html</x:v>
      </x:c>
      <x:c r="S55" s="116" t="str">
        <x:v>Market-reference size combination. Availability, price and lead time are subject to supplier confirmation.</x:v>
      </x:c>
      <x:c r="T55" s="161" t="str">
        <x:v>Eligible</x:v>
      </x:c>
      <x:c r="U55" s="161" t="str">
        <x:v>Pending</x:v>
      </x:c>
    </x:row>
    <x:row r="56" ht="42" hidden="0" customHeight="1">
      <x:c r="A56" t="str">
        <x:v>Draft</x:v>
      </x:c>
      <x:c r="B56" t="str">
        <x:v>ADP_FAM_JIC_NPT_ST</x:v>
      </x:c>
      <x:c r="C56" t="str">
        <x:v>ADP_ST_JIC_M_04_NPT_M_06</x:v>
      </x:c>
      <x:c r="D56" t="str">
        <x:v>ADP_ST_JIC_M_{SIZE1}_NPT_M_{SIZE2}</x:v>
      </x:c>
      <x:c r="E56" t="str">
        <x:v>2404-04-06</x:v>
      </x:c>
      <x:c r="F56" s="116" t="str">
        <x:v>Straight JIC 37 Degree Male -04 to NPTF Male -06 Adapter</x:v>
      </x:c>
      <x:c r="G56" t="str">
        <x:v>ST</x:v>
      </x:c>
      <x:c r="H56" t="str">
        <x:v>JIC</x:v>
      </x:c>
      <x:c r="I56" t="str">
        <x:v>M</x:v>
      </x:c>
      <x:c r="J56" t="str">
        <x:v>-4</x:v>
      </x:c>
      <x:c r="K56" t="str">
        <x:v>NPT</x:v>
      </x:c>
      <x:c r="L56" t="str">
        <x:v>M</x:v>
      </x:c>
      <x:c r="M56" t="str">
        <x:v>-6</x:v>
      </x:c>
      <x:c r="N56"/>
      <x:c r="O56"/>
      <x:c r="P56"/>
      <x:c r="Q56" t="str">
        <x:v>YES - RFQ SKU</x:v>
      </x:c>
      <x:c r="R56" s="116" t="str">
        <x:v>https://www.discounthydraulichose.com/2404-jic-37-male-x-nptf-male-pipe.html</x:v>
      </x:c>
      <x:c r="S56" s="116" t="str">
        <x:v>Market-reference size combination. Availability, price and lead time are subject to supplier confirmation.</x:v>
      </x:c>
      <x:c r="T56" s="161" t="str">
        <x:v>Eligible</x:v>
      </x:c>
      <x:c r="U56" s="161" t="str">
        <x:v>Pending</x:v>
      </x:c>
    </x:row>
    <x:row r="57" ht="42" hidden="0" customHeight="1">
      <x:c r="A57" t="str">
        <x:v>Draft</x:v>
      </x:c>
      <x:c r="B57" t="str">
        <x:v>ADP_FAM_JIC_NPT_ST</x:v>
      </x:c>
      <x:c r="C57" t="str">
        <x:v>ADP_ST_JIC_M_04_NPT_M_08</x:v>
      </x:c>
      <x:c r="D57" t="str">
        <x:v>ADP_ST_JIC_M_{SIZE1}_NPT_M_{SIZE2}</x:v>
      </x:c>
      <x:c r="E57" t="str">
        <x:v>2404-04-08</x:v>
      </x:c>
      <x:c r="F57" s="116" t="str">
        <x:v>Straight JIC 37 Degree Male -04 to NPTF Male -08 Adapter</x:v>
      </x:c>
      <x:c r="G57" t="str">
        <x:v>ST</x:v>
      </x:c>
      <x:c r="H57" t="str">
        <x:v>JIC</x:v>
      </x:c>
      <x:c r="I57" t="str">
        <x:v>M</x:v>
      </x:c>
      <x:c r="J57" t="str">
        <x:v>-4</x:v>
      </x:c>
      <x:c r="K57" t="str">
        <x:v>NPT</x:v>
      </x:c>
      <x:c r="L57" t="str">
        <x:v>M</x:v>
      </x:c>
      <x:c r="M57" t="str">
        <x:v>-8</x:v>
      </x:c>
      <x:c r="N57"/>
      <x:c r="O57"/>
      <x:c r="P57"/>
      <x:c r="Q57" t="str">
        <x:v>YES - RFQ SKU</x:v>
      </x:c>
      <x:c r="R57" s="116" t="str">
        <x:v>https://www.discounthydraulichose.com/2404-jic-37-male-x-nptf-male-pipe.html</x:v>
      </x:c>
      <x:c r="S57" s="116" t="str">
        <x:v>Market-reference size combination. Availability, price and lead time are subject to supplier confirmation.</x:v>
      </x:c>
      <x:c r="T57" s="161" t="str">
        <x:v>Eligible</x:v>
      </x:c>
      <x:c r="U57" s="161" t="str">
        <x:v>Pending</x:v>
      </x:c>
    </x:row>
    <x:row r="58" ht="42" hidden="0" customHeight="1">
      <x:c r="A58" t="str">
        <x:v>Draft</x:v>
      </x:c>
      <x:c r="B58" t="str">
        <x:v>ADP_FAM_JIC_NPT_ST</x:v>
      </x:c>
      <x:c r="C58" t="str">
        <x:v>ADP_ST_JIC_M_04_NPT_M_12</x:v>
      </x:c>
      <x:c r="D58" t="str">
        <x:v>ADP_ST_JIC_M_{SIZE1}_NPT_M_{SIZE2}</x:v>
      </x:c>
      <x:c r="E58" t="str">
        <x:v>2404-04-12</x:v>
      </x:c>
      <x:c r="F58" s="116" t="str">
        <x:v>Straight JIC 37 Degree Male -04 to NPTF Male -12 Adapter</x:v>
      </x:c>
      <x:c r="G58" t="str">
        <x:v>ST</x:v>
      </x:c>
      <x:c r="H58" t="str">
        <x:v>JIC</x:v>
      </x:c>
      <x:c r="I58" t="str">
        <x:v>M</x:v>
      </x:c>
      <x:c r="J58" t="str">
        <x:v>-4</x:v>
      </x:c>
      <x:c r="K58" t="str">
        <x:v>NPT</x:v>
      </x:c>
      <x:c r="L58" t="str">
        <x:v>M</x:v>
      </x:c>
      <x:c r="M58" t="str">
        <x:v>-12</x:v>
      </x:c>
      <x:c r="N58"/>
      <x:c r="O58"/>
      <x:c r="P58"/>
      <x:c r="Q58" t="str">
        <x:v>YES - RFQ SKU</x:v>
      </x:c>
      <x:c r="R58" s="116" t="str">
        <x:v>https://www.discounthydraulichose.com/2404-jic-37-male-x-nptf-male-pipe.html</x:v>
      </x:c>
      <x:c r="S58" s="116" t="str">
        <x:v>Market-reference size combination. Availability, price and lead time are subject to supplier confirmation.</x:v>
      </x:c>
      <x:c r="T58" s="161" t="str">
        <x:v>Eligible</x:v>
      </x:c>
      <x:c r="U58" s="161" t="str">
        <x:v>Pending</x:v>
      </x:c>
    </x:row>
    <x:row r="59" ht="42" hidden="0" customHeight="1">
      <x:c r="A59" t="str">
        <x:v>Draft</x:v>
      </x:c>
      <x:c r="B59" t="str">
        <x:v>ADP_FAM_JIC_NPT_ST</x:v>
      </x:c>
      <x:c r="C59" t="str">
        <x:v>ADP_ST_JIC_M_05_NPT_M_02</x:v>
      </x:c>
      <x:c r="D59" t="str">
        <x:v>ADP_ST_JIC_M_{SIZE1}_NPT_M_{SIZE2}</x:v>
      </x:c>
      <x:c r="E59" t="str">
        <x:v>2404-05-02</x:v>
      </x:c>
      <x:c r="F59" s="116" t="str">
        <x:v>Straight JIC 37 Degree Male -05 to NPTF Male -02 Adapter</x:v>
      </x:c>
      <x:c r="G59" t="str">
        <x:v>ST</x:v>
      </x:c>
      <x:c r="H59" t="str">
        <x:v>JIC</x:v>
      </x:c>
      <x:c r="I59" t="str">
        <x:v>M</x:v>
      </x:c>
      <x:c r="J59" t="str">
        <x:v>-5</x:v>
      </x:c>
      <x:c r="K59" t="str">
        <x:v>NPT</x:v>
      </x:c>
      <x:c r="L59" t="str">
        <x:v>M</x:v>
      </x:c>
      <x:c r="M59" t="str">
        <x:v>-2</x:v>
      </x:c>
      <x:c r="N59"/>
      <x:c r="O59"/>
      <x:c r="P59"/>
      <x:c r="Q59" t="str">
        <x:v>YES - RFQ SKU</x:v>
      </x:c>
      <x:c r="R59" s="116" t="str">
        <x:v>https://www.discounthydraulichose.com/2404-jic-37-male-x-nptf-male-pipe.html</x:v>
      </x:c>
      <x:c r="S59" s="116" t="str">
        <x:v>Market-reference size combination. Availability, price and lead time are subject to supplier confirmation.</x:v>
      </x:c>
      <x:c r="T59" s="161" t="str">
        <x:v>Eligible</x:v>
      </x:c>
      <x:c r="U59" s="161" t="str">
        <x:v>Pending</x:v>
      </x:c>
    </x:row>
    <x:row r="60" ht="42" hidden="0" customHeight="1">
      <x:c r="A60" t="str">
        <x:v>Draft</x:v>
      </x:c>
      <x:c r="B60" t="str">
        <x:v>ADP_FAM_JIC_NPT_ST</x:v>
      </x:c>
      <x:c r="C60" t="str">
        <x:v>ADP_ST_JIC_M_05_NPT_M_04</x:v>
      </x:c>
      <x:c r="D60" t="str">
        <x:v>ADP_ST_JIC_M_{SIZE1}_NPT_M_{SIZE2}</x:v>
      </x:c>
      <x:c r="E60" t="str">
        <x:v>2404-05-04</x:v>
      </x:c>
      <x:c r="F60" s="116" t="str">
        <x:v>Straight JIC 37 Degree Male -05 to NPTF Male -04 Adapter</x:v>
      </x:c>
      <x:c r="G60" t="str">
        <x:v>ST</x:v>
      </x:c>
      <x:c r="H60" t="str">
        <x:v>JIC</x:v>
      </x:c>
      <x:c r="I60" t="str">
        <x:v>M</x:v>
      </x:c>
      <x:c r="J60" t="str">
        <x:v>-5</x:v>
      </x:c>
      <x:c r="K60" t="str">
        <x:v>NPT</x:v>
      </x:c>
      <x:c r="L60" t="str">
        <x:v>M</x:v>
      </x:c>
      <x:c r="M60" t="str">
        <x:v>-4</x:v>
      </x:c>
      <x:c r="N60"/>
      <x:c r="O60"/>
      <x:c r="P60"/>
      <x:c r="Q60" t="str">
        <x:v>YES - RFQ SKU</x:v>
      </x:c>
      <x:c r="R60" s="116" t="str">
        <x:v>https://www.discounthydraulichose.com/2404-jic-37-male-x-nptf-male-pipe.html</x:v>
      </x:c>
      <x:c r="S60" s="116" t="str">
        <x:v>Market-reference size combination. Availability, price and lead time are subject to supplier confirmation.</x:v>
      </x:c>
      <x:c r="T60" s="161" t="str">
        <x:v>Eligible</x:v>
      </x:c>
      <x:c r="U60" s="161" t="str">
        <x:v>Pending</x:v>
      </x:c>
    </x:row>
    <x:row r="61" ht="42" hidden="0" customHeight="1">
      <x:c r="A61" t="str">
        <x:v>Draft</x:v>
      </x:c>
      <x:c r="B61" t="str">
        <x:v>ADP_FAM_JIC_NPT_ST</x:v>
      </x:c>
      <x:c r="C61" t="str">
        <x:v>ADP_ST_JIC_M_05_NPT_M_06</x:v>
      </x:c>
      <x:c r="D61" t="str">
        <x:v>ADP_ST_JIC_M_{SIZE1}_NPT_M_{SIZE2}</x:v>
      </x:c>
      <x:c r="E61" t="str">
        <x:v>2404-05-06</x:v>
      </x:c>
      <x:c r="F61" s="116" t="str">
        <x:v>Straight JIC 37 Degree Male -05 to NPTF Male -06 Adapter</x:v>
      </x:c>
      <x:c r="G61" t="str">
        <x:v>ST</x:v>
      </x:c>
      <x:c r="H61" t="str">
        <x:v>JIC</x:v>
      </x:c>
      <x:c r="I61" t="str">
        <x:v>M</x:v>
      </x:c>
      <x:c r="J61" t="str">
        <x:v>-5</x:v>
      </x:c>
      <x:c r="K61" t="str">
        <x:v>NPT</x:v>
      </x:c>
      <x:c r="L61" t="str">
        <x:v>M</x:v>
      </x:c>
      <x:c r="M61" t="str">
        <x:v>-6</x:v>
      </x:c>
      <x:c r="N61"/>
      <x:c r="O61"/>
      <x:c r="P61"/>
      <x:c r="Q61" t="str">
        <x:v>YES - RFQ SKU</x:v>
      </x:c>
      <x:c r="R61" s="116" t="str">
        <x:v>https://www.discounthydraulichose.com/2404-jic-37-male-x-nptf-male-pipe.html</x:v>
      </x:c>
      <x:c r="S61" s="116" t="str">
        <x:v>Market-reference size combination. Availability, price and lead time are subject to supplier confirmation.</x:v>
      </x:c>
      <x:c r="T61" s="161" t="str">
        <x:v>Eligible</x:v>
      </x:c>
      <x:c r="U61" s="161" t="str">
        <x:v>Pending</x:v>
      </x:c>
    </x:row>
    <x:row r="62" ht="42" hidden="0" customHeight="1">
      <x:c r="A62" t="str">
        <x:v>Draft</x:v>
      </x:c>
      <x:c r="B62" t="str">
        <x:v>ADP_FAM_JIC_NPT_ST</x:v>
      </x:c>
      <x:c r="C62" t="str">
        <x:v>ADP_ST_JIC_M_06_NPT_M_02</x:v>
      </x:c>
      <x:c r="D62" t="str">
        <x:v>ADP_ST_JIC_M_{SIZE1}_NPT_M_{SIZE2}</x:v>
      </x:c>
      <x:c r="E62" t="str">
        <x:v>2404-06-02</x:v>
      </x:c>
      <x:c r="F62" s="116" t="str">
        <x:v>Straight JIC 37 Degree Male -06 to NPTF Male -02 Adapter</x:v>
      </x:c>
      <x:c r="G62" t="str">
        <x:v>ST</x:v>
      </x:c>
      <x:c r="H62" t="str">
        <x:v>JIC</x:v>
      </x:c>
      <x:c r="I62" t="str">
        <x:v>M</x:v>
      </x:c>
      <x:c r="J62" t="str">
        <x:v>-6</x:v>
      </x:c>
      <x:c r="K62" t="str">
        <x:v>NPT</x:v>
      </x:c>
      <x:c r="L62" t="str">
        <x:v>M</x:v>
      </x:c>
      <x:c r="M62" t="str">
        <x:v>-2</x:v>
      </x:c>
      <x:c r="N62"/>
      <x:c r="O62"/>
      <x:c r="P62"/>
      <x:c r="Q62" t="str">
        <x:v>YES - RFQ SKU</x:v>
      </x:c>
      <x:c r="R62" s="116" t="str">
        <x:v>https://www.discounthydraulichose.com/2404-jic-37-male-x-nptf-male-pipe.html</x:v>
      </x:c>
      <x:c r="S62" s="116" t="str">
        <x:v>Market-reference size combination. Availability, price and lead time are subject to supplier confirmation.</x:v>
      </x:c>
      <x:c r="T62" s="161" t="str">
        <x:v>Eligible</x:v>
      </x:c>
      <x:c r="U62" s="161" t="str">
        <x:v>Pending</x:v>
      </x:c>
    </x:row>
    <x:row r="63" ht="42" hidden="0" customHeight="1">
      <x:c r="A63" t="str">
        <x:v>Draft</x:v>
      </x:c>
      <x:c r="B63" t="str">
        <x:v>ADP_FAM_JIC_NPT_ST</x:v>
      </x:c>
      <x:c r="C63" t="str">
        <x:v>ADP_ST_JIC_M_06_NPT_M_04</x:v>
      </x:c>
      <x:c r="D63" t="str">
        <x:v>ADP_ST_JIC_M_{SIZE1}_NPT_M_{SIZE2}</x:v>
      </x:c>
      <x:c r="E63" t="str">
        <x:v>2404-06-04</x:v>
      </x:c>
      <x:c r="F63" s="116" t="str">
        <x:v>Straight JIC 37 Degree Male -06 to NPTF Male -04 Adapter</x:v>
      </x:c>
      <x:c r="G63" t="str">
        <x:v>ST</x:v>
      </x:c>
      <x:c r="H63" t="str">
        <x:v>JIC</x:v>
      </x:c>
      <x:c r="I63" t="str">
        <x:v>M</x:v>
      </x:c>
      <x:c r="J63" t="str">
        <x:v>-6</x:v>
      </x:c>
      <x:c r="K63" t="str">
        <x:v>NPT</x:v>
      </x:c>
      <x:c r="L63" t="str">
        <x:v>M</x:v>
      </x:c>
      <x:c r="M63" t="str">
        <x:v>-4</x:v>
      </x:c>
      <x:c r="N63"/>
      <x:c r="O63"/>
      <x:c r="P63"/>
      <x:c r="Q63" t="str">
        <x:v>YES - RFQ SKU</x:v>
      </x:c>
      <x:c r="R63" s="116" t="str">
        <x:v>https://www.discounthydraulichose.com/2404-jic-37-male-x-nptf-male-pipe.html</x:v>
      </x:c>
      <x:c r="S63" s="116" t="str">
        <x:v>Market-reference size combination. Availability, price and lead time are subject to supplier confirmation.</x:v>
      </x:c>
      <x:c r="T63" s="161" t="str">
        <x:v>Eligible</x:v>
      </x:c>
      <x:c r="U63" s="161" t="str">
        <x:v>Pending</x:v>
      </x:c>
    </x:row>
    <x:row r="64" ht="42" hidden="0" customHeight="1">
      <x:c r="A64" t="str">
        <x:v>Draft</x:v>
      </x:c>
      <x:c r="B64" t="str">
        <x:v>ADP_FAM_JIC_NPT_ST</x:v>
      </x:c>
      <x:c r="C64" t="str">
        <x:v>ADP_ST_JIC_M_06_NPT_M_06</x:v>
      </x:c>
      <x:c r="D64" t="str">
        <x:v>ADP_ST_JIC_M_{SIZE1}_NPT_M_{SIZE2}</x:v>
      </x:c>
      <x:c r="E64" t="str">
        <x:v>2404-06-06</x:v>
      </x:c>
      <x:c r="F64" s="116" t="str">
        <x:v>Straight JIC 37 Degree Male -06 to NPTF Male -06 Adapter</x:v>
      </x:c>
      <x:c r="G64" t="str">
        <x:v>ST</x:v>
      </x:c>
      <x:c r="H64" t="str">
        <x:v>JIC</x:v>
      </x:c>
      <x:c r="I64" t="str">
        <x:v>M</x:v>
      </x:c>
      <x:c r="J64" t="str">
        <x:v>-6</x:v>
      </x:c>
      <x:c r="K64" t="str">
        <x:v>NPT</x:v>
      </x:c>
      <x:c r="L64" t="str">
        <x:v>M</x:v>
      </x:c>
      <x:c r="M64" t="str">
        <x:v>-6</x:v>
      </x:c>
      <x:c r="N64"/>
      <x:c r="O64"/>
      <x:c r="P64"/>
      <x:c r="Q64" t="str">
        <x:v>YES - RFQ SKU</x:v>
      </x:c>
      <x:c r="R64" s="116" t="str">
        <x:v>https://www.discounthydraulichose.com/2404-jic-37-male-x-nptf-male-pipe.html</x:v>
      </x:c>
      <x:c r="S64" s="116" t="str">
        <x:v>Market-reference size combination. Availability, price and lead time are subject to supplier confirmation.</x:v>
      </x:c>
      <x:c r="T64" s="161" t="str">
        <x:v>Eligible</x:v>
      </x:c>
      <x:c r="U64" s="161" t="str">
        <x:v>Pending</x:v>
      </x:c>
    </x:row>
    <x:row r="65" ht="42" hidden="0" customHeight="1">
      <x:c r="A65" t="str">
        <x:v>Draft</x:v>
      </x:c>
      <x:c r="B65" t="str">
        <x:v>ADP_FAM_JIC_NPT_ST</x:v>
      </x:c>
      <x:c r="C65" t="str">
        <x:v>ADP_ST_JIC_M_06_NPT_M_08</x:v>
      </x:c>
      <x:c r="D65" t="str">
        <x:v>ADP_ST_JIC_M_{SIZE1}_NPT_M_{SIZE2}</x:v>
      </x:c>
      <x:c r="E65" t="str">
        <x:v>2404-06-08</x:v>
      </x:c>
      <x:c r="F65" s="116" t="str">
        <x:v>Straight JIC 37 Degree Male -06 to NPTF Male -08 Adapter</x:v>
      </x:c>
      <x:c r="G65" t="str">
        <x:v>ST</x:v>
      </x:c>
      <x:c r="H65" t="str">
        <x:v>JIC</x:v>
      </x:c>
      <x:c r="I65" t="str">
        <x:v>M</x:v>
      </x:c>
      <x:c r="J65" t="str">
        <x:v>-6</x:v>
      </x:c>
      <x:c r="K65" t="str">
        <x:v>NPT</x:v>
      </x:c>
      <x:c r="L65" t="str">
        <x:v>M</x:v>
      </x:c>
      <x:c r="M65" t="str">
        <x:v>-8</x:v>
      </x:c>
      <x:c r="N65"/>
      <x:c r="O65"/>
      <x:c r="P65"/>
      <x:c r="Q65" t="str">
        <x:v>YES - RFQ SKU</x:v>
      </x:c>
      <x:c r="R65" s="116" t="str">
        <x:v>https://www.discounthydraulichose.com/2404-jic-37-male-x-nptf-male-pipe.html</x:v>
      </x:c>
      <x:c r="S65" s="116" t="str">
        <x:v>Market-reference size combination. Availability, price and lead time are subject to supplier confirmation.</x:v>
      </x:c>
      <x:c r="T65" s="161" t="str">
        <x:v>Eligible</x:v>
      </x:c>
      <x:c r="U65" s="161" t="str">
        <x:v>Pending</x:v>
      </x:c>
    </x:row>
    <x:row r="66" ht="42" hidden="0" customHeight="1">
      <x:c r="A66" t="str">
        <x:v>Draft</x:v>
      </x:c>
      <x:c r="B66" t="str">
        <x:v>ADP_FAM_JIC_NPT_ST</x:v>
      </x:c>
      <x:c r="C66" t="str">
        <x:v>ADP_ST_JIC_M_06_NPT_M_12</x:v>
      </x:c>
      <x:c r="D66" t="str">
        <x:v>ADP_ST_JIC_M_{SIZE1}_NPT_M_{SIZE2}</x:v>
      </x:c>
      <x:c r="E66" t="str">
        <x:v>2404-06-12</x:v>
      </x:c>
      <x:c r="F66" s="116" t="str">
        <x:v>Straight JIC 37 Degree Male -06 to NPTF Male -12 Adapter</x:v>
      </x:c>
      <x:c r="G66" t="str">
        <x:v>ST</x:v>
      </x:c>
      <x:c r="H66" t="str">
        <x:v>JIC</x:v>
      </x:c>
      <x:c r="I66" t="str">
        <x:v>M</x:v>
      </x:c>
      <x:c r="J66" t="str">
        <x:v>-6</x:v>
      </x:c>
      <x:c r="K66" t="str">
        <x:v>NPT</x:v>
      </x:c>
      <x:c r="L66" t="str">
        <x:v>M</x:v>
      </x:c>
      <x:c r="M66" t="str">
        <x:v>-12</x:v>
      </x:c>
      <x:c r="N66"/>
      <x:c r="O66"/>
      <x:c r="P66"/>
      <x:c r="Q66" t="str">
        <x:v>YES - RFQ SKU</x:v>
      </x:c>
      <x:c r="R66" s="116" t="str">
        <x:v>https://www.discounthydraulichose.com/2404-jic-37-male-x-nptf-male-pipe.html</x:v>
      </x:c>
      <x:c r="S66" s="116" t="str">
        <x:v>Market-reference size combination. Availability, price and lead time are subject to supplier confirmation.</x:v>
      </x:c>
      <x:c r="T66" s="161" t="str">
        <x:v>Eligible</x:v>
      </x:c>
      <x:c r="U66" s="161" t="str">
        <x:v>Pending</x:v>
      </x:c>
    </x:row>
    <x:row r="67" ht="42" hidden="0" customHeight="1">
      <x:c r="A67" t="str">
        <x:v>Draft</x:v>
      </x:c>
      <x:c r="B67" t="str">
        <x:v>ADP_FAM_JIC_NPT_ST</x:v>
      </x:c>
      <x:c r="C67" t="str">
        <x:v>ADP_ST_JIC_M_08_NPT_M_02</x:v>
      </x:c>
      <x:c r="D67" t="str">
        <x:v>ADP_ST_JIC_M_{SIZE1}_NPT_M_{SIZE2}</x:v>
      </x:c>
      <x:c r="E67" t="str">
        <x:v>2404-08-02</x:v>
      </x:c>
      <x:c r="F67" s="116" t="str">
        <x:v>Straight JIC 37 Degree Male -08 to NPTF Male -02 Adapter</x:v>
      </x:c>
      <x:c r="G67" t="str">
        <x:v>ST</x:v>
      </x:c>
      <x:c r="H67" t="str">
        <x:v>JIC</x:v>
      </x:c>
      <x:c r="I67" t="str">
        <x:v>M</x:v>
      </x:c>
      <x:c r="J67" t="str">
        <x:v>-8</x:v>
      </x:c>
      <x:c r="K67" t="str">
        <x:v>NPT</x:v>
      </x:c>
      <x:c r="L67" t="str">
        <x:v>M</x:v>
      </x:c>
      <x:c r="M67" t="str">
        <x:v>-2</x:v>
      </x:c>
      <x:c r="N67"/>
      <x:c r="O67"/>
      <x:c r="P67"/>
      <x:c r="Q67" t="str">
        <x:v>YES - RFQ SKU</x:v>
      </x:c>
      <x:c r="R67" s="116" t="str">
        <x:v>https://www.discounthydraulichose.com/2404-jic-37-male-x-nptf-male-pipe.html</x:v>
      </x:c>
      <x:c r="S67" s="116" t="str">
        <x:v>Market-reference size combination. Availability, price and lead time are subject to supplier confirmation.</x:v>
      </x:c>
      <x:c r="T67" s="161" t="str">
        <x:v>Eligible</x:v>
      </x:c>
      <x:c r="U67" s="161" t="str">
        <x:v>Pending</x:v>
      </x:c>
    </x:row>
    <x:row r="68" ht="42" hidden="0" customHeight="1">
      <x:c r="A68" t="str">
        <x:v>Draft</x:v>
      </x:c>
      <x:c r="B68" t="str">
        <x:v>ADP_FAM_JIC_NPT_ST</x:v>
      </x:c>
      <x:c r="C68" t="str">
        <x:v>ADP_ST_JIC_M_08_NPT_M_04</x:v>
      </x:c>
      <x:c r="D68" t="str">
        <x:v>ADP_ST_JIC_M_{SIZE1}_NPT_M_{SIZE2}</x:v>
      </x:c>
      <x:c r="E68" t="str">
        <x:v>2404-08-04</x:v>
      </x:c>
      <x:c r="F68" s="116" t="str">
        <x:v>Straight JIC 37 Degree Male -08 to NPTF Male -04 Adapter</x:v>
      </x:c>
      <x:c r="G68" t="str">
        <x:v>ST</x:v>
      </x:c>
      <x:c r="H68" t="str">
        <x:v>JIC</x:v>
      </x:c>
      <x:c r="I68" t="str">
        <x:v>M</x:v>
      </x:c>
      <x:c r="J68" t="str">
        <x:v>-8</x:v>
      </x:c>
      <x:c r="K68" t="str">
        <x:v>NPT</x:v>
      </x:c>
      <x:c r="L68" t="str">
        <x:v>M</x:v>
      </x:c>
      <x:c r="M68" t="str">
        <x:v>-4</x:v>
      </x:c>
      <x:c r="N68"/>
      <x:c r="O68"/>
      <x:c r="P68"/>
      <x:c r="Q68" t="str">
        <x:v>YES - RFQ SKU</x:v>
      </x:c>
      <x:c r="R68" s="116" t="str">
        <x:v>https://www.discounthydraulichose.com/2404-jic-37-male-x-nptf-male-pipe.html</x:v>
      </x:c>
      <x:c r="S68" s="116" t="str">
        <x:v>Market-reference size combination. Availability, price and lead time are subject to supplier confirmation.</x:v>
      </x:c>
      <x:c r="T68" s="161" t="str">
        <x:v>Eligible</x:v>
      </x:c>
      <x:c r="U68" s="161" t="str">
        <x:v>Pending</x:v>
      </x:c>
    </x:row>
    <x:row r="69" ht="42" hidden="0" customHeight="1">
      <x:c r="A69" t="str">
        <x:v>Draft</x:v>
      </x:c>
      <x:c r="B69" t="str">
        <x:v>ADP_FAM_JIC_NPT_ST</x:v>
      </x:c>
      <x:c r="C69" t="str">
        <x:v>ADP_ST_JIC_M_08_NPT_M_06</x:v>
      </x:c>
      <x:c r="D69" t="str">
        <x:v>ADP_ST_JIC_M_{SIZE1}_NPT_M_{SIZE2}</x:v>
      </x:c>
      <x:c r="E69" t="str">
        <x:v>2404-08-06</x:v>
      </x:c>
      <x:c r="F69" s="116" t="str">
        <x:v>Straight JIC 37 Degree Male -08 to NPTF Male -06 Adapter</x:v>
      </x:c>
      <x:c r="G69" t="str">
        <x:v>ST</x:v>
      </x:c>
      <x:c r="H69" t="str">
        <x:v>JIC</x:v>
      </x:c>
      <x:c r="I69" t="str">
        <x:v>M</x:v>
      </x:c>
      <x:c r="J69" t="str">
        <x:v>-8</x:v>
      </x:c>
      <x:c r="K69" t="str">
        <x:v>NPT</x:v>
      </x:c>
      <x:c r="L69" t="str">
        <x:v>M</x:v>
      </x:c>
      <x:c r="M69" t="str">
        <x:v>-6</x:v>
      </x:c>
      <x:c r="N69"/>
      <x:c r="O69"/>
      <x:c r="P69"/>
      <x:c r="Q69" t="str">
        <x:v>YES - RFQ SKU</x:v>
      </x:c>
      <x:c r="R69" s="116" t="str">
        <x:v>https://www.discounthydraulichose.com/2404-jic-37-male-x-nptf-male-pipe.html</x:v>
      </x:c>
      <x:c r="S69" s="116" t="str">
        <x:v>Market-reference size combination. Availability, price and lead time are subject to supplier confirmation.</x:v>
      </x:c>
      <x:c r="T69" s="161" t="str">
        <x:v>Eligible</x:v>
      </x:c>
      <x:c r="U69" s="161" t="str">
        <x:v>Pending</x:v>
      </x:c>
    </x:row>
    <x:row r="70" ht="42" hidden="0" customHeight="1">
      <x:c r="A70" t="str">
        <x:v>Draft</x:v>
      </x:c>
      <x:c r="B70" t="str">
        <x:v>ADP_FAM_JIC_NPT_ST</x:v>
      </x:c>
      <x:c r="C70" t="str">
        <x:v>ADP_ST_JIC_M_08_NPT_M_08</x:v>
      </x:c>
      <x:c r="D70" t="str">
        <x:v>ADP_ST_JIC_M_{SIZE1}_NPT_M_{SIZE2}</x:v>
      </x:c>
      <x:c r="E70" t="str">
        <x:v>2404-08-08</x:v>
      </x:c>
      <x:c r="F70" s="116" t="str">
        <x:v>Straight JIC 37 Degree Male -08 to NPTF Male -08 Adapter</x:v>
      </x:c>
      <x:c r="G70" t="str">
        <x:v>ST</x:v>
      </x:c>
      <x:c r="H70" t="str">
        <x:v>JIC</x:v>
      </x:c>
      <x:c r="I70" t="str">
        <x:v>M</x:v>
      </x:c>
      <x:c r="J70" t="str">
        <x:v>-8</x:v>
      </x:c>
      <x:c r="K70" t="str">
        <x:v>NPT</x:v>
      </x:c>
      <x:c r="L70" t="str">
        <x:v>M</x:v>
      </x:c>
      <x:c r="M70" t="str">
        <x:v>-8</x:v>
      </x:c>
      <x:c r="N70"/>
      <x:c r="O70"/>
      <x:c r="P70"/>
      <x:c r="Q70" t="str">
        <x:v>YES - RFQ SKU</x:v>
      </x:c>
      <x:c r="R70" s="116" t="str">
        <x:v>https://www.discounthydraulichose.com/2404-jic-37-male-x-nptf-male-pipe.html</x:v>
      </x:c>
      <x:c r="S70" s="116" t="str">
        <x:v>Market-reference size combination. Availability, price and lead time are subject to supplier confirmation.</x:v>
      </x:c>
      <x:c r="T70" s="161" t="str">
        <x:v>Eligible</x:v>
      </x:c>
      <x:c r="U70" s="161" t="str">
        <x:v>Pending</x:v>
      </x:c>
    </x:row>
    <x:row r="71" ht="42" hidden="0" customHeight="1">
      <x:c r="A71" t="str">
        <x:v>Draft</x:v>
      </x:c>
      <x:c r="B71" t="str">
        <x:v>ADP_FAM_JIC_NPT_ST</x:v>
      </x:c>
      <x:c r="C71" t="str">
        <x:v>ADP_ST_JIC_M_08_NPT_M_12</x:v>
      </x:c>
      <x:c r="D71" t="str">
        <x:v>ADP_ST_JIC_M_{SIZE1}_NPT_M_{SIZE2}</x:v>
      </x:c>
      <x:c r="E71" t="str">
        <x:v>2404-08-12</x:v>
      </x:c>
      <x:c r="F71" s="116" t="str">
        <x:v>Straight JIC 37 Degree Male -08 to NPTF Male -12 Adapter</x:v>
      </x:c>
      <x:c r="G71" t="str">
        <x:v>ST</x:v>
      </x:c>
      <x:c r="H71" t="str">
        <x:v>JIC</x:v>
      </x:c>
      <x:c r="I71" t="str">
        <x:v>M</x:v>
      </x:c>
      <x:c r="J71" t="str">
        <x:v>-8</x:v>
      </x:c>
      <x:c r="K71" t="str">
        <x:v>NPT</x:v>
      </x:c>
      <x:c r="L71" t="str">
        <x:v>M</x:v>
      </x:c>
      <x:c r="M71" t="str">
        <x:v>-12</x:v>
      </x:c>
      <x:c r="N71"/>
      <x:c r="O71"/>
      <x:c r="P71"/>
      <x:c r="Q71" t="str">
        <x:v>YES - RFQ SKU</x:v>
      </x:c>
      <x:c r="R71" s="116" t="str">
        <x:v>https://www.discounthydraulichose.com/2404-jic-37-male-x-nptf-male-pipe.html</x:v>
      </x:c>
      <x:c r="S71" s="116" t="str">
        <x:v>Market-reference size combination. Availability, price and lead time are subject to supplier confirmation.</x:v>
      </x:c>
      <x:c r="T71" s="161" t="str">
        <x:v>Eligible</x:v>
      </x:c>
      <x:c r="U71" s="161" t="str">
        <x:v>Pending</x:v>
      </x:c>
    </x:row>
    <x:row r="72" ht="42" hidden="0" customHeight="1">
      <x:c r="A72" t="str">
        <x:v>Draft</x:v>
      </x:c>
      <x:c r="B72" t="str">
        <x:v>ADP_FAM_JIC_NPT_ST</x:v>
      </x:c>
      <x:c r="C72" t="str">
        <x:v>ADP_ST_JIC_M_08_NPT_M_16</x:v>
      </x:c>
      <x:c r="D72" t="str">
        <x:v>ADP_ST_JIC_M_{SIZE1}_NPT_M_{SIZE2}</x:v>
      </x:c>
      <x:c r="E72" t="str">
        <x:v>2404-08-16</x:v>
      </x:c>
      <x:c r="F72" s="116" t="str">
        <x:v>Straight JIC 37 Degree Male -08 to NPTF Male -16 Adapter</x:v>
      </x:c>
      <x:c r="G72" t="str">
        <x:v>ST</x:v>
      </x:c>
      <x:c r="H72" t="str">
        <x:v>JIC</x:v>
      </x:c>
      <x:c r="I72" t="str">
        <x:v>M</x:v>
      </x:c>
      <x:c r="J72" t="str">
        <x:v>-8</x:v>
      </x:c>
      <x:c r="K72" t="str">
        <x:v>NPT</x:v>
      </x:c>
      <x:c r="L72" t="str">
        <x:v>M</x:v>
      </x:c>
      <x:c r="M72" t="str">
        <x:v>-16</x:v>
      </x:c>
      <x:c r="N72"/>
      <x:c r="O72"/>
      <x:c r="P72"/>
      <x:c r="Q72" t="str">
        <x:v>YES - RFQ SKU</x:v>
      </x:c>
      <x:c r="R72" s="116" t="str">
        <x:v>https://www.discounthydraulichose.com/2404-jic-37-male-x-nptf-male-pipe.html</x:v>
      </x:c>
      <x:c r="S72" s="116" t="str">
        <x:v>Market-reference size combination. Availability, price and lead time are subject to supplier confirmation.</x:v>
      </x:c>
      <x:c r="T72" s="161" t="str">
        <x:v>Eligible</x:v>
      </x:c>
      <x:c r="U72" s="161" t="str">
        <x:v>Pending</x:v>
      </x:c>
    </x:row>
    <x:row r="73" ht="42" hidden="0" customHeight="1">
      <x:c r="A73" t="str">
        <x:v>Draft</x:v>
      </x:c>
      <x:c r="B73" t="str">
        <x:v>ADP_FAM_JIC_ORB_ST</x:v>
      </x:c>
      <x:c r="C73" t="str">
        <x:v>ADP_ST_JIC_M_10_ORB_M_06</x:v>
      </x:c>
      <x:c r="D73" t="str">
        <x:v>ADP_ST_JIC_M_{SIZE1}_ORB_M_{SIZE2}</x:v>
      </x:c>
      <x:c r="E73" t="str">
        <x:v>6400-10-06</x:v>
      </x:c>
      <x:c r="F73" s="116" t="str">
        <x:v>Straight JIC 37 Degree Male -10 to SAE ORB Male -06 Adapter</x:v>
      </x:c>
      <x:c r="G73" t="str">
        <x:v>ST</x:v>
      </x:c>
      <x:c r="H73" t="str">
        <x:v>JIC</x:v>
      </x:c>
      <x:c r="I73" t="str">
        <x:v>M</x:v>
      </x:c>
      <x:c r="J73" t="str">
        <x:v>-10</x:v>
      </x:c>
      <x:c r="K73" t="str">
        <x:v>ORB</x:v>
      </x:c>
      <x:c r="L73" t="str">
        <x:v>M</x:v>
      </x:c>
      <x:c r="M73" t="str">
        <x:v>-6</x:v>
      </x:c>
      <x:c r="N73"/>
      <x:c r="O73"/>
      <x:c r="P73"/>
      <x:c r="Q73" t="str">
        <x:v>YES - RFQ SKU</x:v>
      </x:c>
      <x:c r="R73" s="116" t="str">
        <x:v>https://www.discounthydraulichose.com/6400-jic-37-x-straight-thread-orb.html</x:v>
      </x:c>
      <x:c r="S73" s="116" t="str">
        <x:v>Market-reference size combination. Availability, price and lead time are subject to supplier confirmation.</x:v>
      </x:c>
      <x:c r="T73" s="161" t="str">
        <x:v>Eligible</x:v>
      </x:c>
      <x:c r="U73" s="161" t="str">
        <x:v>Pending</x:v>
      </x:c>
    </x:row>
    <x:row r="74" ht="42" hidden="0" customHeight="1">
      <x:c r="A74" t="str">
        <x:v>Draft</x:v>
      </x:c>
      <x:c r="B74" t="str">
        <x:v>ADP_FAM_JIC_ORB_ST</x:v>
      </x:c>
      <x:c r="C74" t="str">
        <x:v>ADP_ST_JIC_M_10_ORB_M_08</x:v>
      </x:c>
      <x:c r="D74" t="str">
        <x:v>ADP_ST_JIC_M_{SIZE1}_ORB_M_{SIZE2}</x:v>
      </x:c>
      <x:c r="E74" t="str">
        <x:v>6400-10-08</x:v>
      </x:c>
      <x:c r="F74" s="116" t="str">
        <x:v>Straight JIC 37 Degree Male -10 to SAE ORB Male -08 Adapter</x:v>
      </x:c>
      <x:c r="G74" t="str">
        <x:v>ST</x:v>
      </x:c>
      <x:c r="H74" t="str">
        <x:v>JIC</x:v>
      </x:c>
      <x:c r="I74" t="str">
        <x:v>M</x:v>
      </x:c>
      <x:c r="J74" t="str">
        <x:v>-10</x:v>
      </x:c>
      <x:c r="K74" t="str">
        <x:v>ORB</x:v>
      </x:c>
      <x:c r="L74" t="str">
        <x:v>M</x:v>
      </x:c>
      <x:c r="M74" t="str">
        <x:v>-8</x:v>
      </x:c>
      <x:c r="N74"/>
      <x:c r="O74"/>
      <x:c r="P74"/>
      <x:c r="Q74" t="str">
        <x:v>YES - RFQ SKU</x:v>
      </x:c>
      <x:c r="R74" s="116" t="str">
        <x:v>https://www.discounthydraulichose.com/6400-jic-37-x-straight-thread-orb.html</x:v>
      </x:c>
      <x:c r="S74" s="116" t="str">
        <x:v>Market-reference size combination. Availability, price and lead time are subject to supplier confirmation.</x:v>
      </x:c>
      <x:c r="T74" s="161" t="str">
        <x:v>Eligible</x:v>
      </x:c>
      <x:c r="U74" s="161" t="str">
        <x:v>Pending</x:v>
      </x:c>
    </x:row>
    <x:row r="75" ht="42" hidden="0" customHeight="1">
      <x:c r="A75" t="str">
        <x:v>Draft</x:v>
      </x:c>
      <x:c r="B75" t="str">
        <x:v>ADP_FAM_JIC_ORB_ST</x:v>
      </x:c>
      <x:c r="C75" t="str">
        <x:v>ADP_ST_JIC_M_10_ORB_M_10</x:v>
      </x:c>
      <x:c r="D75" t="str">
        <x:v>ADP_ST_JIC_M_{SIZE1}_ORB_M_{SIZE2}</x:v>
      </x:c>
      <x:c r="E75" t="str">
        <x:v>6400-10-10</x:v>
      </x:c>
      <x:c r="F75" s="116" t="str">
        <x:v>Straight JIC 37 Degree Male -10 to SAE ORB Male -10 Adapter</x:v>
      </x:c>
      <x:c r="G75" t="str">
        <x:v>ST</x:v>
      </x:c>
      <x:c r="H75" t="str">
        <x:v>JIC</x:v>
      </x:c>
      <x:c r="I75" t="str">
        <x:v>M</x:v>
      </x:c>
      <x:c r="J75" t="str">
        <x:v>-10</x:v>
      </x:c>
      <x:c r="K75" t="str">
        <x:v>ORB</x:v>
      </x:c>
      <x:c r="L75" t="str">
        <x:v>M</x:v>
      </x:c>
      <x:c r="M75" t="str">
        <x:v>-10</x:v>
      </x:c>
      <x:c r="N75"/>
      <x:c r="O75"/>
      <x:c r="P75"/>
      <x:c r="Q75" t="str">
        <x:v>YES - RFQ SKU</x:v>
      </x:c>
      <x:c r="R75" s="116" t="str">
        <x:v>https://www.discounthydraulichose.com/6400-jic-37-x-straight-thread-orb.html</x:v>
      </x:c>
      <x:c r="S75" s="116" t="str">
        <x:v>Market-reference size combination. Availability, price and lead time are subject to supplier confirmation.</x:v>
      </x:c>
      <x:c r="T75" s="161" t="str">
        <x:v>Eligible</x:v>
      </x:c>
      <x:c r="U75" s="161" t="str">
        <x:v>Pending</x:v>
      </x:c>
    </x:row>
    <x:row r="76" ht="42" hidden="0" customHeight="1">
      <x:c r="A76" t="str">
        <x:v>Draft</x:v>
      </x:c>
      <x:c r="B76" t="str">
        <x:v>ADP_FAM_JIC_ORB_ST</x:v>
      </x:c>
      <x:c r="C76" t="str">
        <x:v>ADP_ST_JIC_M_10_ORB_M_12</x:v>
      </x:c>
      <x:c r="D76" t="str">
        <x:v>ADP_ST_JIC_M_{SIZE1}_ORB_M_{SIZE2}</x:v>
      </x:c>
      <x:c r="E76" t="str">
        <x:v>6400-10-12</x:v>
      </x:c>
      <x:c r="F76" s="116" t="str">
        <x:v>Straight JIC 37 Degree Male -10 to SAE ORB Male -12 Adapter</x:v>
      </x:c>
      <x:c r="G76" t="str">
        <x:v>ST</x:v>
      </x:c>
      <x:c r="H76" t="str">
        <x:v>JIC</x:v>
      </x:c>
      <x:c r="I76" t="str">
        <x:v>M</x:v>
      </x:c>
      <x:c r="J76" t="str">
        <x:v>-10</x:v>
      </x:c>
      <x:c r="K76" t="str">
        <x:v>ORB</x:v>
      </x:c>
      <x:c r="L76" t="str">
        <x:v>M</x:v>
      </x:c>
      <x:c r="M76" t="str">
        <x:v>-12</x:v>
      </x:c>
      <x:c r="N76"/>
      <x:c r="O76"/>
      <x:c r="P76"/>
      <x:c r="Q76" t="str">
        <x:v>YES - RFQ SKU</x:v>
      </x:c>
      <x:c r="R76" s="116" t="str">
        <x:v>https://www.discounthydraulichose.com/6400-jic-37-x-straight-thread-orb.html</x:v>
      </x:c>
      <x:c r="S76" s="116" t="str">
        <x:v>Market-reference size combination. Availability, price and lead time are subject to supplier confirmation.</x:v>
      </x:c>
      <x:c r="T76" s="161" t="str">
        <x:v>Eligible</x:v>
      </x:c>
      <x:c r="U76" s="161" t="str">
        <x:v>Pending</x:v>
      </x:c>
    </x:row>
    <x:row r="77" ht="42" hidden="0" customHeight="1">
      <x:c r="A77" t="str">
        <x:v>Draft</x:v>
      </x:c>
      <x:c r="B77" t="str">
        <x:v>ADP_FAM_JIC_ORB_ST</x:v>
      </x:c>
      <x:c r="C77" t="str">
        <x:v>ADP_ST_JIC_M_10_ORB_M_14</x:v>
      </x:c>
      <x:c r="D77" t="str">
        <x:v>ADP_ST_JIC_M_{SIZE1}_ORB_M_{SIZE2}</x:v>
      </x:c>
      <x:c r="E77" t="str">
        <x:v>6400-10-14</x:v>
      </x:c>
      <x:c r="F77" s="116" t="str">
        <x:v>Straight JIC 37 Degree Male -10 to SAE ORB Male -14 Adapter</x:v>
      </x:c>
      <x:c r="G77" t="str">
        <x:v>ST</x:v>
      </x:c>
      <x:c r="H77" t="str">
        <x:v>JIC</x:v>
      </x:c>
      <x:c r="I77" t="str">
        <x:v>M</x:v>
      </x:c>
      <x:c r="J77" t="str">
        <x:v>-10</x:v>
      </x:c>
      <x:c r="K77" t="str">
        <x:v>ORB</x:v>
      </x:c>
      <x:c r="L77" t="str">
        <x:v>M</x:v>
      </x:c>
      <x:c r="M77" t="str">
        <x:v>-14</x:v>
      </x:c>
      <x:c r="N77"/>
      <x:c r="O77"/>
      <x:c r="P77"/>
      <x:c r="Q77" t="str">
        <x:v>YES - RFQ SKU</x:v>
      </x:c>
      <x:c r="R77" s="116" t="str">
        <x:v>https://www.discounthydraulichose.com/6400-jic-37-x-straight-thread-orb.html</x:v>
      </x:c>
      <x:c r="S77" s="116" t="str">
        <x:v>Market-reference size combination. Availability, price and lead time are subject to supplier confirmation.</x:v>
      </x:c>
      <x:c r="T77" s="161" t="str">
        <x:v>Eligible</x:v>
      </x:c>
      <x:c r="U77" s="161" t="str">
        <x:v>Pending</x:v>
      </x:c>
    </x:row>
    <x:row r="78" ht="42" hidden="0" customHeight="1">
      <x:c r="A78" t="str">
        <x:v>Draft</x:v>
      </x:c>
      <x:c r="B78" t="str">
        <x:v>ADP_FAM_JIC_ORB_ST</x:v>
      </x:c>
      <x:c r="C78" t="str">
        <x:v>ADP_ST_JIC_M_10_ORB_M_16</x:v>
      </x:c>
      <x:c r="D78" t="str">
        <x:v>ADP_ST_JIC_M_{SIZE1}_ORB_M_{SIZE2}</x:v>
      </x:c>
      <x:c r="E78" t="str">
        <x:v>6400-10-16</x:v>
      </x:c>
      <x:c r="F78" s="116" t="str">
        <x:v>Straight JIC 37 Degree Male -10 to SAE ORB Male -16 Adapter</x:v>
      </x:c>
      <x:c r="G78" t="str">
        <x:v>ST</x:v>
      </x:c>
      <x:c r="H78" t="str">
        <x:v>JIC</x:v>
      </x:c>
      <x:c r="I78" t="str">
        <x:v>M</x:v>
      </x:c>
      <x:c r="J78" t="str">
        <x:v>-10</x:v>
      </x:c>
      <x:c r="K78" t="str">
        <x:v>ORB</x:v>
      </x:c>
      <x:c r="L78" t="str">
        <x:v>M</x:v>
      </x:c>
      <x:c r="M78" t="str">
        <x:v>-16</x:v>
      </x:c>
      <x:c r="N78"/>
      <x:c r="O78"/>
      <x:c r="P78"/>
      <x:c r="Q78" t="str">
        <x:v>YES - RFQ SKU</x:v>
      </x:c>
      <x:c r="R78" s="116" t="str">
        <x:v>https://www.discounthydraulichose.com/6400-jic-37-x-straight-thread-orb.html</x:v>
      </x:c>
      <x:c r="S78" s="116" t="str">
        <x:v>Market-reference size combination. Availability, price and lead time are subject to supplier confirmation.</x:v>
      </x:c>
      <x:c r="T78" s="161" t="str">
        <x:v>Eligible</x:v>
      </x:c>
      <x:c r="U78" s="161" t="str">
        <x:v>Pending</x:v>
      </x:c>
    </x:row>
    <x:row r="79" ht="42" hidden="0" customHeight="1">
      <x:c r="A79" t="str">
        <x:v>Draft</x:v>
      </x:c>
      <x:c r="B79" t="str">
        <x:v>ADP_FAM_JIC_ORB_ST</x:v>
      </x:c>
      <x:c r="C79" t="str">
        <x:v>ADP_ST_JIC_M_10_ORB_M_20</x:v>
      </x:c>
      <x:c r="D79" t="str">
        <x:v>ADP_ST_JIC_M_{SIZE1}_ORB_M_{SIZE2}</x:v>
      </x:c>
      <x:c r="E79" t="str">
        <x:v>6400-10-20</x:v>
      </x:c>
      <x:c r="F79" s="116" t="str">
        <x:v>Straight JIC 37 Degree Male -10 to SAE ORB Male -20 Adapter</x:v>
      </x:c>
      <x:c r="G79" t="str">
        <x:v>ST</x:v>
      </x:c>
      <x:c r="H79" t="str">
        <x:v>JIC</x:v>
      </x:c>
      <x:c r="I79" t="str">
        <x:v>M</x:v>
      </x:c>
      <x:c r="J79" t="str">
        <x:v>-10</x:v>
      </x:c>
      <x:c r="K79" t="str">
        <x:v>ORB</x:v>
      </x:c>
      <x:c r="L79" t="str">
        <x:v>M</x:v>
      </x:c>
      <x:c r="M79" t="str">
        <x:v>-20</x:v>
      </x:c>
      <x:c r="N79"/>
      <x:c r="O79"/>
      <x:c r="P79"/>
      <x:c r="Q79" t="str">
        <x:v>YES - RFQ SKU</x:v>
      </x:c>
      <x:c r="R79" s="116" t="str">
        <x:v>https://www.discounthydraulichose.com/6400-jic-37-x-straight-thread-orb.html</x:v>
      </x:c>
      <x:c r="S79" s="116" t="str">
        <x:v>Market-reference size combination. Availability, price and lead time are subject to supplier confirmation.</x:v>
      </x:c>
      <x:c r="T79" s="161" t="str">
        <x:v>Eligible</x:v>
      </x:c>
      <x:c r="U79" s="161" t="str">
        <x:v>Pending</x:v>
      </x:c>
    </x:row>
    <x:row r="80" ht="42" hidden="0" customHeight="1">
      <x:c r="A80" t="str">
        <x:v>Draft</x:v>
      </x:c>
      <x:c r="B80" t="str">
        <x:v>ADP_FAM_JIC_ORB_ST</x:v>
      </x:c>
      <x:c r="C80" t="str">
        <x:v>ADP_ST_JIC_M_12_ORB_M_06</x:v>
      </x:c>
      <x:c r="D80" t="str">
        <x:v>ADP_ST_JIC_M_{SIZE1}_ORB_M_{SIZE2}</x:v>
      </x:c>
      <x:c r="E80" t="str">
        <x:v>6400-12-06</x:v>
      </x:c>
      <x:c r="F80" s="116" t="str">
        <x:v>Straight JIC 37 Degree Male -12 to SAE ORB Male -06 Adapter</x:v>
      </x:c>
      <x:c r="G80" t="str">
        <x:v>ST</x:v>
      </x:c>
      <x:c r="H80" t="str">
        <x:v>JIC</x:v>
      </x:c>
      <x:c r="I80" t="str">
        <x:v>M</x:v>
      </x:c>
      <x:c r="J80" t="str">
        <x:v>-12</x:v>
      </x:c>
      <x:c r="K80" t="str">
        <x:v>ORB</x:v>
      </x:c>
      <x:c r="L80" t="str">
        <x:v>M</x:v>
      </x:c>
      <x:c r="M80" t="str">
        <x:v>-6</x:v>
      </x:c>
      <x:c r="N80"/>
      <x:c r="O80"/>
      <x:c r="P80"/>
      <x:c r="Q80" t="str">
        <x:v>YES - RFQ SKU</x:v>
      </x:c>
      <x:c r="R80" s="116" t="str">
        <x:v>https://www.discounthydraulichose.com/6400-jic-37-x-straight-thread-orb.html</x:v>
      </x:c>
      <x:c r="S80" s="116" t="str">
        <x:v>Market-reference size combination. Availability, price and lead time are subject to supplier confirmation.</x:v>
      </x:c>
      <x:c r="T80" s="161" t="str">
        <x:v>Eligible</x:v>
      </x:c>
      <x:c r="U80" s="161" t="str">
        <x:v>Pending</x:v>
      </x:c>
    </x:row>
    <x:row r="81" ht="42" hidden="0" customHeight="1">
      <x:c r="A81" t="str">
        <x:v>Draft</x:v>
      </x:c>
      <x:c r="B81" t="str">
        <x:v>ADP_FAM_JIC_ORB_ST</x:v>
      </x:c>
      <x:c r="C81" t="str">
        <x:v>ADP_ST_JIC_M_12_ORB_M_08</x:v>
      </x:c>
      <x:c r="D81" t="str">
        <x:v>ADP_ST_JIC_M_{SIZE1}_ORB_M_{SIZE2}</x:v>
      </x:c>
      <x:c r="E81" t="str">
        <x:v>6400-12-08</x:v>
      </x:c>
      <x:c r="F81" s="116" t="str">
        <x:v>Straight JIC 37 Degree Male -12 to SAE ORB Male -08 Adapter</x:v>
      </x:c>
      <x:c r="G81" t="str">
        <x:v>ST</x:v>
      </x:c>
      <x:c r="H81" t="str">
        <x:v>JIC</x:v>
      </x:c>
      <x:c r="I81" t="str">
        <x:v>M</x:v>
      </x:c>
      <x:c r="J81" t="str">
        <x:v>-12</x:v>
      </x:c>
      <x:c r="K81" t="str">
        <x:v>ORB</x:v>
      </x:c>
      <x:c r="L81" t="str">
        <x:v>M</x:v>
      </x:c>
      <x:c r="M81" t="str">
        <x:v>-8</x:v>
      </x:c>
      <x:c r="N81"/>
      <x:c r="O81"/>
      <x:c r="P81"/>
      <x:c r="Q81" t="str">
        <x:v>YES - RFQ SKU</x:v>
      </x:c>
      <x:c r="R81" s="116" t="str">
        <x:v>https://www.discounthydraulichose.com/6400-jic-37-x-straight-thread-orb.html</x:v>
      </x:c>
      <x:c r="S81" s="116" t="str">
        <x:v>Market-reference size combination. Availability, price and lead time are subject to supplier confirmation.</x:v>
      </x:c>
      <x:c r="T81" s="161" t="str">
        <x:v>Eligible</x:v>
      </x:c>
      <x:c r="U81" s="161" t="str">
        <x:v>Pending</x:v>
      </x:c>
    </x:row>
    <x:row r="82" ht="42" hidden="0" customHeight="1">
      <x:c r="A82" t="str">
        <x:v>Draft</x:v>
      </x:c>
      <x:c r="B82" t="str">
        <x:v>ADP_FAM_JIC_ORB_ST</x:v>
      </x:c>
      <x:c r="C82" t="str">
        <x:v>ADP_ST_JIC_M_12_ORB_M_10</x:v>
      </x:c>
      <x:c r="D82" t="str">
        <x:v>ADP_ST_JIC_M_{SIZE1}_ORB_M_{SIZE2}</x:v>
      </x:c>
      <x:c r="E82" t="str">
        <x:v>6400-12-10</x:v>
      </x:c>
      <x:c r="F82" s="116" t="str">
        <x:v>Straight JIC 37 Degree Male -12 to SAE ORB Male -10 Adapter</x:v>
      </x:c>
      <x:c r="G82" t="str">
        <x:v>ST</x:v>
      </x:c>
      <x:c r="H82" t="str">
        <x:v>JIC</x:v>
      </x:c>
      <x:c r="I82" t="str">
        <x:v>M</x:v>
      </x:c>
      <x:c r="J82" t="str">
        <x:v>-12</x:v>
      </x:c>
      <x:c r="K82" t="str">
        <x:v>ORB</x:v>
      </x:c>
      <x:c r="L82" t="str">
        <x:v>M</x:v>
      </x:c>
      <x:c r="M82" t="str">
        <x:v>-10</x:v>
      </x:c>
      <x:c r="N82"/>
      <x:c r="O82"/>
      <x:c r="P82"/>
      <x:c r="Q82" t="str">
        <x:v>YES - RFQ SKU</x:v>
      </x:c>
      <x:c r="R82" s="116" t="str">
        <x:v>https://www.discounthydraulichose.com/6400-jic-37-x-straight-thread-orb.html</x:v>
      </x:c>
      <x:c r="S82" s="116" t="str">
        <x:v>Market-reference size combination. Availability, price and lead time are subject to supplier confirmation.</x:v>
      </x:c>
      <x:c r="T82" s="161" t="str">
        <x:v>Eligible</x:v>
      </x:c>
      <x:c r="U82" s="161" t="str">
        <x:v>Pending</x:v>
      </x:c>
    </x:row>
    <x:row r="83" ht="42" hidden="0" customHeight="1">
      <x:c r="A83" t="str">
        <x:v>Draft</x:v>
      </x:c>
      <x:c r="B83" t="str">
        <x:v>ADP_FAM_JIC_ORB_ST</x:v>
      </x:c>
      <x:c r="C83" t="str">
        <x:v>ADP_ST_JIC_M_12_ORB_M_12</x:v>
      </x:c>
      <x:c r="D83" t="str">
        <x:v>ADP_ST_JIC_M_{SIZE1}_ORB_M_{SIZE2}</x:v>
      </x:c>
      <x:c r="E83" t="str">
        <x:v>6400-12-12</x:v>
      </x:c>
      <x:c r="F83" s="116" t="str">
        <x:v>Straight JIC 37 Degree Male -12 to SAE ORB Male -12 Adapter</x:v>
      </x:c>
      <x:c r="G83" t="str">
        <x:v>ST</x:v>
      </x:c>
      <x:c r="H83" t="str">
        <x:v>JIC</x:v>
      </x:c>
      <x:c r="I83" t="str">
        <x:v>M</x:v>
      </x:c>
      <x:c r="J83" t="str">
        <x:v>-12</x:v>
      </x:c>
      <x:c r="K83" t="str">
        <x:v>ORB</x:v>
      </x:c>
      <x:c r="L83" t="str">
        <x:v>M</x:v>
      </x:c>
      <x:c r="M83" t="str">
        <x:v>-12</x:v>
      </x:c>
      <x:c r="N83"/>
      <x:c r="O83"/>
      <x:c r="P83"/>
      <x:c r="Q83" t="str">
        <x:v>YES - RFQ SKU</x:v>
      </x:c>
      <x:c r="R83" s="116" t="str">
        <x:v>https://www.discounthydraulichose.com/6400-jic-37-x-straight-thread-orb.html</x:v>
      </x:c>
      <x:c r="S83" s="116" t="str">
        <x:v>Market-reference size combination. Availability, price and lead time are subject to supplier confirmation.</x:v>
      </x:c>
      <x:c r="T83" s="161" t="str">
        <x:v>Eligible</x:v>
      </x:c>
      <x:c r="U83" s="161" t="str">
        <x:v>Pending</x:v>
      </x:c>
    </x:row>
    <x:row r="84" ht="42" hidden="0" customHeight="1">
      <x:c r="A84" t="str">
        <x:v>Draft</x:v>
      </x:c>
      <x:c r="B84" t="str">
        <x:v>ADP_FAM_JIC_ORB_ST</x:v>
      </x:c>
      <x:c r="C84" t="str">
        <x:v>ADP_ST_JIC_M_12_ORB_M_14</x:v>
      </x:c>
      <x:c r="D84" t="str">
        <x:v>ADP_ST_JIC_M_{SIZE1}_ORB_M_{SIZE2}</x:v>
      </x:c>
      <x:c r="E84" t="str">
        <x:v>6400-12-14</x:v>
      </x:c>
      <x:c r="F84" s="116" t="str">
        <x:v>Straight JIC 37 Degree Male -12 to SAE ORB Male -14 Adapter</x:v>
      </x:c>
      <x:c r="G84" t="str">
        <x:v>ST</x:v>
      </x:c>
      <x:c r="H84" t="str">
        <x:v>JIC</x:v>
      </x:c>
      <x:c r="I84" t="str">
        <x:v>M</x:v>
      </x:c>
      <x:c r="J84" t="str">
        <x:v>-12</x:v>
      </x:c>
      <x:c r="K84" t="str">
        <x:v>ORB</x:v>
      </x:c>
      <x:c r="L84" t="str">
        <x:v>M</x:v>
      </x:c>
      <x:c r="M84" t="str">
        <x:v>-14</x:v>
      </x:c>
      <x:c r="N84"/>
      <x:c r="O84"/>
      <x:c r="P84"/>
      <x:c r="Q84" t="str">
        <x:v>YES - RFQ SKU</x:v>
      </x:c>
      <x:c r="R84" s="116" t="str">
        <x:v>https://www.discounthydraulichose.com/6400-jic-37-x-straight-thread-orb.html</x:v>
      </x:c>
      <x:c r="S84" s="116" t="str">
        <x:v>Market-reference size combination. Availability, price and lead time are subject to supplier confirmation.</x:v>
      </x:c>
      <x:c r="T84" s="161" t="str">
        <x:v>Eligible</x:v>
      </x:c>
      <x:c r="U84" s="161" t="str">
        <x:v>Pending</x:v>
      </x:c>
    </x:row>
    <x:row r="85" ht="42" hidden="0" customHeight="1">
      <x:c r="A85" t="str">
        <x:v>Draft</x:v>
      </x:c>
      <x:c r="B85" t="str">
        <x:v>ADP_FAM_JIC_ORB_ST</x:v>
      </x:c>
      <x:c r="C85" t="str">
        <x:v>ADP_ST_JIC_M_12_ORB_M_16</x:v>
      </x:c>
      <x:c r="D85" t="str">
        <x:v>ADP_ST_JIC_M_{SIZE1}_ORB_M_{SIZE2}</x:v>
      </x:c>
      <x:c r="E85" t="str">
        <x:v>6400-12-16</x:v>
      </x:c>
      <x:c r="F85" s="116" t="str">
        <x:v>Straight JIC 37 Degree Male -12 to SAE ORB Male -16 Adapter</x:v>
      </x:c>
      <x:c r="G85" t="str">
        <x:v>ST</x:v>
      </x:c>
      <x:c r="H85" t="str">
        <x:v>JIC</x:v>
      </x:c>
      <x:c r="I85" t="str">
        <x:v>M</x:v>
      </x:c>
      <x:c r="J85" t="str">
        <x:v>-12</x:v>
      </x:c>
      <x:c r="K85" t="str">
        <x:v>ORB</x:v>
      </x:c>
      <x:c r="L85" t="str">
        <x:v>M</x:v>
      </x:c>
      <x:c r="M85" t="str">
        <x:v>-16</x:v>
      </x:c>
      <x:c r="N85"/>
      <x:c r="O85"/>
      <x:c r="P85"/>
      <x:c r="Q85" t="str">
        <x:v>YES - RFQ SKU</x:v>
      </x:c>
      <x:c r="R85" s="116" t="str">
        <x:v>https://www.discounthydraulichose.com/6400-jic-37-x-straight-thread-orb.html</x:v>
      </x:c>
      <x:c r="S85" s="116" t="str">
        <x:v>Market-reference size combination. Availability, price and lead time are subject to supplier confirmation.</x:v>
      </x:c>
      <x:c r="T85" s="161" t="str">
        <x:v>Eligible</x:v>
      </x:c>
      <x:c r="U85" s="161" t="str">
        <x:v>Pending</x:v>
      </x:c>
    </x:row>
    <x:row r="86" ht="42" hidden="0" customHeight="1">
      <x:c r="A86" t="str">
        <x:v>Draft</x:v>
      </x:c>
      <x:c r="B86" t="str">
        <x:v>ADP_FAM_JIC_ORB_ST</x:v>
      </x:c>
      <x:c r="C86" t="str">
        <x:v>ADP_ST_JIC_M_12_ORB_M_20</x:v>
      </x:c>
      <x:c r="D86" t="str">
        <x:v>ADP_ST_JIC_M_{SIZE1}_ORB_M_{SIZE2}</x:v>
      </x:c>
      <x:c r="E86" t="str">
        <x:v>6400-12-20</x:v>
      </x:c>
      <x:c r="F86" s="116" t="str">
        <x:v>Straight JIC 37 Degree Male -12 to SAE ORB Male -20 Adapter</x:v>
      </x:c>
      <x:c r="G86" t="str">
        <x:v>ST</x:v>
      </x:c>
      <x:c r="H86" t="str">
        <x:v>JIC</x:v>
      </x:c>
      <x:c r="I86" t="str">
        <x:v>M</x:v>
      </x:c>
      <x:c r="J86" t="str">
        <x:v>-12</x:v>
      </x:c>
      <x:c r="K86" t="str">
        <x:v>ORB</x:v>
      </x:c>
      <x:c r="L86" t="str">
        <x:v>M</x:v>
      </x:c>
      <x:c r="M86" t="str">
        <x:v>-20</x:v>
      </x:c>
      <x:c r="N86"/>
      <x:c r="O86"/>
      <x:c r="P86"/>
      <x:c r="Q86" t="str">
        <x:v>YES - RFQ SKU</x:v>
      </x:c>
      <x:c r="R86" s="116" t="str">
        <x:v>https://www.discounthydraulichose.com/6400-jic-37-x-straight-thread-orb.html</x:v>
      </x:c>
      <x:c r="S86" s="116" t="str">
        <x:v>Market-reference size combination. Availability, price and lead time are subject to supplier confirmation.</x:v>
      </x:c>
      <x:c r="T86" s="161" t="str">
        <x:v>Eligible</x:v>
      </x:c>
      <x:c r="U86" s="161" t="str">
        <x:v>Pending</x:v>
      </x:c>
    </x:row>
    <x:row r="87" ht="42" hidden="0" customHeight="1">
      <x:c r="A87" t="str">
        <x:v>Draft</x:v>
      </x:c>
      <x:c r="B87" t="str">
        <x:v>ADP_FAM_JIC_ORB_ST</x:v>
      </x:c>
      <x:c r="C87" t="str">
        <x:v>ADP_ST_JIC_M_14_ORB_M_12</x:v>
      </x:c>
      <x:c r="D87" t="str">
        <x:v>ADP_ST_JIC_M_{SIZE1}_ORB_M_{SIZE2}</x:v>
      </x:c>
      <x:c r="E87" t="str">
        <x:v>6400-14-12</x:v>
      </x:c>
      <x:c r="F87" s="116" t="str">
        <x:v>Straight JIC 37 Degree Male -14 to SAE ORB Male -12 Adapter</x:v>
      </x:c>
      <x:c r="G87" t="str">
        <x:v>ST</x:v>
      </x:c>
      <x:c r="H87" t="str">
        <x:v>JIC</x:v>
      </x:c>
      <x:c r="I87" t="str">
        <x:v>M</x:v>
      </x:c>
      <x:c r="J87" t="str">
        <x:v>-14</x:v>
      </x:c>
      <x:c r="K87" t="str">
        <x:v>ORB</x:v>
      </x:c>
      <x:c r="L87" t="str">
        <x:v>M</x:v>
      </x:c>
      <x:c r="M87" t="str">
        <x:v>-12</x:v>
      </x:c>
      <x:c r="N87"/>
      <x:c r="O87"/>
      <x:c r="P87"/>
      <x:c r="Q87" t="str">
        <x:v>YES - RFQ SKU</x:v>
      </x:c>
      <x:c r="R87" s="116" t="str">
        <x:v>https://www.discounthydraulichose.com/6400-jic-37-x-straight-thread-orb.html</x:v>
      </x:c>
      <x:c r="S87" s="116" t="str">
        <x:v>Market-reference size combination. Availability, price and lead time are subject to supplier confirmation.</x:v>
      </x:c>
      <x:c r="T87" s="161" t="str">
        <x:v>Eligible</x:v>
      </x:c>
      <x:c r="U87" s="161" t="str">
        <x:v>Pending</x:v>
      </x:c>
    </x:row>
    <x:row r="88" ht="42" hidden="0" customHeight="1">
      <x:c r="A88" t="str">
        <x:v>Draft</x:v>
      </x:c>
      <x:c r="B88" t="str">
        <x:v>ADP_FAM_JIC_ORB_ST</x:v>
      </x:c>
      <x:c r="C88" t="str">
        <x:v>ADP_ST_JIC_M_14_ORB_M_14</x:v>
      </x:c>
      <x:c r="D88" t="str">
        <x:v>ADP_ST_JIC_M_{SIZE1}_ORB_M_{SIZE2}</x:v>
      </x:c>
      <x:c r="E88" t="str">
        <x:v>6400-14-14</x:v>
      </x:c>
      <x:c r="F88" s="116" t="str">
        <x:v>Straight JIC 37 Degree Male -14 to SAE ORB Male -14 Adapter</x:v>
      </x:c>
      <x:c r="G88" t="str">
        <x:v>ST</x:v>
      </x:c>
      <x:c r="H88" t="str">
        <x:v>JIC</x:v>
      </x:c>
      <x:c r="I88" t="str">
        <x:v>M</x:v>
      </x:c>
      <x:c r="J88" t="str">
        <x:v>-14</x:v>
      </x:c>
      <x:c r="K88" t="str">
        <x:v>ORB</x:v>
      </x:c>
      <x:c r="L88" t="str">
        <x:v>M</x:v>
      </x:c>
      <x:c r="M88" t="str">
        <x:v>-14</x:v>
      </x:c>
      <x:c r="N88"/>
      <x:c r="O88"/>
      <x:c r="P88"/>
      <x:c r="Q88" t="str">
        <x:v>YES - RFQ SKU</x:v>
      </x:c>
      <x:c r="R88" s="116" t="str">
        <x:v>https://www.discounthydraulichose.com/6400-jic-37-x-straight-thread-orb.html</x:v>
      </x:c>
      <x:c r="S88" s="116" t="str">
        <x:v>Market-reference size combination. Availability, price and lead time are subject to supplier confirmation.</x:v>
      </x:c>
      <x:c r="T88" s="161" t="str">
        <x:v>Eligible</x:v>
      </x:c>
      <x:c r="U88" s="161" t="str">
        <x:v>Pending</x:v>
      </x:c>
    </x:row>
    <x:row r="89" ht="42" hidden="0" customHeight="1">
      <x:c r="A89" t="str">
        <x:v>Draft</x:v>
      </x:c>
      <x:c r="B89" t="str">
        <x:v>ADP_FAM_JIC_ORB_ST</x:v>
      </x:c>
      <x:c r="C89" t="str">
        <x:v>ADP_ST_JIC_M_14_ORB_M_16</x:v>
      </x:c>
      <x:c r="D89" t="str">
        <x:v>ADP_ST_JIC_M_{SIZE1}_ORB_M_{SIZE2}</x:v>
      </x:c>
      <x:c r="E89" t="str">
        <x:v>6400-14-16</x:v>
      </x:c>
      <x:c r="F89" s="116" t="str">
        <x:v>Straight JIC 37 Degree Male -14 to SAE ORB Male -16 Adapter</x:v>
      </x:c>
      <x:c r="G89" t="str">
        <x:v>ST</x:v>
      </x:c>
      <x:c r="H89" t="str">
        <x:v>JIC</x:v>
      </x:c>
      <x:c r="I89" t="str">
        <x:v>M</x:v>
      </x:c>
      <x:c r="J89" t="str">
        <x:v>-14</x:v>
      </x:c>
      <x:c r="K89" t="str">
        <x:v>ORB</x:v>
      </x:c>
      <x:c r="L89" t="str">
        <x:v>M</x:v>
      </x:c>
      <x:c r="M89" t="str">
        <x:v>-16</x:v>
      </x:c>
      <x:c r="N89"/>
      <x:c r="O89"/>
      <x:c r="P89"/>
      <x:c r="Q89" t="str">
        <x:v>YES - RFQ SKU</x:v>
      </x:c>
      <x:c r="R89" s="116" t="str">
        <x:v>https://www.discounthydraulichose.com/6400-jic-37-x-straight-thread-orb.html</x:v>
      </x:c>
      <x:c r="S89" s="116" t="str">
        <x:v>Market-reference size combination. Availability, price and lead time are subject to supplier confirmation.</x:v>
      </x:c>
      <x:c r="T89" s="161" t="str">
        <x:v>Eligible</x:v>
      </x:c>
      <x:c r="U89" s="161" t="str">
        <x:v>Pending</x:v>
      </x:c>
    </x:row>
    <x:row r="90" ht="42" hidden="0" customHeight="1">
      <x:c r="A90" t="str">
        <x:v>Draft</x:v>
      </x:c>
      <x:c r="B90" t="str">
        <x:v>ADP_FAM_JIC_ORB_ST</x:v>
      </x:c>
      <x:c r="C90" t="str">
        <x:v>ADP_ST_JIC_M_16_ORB_M_08</x:v>
      </x:c>
      <x:c r="D90" t="str">
        <x:v>ADP_ST_JIC_M_{SIZE1}_ORB_M_{SIZE2}</x:v>
      </x:c>
      <x:c r="E90" t="str">
        <x:v>6400-16-08</x:v>
      </x:c>
      <x:c r="F90" s="116" t="str">
        <x:v>Straight JIC 37 Degree Male -16 to SAE ORB Male -08 Adapter</x:v>
      </x:c>
      <x:c r="G90" t="str">
        <x:v>ST</x:v>
      </x:c>
      <x:c r="H90" t="str">
        <x:v>JIC</x:v>
      </x:c>
      <x:c r="I90" t="str">
        <x:v>M</x:v>
      </x:c>
      <x:c r="J90" t="str">
        <x:v>-16</x:v>
      </x:c>
      <x:c r="K90" t="str">
        <x:v>ORB</x:v>
      </x:c>
      <x:c r="L90" t="str">
        <x:v>M</x:v>
      </x:c>
      <x:c r="M90" t="str">
        <x:v>-8</x:v>
      </x:c>
      <x:c r="N90"/>
      <x:c r="O90"/>
      <x:c r="P90"/>
      <x:c r="Q90" t="str">
        <x:v>YES - RFQ SKU</x:v>
      </x:c>
      <x:c r="R90" s="116" t="str">
        <x:v>https://www.discounthydraulichose.com/6400-jic-37-x-straight-thread-orb.html</x:v>
      </x:c>
      <x:c r="S90" s="116" t="str">
        <x:v>Market-reference size combination. Availability, price and lead time are subject to supplier confirmation.</x:v>
      </x:c>
      <x:c r="T90" s="161" t="str">
        <x:v>Eligible</x:v>
      </x:c>
      <x:c r="U90" s="161" t="str">
        <x:v>Pending</x:v>
      </x:c>
    </x:row>
    <x:row r="91" ht="42" hidden="0" customHeight="1">
      <x:c r="A91" t="str">
        <x:v>Draft</x:v>
      </x:c>
      <x:c r="B91" t="str">
        <x:v>ADP_FAM_JIC_ORB_ST</x:v>
      </x:c>
      <x:c r="C91" t="str">
        <x:v>ADP_ST_JIC_M_16_ORB_M_10</x:v>
      </x:c>
      <x:c r="D91" t="str">
        <x:v>ADP_ST_JIC_M_{SIZE1}_ORB_M_{SIZE2}</x:v>
      </x:c>
      <x:c r="E91" t="str">
        <x:v>6400-16-10</x:v>
      </x:c>
      <x:c r="F91" s="116" t="str">
        <x:v>Straight JIC 37 Degree Male -16 to SAE ORB Male -10 Adapter</x:v>
      </x:c>
      <x:c r="G91" t="str">
        <x:v>ST</x:v>
      </x:c>
      <x:c r="H91" t="str">
        <x:v>JIC</x:v>
      </x:c>
      <x:c r="I91" t="str">
        <x:v>M</x:v>
      </x:c>
      <x:c r="J91" t="str">
        <x:v>-16</x:v>
      </x:c>
      <x:c r="K91" t="str">
        <x:v>ORB</x:v>
      </x:c>
      <x:c r="L91" t="str">
        <x:v>M</x:v>
      </x:c>
      <x:c r="M91" t="str">
        <x:v>-10</x:v>
      </x:c>
      <x:c r="N91"/>
      <x:c r="O91"/>
      <x:c r="P91"/>
      <x:c r="Q91" t="str">
        <x:v>YES - RFQ SKU</x:v>
      </x:c>
      <x:c r="R91" s="116" t="str">
        <x:v>https://www.discounthydraulichose.com/6400-jic-37-x-straight-thread-orb.html</x:v>
      </x:c>
      <x:c r="S91" s="116" t="str">
        <x:v>Market-reference size combination. Availability, price and lead time are subject to supplier confirmation.</x:v>
      </x:c>
      <x:c r="T91" s="161" t="str">
        <x:v>Eligible</x:v>
      </x:c>
      <x:c r="U91" s="161" t="str">
        <x:v>Pending</x:v>
      </x:c>
    </x:row>
    <x:row r="92" ht="42" hidden="0" customHeight="1">
      <x:c r="A92" t="str">
        <x:v>Draft</x:v>
      </x:c>
      <x:c r="B92" t="str">
        <x:v>ADP_FAM_JIC_ORB_ST</x:v>
      </x:c>
      <x:c r="C92" t="str">
        <x:v>ADP_ST_JIC_M_16_ORB_M_12</x:v>
      </x:c>
      <x:c r="D92" t="str">
        <x:v>ADP_ST_JIC_M_{SIZE1}_ORB_M_{SIZE2}</x:v>
      </x:c>
      <x:c r="E92" t="str">
        <x:v>6400-16-12</x:v>
      </x:c>
      <x:c r="F92" s="116" t="str">
        <x:v>Straight JIC 37 Degree Male -16 to SAE ORB Male -12 Adapter</x:v>
      </x:c>
      <x:c r="G92" t="str">
        <x:v>ST</x:v>
      </x:c>
      <x:c r="H92" t="str">
        <x:v>JIC</x:v>
      </x:c>
      <x:c r="I92" t="str">
        <x:v>M</x:v>
      </x:c>
      <x:c r="J92" t="str">
        <x:v>-16</x:v>
      </x:c>
      <x:c r="K92" t="str">
        <x:v>ORB</x:v>
      </x:c>
      <x:c r="L92" t="str">
        <x:v>M</x:v>
      </x:c>
      <x:c r="M92" t="str">
        <x:v>-12</x:v>
      </x:c>
      <x:c r="N92"/>
      <x:c r="O92"/>
      <x:c r="P92"/>
      <x:c r="Q92" t="str">
        <x:v>YES - RFQ SKU</x:v>
      </x:c>
      <x:c r="R92" s="116" t="str">
        <x:v>https://www.discounthydraulichose.com/6400-jic-37-x-straight-thread-orb.html</x:v>
      </x:c>
      <x:c r="S92" s="116" t="str">
        <x:v>Market-reference size combination. Availability, price and lead time are subject to supplier confirmation.</x:v>
      </x:c>
      <x:c r="T92" s="161" t="str">
        <x:v>Eligible</x:v>
      </x:c>
      <x:c r="U92" s="161" t="str">
        <x:v>Pending</x:v>
      </x:c>
    </x:row>
    <x:row r="93" ht="42" hidden="0" customHeight="1">
      <x:c r="A93" t="str">
        <x:v>Draft</x:v>
      </x:c>
      <x:c r="B93" t="str">
        <x:v>ADP_FAM_JIC_ORB_ST</x:v>
      </x:c>
      <x:c r="C93" t="str">
        <x:v>ADP_ST_JIC_M_16_ORB_M_14</x:v>
      </x:c>
      <x:c r="D93" t="str">
        <x:v>ADP_ST_JIC_M_{SIZE1}_ORB_M_{SIZE2}</x:v>
      </x:c>
      <x:c r="E93" t="str">
        <x:v>6400-16-14</x:v>
      </x:c>
      <x:c r="F93" s="116" t="str">
        <x:v>Straight JIC 37 Degree Male -16 to SAE ORB Male -14 Adapter</x:v>
      </x:c>
      <x:c r="G93" t="str">
        <x:v>ST</x:v>
      </x:c>
      <x:c r="H93" t="str">
        <x:v>JIC</x:v>
      </x:c>
      <x:c r="I93" t="str">
        <x:v>M</x:v>
      </x:c>
      <x:c r="J93" t="str">
        <x:v>-16</x:v>
      </x:c>
      <x:c r="K93" t="str">
        <x:v>ORB</x:v>
      </x:c>
      <x:c r="L93" t="str">
        <x:v>M</x:v>
      </x:c>
      <x:c r="M93" t="str">
        <x:v>-14</x:v>
      </x:c>
      <x:c r="N93"/>
      <x:c r="O93"/>
      <x:c r="P93"/>
      <x:c r="Q93" t="str">
        <x:v>YES - RFQ SKU</x:v>
      </x:c>
      <x:c r="R93" s="116" t="str">
        <x:v>https://www.discounthydraulichose.com/6400-jic-37-x-straight-thread-orb.html</x:v>
      </x:c>
      <x:c r="S93" s="116" t="str">
        <x:v>Market-reference size combination. Availability, price and lead time are subject to supplier confirmation.</x:v>
      </x:c>
      <x:c r="T93" s="161" t="str">
        <x:v>Eligible</x:v>
      </x:c>
      <x:c r="U93" s="161" t="str">
        <x:v>Pending</x:v>
      </x:c>
    </x:row>
    <x:row r="94" ht="42" hidden="0" customHeight="1">
      <x:c r="A94" t="str">
        <x:v>Draft</x:v>
      </x:c>
      <x:c r="B94" t="str">
        <x:v>ADP_FAM_JIC_ORB_ST</x:v>
      </x:c>
      <x:c r="C94" t="str">
        <x:v>ADP_ST_JIC_M_16_ORB_M_16</x:v>
      </x:c>
      <x:c r="D94" t="str">
        <x:v>ADP_ST_JIC_M_{SIZE1}_ORB_M_{SIZE2}</x:v>
      </x:c>
      <x:c r="E94" t="str">
        <x:v>6400-16-16</x:v>
      </x:c>
      <x:c r="F94" s="116" t="str">
        <x:v>Straight JIC 37 Degree Male -16 to SAE ORB Male -16 Adapter</x:v>
      </x:c>
      <x:c r="G94" t="str">
        <x:v>ST</x:v>
      </x:c>
      <x:c r="H94" t="str">
        <x:v>JIC</x:v>
      </x:c>
      <x:c r="I94" t="str">
        <x:v>M</x:v>
      </x:c>
      <x:c r="J94" t="str">
        <x:v>-16</x:v>
      </x:c>
      <x:c r="K94" t="str">
        <x:v>ORB</x:v>
      </x:c>
      <x:c r="L94" t="str">
        <x:v>M</x:v>
      </x:c>
      <x:c r="M94" t="str">
        <x:v>-16</x:v>
      </x:c>
      <x:c r="N94"/>
      <x:c r="O94"/>
      <x:c r="P94"/>
      <x:c r="Q94" t="str">
        <x:v>YES - RFQ SKU</x:v>
      </x:c>
      <x:c r="R94" s="116" t="str">
        <x:v>https://www.discounthydraulichose.com/6400-jic-37-x-straight-thread-orb.html</x:v>
      </x:c>
      <x:c r="S94" s="116" t="str">
        <x:v>Market-reference size combination. Availability, price and lead time are subject to supplier confirmation.</x:v>
      </x:c>
      <x:c r="T94" s="161" t="str">
        <x:v>Eligible</x:v>
      </x:c>
      <x:c r="U94" s="161" t="str">
        <x:v>Pending</x:v>
      </x:c>
    </x:row>
    <x:row r="95" ht="42" hidden="0" customHeight="1">
      <x:c r="A95" t="str">
        <x:v>Draft</x:v>
      </x:c>
      <x:c r="B95" t="str">
        <x:v>ADP_FAM_JIC_ORB_ST</x:v>
      </x:c>
      <x:c r="C95" t="str">
        <x:v>ADP_ST_JIC_M_16_ORB_M_20</x:v>
      </x:c>
      <x:c r="D95" t="str">
        <x:v>ADP_ST_JIC_M_{SIZE1}_ORB_M_{SIZE2}</x:v>
      </x:c>
      <x:c r="E95" t="str">
        <x:v>6400-16-20</x:v>
      </x:c>
      <x:c r="F95" s="116" t="str">
        <x:v>Straight JIC 37 Degree Male -16 to SAE ORB Male -20 Adapter</x:v>
      </x:c>
      <x:c r="G95" t="str">
        <x:v>ST</x:v>
      </x:c>
      <x:c r="H95" t="str">
        <x:v>JIC</x:v>
      </x:c>
      <x:c r="I95" t="str">
        <x:v>M</x:v>
      </x:c>
      <x:c r="J95" t="str">
        <x:v>-16</x:v>
      </x:c>
      <x:c r="K95" t="str">
        <x:v>ORB</x:v>
      </x:c>
      <x:c r="L95" t="str">
        <x:v>M</x:v>
      </x:c>
      <x:c r="M95" t="str">
        <x:v>-20</x:v>
      </x:c>
      <x:c r="N95"/>
      <x:c r="O95"/>
      <x:c r="P95"/>
      <x:c r="Q95" t="str">
        <x:v>YES - RFQ SKU</x:v>
      </x:c>
      <x:c r="R95" s="116" t="str">
        <x:v>https://www.discounthydraulichose.com/6400-jic-37-x-straight-thread-orb.html</x:v>
      </x:c>
      <x:c r="S95" s="116" t="str">
        <x:v>Market-reference size combination. Availability, price and lead time are subject to supplier confirmation.</x:v>
      </x:c>
      <x:c r="T95" s="161" t="str">
        <x:v>Eligible</x:v>
      </x:c>
      <x:c r="U95" s="161" t="str">
        <x:v>Pending</x:v>
      </x:c>
    </x:row>
    <x:row r="96" ht="42" hidden="0" customHeight="1">
      <x:c r="A96" t="str">
        <x:v>Draft</x:v>
      </x:c>
      <x:c r="B96" t="str">
        <x:v>ADP_FAM_JIC_ORB_ST</x:v>
      </x:c>
      <x:c r="C96" t="str">
        <x:v>ADP_ST_JIC_M_16_ORB_M_24</x:v>
      </x:c>
      <x:c r="D96" t="str">
        <x:v>ADP_ST_JIC_M_{SIZE1}_ORB_M_{SIZE2}</x:v>
      </x:c>
      <x:c r="E96" t="str">
        <x:v>6400-16-24</x:v>
      </x:c>
      <x:c r="F96" s="116" t="str">
        <x:v>Straight JIC 37 Degree Male -16 to SAE ORB Male -24 Adapter</x:v>
      </x:c>
      <x:c r="G96" t="str">
        <x:v>ST</x:v>
      </x:c>
      <x:c r="H96" t="str">
        <x:v>JIC</x:v>
      </x:c>
      <x:c r="I96" t="str">
        <x:v>M</x:v>
      </x:c>
      <x:c r="J96" t="str">
        <x:v>-16</x:v>
      </x:c>
      <x:c r="K96" t="str">
        <x:v>ORB</x:v>
      </x:c>
      <x:c r="L96" t="str">
        <x:v>M</x:v>
      </x:c>
      <x:c r="M96" t="str">
        <x:v>-24</x:v>
      </x:c>
      <x:c r="N96"/>
      <x:c r="O96"/>
      <x:c r="P96"/>
      <x:c r="Q96" t="str">
        <x:v>YES - RFQ SKU</x:v>
      </x:c>
      <x:c r="R96" s="116" t="str">
        <x:v>https://www.discounthydraulichose.com/6400-jic-37-x-straight-thread-orb.html</x:v>
      </x:c>
      <x:c r="S96" s="116" t="str">
        <x:v>Market-reference size combination. Availability, price and lead time are subject to supplier confirmation.</x:v>
      </x:c>
      <x:c r="T96" s="161" t="str">
        <x:v>Eligible</x:v>
      </x:c>
      <x:c r="U96" s="161" t="str">
        <x:v>Pending</x:v>
      </x:c>
    </x:row>
    <x:row r="97" ht="42" hidden="0" customHeight="1">
      <x:c r="A97" t="str">
        <x:v>Draft</x:v>
      </x:c>
      <x:c r="B97" t="str">
        <x:v>ADP_FAM_JIC_ORB_ST</x:v>
      </x:c>
      <x:c r="C97" t="str">
        <x:v>ADP_ST_JIC_M_20_ORB_M_10</x:v>
      </x:c>
      <x:c r="D97" t="str">
        <x:v>ADP_ST_JIC_M_{SIZE1}_ORB_M_{SIZE2}</x:v>
      </x:c>
      <x:c r="E97" t="str">
        <x:v>6400-20-10</x:v>
      </x:c>
      <x:c r="F97" s="116" t="str">
        <x:v>Straight JIC 37 Degree Male -20 to SAE ORB Male -10 Adapter</x:v>
      </x:c>
      <x:c r="G97" t="str">
        <x:v>ST</x:v>
      </x:c>
      <x:c r="H97" t="str">
        <x:v>JIC</x:v>
      </x:c>
      <x:c r="I97" t="str">
        <x:v>M</x:v>
      </x:c>
      <x:c r="J97" t="str">
        <x:v>-20</x:v>
      </x:c>
      <x:c r="K97" t="str">
        <x:v>ORB</x:v>
      </x:c>
      <x:c r="L97" t="str">
        <x:v>M</x:v>
      </x:c>
      <x:c r="M97" t="str">
        <x:v>-10</x:v>
      </x:c>
      <x:c r="N97"/>
      <x:c r="O97"/>
      <x:c r="P97"/>
      <x:c r="Q97" t="str">
        <x:v>YES - RFQ SKU</x:v>
      </x:c>
      <x:c r="R97" s="116" t="str">
        <x:v>https://www.discounthydraulichose.com/6400-jic-37-x-straight-thread-orb.html</x:v>
      </x:c>
      <x:c r="S97" s="116" t="str">
        <x:v>Market-reference size combination. Availability, price and lead time are subject to supplier confirmation.</x:v>
      </x:c>
      <x:c r="T97" s="161" t="str">
        <x:v>Eligible</x:v>
      </x:c>
      <x:c r="U97" s="161" t="str">
        <x:v>Pending</x:v>
      </x:c>
    </x:row>
    <x:row r="98" ht="42" hidden="0" customHeight="1">
      <x:c r="A98" t="str">
        <x:v>Draft</x:v>
      </x:c>
      <x:c r="B98" t="str">
        <x:v>ADP_FAM_JIC_ORB_ST</x:v>
      </x:c>
      <x:c r="C98" t="str">
        <x:v>ADP_ST_JIC_M_20_ORB_M_12</x:v>
      </x:c>
      <x:c r="D98" t="str">
        <x:v>ADP_ST_JIC_M_{SIZE1}_ORB_M_{SIZE2}</x:v>
      </x:c>
      <x:c r="E98" t="str">
        <x:v>6400-20-12</x:v>
      </x:c>
      <x:c r="F98" s="116" t="str">
        <x:v>Straight JIC 37 Degree Male -20 to SAE ORB Male -12 Adapter</x:v>
      </x:c>
      <x:c r="G98" t="str">
        <x:v>ST</x:v>
      </x:c>
      <x:c r="H98" t="str">
        <x:v>JIC</x:v>
      </x:c>
      <x:c r="I98" t="str">
        <x:v>M</x:v>
      </x:c>
      <x:c r="J98" t="str">
        <x:v>-20</x:v>
      </x:c>
      <x:c r="K98" t="str">
        <x:v>ORB</x:v>
      </x:c>
      <x:c r="L98" t="str">
        <x:v>M</x:v>
      </x:c>
      <x:c r="M98" t="str">
        <x:v>-12</x:v>
      </x:c>
      <x:c r="N98"/>
      <x:c r="O98"/>
      <x:c r="P98"/>
      <x:c r="Q98" t="str">
        <x:v>YES - RFQ SKU</x:v>
      </x:c>
      <x:c r="R98" s="116" t="str">
        <x:v>https://www.discounthydraulichose.com/6400-jic-37-x-straight-thread-orb.html</x:v>
      </x:c>
      <x:c r="S98" s="116" t="str">
        <x:v>Market-reference size combination. Availability, price and lead time are subject to supplier confirmation.</x:v>
      </x:c>
      <x:c r="T98" s="161" t="str">
        <x:v>Eligible</x:v>
      </x:c>
      <x:c r="U98" s="161" t="str">
        <x:v>Pending</x:v>
      </x:c>
    </x:row>
    <x:row r="99" ht="42" hidden="0" customHeight="1">
      <x:c r="A99" t="str">
        <x:v>Draft</x:v>
      </x:c>
      <x:c r="B99" t="str">
        <x:v>ADP_FAM_JIC_ORB_ST</x:v>
      </x:c>
      <x:c r="C99" t="str">
        <x:v>ADP_ST_JIC_M_20_ORB_M_16</x:v>
      </x:c>
      <x:c r="D99" t="str">
        <x:v>ADP_ST_JIC_M_{SIZE1}_ORB_M_{SIZE2}</x:v>
      </x:c>
      <x:c r="E99" t="str">
        <x:v>6400-20-16</x:v>
      </x:c>
      <x:c r="F99" s="116" t="str">
        <x:v>Straight JIC 37 Degree Male -20 to SAE ORB Male -16 Adapter</x:v>
      </x:c>
      <x:c r="G99" t="str">
        <x:v>ST</x:v>
      </x:c>
      <x:c r="H99" t="str">
        <x:v>JIC</x:v>
      </x:c>
      <x:c r="I99" t="str">
        <x:v>M</x:v>
      </x:c>
      <x:c r="J99" t="str">
        <x:v>-20</x:v>
      </x:c>
      <x:c r="K99" t="str">
        <x:v>ORB</x:v>
      </x:c>
      <x:c r="L99" t="str">
        <x:v>M</x:v>
      </x:c>
      <x:c r="M99" t="str">
        <x:v>-16</x:v>
      </x:c>
      <x:c r="N99"/>
      <x:c r="O99"/>
      <x:c r="P99"/>
      <x:c r="Q99" t="str">
        <x:v>YES - RFQ SKU</x:v>
      </x:c>
      <x:c r="R99" s="116" t="str">
        <x:v>https://www.discounthydraulichose.com/6400-jic-37-x-straight-thread-orb.html</x:v>
      </x:c>
      <x:c r="S99" s="116" t="str">
        <x:v>Market-reference size combination. Availability, price and lead time are subject to supplier confirmation.</x:v>
      </x:c>
      <x:c r="T99" s="161" t="str">
        <x:v>Eligible</x:v>
      </x:c>
      <x:c r="U99" s="161" t="str">
        <x:v>Pending</x:v>
      </x:c>
    </x:row>
    <x:row r="100" ht="42" hidden="0" customHeight="1">
      <x:c r="A100" t="str">
        <x:v>Draft</x:v>
      </x:c>
      <x:c r="B100" t="str">
        <x:v>ADP_FAM_JIC_ORB_ST</x:v>
      </x:c>
      <x:c r="C100" t="str">
        <x:v>ADP_ST_JIC_M_20_ORB_M_20</x:v>
      </x:c>
      <x:c r="D100" t="str">
        <x:v>ADP_ST_JIC_M_{SIZE1}_ORB_M_{SIZE2}</x:v>
      </x:c>
      <x:c r="E100" t="str">
        <x:v>6400-20-20</x:v>
      </x:c>
      <x:c r="F100" s="116" t="str">
        <x:v>Straight JIC 37 Degree Male -20 to SAE ORB Male -20 Adapter</x:v>
      </x:c>
      <x:c r="G100" t="str">
        <x:v>ST</x:v>
      </x:c>
      <x:c r="H100" t="str">
        <x:v>JIC</x:v>
      </x:c>
      <x:c r="I100" t="str">
        <x:v>M</x:v>
      </x:c>
      <x:c r="J100" t="str">
        <x:v>-20</x:v>
      </x:c>
      <x:c r="K100" t="str">
        <x:v>ORB</x:v>
      </x:c>
      <x:c r="L100" t="str">
        <x:v>M</x:v>
      </x:c>
      <x:c r="M100" t="str">
        <x:v>-20</x:v>
      </x:c>
      <x:c r="N100"/>
      <x:c r="O100"/>
      <x:c r="P100"/>
      <x:c r="Q100" t="str">
        <x:v>YES - RFQ SKU</x:v>
      </x:c>
      <x:c r="R100" s="116" t="str">
        <x:v>https://www.discounthydraulichose.com/6400-jic-37-x-straight-thread-orb.html</x:v>
      </x:c>
      <x:c r="S100" s="116" t="str">
        <x:v>Market-reference size combination. Availability, price and lead time are subject to supplier confirmation.</x:v>
      </x:c>
      <x:c r="T100" s="161" t="str">
        <x:v>Eligible</x:v>
      </x:c>
      <x:c r="U100" s="161" t="str">
        <x:v>Pending</x:v>
      </x:c>
    </x:row>
    <x:row r="101" ht="42" hidden="0" customHeight="1">
      <x:c r="A101" t="str">
        <x:v>Draft</x:v>
      </x:c>
      <x:c r="B101" t="str">
        <x:v>ADP_FAM_JIC_ORB_ST</x:v>
      </x:c>
      <x:c r="C101" t="str">
        <x:v>ADP_ST_JIC_M_20_ORB_M_24</x:v>
      </x:c>
      <x:c r="D101" t="str">
        <x:v>ADP_ST_JIC_M_{SIZE1}_ORB_M_{SIZE2}</x:v>
      </x:c>
      <x:c r="E101" t="str">
        <x:v>6400-20-24</x:v>
      </x:c>
      <x:c r="F101" s="116" t="str">
        <x:v>Straight JIC 37 Degree Male -20 to SAE ORB Male -24 Adapter</x:v>
      </x:c>
      <x:c r="G101" t="str">
        <x:v>ST</x:v>
      </x:c>
      <x:c r="H101" t="str">
        <x:v>JIC</x:v>
      </x:c>
      <x:c r="I101" t="str">
        <x:v>M</x:v>
      </x:c>
      <x:c r="J101" t="str">
        <x:v>-20</x:v>
      </x:c>
      <x:c r="K101" t="str">
        <x:v>ORB</x:v>
      </x:c>
      <x:c r="L101" t="str">
        <x:v>M</x:v>
      </x:c>
      <x:c r="M101" t="str">
        <x:v>-24</x:v>
      </x:c>
      <x:c r="N101"/>
      <x:c r="O101"/>
      <x:c r="P101"/>
      <x:c r="Q101" t="str">
        <x:v>YES - RFQ SKU</x:v>
      </x:c>
      <x:c r="R101" s="116" t="str">
        <x:v>https://www.discounthydraulichose.com/6400-jic-37-x-straight-thread-orb.html</x:v>
      </x:c>
      <x:c r="S101" s="116" t="str">
        <x:v>Market-reference size combination. Availability, price and lead time are subject to supplier confirmation.</x:v>
      </x:c>
      <x:c r="T101" s="161" t="str">
        <x:v>Eligible</x:v>
      </x:c>
      <x:c r="U101" s="161" t="str">
        <x:v>Pending</x:v>
      </x:c>
    </x:row>
    <x:row r="102" ht="42" hidden="0" customHeight="1">
      <x:c r="A102" t="str">
        <x:v>Draft</x:v>
      </x:c>
      <x:c r="B102" t="str">
        <x:v>ADP_FAM_JIC_ORB_ST</x:v>
      </x:c>
      <x:c r="C102" t="str">
        <x:v>ADP_ST_JIC_M_24_ORB_M_16</x:v>
      </x:c>
      <x:c r="D102" t="str">
        <x:v>ADP_ST_JIC_M_{SIZE1}_ORB_M_{SIZE2}</x:v>
      </x:c>
      <x:c r="E102" t="str">
        <x:v>6400-24-16</x:v>
      </x:c>
      <x:c r="F102" s="116" t="str">
        <x:v>Straight JIC 37 Degree Male -24 to SAE ORB Male -16 Adapter</x:v>
      </x:c>
      <x:c r="G102" t="str">
        <x:v>ST</x:v>
      </x:c>
      <x:c r="H102" t="str">
        <x:v>JIC</x:v>
      </x:c>
      <x:c r="I102" t="str">
        <x:v>M</x:v>
      </x:c>
      <x:c r="J102" t="str">
        <x:v>-24</x:v>
      </x:c>
      <x:c r="K102" t="str">
        <x:v>ORB</x:v>
      </x:c>
      <x:c r="L102" t="str">
        <x:v>M</x:v>
      </x:c>
      <x:c r="M102" t="str">
        <x:v>-16</x:v>
      </x:c>
      <x:c r="N102"/>
      <x:c r="O102"/>
      <x:c r="P102"/>
      <x:c r="Q102" t="str">
        <x:v>YES - RFQ SKU</x:v>
      </x:c>
      <x:c r="R102" s="116" t="str">
        <x:v>https://www.discounthydraulichose.com/6400-jic-37-x-straight-thread-orb.html</x:v>
      </x:c>
      <x:c r="S102" s="116" t="str">
        <x:v>Market-reference size combination. Availability, price and lead time are subject to supplier confirmation.</x:v>
      </x:c>
      <x:c r="T102" s="161" t="str">
        <x:v>Eligible</x:v>
      </x:c>
      <x:c r="U102" s="161" t="str">
        <x:v>Pending</x:v>
      </x:c>
    </x:row>
    <x:row r="103" ht="42" hidden="0" customHeight="1">
      <x:c r="A103" t="str">
        <x:v>Draft</x:v>
      </x:c>
      <x:c r="B103" t="str">
        <x:v>ADP_FAM_JIC_ORB_ST</x:v>
      </x:c>
      <x:c r="C103" t="str">
        <x:v>ADP_ST_JIC_M_24_ORB_M_20</x:v>
      </x:c>
      <x:c r="D103" t="str">
        <x:v>ADP_ST_JIC_M_{SIZE1}_ORB_M_{SIZE2}</x:v>
      </x:c>
      <x:c r="E103" t="str">
        <x:v>6400-24-20</x:v>
      </x:c>
      <x:c r="F103" s="116" t="str">
        <x:v>Straight JIC 37 Degree Male -24 to SAE ORB Male -20 Adapter</x:v>
      </x:c>
      <x:c r="G103" t="str">
        <x:v>ST</x:v>
      </x:c>
      <x:c r="H103" t="str">
        <x:v>JIC</x:v>
      </x:c>
      <x:c r="I103" t="str">
        <x:v>M</x:v>
      </x:c>
      <x:c r="J103" t="str">
        <x:v>-24</x:v>
      </x:c>
      <x:c r="K103" t="str">
        <x:v>ORB</x:v>
      </x:c>
      <x:c r="L103" t="str">
        <x:v>M</x:v>
      </x:c>
      <x:c r="M103" t="str">
        <x:v>-20</x:v>
      </x:c>
      <x:c r="N103"/>
      <x:c r="O103"/>
      <x:c r="P103"/>
      <x:c r="Q103" t="str">
        <x:v>YES - RFQ SKU</x:v>
      </x:c>
      <x:c r="R103" s="116" t="str">
        <x:v>https://www.discounthydraulichose.com/6400-jic-37-x-straight-thread-orb.html</x:v>
      </x:c>
      <x:c r="S103" s="116" t="str">
        <x:v>Market-reference size combination. Availability, price and lead time are subject to supplier confirmation.</x:v>
      </x:c>
      <x:c r="T103" s="161" t="str">
        <x:v>Eligible</x:v>
      </x:c>
      <x:c r="U103" s="161" t="str">
        <x:v>Pending</x:v>
      </x:c>
    </x:row>
    <x:row r="104" ht="42" hidden="0" customHeight="1">
      <x:c r="A104" t="str">
        <x:v>Draft</x:v>
      </x:c>
      <x:c r="B104" t="str">
        <x:v>ADP_FAM_JIC_ORB_ST</x:v>
      </x:c>
      <x:c r="C104" t="str">
        <x:v>ADP_ST_JIC_M_24_ORB_M_24</x:v>
      </x:c>
      <x:c r="D104" t="str">
        <x:v>ADP_ST_JIC_M_{SIZE1}_ORB_M_{SIZE2}</x:v>
      </x:c>
      <x:c r="E104" t="str">
        <x:v>6400-24-24</x:v>
      </x:c>
      <x:c r="F104" s="116" t="str">
        <x:v>Straight JIC 37 Degree Male -24 to SAE ORB Male -24 Adapter</x:v>
      </x:c>
      <x:c r="G104" t="str">
        <x:v>ST</x:v>
      </x:c>
      <x:c r="H104" t="str">
        <x:v>JIC</x:v>
      </x:c>
      <x:c r="I104" t="str">
        <x:v>M</x:v>
      </x:c>
      <x:c r="J104" t="str">
        <x:v>-24</x:v>
      </x:c>
      <x:c r="K104" t="str">
        <x:v>ORB</x:v>
      </x:c>
      <x:c r="L104" t="str">
        <x:v>M</x:v>
      </x:c>
      <x:c r="M104" t="str">
        <x:v>-24</x:v>
      </x:c>
      <x:c r="N104"/>
      <x:c r="O104"/>
      <x:c r="P104"/>
      <x:c r="Q104" t="str">
        <x:v>YES - RFQ SKU</x:v>
      </x:c>
      <x:c r="R104" s="116" t="str">
        <x:v>https://www.discounthydraulichose.com/6400-jic-37-x-straight-thread-orb.html</x:v>
      </x:c>
      <x:c r="S104" s="116" t="str">
        <x:v>Market-reference size combination. Availability, price and lead time are subject to supplier confirmation.</x:v>
      </x:c>
      <x:c r="T104" s="161" t="str">
        <x:v>Eligible</x:v>
      </x:c>
      <x:c r="U104" s="161" t="str">
        <x:v>Pending</x:v>
      </x:c>
    </x:row>
    <x:row r="105" ht="42" hidden="0" customHeight="1">
      <x:c r="A105" t="str">
        <x:v>Draft</x:v>
      </x:c>
      <x:c r="B105" t="str">
        <x:v>ADP_FAM_JIC_ORB_ST</x:v>
      </x:c>
      <x:c r="C105" t="str">
        <x:v>ADP_ST_JIC_M_24_ORB_M_32</x:v>
      </x:c>
      <x:c r="D105" t="str">
        <x:v>ADP_ST_JIC_M_{SIZE1}_ORB_M_{SIZE2}</x:v>
      </x:c>
      <x:c r="E105" t="str">
        <x:v>6400-24-32</x:v>
      </x:c>
      <x:c r="F105" s="116" t="str">
        <x:v>Straight JIC 37 Degree Male -24 to SAE ORB Male -32 Adapter</x:v>
      </x:c>
      <x:c r="G105" t="str">
        <x:v>ST</x:v>
      </x:c>
      <x:c r="H105" t="str">
        <x:v>JIC</x:v>
      </x:c>
      <x:c r="I105" t="str">
        <x:v>M</x:v>
      </x:c>
      <x:c r="J105" t="str">
        <x:v>-24</x:v>
      </x:c>
      <x:c r="K105" t="str">
        <x:v>ORB</x:v>
      </x:c>
      <x:c r="L105" t="str">
        <x:v>M</x:v>
      </x:c>
      <x:c r="M105" t="str">
        <x:v>-32</x:v>
      </x:c>
      <x:c r="N105"/>
      <x:c r="O105"/>
      <x:c r="P105"/>
      <x:c r="Q105" t="str">
        <x:v>YES - RFQ SKU</x:v>
      </x:c>
      <x:c r="R105" s="116" t="str">
        <x:v>https://www.discounthydraulichose.com/6400-jic-37-x-straight-thread-orb.html</x:v>
      </x:c>
      <x:c r="S105" s="116" t="str">
        <x:v>Market-reference size combination. Availability, price and lead time are subject to supplier confirmation.</x:v>
      </x:c>
      <x:c r="T105" s="161" t="str">
        <x:v>Eligible</x:v>
      </x:c>
      <x:c r="U105" s="161" t="str">
        <x:v>Pending</x:v>
      </x:c>
    </x:row>
    <x:row r="106" ht="42" hidden="0" customHeight="1">
      <x:c r="A106" t="str">
        <x:v>Draft</x:v>
      </x:c>
      <x:c r="B106" t="str">
        <x:v>ADP_FAM_JIC_ORB_ST</x:v>
      </x:c>
      <x:c r="C106" t="str">
        <x:v>ADP_ST_JIC_M_32_ORB_M_24</x:v>
      </x:c>
      <x:c r="D106" t="str">
        <x:v>ADP_ST_JIC_M_{SIZE1}_ORB_M_{SIZE2}</x:v>
      </x:c>
      <x:c r="E106" t="str">
        <x:v>6400-32-24</x:v>
      </x:c>
      <x:c r="F106" s="116" t="str">
        <x:v>Straight JIC 37 Degree Male -32 to SAE ORB Male -24 Adapter</x:v>
      </x:c>
      <x:c r="G106" t="str">
        <x:v>ST</x:v>
      </x:c>
      <x:c r="H106" t="str">
        <x:v>JIC</x:v>
      </x:c>
      <x:c r="I106" t="str">
        <x:v>M</x:v>
      </x:c>
      <x:c r="J106" t="str">
        <x:v>-32</x:v>
      </x:c>
      <x:c r="K106" t="str">
        <x:v>ORB</x:v>
      </x:c>
      <x:c r="L106" t="str">
        <x:v>M</x:v>
      </x:c>
      <x:c r="M106" t="str">
        <x:v>-24</x:v>
      </x:c>
      <x:c r="N106"/>
      <x:c r="O106"/>
      <x:c r="P106"/>
      <x:c r="Q106" t="str">
        <x:v>YES - RFQ SKU</x:v>
      </x:c>
      <x:c r="R106" s="116" t="str">
        <x:v>https://www.discounthydraulichose.com/6400-jic-37-x-straight-thread-orb.html</x:v>
      </x:c>
      <x:c r="S106" s="116" t="str">
        <x:v>Market-reference size combination. Availability, price and lead time are subject to supplier confirmation.</x:v>
      </x:c>
      <x:c r="T106" s="161" t="str">
        <x:v>Eligible</x:v>
      </x:c>
      <x:c r="U106" s="161" t="str">
        <x:v>Pending</x:v>
      </x:c>
    </x:row>
    <x:row r="107" ht="42" hidden="0" customHeight="1">
      <x:c r="A107" t="str">
        <x:v>Draft</x:v>
      </x:c>
      <x:c r="B107" t="str">
        <x:v>ADP_FAM_JIC_ORB_ST</x:v>
      </x:c>
      <x:c r="C107" t="str">
        <x:v>ADP_ST_JIC_M_32_ORB_M_32</x:v>
      </x:c>
      <x:c r="D107" t="str">
        <x:v>ADP_ST_JIC_M_{SIZE1}_ORB_M_{SIZE2}</x:v>
      </x:c>
      <x:c r="E107" t="str">
        <x:v>6400-32-32</x:v>
      </x:c>
      <x:c r="F107" s="116" t="str">
        <x:v>Straight JIC 37 Degree Male -32 to SAE ORB Male -32 Adapter</x:v>
      </x:c>
      <x:c r="G107" t="str">
        <x:v>ST</x:v>
      </x:c>
      <x:c r="H107" t="str">
        <x:v>JIC</x:v>
      </x:c>
      <x:c r="I107" t="str">
        <x:v>M</x:v>
      </x:c>
      <x:c r="J107" t="str">
        <x:v>-32</x:v>
      </x:c>
      <x:c r="K107" t="str">
        <x:v>ORB</x:v>
      </x:c>
      <x:c r="L107" t="str">
        <x:v>M</x:v>
      </x:c>
      <x:c r="M107" t="str">
        <x:v>-32</x:v>
      </x:c>
      <x:c r="N107"/>
      <x:c r="O107"/>
      <x:c r="P107"/>
      <x:c r="Q107" t="str">
        <x:v>YES - RFQ SKU</x:v>
      </x:c>
      <x:c r="R107" s="116" t="str">
        <x:v>https://www.discounthydraulichose.com/6400-jic-37-x-straight-thread-orb.html</x:v>
      </x:c>
      <x:c r="S107" s="116" t="str">
        <x:v>Market-reference size combination. Availability, price and lead time are subject to supplier confirmation.</x:v>
      </x:c>
      <x:c r="T107" s="161" t="str">
        <x:v>Eligible</x:v>
      </x:c>
      <x:c r="U107" s="161" t="str">
        <x:v>Pending</x:v>
      </x:c>
    </x:row>
    <x:row r="108" ht="42" hidden="0" customHeight="1">
      <x:c r="A108" t="str">
        <x:v>Draft</x:v>
      </x:c>
      <x:c r="B108" t="str">
        <x:v>ADP_FAM_JIC_ORB_ST</x:v>
      </x:c>
      <x:c r="C108" t="str">
        <x:v>ADP_ST_JIC_M_02_ORB_M_02</x:v>
      </x:c>
      <x:c r="D108" t="str">
        <x:v>ADP_ST_JIC_M_{SIZE1}_ORB_M_{SIZE2}</x:v>
      </x:c>
      <x:c r="E108" t="str">
        <x:v>6400-02-02</x:v>
      </x:c>
      <x:c r="F108" s="116" t="str">
        <x:v>Straight JIC 37 Degree Male -02 to SAE ORB Male -02 Adapter</x:v>
      </x:c>
      <x:c r="G108" t="str">
        <x:v>ST</x:v>
      </x:c>
      <x:c r="H108" t="str">
        <x:v>JIC</x:v>
      </x:c>
      <x:c r="I108" t="str">
        <x:v>M</x:v>
      </x:c>
      <x:c r="J108" t="str">
        <x:v>-2</x:v>
      </x:c>
      <x:c r="K108" t="str">
        <x:v>ORB</x:v>
      </x:c>
      <x:c r="L108" t="str">
        <x:v>M</x:v>
      </x:c>
      <x:c r="M108" t="str">
        <x:v>-2</x:v>
      </x:c>
      <x:c r="N108"/>
      <x:c r="O108"/>
      <x:c r="P108"/>
      <x:c r="Q108" t="str">
        <x:v>YES - RFQ SKU</x:v>
      </x:c>
      <x:c r="R108" s="116" t="str">
        <x:v>https://www.discounthydraulichose.com/6400-jic-37-x-straight-thread-orb.html</x:v>
      </x:c>
      <x:c r="S108" s="116" t="str">
        <x:v>Market-reference size combination. Availability, price and lead time are subject to supplier confirmation.</x:v>
      </x:c>
      <x:c r="T108" s="161" t="str">
        <x:v>Eligible</x:v>
      </x:c>
      <x:c r="U108" s="161" t="str">
        <x:v>Pending</x:v>
      </x:c>
    </x:row>
    <x:row r="109" ht="42" hidden="0" customHeight="1">
      <x:c r="A109" t="str">
        <x:v>Draft</x:v>
      </x:c>
      <x:c r="B109" t="str">
        <x:v>ADP_FAM_JIC_ORB_ST</x:v>
      </x:c>
      <x:c r="C109" t="str">
        <x:v>ADP_ST_JIC_M_03_ORB_M_03</x:v>
      </x:c>
      <x:c r="D109" t="str">
        <x:v>ADP_ST_JIC_M_{SIZE1}_ORB_M_{SIZE2}</x:v>
      </x:c>
      <x:c r="E109" t="str">
        <x:v>6400-03-03</x:v>
      </x:c>
      <x:c r="F109" s="116" t="str">
        <x:v>Straight JIC 37 Degree Male -03 to SAE ORB Male -03 Adapter</x:v>
      </x:c>
      <x:c r="G109" t="str">
        <x:v>ST</x:v>
      </x:c>
      <x:c r="H109" t="str">
        <x:v>JIC</x:v>
      </x:c>
      <x:c r="I109" t="str">
        <x:v>M</x:v>
      </x:c>
      <x:c r="J109" t="str">
        <x:v>-3</x:v>
      </x:c>
      <x:c r="K109" t="str">
        <x:v>ORB</x:v>
      </x:c>
      <x:c r="L109" t="str">
        <x:v>M</x:v>
      </x:c>
      <x:c r="M109" t="str">
        <x:v>-3</x:v>
      </x:c>
      <x:c r="N109"/>
      <x:c r="O109"/>
      <x:c r="P109"/>
      <x:c r="Q109" t="str">
        <x:v>YES - RFQ SKU</x:v>
      </x:c>
      <x:c r="R109" s="116" t="str">
        <x:v>https://www.discounthydraulichose.com/6400-jic-37-x-straight-thread-orb.html</x:v>
      </x:c>
      <x:c r="S109" s="116" t="str">
        <x:v>Market-reference size combination. Availability, price and lead time are subject to supplier confirmation.</x:v>
      </x:c>
      <x:c r="T109" s="161" t="str">
        <x:v>Eligible</x:v>
      </x:c>
      <x:c r="U109" s="161" t="str">
        <x:v>Pending</x:v>
      </x:c>
    </x:row>
    <x:row r="110" ht="42" hidden="0" customHeight="1">
      <x:c r="A110" t="str">
        <x:v>Draft</x:v>
      </x:c>
      <x:c r="B110" t="str">
        <x:v>ADP_FAM_JIC_ORB_ST</x:v>
      </x:c>
      <x:c r="C110" t="str">
        <x:v>ADP_ST_JIC_M_04_ORB_M_02</x:v>
      </x:c>
      <x:c r="D110" t="str">
        <x:v>ADP_ST_JIC_M_{SIZE1}_ORB_M_{SIZE2}</x:v>
      </x:c>
      <x:c r="E110" t="str">
        <x:v>6400-04-02</x:v>
      </x:c>
      <x:c r="F110" s="116" t="str">
        <x:v>Straight JIC 37 Degree Male -04 to SAE ORB Male -02 Adapter</x:v>
      </x:c>
      <x:c r="G110" t="str">
        <x:v>ST</x:v>
      </x:c>
      <x:c r="H110" t="str">
        <x:v>JIC</x:v>
      </x:c>
      <x:c r="I110" t="str">
        <x:v>M</x:v>
      </x:c>
      <x:c r="J110" t="str">
        <x:v>-4</x:v>
      </x:c>
      <x:c r="K110" t="str">
        <x:v>ORB</x:v>
      </x:c>
      <x:c r="L110" t="str">
        <x:v>M</x:v>
      </x:c>
      <x:c r="M110" t="str">
        <x:v>-2</x:v>
      </x:c>
      <x:c r="N110"/>
      <x:c r="O110"/>
      <x:c r="P110"/>
      <x:c r="Q110" t="str">
        <x:v>YES - RFQ SKU</x:v>
      </x:c>
      <x:c r="R110" s="116" t="str">
        <x:v>https://www.discounthydraulichose.com/6400-jic-37-x-straight-thread-orb.html</x:v>
      </x:c>
      <x:c r="S110" s="116" t="str">
        <x:v>Market-reference size combination. Availability, price and lead time are subject to supplier confirmation.</x:v>
      </x:c>
      <x:c r="T110" s="161" t="str">
        <x:v>Eligible</x:v>
      </x:c>
      <x:c r="U110" s="161" t="str">
        <x:v>Pending</x:v>
      </x:c>
    </x:row>
    <x:row r="111" ht="42" hidden="0" customHeight="1">
      <x:c r="A111" t="str">
        <x:v>Draft</x:v>
      </x:c>
      <x:c r="B111" t="str">
        <x:v>ADP_FAM_JIC_ORB_ST</x:v>
      </x:c>
      <x:c r="C111" t="str">
        <x:v>ADP_ST_JIC_M_04_ORB_M_03</x:v>
      </x:c>
      <x:c r="D111" t="str">
        <x:v>ADP_ST_JIC_M_{SIZE1}_ORB_M_{SIZE2}</x:v>
      </x:c>
      <x:c r="E111" t="str">
        <x:v>6400-04-03</x:v>
      </x:c>
      <x:c r="F111" s="116" t="str">
        <x:v>Straight JIC 37 Degree Male -04 to SAE ORB Male -03 Adapter</x:v>
      </x:c>
      <x:c r="G111" t="str">
        <x:v>ST</x:v>
      </x:c>
      <x:c r="H111" t="str">
        <x:v>JIC</x:v>
      </x:c>
      <x:c r="I111" t="str">
        <x:v>M</x:v>
      </x:c>
      <x:c r="J111" t="str">
        <x:v>-4</x:v>
      </x:c>
      <x:c r="K111" t="str">
        <x:v>ORB</x:v>
      </x:c>
      <x:c r="L111" t="str">
        <x:v>M</x:v>
      </x:c>
      <x:c r="M111" t="str">
        <x:v>-3</x:v>
      </x:c>
      <x:c r="N111"/>
      <x:c r="O111"/>
      <x:c r="P111"/>
      <x:c r="Q111" t="str">
        <x:v>YES - RFQ SKU</x:v>
      </x:c>
      <x:c r="R111" s="116" t="str">
        <x:v>https://www.discounthydraulichose.com/6400-jic-37-x-straight-thread-orb.html</x:v>
      </x:c>
      <x:c r="S111" s="116" t="str">
        <x:v>Market-reference size combination. Availability, price and lead time are subject to supplier confirmation.</x:v>
      </x:c>
      <x:c r="T111" s="161" t="str">
        <x:v>Eligible</x:v>
      </x:c>
      <x:c r="U111" s="161" t="str">
        <x:v>Pending</x:v>
      </x:c>
    </x:row>
    <x:row r="112" ht="42" hidden="0" customHeight="1">
      <x:c r="A112" t="str">
        <x:v>Draft</x:v>
      </x:c>
      <x:c r="B112" t="str">
        <x:v>ADP_FAM_JIC_ORB_ST</x:v>
      </x:c>
      <x:c r="C112" t="str">
        <x:v>ADP_ST_JIC_M_04_ORB_M_04</x:v>
      </x:c>
      <x:c r="D112" t="str">
        <x:v>ADP_ST_JIC_M_{SIZE1}_ORB_M_{SIZE2}</x:v>
      </x:c>
      <x:c r="E112" t="str">
        <x:v>6400-04-04</x:v>
      </x:c>
      <x:c r="F112" s="116" t="str">
        <x:v>Straight JIC 37 Degree Male -04 to SAE ORB Male -04 Adapter</x:v>
      </x:c>
      <x:c r="G112" t="str">
        <x:v>ST</x:v>
      </x:c>
      <x:c r="H112" t="str">
        <x:v>JIC</x:v>
      </x:c>
      <x:c r="I112" t="str">
        <x:v>M</x:v>
      </x:c>
      <x:c r="J112" t="str">
        <x:v>-4</x:v>
      </x:c>
      <x:c r="K112" t="str">
        <x:v>ORB</x:v>
      </x:c>
      <x:c r="L112" t="str">
        <x:v>M</x:v>
      </x:c>
      <x:c r="M112" t="str">
        <x:v>-4</x:v>
      </x:c>
      <x:c r="N112"/>
      <x:c r="O112"/>
      <x:c r="P112"/>
      <x:c r="Q112" t="str">
        <x:v>YES - RFQ SKU</x:v>
      </x:c>
      <x:c r="R112" s="116" t="str">
        <x:v>https://www.discounthydraulichose.com/6400-jic-37-x-straight-thread-orb.html</x:v>
      </x:c>
      <x:c r="S112" s="116" t="str">
        <x:v>Market-reference size combination. Availability, price and lead time are subject to supplier confirmation.</x:v>
      </x:c>
      <x:c r="T112" s="161" t="str">
        <x:v>Eligible</x:v>
      </x:c>
      <x:c r="U112" s="161" t="str">
        <x:v>Pending</x:v>
      </x:c>
    </x:row>
    <x:row r="113" ht="42" hidden="0" customHeight="1">
      <x:c r="A113" t="str">
        <x:v>Draft</x:v>
      </x:c>
      <x:c r="B113" t="str">
        <x:v>ADP_FAM_JIC_ORB_ST</x:v>
      </x:c>
      <x:c r="C113" t="str">
        <x:v>ADP_ST_JIC_M_04_ORB_M_05</x:v>
      </x:c>
      <x:c r="D113" t="str">
        <x:v>ADP_ST_JIC_M_{SIZE1}_ORB_M_{SIZE2}</x:v>
      </x:c>
      <x:c r="E113" t="str">
        <x:v>6400-04-05</x:v>
      </x:c>
      <x:c r="F113" s="116" t="str">
        <x:v>Straight JIC 37 Degree Male -04 to SAE ORB Male -05 Adapter</x:v>
      </x:c>
      <x:c r="G113" t="str">
        <x:v>ST</x:v>
      </x:c>
      <x:c r="H113" t="str">
        <x:v>JIC</x:v>
      </x:c>
      <x:c r="I113" t="str">
        <x:v>M</x:v>
      </x:c>
      <x:c r="J113" t="str">
        <x:v>-4</x:v>
      </x:c>
      <x:c r="K113" t="str">
        <x:v>ORB</x:v>
      </x:c>
      <x:c r="L113" t="str">
        <x:v>M</x:v>
      </x:c>
      <x:c r="M113" t="str">
        <x:v>-5</x:v>
      </x:c>
      <x:c r="N113"/>
      <x:c r="O113"/>
      <x:c r="P113"/>
      <x:c r="Q113" t="str">
        <x:v>YES - RFQ SKU</x:v>
      </x:c>
      <x:c r="R113" s="116" t="str">
        <x:v>https://www.discounthydraulichose.com/6400-jic-37-x-straight-thread-orb.html</x:v>
      </x:c>
      <x:c r="S113" s="116" t="str">
        <x:v>Market-reference size combination. Availability, price and lead time are subject to supplier confirmation.</x:v>
      </x:c>
      <x:c r="T113" s="161" t="str">
        <x:v>Eligible</x:v>
      </x:c>
      <x:c r="U113" s="161" t="str">
        <x:v>Pending</x:v>
      </x:c>
    </x:row>
    <x:row r="114" ht="42" hidden="0" customHeight="1">
      <x:c r="A114" t="str">
        <x:v>Draft</x:v>
      </x:c>
      <x:c r="B114" t="str">
        <x:v>ADP_FAM_JIC_ORB_ST</x:v>
      </x:c>
      <x:c r="C114" t="str">
        <x:v>ADP_ST_JIC_M_04_ORB_M_06</x:v>
      </x:c>
      <x:c r="D114" t="str">
        <x:v>ADP_ST_JIC_M_{SIZE1}_ORB_M_{SIZE2}</x:v>
      </x:c>
      <x:c r="E114" t="str">
        <x:v>6400-04-06</x:v>
      </x:c>
      <x:c r="F114" s="116" t="str">
        <x:v>Straight JIC 37 Degree Male -04 to SAE ORB Male -06 Adapter</x:v>
      </x:c>
      <x:c r="G114" t="str">
        <x:v>ST</x:v>
      </x:c>
      <x:c r="H114" t="str">
        <x:v>JIC</x:v>
      </x:c>
      <x:c r="I114" t="str">
        <x:v>M</x:v>
      </x:c>
      <x:c r="J114" t="str">
        <x:v>-4</x:v>
      </x:c>
      <x:c r="K114" t="str">
        <x:v>ORB</x:v>
      </x:c>
      <x:c r="L114" t="str">
        <x:v>M</x:v>
      </x:c>
      <x:c r="M114" t="str">
        <x:v>-6</x:v>
      </x:c>
      <x:c r="N114"/>
      <x:c r="O114"/>
      <x:c r="P114"/>
      <x:c r="Q114" t="str">
        <x:v>YES - RFQ SKU</x:v>
      </x:c>
      <x:c r="R114" s="116" t="str">
        <x:v>https://www.discounthydraulichose.com/6400-jic-37-x-straight-thread-orb.html</x:v>
      </x:c>
      <x:c r="S114" s="116" t="str">
        <x:v>Market-reference size combination. Availability, price and lead time are subject to supplier confirmation.</x:v>
      </x:c>
      <x:c r="T114" s="161" t="str">
        <x:v>Eligible</x:v>
      </x:c>
      <x:c r="U114" s="161" t="str">
        <x:v>Pending</x:v>
      </x:c>
    </x:row>
    <x:row r="115" ht="42" hidden="0" customHeight="1">
      <x:c r="A115" t="str">
        <x:v>Draft</x:v>
      </x:c>
      <x:c r="B115" t="str">
        <x:v>ADP_FAM_JIC_ORB_ST</x:v>
      </x:c>
      <x:c r="C115" t="str">
        <x:v>ADP_ST_JIC_M_04_ORB_M_08</x:v>
      </x:c>
      <x:c r="D115" t="str">
        <x:v>ADP_ST_JIC_M_{SIZE1}_ORB_M_{SIZE2}</x:v>
      </x:c>
      <x:c r="E115" t="str">
        <x:v>6400-04-08</x:v>
      </x:c>
      <x:c r="F115" s="116" t="str">
        <x:v>Straight JIC 37 Degree Male -04 to SAE ORB Male -08 Adapter</x:v>
      </x:c>
      <x:c r="G115" t="str">
        <x:v>ST</x:v>
      </x:c>
      <x:c r="H115" t="str">
        <x:v>JIC</x:v>
      </x:c>
      <x:c r="I115" t="str">
        <x:v>M</x:v>
      </x:c>
      <x:c r="J115" t="str">
        <x:v>-4</x:v>
      </x:c>
      <x:c r="K115" t="str">
        <x:v>ORB</x:v>
      </x:c>
      <x:c r="L115" t="str">
        <x:v>M</x:v>
      </x:c>
      <x:c r="M115" t="str">
        <x:v>-8</x:v>
      </x:c>
      <x:c r="N115"/>
      <x:c r="O115"/>
      <x:c r="P115"/>
      <x:c r="Q115" t="str">
        <x:v>YES - RFQ SKU</x:v>
      </x:c>
      <x:c r="R115" s="116" t="str">
        <x:v>https://www.discounthydraulichose.com/6400-jic-37-x-straight-thread-orb.html</x:v>
      </x:c>
      <x:c r="S115" s="116" t="str">
        <x:v>Market-reference size combination. Availability, price and lead time are subject to supplier confirmation.</x:v>
      </x:c>
      <x:c r="T115" s="161" t="str">
        <x:v>Eligible</x:v>
      </x:c>
      <x:c r="U115" s="161" t="str">
        <x:v>Pending</x:v>
      </x:c>
    </x:row>
    <x:row r="116" ht="42" hidden="0" customHeight="1">
      <x:c r="A116" t="str">
        <x:v>Draft</x:v>
      </x:c>
      <x:c r="B116" t="str">
        <x:v>ADP_FAM_JIC_ORB_ST</x:v>
      </x:c>
      <x:c r="C116" t="str">
        <x:v>ADP_ST_JIC_M_04_ORB_M_10</x:v>
      </x:c>
      <x:c r="D116" t="str">
        <x:v>ADP_ST_JIC_M_{SIZE1}_ORB_M_{SIZE2}</x:v>
      </x:c>
      <x:c r="E116" t="str">
        <x:v>6400-04-10</x:v>
      </x:c>
      <x:c r="F116" s="116" t="str">
        <x:v>Straight JIC 37 Degree Male -04 to SAE ORB Male -10 Adapter</x:v>
      </x:c>
      <x:c r="G116" t="str">
        <x:v>ST</x:v>
      </x:c>
      <x:c r="H116" t="str">
        <x:v>JIC</x:v>
      </x:c>
      <x:c r="I116" t="str">
        <x:v>M</x:v>
      </x:c>
      <x:c r="J116" t="str">
        <x:v>-4</x:v>
      </x:c>
      <x:c r="K116" t="str">
        <x:v>ORB</x:v>
      </x:c>
      <x:c r="L116" t="str">
        <x:v>M</x:v>
      </x:c>
      <x:c r="M116" t="str">
        <x:v>-10</x:v>
      </x:c>
      <x:c r="N116"/>
      <x:c r="O116"/>
      <x:c r="P116"/>
      <x:c r="Q116" t="str">
        <x:v>YES - RFQ SKU</x:v>
      </x:c>
      <x:c r="R116" s="116" t="str">
        <x:v>https://www.discounthydraulichose.com/6400-jic-37-x-straight-thread-orb.html</x:v>
      </x:c>
      <x:c r="S116" s="116" t="str">
        <x:v>Market-reference size combination. Availability, price and lead time are subject to supplier confirmation.</x:v>
      </x:c>
      <x:c r="T116" s="161" t="str">
        <x:v>Eligible</x:v>
      </x:c>
      <x:c r="U116" s="161" t="str">
        <x:v>Pending</x:v>
      </x:c>
    </x:row>
    <x:row r="117" ht="42" hidden="0" customHeight="1">
      <x:c r="A117" t="str">
        <x:v>Draft</x:v>
      </x:c>
      <x:c r="B117" t="str">
        <x:v>ADP_FAM_JIC_ORB_ST</x:v>
      </x:c>
      <x:c r="C117" t="str">
        <x:v>ADP_ST_JIC_M_04_ORB_M_12</x:v>
      </x:c>
      <x:c r="D117" t="str">
        <x:v>ADP_ST_JIC_M_{SIZE1}_ORB_M_{SIZE2}</x:v>
      </x:c>
      <x:c r="E117" t="str">
        <x:v>6400-04-12</x:v>
      </x:c>
      <x:c r="F117" s="116" t="str">
        <x:v>Straight JIC 37 Degree Male -04 to SAE ORB Male -12 Adapter</x:v>
      </x:c>
      <x:c r="G117" t="str">
        <x:v>ST</x:v>
      </x:c>
      <x:c r="H117" t="str">
        <x:v>JIC</x:v>
      </x:c>
      <x:c r="I117" t="str">
        <x:v>M</x:v>
      </x:c>
      <x:c r="J117" t="str">
        <x:v>-4</x:v>
      </x:c>
      <x:c r="K117" t="str">
        <x:v>ORB</x:v>
      </x:c>
      <x:c r="L117" t="str">
        <x:v>M</x:v>
      </x:c>
      <x:c r="M117" t="str">
        <x:v>-12</x:v>
      </x:c>
      <x:c r="N117"/>
      <x:c r="O117"/>
      <x:c r="P117"/>
      <x:c r="Q117" t="str">
        <x:v>YES - RFQ SKU</x:v>
      </x:c>
      <x:c r="R117" s="116" t="str">
        <x:v>https://www.discounthydraulichose.com/6400-jic-37-x-straight-thread-orb.html</x:v>
      </x:c>
      <x:c r="S117" s="116" t="str">
        <x:v>Market-reference size combination. Availability, price and lead time are subject to supplier confirmation.</x:v>
      </x:c>
      <x:c r="T117" s="161" t="str">
        <x:v>Eligible</x:v>
      </x:c>
      <x:c r="U117" s="161" t="str">
        <x:v>Pending</x:v>
      </x:c>
    </x:row>
    <x:row r="118" ht="42" hidden="0" customHeight="1">
      <x:c r="A118" t="str">
        <x:v>Draft</x:v>
      </x:c>
      <x:c r="B118" t="str">
        <x:v>ADP_FAM_JIC_ORB_ST</x:v>
      </x:c>
      <x:c r="C118" t="str">
        <x:v>ADP_ST_JIC_M_05_ORB_M_04</x:v>
      </x:c>
      <x:c r="D118" t="str">
        <x:v>ADP_ST_JIC_M_{SIZE1}_ORB_M_{SIZE2}</x:v>
      </x:c>
      <x:c r="E118" t="str">
        <x:v>6400-05-04</x:v>
      </x:c>
      <x:c r="F118" s="116" t="str">
        <x:v>Straight JIC 37 Degree Male -05 to SAE ORB Male -04 Adapter</x:v>
      </x:c>
      <x:c r="G118" t="str">
        <x:v>ST</x:v>
      </x:c>
      <x:c r="H118" t="str">
        <x:v>JIC</x:v>
      </x:c>
      <x:c r="I118" t="str">
        <x:v>M</x:v>
      </x:c>
      <x:c r="J118" t="str">
        <x:v>-5</x:v>
      </x:c>
      <x:c r="K118" t="str">
        <x:v>ORB</x:v>
      </x:c>
      <x:c r="L118" t="str">
        <x:v>M</x:v>
      </x:c>
      <x:c r="M118" t="str">
        <x:v>-4</x:v>
      </x:c>
      <x:c r="N118"/>
      <x:c r="O118"/>
      <x:c r="P118"/>
      <x:c r="Q118" t="str">
        <x:v>YES - RFQ SKU</x:v>
      </x:c>
      <x:c r="R118" s="116" t="str">
        <x:v>https://www.discounthydraulichose.com/6400-jic-37-x-straight-thread-orb.html</x:v>
      </x:c>
      <x:c r="S118" s="116" t="str">
        <x:v>Market-reference size combination. Availability, price and lead time are subject to supplier confirmation.</x:v>
      </x:c>
      <x:c r="T118" s="161" t="str">
        <x:v>Eligible</x:v>
      </x:c>
      <x:c r="U118" s="161" t="str">
        <x:v>Pending</x:v>
      </x:c>
    </x:row>
    <x:row r="119" ht="42" hidden="0" customHeight="1">
      <x:c r="A119" t="str">
        <x:v>Draft</x:v>
      </x:c>
      <x:c r="B119" t="str">
        <x:v>ADP_FAM_JIC_ORB_ST</x:v>
      </x:c>
      <x:c r="C119" t="str">
        <x:v>ADP_ST_JIC_M_05_ORB_M_05</x:v>
      </x:c>
      <x:c r="D119" t="str">
        <x:v>ADP_ST_JIC_M_{SIZE1}_ORB_M_{SIZE2}</x:v>
      </x:c>
      <x:c r="E119" t="str">
        <x:v>6400-05-05</x:v>
      </x:c>
      <x:c r="F119" s="116" t="str">
        <x:v>Straight JIC 37 Degree Male -05 to SAE ORB Male -05 Adapter</x:v>
      </x:c>
      <x:c r="G119" t="str">
        <x:v>ST</x:v>
      </x:c>
      <x:c r="H119" t="str">
        <x:v>JIC</x:v>
      </x:c>
      <x:c r="I119" t="str">
        <x:v>M</x:v>
      </x:c>
      <x:c r="J119" t="str">
        <x:v>-5</x:v>
      </x:c>
      <x:c r="K119" t="str">
        <x:v>ORB</x:v>
      </x:c>
      <x:c r="L119" t="str">
        <x:v>M</x:v>
      </x:c>
      <x:c r="M119" t="str">
        <x:v>-5</x:v>
      </x:c>
      <x:c r="N119"/>
      <x:c r="O119"/>
      <x:c r="P119"/>
      <x:c r="Q119" t="str">
        <x:v>YES - RFQ SKU</x:v>
      </x:c>
      <x:c r="R119" s="116" t="str">
        <x:v>https://www.discounthydraulichose.com/6400-jic-37-x-straight-thread-orb.html</x:v>
      </x:c>
      <x:c r="S119" s="116" t="str">
        <x:v>Market-reference size combination. Availability, price and lead time are subject to supplier confirmation.</x:v>
      </x:c>
      <x:c r="T119" s="161" t="str">
        <x:v>Eligible</x:v>
      </x:c>
      <x:c r="U119" s="161" t="str">
        <x:v>Pending</x:v>
      </x:c>
    </x:row>
    <x:row r="120" ht="42" hidden="0" customHeight="1">
      <x:c r="A120" t="str">
        <x:v>Draft</x:v>
      </x:c>
      <x:c r="B120" t="str">
        <x:v>ADP_FAM_JIC_ORB_ST</x:v>
      </x:c>
      <x:c r="C120" t="str">
        <x:v>ADP_ST_JIC_M_05_ORB_M_06</x:v>
      </x:c>
      <x:c r="D120" t="str">
        <x:v>ADP_ST_JIC_M_{SIZE1}_ORB_M_{SIZE2}</x:v>
      </x:c>
      <x:c r="E120" t="str">
        <x:v>6400-05-06</x:v>
      </x:c>
      <x:c r="F120" s="116" t="str">
        <x:v>Straight JIC 37 Degree Male -05 to SAE ORB Male -06 Adapter</x:v>
      </x:c>
      <x:c r="G120" t="str">
        <x:v>ST</x:v>
      </x:c>
      <x:c r="H120" t="str">
        <x:v>JIC</x:v>
      </x:c>
      <x:c r="I120" t="str">
        <x:v>M</x:v>
      </x:c>
      <x:c r="J120" t="str">
        <x:v>-5</x:v>
      </x:c>
      <x:c r="K120" t="str">
        <x:v>ORB</x:v>
      </x:c>
      <x:c r="L120" t="str">
        <x:v>M</x:v>
      </x:c>
      <x:c r="M120" t="str">
        <x:v>-6</x:v>
      </x:c>
      <x:c r="N120"/>
      <x:c r="O120"/>
      <x:c r="P120"/>
      <x:c r="Q120" t="str">
        <x:v>YES - RFQ SKU</x:v>
      </x:c>
      <x:c r="R120" s="116" t="str">
        <x:v>https://www.discounthydraulichose.com/6400-jic-37-x-straight-thread-orb.html</x:v>
      </x:c>
      <x:c r="S120" s="116" t="str">
        <x:v>Market-reference size combination. Availability, price and lead time are subject to supplier confirmation.</x:v>
      </x:c>
      <x:c r="T120" s="161" t="str">
        <x:v>Eligible</x:v>
      </x:c>
      <x:c r="U120" s="161" t="str">
        <x:v>Pending</x:v>
      </x:c>
    </x:row>
    <x:row r="121" ht="42" hidden="0" customHeight="1">
      <x:c r="A121" t="str">
        <x:v>Draft</x:v>
      </x:c>
      <x:c r="B121" t="str">
        <x:v>ADP_FAM_JIC_ORB_ST</x:v>
      </x:c>
      <x:c r="C121" t="str">
        <x:v>ADP_ST_JIC_M_05_ORB_M_08</x:v>
      </x:c>
      <x:c r="D121" t="str">
        <x:v>ADP_ST_JIC_M_{SIZE1}_ORB_M_{SIZE2}</x:v>
      </x:c>
      <x:c r="E121" t="str">
        <x:v>6400-05-08</x:v>
      </x:c>
      <x:c r="F121" s="116" t="str">
        <x:v>Straight JIC 37 Degree Male -05 to SAE ORB Male -08 Adapter</x:v>
      </x:c>
      <x:c r="G121" t="str">
        <x:v>ST</x:v>
      </x:c>
      <x:c r="H121" t="str">
        <x:v>JIC</x:v>
      </x:c>
      <x:c r="I121" t="str">
        <x:v>M</x:v>
      </x:c>
      <x:c r="J121" t="str">
        <x:v>-5</x:v>
      </x:c>
      <x:c r="K121" t="str">
        <x:v>ORB</x:v>
      </x:c>
      <x:c r="L121" t="str">
        <x:v>M</x:v>
      </x:c>
      <x:c r="M121" t="str">
        <x:v>-8</x:v>
      </x:c>
      <x:c r="N121"/>
      <x:c r="O121"/>
      <x:c r="P121"/>
      <x:c r="Q121" t="str">
        <x:v>YES - RFQ SKU</x:v>
      </x:c>
      <x:c r="R121" s="116" t="str">
        <x:v>https://www.discounthydraulichose.com/6400-jic-37-x-straight-thread-orb.html</x:v>
      </x:c>
      <x:c r="S121" s="116" t="str">
        <x:v>Market-reference size combination. Availability, price and lead time are subject to supplier confirmation.</x:v>
      </x:c>
      <x:c r="T121" s="161" t="str">
        <x:v>Eligible</x:v>
      </x:c>
      <x:c r="U121" s="161" t="str">
        <x:v>Pending</x:v>
      </x:c>
    </x:row>
    <x:row r="122" ht="42" hidden="0" customHeight="1">
      <x:c r="A122" t="str">
        <x:v>Draft</x:v>
      </x:c>
      <x:c r="B122" t="str">
        <x:v>ADP_FAM_JIC_ORB_ST</x:v>
      </x:c>
      <x:c r="C122" t="str">
        <x:v>ADP_ST_JIC_M_06_ORB_M_04</x:v>
      </x:c>
      <x:c r="D122" t="str">
        <x:v>ADP_ST_JIC_M_{SIZE1}_ORB_M_{SIZE2}</x:v>
      </x:c>
      <x:c r="E122" t="str">
        <x:v>6400-06-04</x:v>
      </x:c>
      <x:c r="F122" s="116" t="str">
        <x:v>Straight JIC 37 Degree Male -06 to SAE ORB Male -04 Adapter</x:v>
      </x:c>
      <x:c r="G122" t="str">
        <x:v>ST</x:v>
      </x:c>
      <x:c r="H122" t="str">
        <x:v>JIC</x:v>
      </x:c>
      <x:c r="I122" t="str">
        <x:v>M</x:v>
      </x:c>
      <x:c r="J122" t="str">
        <x:v>-6</x:v>
      </x:c>
      <x:c r="K122" t="str">
        <x:v>ORB</x:v>
      </x:c>
      <x:c r="L122" t="str">
        <x:v>M</x:v>
      </x:c>
      <x:c r="M122" t="str">
        <x:v>-4</x:v>
      </x:c>
      <x:c r="N122"/>
      <x:c r="O122"/>
      <x:c r="P122"/>
      <x:c r="Q122" t="str">
        <x:v>YES - RFQ SKU</x:v>
      </x:c>
      <x:c r="R122" s="116" t="str">
        <x:v>https://www.discounthydraulichose.com/6400-jic-37-x-straight-thread-orb.html</x:v>
      </x:c>
      <x:c r="S122" s="116" t="str">
        <x:v>Market-reference size combination. Availability, price and lead time are subject to supplier confirmation.</x:v>
      </x:c>
      <x:c r="T122" s="161" t="str">
        <x:v>Eligible</x:v>
      </x:c>
      <x:c r="U122" s="161" t="str">
        <x:v>Pending</x:v>
      </x:c>
    </x:row>
    <x:row r="123" ht="42" hidden="0" customHeight="1">
      <x:c r="A123" t="str">
        <x:v>Draft</x:v>
      </x:c>
      <x:c r="B123" t="str">
        <x:v>ADP_FAM_JIC_ORB_ST</x:v>
      </x:c>
      <x:c r="C123" t="str">
        <x:v>ADP_ST_JIC_M_06_ORB_M_05</x:v>
      </x:c>
      <x:c r="D123" t="str">
        <x:v>ADP_ST_JIC_M_{SIZE1}_ORB_M_{SIZE2}</x:v>
      </x:c>
      <x:c r="E123" t="str">
        <x:v>6400-06-05</x:v>
      </x:c>
      <x:c r="F123" s="116" t="str">
        <x:v>Straight JIC 37 Degree Male -06 to SAE ORB Male -05 Adapter</x:v>
      </x:c>
      <x:c r="G123" t="str">
        <x:v>ST</x:v>
      </x:c>
      <x:c r="H123" t="str">
        <x:v>JIC</x:v>
      </x:c>
      <x:c r="I123" t="str">
        <x:v>M</x:v>
      </x:c>
      <x:c r="J123" t="str">
        <x:v>-6</x:v>
      </x:c>
      <x:c r="K123" t="str">
        <x:v>ORB</x:v>
      </x:c>
      <x:c r="L123" t="str">
        <x:v>M</x:v>
      </x:c>
      <x:c r="M123" t="str">
        <x:v>-5</x:v>
      </x:c>
      <x:c r="N123"/>
      <x:c r="O123"/>
      <x:c r="P123"/>
      <x:c r="Q123" t="str">
        <x:v>YES - RFQ SKU</x:v>
      </x:c>
      <x:c r="R123" s="116" t="str">
        <x:v>https://www.discounthydraulichose.com/6400-jic-37-x-straight-thread-orb.html</x:v>
      </x:c>
      <x:c r="S123" s="116" t="str">
        <x:v>Market-reference size combination. Availability, price and lead time are subject to supplier confirmation.</x:v>
      </x:c>
      <x:c r="T123" s="161" t="str">
        <x:v>Eligible</x:v>
      </x:c>
      <x:c r="U123" s="161" t="str">
        <x:v>Pending</x:v>
      </x:c>
    </x:row>
    <x:row r="124" ht="42" hidden="0" customHeight="1">
      <x:c r="A124" t="str">
        <x:v>Draft</x:v>
      </x:c>
      <x:c r="B124" t="str">
        <x:v>ADP_FAM_JIC_ORB_ST</x:v>
      </x:c>
      <x:c r="C124" t="str">
        <x:v>ADP_ST_JIC_M_06_ORB_M_06</x:v>
      </x:c>
      <x:c r="D124" t="str">
        <x:v>ADP_ST_JIC_M_{SIZE1}_ORB_M_{SIZE2}</x:v>
      </x:c>
      <x:c r="E124" t="str">
        <x:v>6400-06-06</x:v>
      </x:c>
      <x:c r="F124" s="116" t="str">
        <x:v>Straight JIC 37 Degree Male -06 to SAE ORB Male -06 Adapter</x:v>
      </x:c>
      <x:c r="G124" t="str">
        <x:v>ST</x:v>
      </x:c>
      <x:c r="H124" t="str">
        <x:v>JIC</x:v>
      </x:c>
      <x:c r="I124" t="str">
        <x:v>M</x:v>
      </x:c>
      <x:c r="J124" t="str">
        <x:v>-6</x:v>
      </x:c>
      <x:c r="K124" t="str">
        <x:v>ORB</x:v>
      </x:c>
      <x:c r="L124" t="str">
        <x:v>M</x:v>
      </x:c>
      <x:c r="M124" t="str">
        <x:v>-6</x:v>
      </x:c>
      <x:c r="N124"/>
      <x:c r="O124"/>
      <x:c r="P124"/>
      <x:c r="Q124" t="str">
        <x:v>YES - RFQ SKU</x:v>
      </x:c>
      <x:c r="R124" s="116" t="str">
        <x:v>https://www.discounthydraulichose.com/6400-jic-37-x-straight-thread-orb.html</x:v>
      </x:c>
      <x:c r="S124" s="116" t="str">
        <x:v>Market-reference size combination. Availability, price and lead time are subject to supplier confirmation.</x:v>
      </x:c>
      <x:c r="T124" s="161" t="str">
        <x:v>Eligible</x:v>
      </x:c>
      <x:c r="U124" s="161" t="str">
        <x:v>Pending</x:v>
      </x:c>
    </x:row>
    <x:row r="125" ht="42" hidden="0" customHeight="1">
      <x:c r="A125" t="str">
        <x:v>Draft</x:v>
      </x:c>
      <x:c r="B125" t="str">
        <x:v>ADP_FAM_JIC_ORB_ST</x:v>
      </x:c>
      <x:c r="C125" t="str">
        <x:v>ADP_ST_JIC_M_06_ORB_M_08</x:v>
      </x:c>
      <x:c r="D125" t="str">
        <x:v>ADP_ST_JIC_M_{SIZE1}_ORB_M_{SIZE2}</x:v>
      </x:c>
      <x:c r="E125" t="str">
        <x:v>6400-06-08</x:v>
      </x:c>
      <x:c r="F125" s="116" t="str">
        <x:v>Straight JIC 37 Degree Male -06 to SAE ORB Male -08 Adapter</x:v>
      </x:c>
      <x:c r="G125" t="str">
        <x:v>ST</x:v>
      </x:c>
      <x:c r="H125" t="str">
        <x:v>JIC</x:v>
      </x:c>
      <x:c r="I125" t="str">
        <x:v>M</x:v>
      </x:c>
      <x:c r="J125" t="str">
        <x:v>-6</x:v>
      </x:c>
      <x:c r="K125" t="str">
        <x:v>ORB</x:v>
      </x:c>
      <x:c r="L125" t="str">
        <x:v>M</x:v>
      </x:c>
      <x:c r="M125" t="str">
        <x:v>-8</x:v>
      </x:c>
      <x:c r="N125"/>
      <x:c r="O125"/>
      <x:c r="P125"/>
      <x:c r="Q125" t="str">
        <x:v>YES - RFQ SKU</x:v>
      </x:c>
      <x:c r="R125" s="116" t="str">
        <x:v>https://www.discounthydraulichose.com/6400-jic-37-x-straight-thread-orb.html</x:v>
      </x:c>
      <x:c r="S125" s="116" t="str">
        <x:v>Market-reference size combination. Availability, price and lead time are subject to supplier confirmation.</x:v>
      </x:c>
      <x:c r="T125" s="161" t="str">
        <x:v>Eligible</x:v>
      </x:c>
      <x:c r="U125" s="161" t="str">
        <x:v>Pending</x:v>
      </x:c>
    </x:row>
    <x:row r="126" ht="42" hidden="0" customHeight="1">
      <x:c r="A126" t="str">
        <x:v>Draft</x:v>
      </x:c>
      <x:c r="B126" t="str">
        <x:v>ADP_FAM_JIC_ORB_ST</x:v>
      </x:c>
      <x:c r="C126" t="str">
        <x:v>ADP_ST_JIC_M_06_ORB_M_10</x:v>
      </x:c>
      <x:c r="D126" t="str">
        <x:v>ADP_ST_JIC_M_{SIZE1}_ORB_M_{SIZE2}</x:v>
      </x:c>
      <x:c r="E126" t="str">
        <x:v>6400-06-10</x:v>
      </x:c>
      <x:c r="F126" s="116" t="str">
        <x:v>Straight JIC 37 Degree Male -06 to SAE ORB Male -10 Adapter</x:v>
      </x:c>
      <x:c r="G126" t="str">
        <x:v>ST</x:v>
      </x:c>
      <x:c r="H126" t="str">
        <x:v>JIC</x:v>
      </x:c>
      <x:c r="I126" t="str">
        <x:v>M</x:v>
      </x:c>
      <x:c r="J126" t="str">
        <x:v>-6</x:v>
      </x:c>
      <x:c r="K126" t="str">
        <x:v>ORB</x:v>
      </x:c>
      <x:c r="L126" t="str">
        <x:v>M</x:v>
      </x:c>
      <x:c r="M126" t="str">
        <x:v>-10</x:v>
      </x:c>
      <x:c r="N126"/>
      <x:c r="O126"/>
      <x:c r="P126"/>
      <x:c r="Q126" t="str">
        <x:v>YES - RFQ SKU</x:v>
      </x:c>
      <x:c r="R126" s="116" t="str">
        <x:v>https://www.discounthydraulichose.com/6400-jic-37-x-straight-thread-orb.html</x:v>
      </x:c>
      <x:c r="S126" s="116" t="str">
        <x:v>Market-reference size combination. Availability, price and lead time are subject to supplier confirmation.</x:v>
      </x:c>
      <x:c r="T126" s="161" t="str">
        <x:v>Eligible</x:v>
      </x:c>
      <x:c r="U126" s="161" t="str">
        <x:v>Pending</x:v>
      </x:c>
    </x:row>
    <x:row r="127" ht="42" hidden="0" customHeight="1">
      <x:c r="A127" t="str">
        <x:v>Draft</x:v>
      </x:c>
      <x:c r="B127" t="str">
        <x:v>ADP_FAM_JIC_ORB_ST</x:v>
      </x:c>
      <x:c r="C127" t="str">
        <x:v>ADP_ST_JIC_M_06_ORB_M_12</x:v>
      </x:c>
      <x:c r="D127" t="str">
        <x:v>ADP_ST_JIC_M_{SIZE1}_ORB_M_{SIZE2}</x:v>
      </x:c>
      <x:c r="E127" t="str">
        <x:v>6400-06-12</x:v>
      </x:c>
      <x:c r="F127" s="116" t="str">
        <x:v>Straight JIC 37 Degree Male -06 to SAE ORB Male -12 Adapter</x:v>
      </x:c>
      <x:c r="G127" t="str">
        <x:v>ST</x:v>
      </x:c>
      <x:c r="H127" t="str">
        <x:v>JIC</x:v>
      </x:c>
      <x:c r="I127" t="str">
        <x:v>M</x:v>
      </x:c>
      <x:c r="J127" t="str">
        <x:v>-6</x:v>
      </x:c>
      <x:c r="K127" t="str">
        <x:v>ORB</x:v>
      </x:c>
      <x:c r="L127" t="str">
        <x:v>M</x:v>
      </x:c>
      <x:c r="M127" t="str">
        <x:v>-12</x:v>
      </x:c>
      <x:c r="N127"/>
      <x:c r="O127"/>
      <x:c r="P127"/>
      <x:c r="Q127" t="str">
        <x:v>YES - RFQ SKU</x:v>
      </x:c>
      <x:c r="R127" s="116" t="str">
        <x:v>https://www.discounthydraulichose.com/6400-jic-37-x-straight-thread-orb.html</x:v>
      </x:c>
      <x:c r="S127" s="116" t="str">
        <x:v>Market-reference size combination. Availability, price and lead time are subject to supplier confirmation.</x:v>
      </x:c>
      <x:c r="T127" s="161" t="str">
        <x:v>Eligible</x:v>
      </x:c>
      <x:c r="U127" s="161" t="str">
        <x:v>Pending</x:v>
      </x:c>
    </x:row>
    <x:row r="128" ht="42" hidden="0" customHeight="1">
      <x:c r="A128" t="str">
        <x:v>Draft</x:v>
      </x:c>
      <x:c r="B128" t="str">
        <x:v>ADP_FAM_JIC_ORB_ST</x:v>
      </x:c>
      <x:c r="C128" t="str">
        <x:v>ADP_ST_JIC_M_06_ORB_M_16</x:v>
      </x:c>
      <x:c r="D128" t="str">
        <x:v>ADP_ST_JIC_M_{SIZE1}_ORB_M_{SIZE2}</x:v>
      </x:c>
      <x:c r="E128" t="str">
        <x:v>6400-06-16</x:v>
      </x:c>
      <x:c r="F128" s="116" t="str">
        <x:v>Straight JIC 37 Degree Male -06 to SAE ORB Male -16 Adapter</x:v>
      </x:c>
      <x:c r="G128" t="str">
        <x:v>ST</x:v>
      </x:c>
      <x:c r="H128" t="str">
        <x:v>JIC</x:v>
      </x:c>
      <x:c r="I128" t="str">
        <x:v>M</x:v>
      </x:c>
      <x:c r="J128" t="str">
        <x:v>-6</x:v>
      </x:c>
      <x:c r="K128" t="str">
        <x:v>ORB</x:v>
      </x:c>
      <x:c r="L128" t="str">
        <x:v>M</x:v>
      </x:c>
      <x:c r="M128" t="str">
        <x:v>-16</x:v>
      </x:c>
      <x:c r="N128"/>
      <x:c r="O128"/>
      <x:c r="P128"/>
      <x:c r="Q128" t="str">
        <x:v>YES - RFQ SKU</x:v>
      </x:c>
      <x:c r="R128" s="116" t="str">
        <x:v>https://www.discounthydraulichose.com/6400-jic-37-x-straight-thread-orb.html</x:v>
      </x:c>
      <x:c r="S128" s="116" t="str">
        <x:v>Market-reference size combination. Availability, price and lead time are subject to supplier confirmation.</x:v>
      </x:c>
      <x:c r="T128" s="161" t="str">
        <x:v>Eligible</x:v>
      </x:c>
      <x:c r="U128" s="161" t="str">
        <x:v>Pending</x:v>
      </x:c>
    </x:row>
    <x:row r="129" ht="42" hidden="0" customHeight="1">
      <x:c r="A129" t="str">
        <x:v>Draft</x:v>
      </x:c>
      <x:c r="B129" t="str">
        <x:v>ADP_FAM_JIC_ORB_ST</x:v>
      </x:c>
      <x:c r="C129" t="str">
        <x:v>ADP_ST_JIC_M_08_ORB_M_04</x:v>
      </x:c>
      <x:c r="D129" t="str">
        <x:v>ADP_ST_JIC_M_{SIZE1}_ORB_M_{SIZE2}</x:v>
      </x:c>
      <x:c r="E129" t="str">
        <x:v>6400-08-04</x:v>
      </x:c>
      <x:c r="F129" s="116" t="str">
        <x:v>Straight JIC 37 Degree Male -08 to SAE ORB Male -04 Adapter</x:v>
      </x:c>
      <x:c r="G129" t="str">
        <x:v>ST</x:v>
      </x:c>
      <x:c r="H129" t="str">
        <x:v>JIC</x:v>
      </x:c>
      <x:c r="I129" t="str">
        <x:v>M</x:v>
      </x:c>
      <x:c r="J129" t="str">
        <x:v>-8</x:v>
      </x:c>
      <x:c r="K129" t="str">
        <x:v>ORB</x:v>
      </x:c>
      <x:c r="L129" t="str">
        <x:v>M</x:v>
      </x:c>
      <x:c r="M129" t="str">
        <x:v>-4</x:v>
      </x:c>
      <x:c r="N129"/>
      <x:c r="O129"/>
      <x:c r="P129"/>
      <x:c r="Q129" t="str">
        <x:v>YES - RFQ SKU</x:v>
      </x:c>
      <x:c r="R129" s="116" t="str">
        <x:v>https://www.discounthydraulichose.com/6400-jic-37-x-straight-thread-orb.html</x:v>
      </x:c>
      <x:c r="S129" s="116" t="str">
        <x:v>Market-reference size combination. Availability, price and lead time are subject to supplier confirmation.</x:v>
      </x:c>
      <x:c r="T129" s="161" t="str">
        <x:v>Eligible</x:v>
      </x:c>
      <x:c r="U129" s="161" t="str">
        <x:v>Pending</x:v>
      </x:c>
    </x:row>
    <x:row r="130" ht="42" hidden="0" customHeight="1">
      <x:c r="A130" t="str">
        <x:v>Draft</x:v>
      </x:c>
      <x:c r="B130" t="str">
        <x:v>ADP_FAM_JIC_ORB_ST</x:v>
      </x:c>
      <x:c r="C130" t="str">
        <x:v>ADP_ST_JIC_M_08_ORB_M_05</x:v>
      </x:c>
      <x:c r="D130" t="str">
        <x:v>ADP_ST_JIC_M_{SIZE1}_ORB_M_{SIZE2}</x:v>
      </x:c>
      <x:c r="E130" t="str">
        <x:v>6400-08-05</x:v>
      </x:c>
      <x:c r="F130" s="116" t="str">
        <x:v>Straight JIC 37 Degree Male -08 to SAE ORB Male -05 Adapter</x:v>
      </x:c>
      <x:c r="G130" t="str">
        <x:v>ST</x:v>
      </x:c>
      <x:c r="H130" t="str">
        <x:v>JIC</x:v>
      </x:c>
      <x:c r="I130" t="str">
        <x:v>M</x:v>
      </x:c>
      <x:c r="J130" t="str">
        <x:v>-8</x:v>
      </x:c>
      <x:c r="K130" t="str">
        <x:v>ORB</x:v>
      </x:c>
      <x:c r="L130" t="str">
        <x:v>M</x:v>
      </x:c>
      <x:c r="M130" t="str">
        <x:v>-5</x:v>
      </x:c>
      <x:c r="N130"/>
      <x:c r="O130"/>
      <x:c r="P130"/>
      <x:c r="Q130" t="str">
        <x:v>YES - RFQ SKU</x:v>
      </x:c>
      <x:c r="R130" s="116" t="str">
        <x:v>https://www.discounthydraulichose.com/6400-jic-37-x-straight-thread-orb.html</x:v>
      </x:c>
      <x:c r="S130" s="116" t="str">
        <x:v>Market-reference size combination. Availability, price and lead time are subject to supplier confirmation.</x:v>
      </x:c>
      <x:c r="T130" s="161" t="str">
        <x:v>Eligible</x:v>
      </x:c>
      <x:c r="U130" s="161" t="str">
        <x:v>Pending</x:v>
      </x:c>
    </x:row>
    <x:row r="131" ht="42" hidden="0" customHeight="1">
      <x:c r="A131" t="str">
        <x:v>Draft</x:v>
      </x:c>
      <x:c r="B131" t="str">
        <x:v>ADP_FAM_JIC_ORB_ST</x:v>
      </x:c>
      <x:c r="C131" t="str">
        <x:v>ADP_ST_JIC_M_08_ORB_M_06</x:v>
      </x:c>
      <x:c r="D131" t="str">
        <x:v>ADP_ST_JIC_M_{SIZE1}_ORB_M_{SIZE2}</x:v>
      </x:c>
      <x:c r="E131" t="str">
        <x:v>6400-08-06</x:v>
      </x:c>
      <x:c r="F131" s="116" t="str">
        <x:v>Straight JIC 37 Degree Male -08 to SAE ORB Male -06 Adapter</x:v>
      </x:c>
      <x:c r="G131" t="str">
        <x:v>ST</x:v>
      </x:c>
      <x:c r="H131" t="str">
        <x:v>JIC</x:v>
      </x:c>
      <x:c r="I131" t="str">
        <x:v>M</x:v>
      </x:c>
      <x:c r="J131" t="str">
        <x:v>-8</x:v>
      </x:c>
      <x:c r="K131" t="str">
        <x:v>ORB</x:v>
      </x:c>
      <x:c r="L131" t="str">
        <x:v>M</x:v>
      </x:c>
      <x:c r="M131" t="str">
        <x:v>-6</x:v>
      </x:c>
      <x:c r="N131"/>
      <x:c r="O131"/>
      <x:c r="P131"/>
      <x:c r="Q131" t="str">
        <x:v>YES - RFQ SKU</x:v>
      </x:c>
      <x:c r="R131" s="116" t="str">
        <x:v>https://www.discounthydraulichose.com/6400-jic-37-x-straight-thread-orb.html</x:v>
      </x:c>
      <x:c r="S131" s="116" t="str">
        <x:v>Market-reference size combination. Availability, price and lead time are subject to supplier confirmation.</x:v>
      </x:c>
      <x:c r="T131" s="161" t="str">
        <x:v>Eligible</x:v>
      </x:c>
      <x:c r="U131" s="161" t="str">
        <x:v>Pending</x:v>
      </x:c>
    </x:row>
    <x:row r="132" ht="42" hidden="0" customHeight="1">
      <x:c r="A132" t="str">
        <x:v>Draft</x:v>
      </x:c>
      <x:c r="B132" t="str">
        <x:v>ADP_FAM_JIC_ORB_ST</x:v>
      </x:c>
      <x:c r="C132" t="str">
        <x:v>ADP_ST_JIC_M_08_ORB_M_08</x:v>
      </x:c>
      <x:c r="D132" t="str">
        <x:v>ADP_ST_JIC_M_{SIZE1}_ORB_M_{SIZE2}</x:v>
      </x:c>
      <x:c r="E132" t="str">
        <x:v>6400-08-08</x:v>
      </x:c>
      <x:c r="F132" s="116" t="str">
        <x:v>Straight JIC 37 Degree Male -08 to SAE ORB Male -08 Adapter</x:v>
      </x:c>
      <x:c r="G132" t="str">
        <x:v>ST</x:v>
      </x:c>
      <x:c r="H132" t="str">
        <x:v>JIC</x:v>
      </x:c>
      <x:c r="I132" t="str">
        <x:v>M</x:v>
      </x:c>
      <x:c r="J132" t="str">
        <x:v>-8</x:v>
      </x:c>
      <x:c r="K132" t="str">
        <x:v>ORB</x:v>
      </x:c>
      <x:c r="L132" t="str">
        <x:v>M</x:v>
      </x:c>
      <x:c r="M132" t="str">
        <x:v>-8</x:v>
      </x:c>
      <x:c r="N132"/>
      <x:c r="O132"/>
      <x:c r="P132"/>
      <x:c r="Q132" t="str">
        <x:v>YES - RFQ SKU</x:v>
      </x:c>
      <x:c r="R132" s="116" t="str">
        <x:v>https://www.discounthydraulichose.com/6400-jic-37-x-straight-thread-orb.html</x:v>
      </x:c>
      <x:c r="S132" s="116" t="str">
        <x:v>Market-reference size combination. Availability, price and lead time are subject to supplier confirmation.</x:v>
      </x:c>
      <x:c r="T132" s="161" t="str">
        <x:v>Eligible</x:v>
      </x:c>
      <x:c r="U132" s="161" t="str">
        <x:v>Pending</x:v>
      </x:c>
    </x:row>
    <x:row r="133" ht="42" hidden="0" customHeight="1">
      <x:c r="A133" t="str">
        <x:v>Draft</x:v>
      </x:c>
      <x:c r="B133" t="str">
        <x:v>ADP_FAM_JIC_ORB_ST</x:v>
      </x:c>
      <x:c r="C133" t="str">
        <x:v>ADP_ST_JIC_M_08_ORB_M_10</x:v>
      </x:c>
      <x:c r="D133" t="str">
        <x:v>ADP_ST_JIC_M_{SIZE1}_ORB_M_{SIZE2}</x:v>
      </x:c>
      <x:c r="E133" t="str">
        <x:v>6400-08-10</x:v>
      </x:c>
      <x:c r="F133" s="116" t="str">
        <x:v>Straight JIC 37 Degree Male -08 to SAE ORB Male -10 Adapter</x:v>
      </x:c>
      <x:c r="G133" t="str">
        <x:v>ST</x:v>
      </x:c>
      <x:c r="H133" t="str">
        <x:v>JIC</x:v>
      </x:c>
      <x:c r="I133" t="str">
        <x:v>M</x:v>
      </x:c>
      <x:c r="J133" t="str">
        <x:v>-8</x:v>
      </x:c>
      <x:c r="K133" t="str">
        <x:v>ORB</x:v>
      </x:c>
      <x:c r="L133" t="str">
        <x:v>M</x:v>
      </x:c>
      <x:c r="M133" t="str">
        <x:v>-10</x:v>
      </x:c>
      <x:c r="N133"/>
      <x:c r="O133"/>
      <x:c r="P133"/>
      <x:c r="Q133" t="str">
        <x:v>YES - RFQ SKU</x:v>
      </x:c>
      <x:c r="R133" s="116" t="str">
        <x:v>https://www.discounthydraulichose.com/6400-jic-37-x-straight-thread-orb.html</x:v>
      </x:c>
      <x:c r="S133" s="116" t="str">
        <x:v>Market-reference size combination. Availability, price and lead time are subject to supplier confirmation.</x:v>
      </x:c>
      <x:c r="T133" s="161" t="str">
        <x:v>Eligible</x:v>
      </x:c>
      <x:c r="U133" s="161" t="str">
        <x:v>Pending</x:v>
      </x:c>
    </x:row>
    <x:row r="134" ht="42" hidden="0" customHeight="1">
      <x:c r="A134" t="str">
        <x:v>Draft</x:v>
      </x:c>
      <x:c r="B134" t="str">
        <x:v>ADP_FAM_JIC_ORB_ST</x:v>
      </x:c>
      <x:c r="C134" t="str">
        <x:v>ADP_ST_JIC_M_08_ORB_M_12</x:v>
      </x:c>
      <x:c r="D134" t="str">
        <x:v>ADP_ST_JIC_M_{SIZE1}_ORB_M_{SIZE2}</x:v>
      </x:c>
      <x:c r="E134" t="str">
        <x:v>6400-08-12</x:v>
      </x:c>
      <x:c r="F134" s="116" t="str">
        <x:v>Straight JIC 37 Degree Male -08 to SAE ORB Male -12 Adapter</x:v>
      </x:c>
      <x:c r="G134" t="str">
        <x:v>ST</x:v>
      </x:c>
      <x:c r="H134" t="str">
        <x:v>JIC</x:v>
      </x:c>
      <x:c r="I134" t="str">
        <x:v>M</x:v>
      </x:c>
      <x:c r="J134" t="str">
        <x:v>-8</x:v>
      </x:c>
      <x:c r="K134" t="str">
        <x:v>ORB</x:v>
      </x:c>
      <x:c r="L134" t="str">
        <x:v>M</x:v>
      </x:c>
      <x:c r="M134" t="str">
        <x:v>-12</x:v>
      </x:c>
      <x:c r="N134"/>
      <x:c r="O134"/>
      <x:c r="P134"/>
      <x:c r="Q134" t="str">
        <x:v>YES - RFQ SKU</x:v>
      </x:c>
      <x:c r="R134" s="116" t="str">
        <x:v>https://www.discounthydraulichose.com/6400-jic-37-x-straight-thread-orb.html</x:v>
      </x:c>
      <x:c r="S134" s="116" t="str">
        <x:v>Market-reference size combination. Availability, price and lead time are subject to supplier confirmation.</x:v>
      </x:c>
      <x:c r="T134" s="161" t="str">
        <x:v>Eligible</x:v>
      </x:c>
      <x:c r="U134" s="161" t="str">
        <x:v>Pending</x:v>
      </x:c>
    </x:row>
    <x:row r="135" ht="42" hidden="0" customHeight="1">
      <x:c r="A135" t="str">
        <x:v>Draft</x:v>
      </x:c>
      <x:c r="B135" t="str">
        <x:v>ADP_FAM_JIC_ORB_ST</x:v>
      </x:c>
      <x:c r="C135" t="str">
        <x:v>ADP_ST_JIC_M_08_ORB_M_16</x:v>
      </x:c>
      <x:c r="D135" t="str">
        <x:v>ADP_ST_JIC_M_{SIZE1}_ORB_M_{SIZE2}</x:v>
      </x:c>
      <x:c r="E135" t="str">
        <x:v>6400-08-16</x:v>
      </x:c>
      <x:c r="F135" s="116" t="str">
        <x:v>Straight JIC 37 Degree Male -08 to SAE ORB Male -16 Adapter</x:v>
      </x:c>
      <x:c r="G135" t="str">
        <x:v>ST</x:v>
      </x:c>
      <x:c r="H135" t="str">
        <x:v>JIC</x:v>
      </x:c>
      <x:c r="I135" t="str">
        <x:v>M</x:v>
      </x:c>
      <x:c r="J135" t="str">
        <x:v>-8</x:v>
      </x:c>
      <x:c r="K135" t="str">
        <x:v>ORB</x:v>
      </x:c>
      <x:c r="L135" t="str">
        <x:v>M</x:v>
      </x:c>
      <x:c r="M135" t="str">
        <x:v>-16</x:v>
      </x:c>
      <x:c r="N135"/>
      <x:c r="O135"/>
      <x:c r="P135"/>
      <x:c r="Q135" t="str">
        <x:v>YES - RFQ SKU</x:v>
      </x:c>
      <x:c r="R135" s="116" t="str">
        <x:v>https://www.discounthydraulichose.com/6400-jic-37-x-straight-thread-orb.html</x:v>
      </x:c>
      <x:c r="S135" s="116" t="str">
        <x:v>Market-reference size combination. Availability, price and lead time are subject to supplier confirmation.</x:v>
      </x:c>
      <x:c r="T135" s="161" t="str">
        <x:v>Eligible</x:v>
      </x:c>
      <x:c r="U135" s="161" t="str">
        <x:v>Pending</x:v>
      </x:c>
    </x:row>
    <x:row r="136" ht="42" hidden="0" customHeight="1">
      <x:c r="A136" t="str">
        <x:v>Draft</x:v>
      </x:c>
      <x:c r="B136" t="str">
        <x:v>ADP_FAM_ORFS_NPT_ST</x:v>
      </x:c>
      <x:c r="C136" t="str">
        <x:v>ADP_ST_ORFS_M_10_NPT_M_08</x:v>
      </x:c>
      <x:c r="D136" t="str">
        <x:v>ADP_ST_ORFS_M_{SIZE1}_NPT_M_{SIZE2}</x:v>
      </x:c>
      <x:c r="E136" t="str">
        <x:v>FS2404-10-08</x:v>
      </x:c>
      <x:c r="F136" s="116" t="str">
        <x:v>Straight ORFS Male -10 to NPTF Male -08 Adapter</x:v>
      </x:c>
      <x:c r="G136" t="str">
        <x:v>ST</x:v>
      </x:c>
      <x:c r="H136" t="str">
        <x:v>ORFS</x:v>
      </x:c>
      <x:c r="I136" t="str">
        <x:v>M</x:v>
      </x:c>
      <x:c r="J136" t="str">
        <x:v>-10</x:v>
      </x:c>
      <x:c r="K136" t="str">
        <x:v>NPT</x:v>
      </x:c>
      <x:c r="L136" t="str">
        <x:v>M</x:v>
      </x:c>
      <x:c r="M136" t="str">
        <x:v>-8</x:v>
      </x:c>
      <x:c r="N136"/>
      <x:c r="O136"/>
      <x:c r="P136"/>
      <x:c r="Q136" t="str">
        <x:v>YES - RFQ SKU</x:v>
      </x:c>
      <x:c r="R136" s="116" t="str">
        <x:v>https://www.discounthydraulichose.com/fs2404-face-seal-x-male-pipe.html</x:v>
      </x:c>
      <x:c r="S136" s="116" t="str">
        <x:v>Market-reference size combination. Availability, price and lead time are subject to supplier confirmation.</x:v>
      </x:c>
      <x:c r="T136" s="161" t="str">
        <x:v>Eligible</x:v>
      </x:c>
      <x:c r="U136" s="161" t="str">
        <x:v>Pending</x:v>
      </x:c>
    </x:row>
    <x:row r="137" ht="42" hidden="0" customHeight="1">
      <x:c r="A137" t="str">
        <x:v>Draft</x:v>
      </x:c>
      <x:c r="B137" t="str">
        <x:v>ADP_FAM_ORFS_NPT_ST</x:v>
      </x:c>
      <x:c r="C137" t="str">
        <x:v>ADP_ST_ORFS_M_10_NPT_M_12</x:v>
      </x:c>
      <x:c r="D137" t="str">
        <x:v>ADP_ST_ORFS_M_{SIZE1}_NPT_M_{SIZE2}</x:v>
      </x:c>
      <x:c r="E137" t="str">
        <x:v>FS2404-10-12</x:v>
      </x:c>
      <x:c r="F137" s="116" t="str">
        <x:v>Straight ORFS Male -10 to NPTF Male -12 Adapter</x:v>
      </x:c>
      <x:c r="G137" t="str">
        <x:v>ST</x:v>
      </x:c>
      <x:c r="H137" t="str">
        <x:v>ORFS</x:v>
      </x:c>
      <x:c r="I137" t="str">
        <x:v>M</x:v>
      </x:c>
      <x:c r="J137" t="str">
        <x:v>-10</x:v>
      </x:c>
      <x:c r="K137" t="str">
        <x:v>NPT</x:v>
      </x:c>
      <x:c r="L137" t="str">
        <x:v>M</x:v>
      </x:c>
      <x:c r="M137" t="str">
        <x:v>-12</x:v>
      </x:c>
      <x:c r="N137"/>
      <x:c r="O137"/>
      <x:c r="P137"/>
      <x:c r="Q137" t="str">
        <x:v>YES - RFQ SKU</x:v>
      </x:c>
      <x:c r="R137" s="116" t="str">
        <x:v>https://www.discounthydraulichose.com/fs2404-face-seal-x-male-pipe.html</x:v>
      </x:c>
      <x:c r="S137" s="116" t="str">
        <x:v>Market-reference size combination. Availability, price and lead time are subject to supplier confirmation.</x:v>
      </x:c>
      <x:c r="T137" s="161" t="str">
        <x:v>Eligible</x:v>
      </x:c>
      <x:c r="U137" s="161" t="str">
        <x:v>Pending</x:v>
      </x:c>
    </x:row>
    <x:row r="138" ht="42" hidden="0" customHeight="1">
      <x:c r="A138" t="str">
        <x:v>Draft</x:v>
      </x:c>
      <x:c r="B138" t="str">
        <x:v>ADP_FAM_ORFS_NPT_ST</x:v>
      </x:c>
      <x:c r="C138" t="str">
        <x:v>ADP_ST_ORFS_M_12_NPT_M_08</x:v>
      </x:c>
      <x:c r="D138" t="str">
        <x:v>ADP_ST_ORFS_M_{SIZE1}_NPT_M_{SIZE2}</x:v>
      </x:c>
      <x:c r="E138" t="str">
        <x:v>FS2404-12-08</x:v>
      </x:c>
      <x:c r="F138" s="116" t="str">
        <x:v>Straight ORFS Male -12 to NPTF Male -08 Adapter</x:v>
      </x:c>
      <x:c r="G138" t="str">
        <x:v>ST</x:v>
      </x:c>
      <x:c r="H138" t="str">
        <x:v>ORFS</x:v>
      </x:c>
      <x:c r="I138" t="str">
        <x:v>M</x:v>
      </x:c>
      <x:c r="J138" t="str">
        <x:v>-12</x:v>
      </x:c>
      <x:c r="K138" t="str">
        <x:v>NPT</x:v>
      </x:c>
      <x:c r="L138" t="str">
        <x:v>M</x:v>
      </x:c>
      <x:c r="M138" t="str">
        <x:v>-8</x:v>
      </x:c>
      <x:c r="N138"/>
      <x:c r="O138"/>
      <x:c r="P138"/>
      <x:c r="Q138" t="str">
        <x:v>YES - RFQ SKU</x:v>
      </x:c>
      <x:c r="R138" s="116" t="str">
        <x:v>https://www.discounthydraulichose.com/fs2404-face-seal-x-male-pipe.html</x:v>
      </x:c>
      <x:c r="S138" s="116" t="str">
        <x:v>Market-reference size combination. Availability, price and lead time are subject to supplier confirmation.</x:v>
      </x:c>
      <x:c r="T138" s="161" t="str">
        <x:v>Eligible</x:v>
      </x:c>
      <x:c r="U138" s="161" t="str">
        <x:v>Pending</x:v>
      </x:c>
    </x:row>
    <x:row r="139" ht="42" hidden="0" customHeight="1">
      <x:c r="A139" t="str">
        <x:v>Draft</x:v>
      </x:c>
      <x:c r="B139" t="str">
        <x:v>ADP_FAM_ORFS_NPT_ST</x:v>
      </x:c>
      <x:c r="C139" t="str">
        <x:v>ADP_ST_ORFS_M_12_NPT_M_12</x:v>
      </x:c>
      <x:c r="D139" t="str">
        <x:v>ADP_ST_ORFS_M_{SIZE1}_NPT_M_{SIZE2}</x:v>
      </x:c>
      <x:c r="E139" t="str">
        <x:v>FS2404-12-12</x:v>
      </x:c>
      <x:c r="F139" s="116" t="str">
        <x:v>Straight ORFS Male -12 to NPTF Male -12 Adapter</x:v>
      </x:c>
      <x:c r="G139" t="str">
        <x:v>ST</x:v>
      </x:c>
      <x:c r="H139" t="str">
        <x:v>ORFS</x:v>
      </x:c>
      <x:c r="I139" t="str">
        <x:v>M</x:v>
      </x:c>
      <x:c r="J139" t="str">
        <x:v>-12</x:v>
      </x:c>
      <x:c r="K139" t="str">
        <x:v>NPT</x:v>
      </x:c>
      <x:c r="L139" t="str">
        <x:v>M</x:v>
      </x:c>
      <x:c r="M139" t="str">
        <x:v>-12</x:v>
      </x:c>
      <x:c r="N139"/>
      <x:c r="O139"/>
      <x:c r="P139"/>
      <x:c r="Q139" t="str">
        <x:v>YES - RFQ SKU</x:v>
      </x:c>
      <x:c r="R139" s="116" t="str">
        <x:v>https://www.discounthydraulichose.com/fs2404-face-seal-x-male-pipe.html</x:v>
      </x:c>
      <x:c r="S139" s="116" t="str">
        <x:v>Market-reference size combination. Availability, price and lead time are subject to supplier confirmation.</x:v>
      </x:c>
      <x:c r="T139" s="161" t="str">
        <x:v>Eligible</x:v>
      </x:c>
      <x:c r="U139" s="161" t="str">
        <x:v>Pending</x:v>
      </x:c>
    </x:row>
    <x:row r="140" ht="42" hidden="0" customHeight="1">
      <x:c r="A140" t="str">
        <x:v>Draft</x:v>
      </x:c>
      <x:c r="B140" t="str">
        <x:v>ADP_FAM_ORFS_NPT_ST</x:v>
      </x:c>
      <x:c r="C140" t="str">
        <x:v>ADP_ST_ORFS_M_12_NPT_M_16</x:v>
      </x:c>
      <x:c r="D140" t="str">
        <x:v>ADP_ST_ORFS_M_{SIZE1}_NPT_M_{SIZE2}</x:v>
      </x:c>
      <x:c r="E140" t="str">
        <x:v>FS2404-12-16</x:v>
      </x:c>
      <x:c r="F140" s="116" t="str">
        <x:v>Straight ORFS Male -12 to NPTF Male -16 Adapter</x:v>
      </x:c>
      <x:c r="G140" t="str">
        <x:v>ST</x:v>
      </x:c>
      <x:c r="H140" t="str">
        <x:v>ORFS</x:v>
      </x:c>
      <x:c r="I140" t="str">
        <x:v>M</x:v>
      </x:c>
      <x:c r="J140" t="str">
        <x:v>-12</x:v>
      </x:c>
      <x:c r="K140" t="str">
        <x:v>NPT</x:v>
      </x:c>
      <x:c r="L140" t="str">
        <x:v>M</x:v>
      </x:c>
      <x:c r="M140" t="str">
        <x:v>-16</x:v>
      </x:c>
      <x:c r="N140"/>
      <x:c r="O140"/>
      <x:c r="P140"/>
      <x:c r="Q140" t="str">
        <x:v>YES - RFQ SKU</x:v>
      </x:c>
      <x:c r="R140" s="116" t="str">
        <x:v>https://www.discounthydraulichose.com/fs2404-face-seal-x-male-pipe.html</x:v>
      </x:c>
      <x:c r="S140" s="116" t="str">
        <x:v>Market-reference size combination. Availability, price and lead time are subject to supplier confirmation.</x:v>
      </x:c>
      <x:c r="T140" s="161" t="str">
        <x:v>Eligible</x:v>
      </x:c>
      <x:c r="U140" s="161" t="str">
        <x:v>Pending</x:v>
      </x:c>
    </x:row>
    <x:row r="141" ht="42" hidden="0" customHeight="1">
      <x:c r="A141" t="str">
        <x:v>Draft</x:v>
      </x:c>
      <x:c r="B141" t="str">
        <x:v>ADP_FAM_ORFS_NPT_ST</x:v>
      </x:c>
      <x:c r="C141" t="str">
        <x:v>ADP_ST_ORFS_M_16_NPT_M_12</x:v>
      </x:c>
      <x:c r="D141" t="str">
        <x:v>ADP_ST_ORFS_M_{SIZE1}_NPT_M_{SIZE2}</x:v>
      </x:c>
      <x:c r="E141" t="str">
        <x:v>FS2404-16-12</x:v>
      </x:c>
      <x:c r="F141" s="116" t="str">
        <x:v>Straight ORFS Male -16 to NPTF Male -12 Adapter</x:v>
      </x:c>
      <x:c r="G141" t="str">
        <x:v>ST</x:v>
      </x:c>
      <x:c r="H141" t="str">
        <x:v>ORFS</x:v>
      </x:c>
      <x:c r="I141" t="str">
        <x:v>M</x:v>
      </x:c>
      <x:c r="J141" t="str">
        <x:v>-16</x:v>
      </x:c>
      <x:c r="K141" t="str">
        <x:v>NPT</x:v>
      </x:c>
      <x:c r="L141" t="str">
        <x:v>M</x:v>
      </x:c>
      <x:c r="M141" t="str">
        <x:v>-12</x:v>
      </x:c>
      <x:c r="N141"/>
      <x:c r="O141"/>
      <x:c r="P141"/>
      <x:c r="Q141" t="str">
        <x:v>YES - RFQ SKU</x:v>
      </x:c>
      <x:c r="R141" s="116" t="str">
        <x:v>https://www.discounthydraulichose.com/fs2404-face-seal-x-male-pipe.html</x:v>
      </x:c>
      <x:c r="S141" s="116" t="str">
        <x:v>Market-reference size combination. Availability, price and lead time are subject to supplier confirmation.</x:v>
      </x:c>
      <x:c r="T141" s="161" t="str">
        <x:v>Eligible</x:v>
      </x:c>
      <x:c r="U141" s="161" t="str">
        <x:v>Pending</x:v>
      </x:c>
    </x:row>
    <x:row r="142" ht="42" hidden="0" customHeight="1">
      <x:c r="A142" t="str">
        <x:v>Draft</x:v>
      </x:c>
      <x:c r="B142" t="str">
        <x:v>ADP_FAM_ORFS_NPT_ST</x:v>
      </x:c>
      <x:c r="C142" t="str">
        <x:v>ADP_ST_ORFS_M_16_NPT_M_16</x:v>
      </x:c>
      <x:c r="D142" t="str">
        <x:v>ADP_ST_ORFS_M_{SIZE1}_NPT_M_{SIZE2}</x:v>
      </x:c>
      <x:c r="E142" t="str">
        <x:v>FS2404-16-16</x:v>
      </x:c>
      <x:c r="F142" s="116" t="str">
        <x:v>Straight ORFS Male -16 to NPTF Male -16 Adapter</x:v>
      </x:c>
      <x:c r="G142" t="str">
        <x:v>ST</x:v>
      </x:c>
      <x:c r="H142" t="str">
        <x:v>ORFS</x:v>
      </x:c>
      <x:c r="I142" t="str">
        <x:v>M</x:v>
      </x:c>
      <x:c r="J142" t="str">
        <x:v>-16</x:v>
      </x:c>
      <x:c r="K142" t="str">
        <x:v>NPT</x:v>
      </x:c>
      <x:c r="L142" t="str">
        <x:v>M</x:v>
      </x:c>
      <x:c r="M142" t="str">
        <x:v>-16</x:v>
      </x:c>
      <x:c r="N142"/>
      <x:c r="O142"/>
      <x:c r="P142"/>
      <x:c r="Q142" t="str">
        <x:v>YES - RFQ SKU</x:v>
      </x:c>
      <x:c r="R142" s="116" t="str">
        <x:v>https://www.discounthydraulichose.com/fs2404-face-seal-x-male-pipe.html</x:v>
      </x:c>
      <x:c r="S142" s="116" t="str">
        <x:v>Market-reference size combination. Availability, price and lead time are subject to supplier confirmation.</x:v>
      </x:c>
      <x:c r="T142" s="161" t="str">
        <x:v>Eligible</x:v>
      </x:c>
      <x:c r="U142" s="161" t="str">
        <x:v>Pending</x:v>
      </x:c>
    </x:row>
    <x:row r="143" ht="42" hidden="0" customHeight="1">
      <x:c r="A143" t="str">
        <x:v>Draft</x:v>
      </x:c>
      <x:c r="B143" t="str">
        <x:v>ADP_FAM_ORFS_NPT_ST</x:v>
      </x:c>
      <x:c r="C143" t="str">
        <x:v>ADP_ST_ORFS_M_16_NPT_M_20</x:v>
      </x:c>
      <x:c r="D143" t="str">
        <x:v>ADP_ST_ORFS_M_{SIZE1}_NPT_M_{SIZE2}</x:v>
      </x:c>
      <x:c r="E143" t="str">
        <x:v>FS2404-16-20</x:v>
      </x:c>
      <x:c r="F143" s="116" t="str">
        <x:v>Straight ORFS Male -16 to NPTF Male -20 Adapter</x:v>
      </x:c>
      <x:c r="G143" t="str">
        <x:v>ST</x:v>
      </x:c>
      <x:c r="H143" t="str">
        <x:v>ORFS</x:v>
      </x:c>
      <x:c r="I143" t="str">
        <x:v>M</x:v>
      </x:c>
      <x:c r="J143" t="str">
        <x:v>-16</x:v>
      </x:c>
      <x:c r="K143" t="str">
        <x:v>NPT</x:v>
      </x:c>
      <x:c r="L143" t="str">
        <x:v>M</x:v>
      </x:c>
      <x:c r="M143" t="str">
        <x:v>-20</x:v>
      </x:c>
      <x:c r="N143"/>
      <x:c r="O143"/>
      <x:c r="P143"/>
      <x:c r="Q143" t="str">
        <x:v>YES - RFQ SKU</x:v>
      </x:c>
      <x:c r="R143" s="116" t="str">
        <x:v>https://www.discounthydraulichose.com/fs2404-face-seal-x-male-pipe.html</x:v>
      </x:c>
      <x:c r="S143" s="116" t="str">
        <x:v>Market-reference size combination. Availability, price and lead time are subject to supplier confirmation.</x:v>
      </x:c>
      <x:c r="T143" s="161" t="str">
        <x:v>Eligible</x:v>
      </x:c>
      <x:c r="U143" s="161" t="str">
        <x:v>Pending</x:v>
      </x:c>
    </x:row>
    <x:row r="144" ht="42" hidden="0" customHeight="1">
      <x:c r="A144" t="str">
        <x:v>Draft</x:v>
      </x:c>
      <x:c r="B144" t="str">
        <x:v>ADP_FAM_ORFS_NPT_ST</x:v>
      </x:c>
      <x:c r="C144" t="str">
        <x:v>ADP_ST_ORFS_M_20_NPT_M_16</x:v>
      </x:c>
      <x:c r="D144" t="str">
        <x:v>ADP_ST_ORFS_M_{SIZE1}_NPT_M_{SIZE2}</x:v>
      </x:c>
      <x:c r="E144" t="str">
        <x:v>FS2404-20-16</x:v>
      </x:c>
      <x:c r="F144" s="116" t="str">
        <x:v>Straight ORFS Male -20 to NPTF Male -16 Adapter</x:v>
      </x:c>
      <x:c r="G144" t="str">
        <x:v>ST</x:v>
      </x:c>
      <x:c r="H144" t="str">
        <x:v>ORFS</x:v>
      </x:c>
      <x:c r="I144" t="str">
        <x:v>M</x:v>
      </x:c>
      <x:c r="J144" t="str">
        <x:v>-20</x:v>
      </x:c>
      <x:c r="K144" t="str">
        <x:v>NPT</x:v>
      </x:c>
      <x:c r="L144" t="str">
        <x:v>M</x:v>
      </x:c>
      <x:c r="M144" t="str">
        <x:v>-16</x:v>
      </x:c>
      <x:c r="N144"/>
      <x:c r="O144"/>
      <x:c r="P144"/>
      <x:c r="Q144" t="str">
        <x:v>YES - RFQ SKU</x:v>
      </x:c>
      <x:c r="R144" s="116" t="str">
        <x:v>https://www.discounthydraulichose.com/fs2404-face-seal-x-male-pipe.html</x:v>
      </x:c>
      <x:c r="S144" s="116" t="str">
        <x:v>Market-reference size combination. Availability, price and lead time are subject to supplier confirmation.</x:v>
      </x:c>
      <x:c r="T144" s="161" t="str">
        <x:v>Eligible</x:v>
      </x:c>
      <x:c r="U144" s="161" t="str">
        <x:v>Pending</x:v>
      </x:c>
    </x:row>
    <x:row r="145" ht="42" hidden="0" customHeight="1">
      <x:c r="A145" t="str">
        <x:v>Draft</x:v>
      </x:c>
      <x:c r="B145" t="str">
        <x:v>ADP_FAM_ORFS_NPT_ST</x:v>
      </x:c>
      <x:c r="C145" t="str">
        <x:v>ADP_ST_ORFS_M_20_NPT_M_20</x:v>
      </x:c>
      <x:c r="D145" t="str">
        <x:v>ADP_ST_ORFS_M_{SIZE1}_NPT_M_{SIZE2}</x:v>
      </x:c>
      <x:c r="E145" t="str">
        <x:v>FS2404-20-20</x:v>
      </x:c>
      <x:c r="F145" s="116" t="str">
        <x:v>Straight ORFS Male -20 to NPTF Male -20 Adapter</x:v>
      </x:c>
      <x:c r="G145" t="str">
        <x:v>ST</x:v>
      </x:c>
      <x:c r="H145" t="str">
        <x:v>ORFS</x:v>
      </x:c>
      <x:c r="I145" t="str">
        <x:v>M</x:v>
      </x:c>
      <x:c r="J145" t="str">
        <x:v>-20</x:v>
      </x:c>
      <x:c r="K145" t="str">
        <x:v>NPT</x:v>
      </x:c>
      <x:c r="L145" t="str">
        <x:v>M</x:v>
      </x:c>
      <x:c r="M145" t="str">
        <x:v>-20</x:v>
      </x:c>
      <x:c r="N145"/>
      <x:c r="O145"/>
      <x:c r="P145"/>
      <x:c r="Q145" t="str">
        <x:v>YES - RFQ SKU</x:v>
      </x:c>
      <x:c r="R145" s="116" t="str">
        <x:v>https://www.discounthydraulichose.com/fs2404-face-seal-x-male-pipe.html</x:v>
      </x:c>
      <x:c r="S145" s="116" t="str">
        <x:v>Market-reference size combination. Availability, price and lead time are subject to supplier confirmation.</x:v>
      </x:c>
      <x:c r="T145" s="161" t="str">
        <x:v>Eligible</x:v>
      </x:c>
      <x:c r="U145" s="161" t="str">
        <x:v>Pending</x:v>
      </x:c>
    </x:row>
    <x:row r="146" ht="42" hidden="0" customHeight="1">
      <x:c r="A146" t="str">
        <x:v>Draft</x:v>
      </x:c>
      <x:c r="B146" t="str">
        <x:v>ADP_FAM_ORFS_NPT_ST</x:v>
      </x:c>
      <x:c r="C146" t="str">
        <x:v>ADP_ST_ORFS_M_24_NPT_M_24</x:v>
      </x:c>
      <x:c r="D146" t="str">
        <x:v>ADP_ST_ORFS_M_{SIZE1}_NPT_M_{SIZE2}</x:v>
      </x:c>
      <x:c r="E146" t="str">
        <x:v>FS2404-24-24</x:v>
      </x:c>
      <x:c r="F146" s="116" t="str">
        <x:v>Straight ORFS Male -24 to NPTF Male -24 Adapter</x:v>
      </x:c>
      <x:c r="G146" t="str">
        <x:v>ST</x:v>
      </x:c>
      <x:c r="H146" t="str">
        <x:v>ORFS</x:v>
      </x:c>
      <x:c r="I146" t="str">
        <x:v>M</x:v>
      </x:c>
      <x:c r="J146" t="str">
        <x:v>-24</x:v>
      </x:c>
      <x:c r="K146" t="str">
        <x:v>NPT</x:v>
      </x:c>
      <x:c r="L146" t="str">
        <x:v>M</x:v>
      </x:c>
      <x:c r="M146" t="str">
        <x:v>-24</x:v>
      </x:c>
      <x:c r="N146"/>
      <x:c r="O146"/>
      <x:c r="P146"/>
      <x:c r="Q146" t="str">
        <x:v>YES - RFQ SKU</x:v>
      </x:c>
      <x:c r="R146" s="116" t="str">
        <x:v>https://www.discounthydraulichose.com/fs2404-face-seal-x-male-pipe.html</x:v>
      </x:c>
      <x:c r="S146" s="116" t="str">
        <x:v>Market-reference size combination. Availability, price and lead time are subject to supplier confirmation.</x:v>
      </x:c>
      <x:c r="T146" s="161" t="str">
        <x:v>Eligible</x:v>
      </x:c>
      <x:c r="U146" s="161" t="str">
        <x:v>Pending</x:v>
      </x:c>
    </x:row>
    <x:row r="147" ht="42" hidden="0" customHeight="1">
      <x:c r="A147" t="str">
        <x:v>Draft</x:v>
      </x:c>
      <x:c r="B147" t="str">
        <x:v>ADP_FAM_ORFS_NPT_ST</x:v>
      </x:c>
      <x:c r="C147" t="str">
        <x:v>ADP_ST_ORFS_M_04_NPT_M_02</x:v>
      </x:c>
      <x:c r="D147" t="str">
        <x:v>ADP_ST_ORFS_M_{SIZE1}_NPT_M_{SIZE2}</x:v>
      </x:c>
      <x:c r="E147" t="str">
        <x:v>FS2404-04-02</x:v>
      </x:c>
      <x:c r="F147" s="116" t="str">
        <x:v>Straight ORFS Male -04 to NPTF Male -02 Adapter</x:v>
      </x:c>
      <x:c r="G147" t="str">
        <x:v>ST</x:v>
      </x:c>
      <x:c r="H147" t="str">
        <x:v>ORFS</x:v>
      </x:c>
      <x:c r="I147" t="str">
        <x:v>M</x:v>
      </x:c>
      <x:c r="J147" t="str">
        <x:v>-4</x:v>
      </x:c>
      <x:c r="K147" t="str">
        <x:v>NPT</x:v>
      </x:c>
      <x:c r="L147" t="str">
        <x:v>M</x:v>
      </x:c>
      <x:c r="M147" t="str">
        <x:v>-2</x:v>
      </x:c>
      <x:c r="N147"/>
      <x:c r="O147"/>
      <x:c r="P147"/>
      <x:c r="Q147" t="str">
        <x:v>YES - RFQ SKU</x:v>
      </x:c>
      <x:c r="R147" s="116" t="str">
        <x:v>https://www.discounthydraulichose.com/fs2404-face-seal-x-male-pipe.html</x:v>
      </x:c>
      <x:c r="S147" s="116" t="str">
        <x:v>Market-reference size combination. Availability, price and lead time are subject to supplier confirmation.</x:v>
      </x:c>
      <x:c r="T147" s="161" t="str">
        <x:v>Eligible</x:v>
      </x:c>
      <x:c r="U147" s="161" t="str">
        <x:v>Pending</x:v>
      </x:c>
    </x:row>
    <x:row r="148" ht="42" hidden="0" customHeight="1">
      <x:c r="A148" t="str">
        <x:v>Draft</x:v>
      </x:c>
      <x:c r="B148" t="str">
        <x:v>ADP_FAM_ORFS_NPT_ST</x:v>
      </x:c>
      <x:c r="C148" t="str">
        <x:v>ADP_ST_ORFS_M_04_NPT_M_04</x:v>
      </x:c>
      <x:c r="D148" t="str">
        <x:v>ADP_ST_ORFS_M_{SIZE1}_NPT_M_{SIZE2}</x:v>
      </x:c>
      <x:c r="E148" t="str">
        <x:v>FS2404-04-04</x:v>
      </x:c>
      <x:c r="F148" s="116" t="str">
        <x:v>Straight ORFS Male -04 to NPTF Male -04 Adapter</x:v>
      </x:c>
      <x:c r="G148" t="str">
        <x:v>ST</x:v>
      </x:c>
      <x:c r="H148" t="str">
        <x:v>ORFS</x:v>
      </x:c>
      <x:c r="I148" t="str">
        <x:v>M</x:v>
      </x:c>
      <x:c r="J148" t="str">
        <x:v>-4</x:v>
      </x:c>
      <x:c r="K148" t="str">
        <x:v>NPT</x:v>
      </x:c>
      <x:c r="L148" t="str">
        <x:v>M</x:v>
      </x:c>
      <x:c r="M148" t="str">
        <x:v>-4</x:v>
      </x:c>
      <x:c r="N148"/>
      <x:c r="O148"/>
      <x:c r="P148"/>
      <x:c r="Q148" t="str">
        <x:v>YES - RFQ SKU</x:v>
      </x:c>
      <x:c r="R148" s="116" t="str">
        <x:v>https://www.discounthydraulichose.com/fs2404-face-seal-x-male-pipe.html</x:v>
      </x:c>
      <x:c r="S148" s="116" t="str">
        <x:v>Market-reference size combination. Availability, price and lead time are subject to supplier confirmation.</x:v>
      </x:c>
      <x:c r="T148" s="161" t="str">
        <x:v>Eligible</x:v>
      </x:c>
      <x:c r="U148" s="161" t="str">
        <x:v>Pending</x:v>
      </x:c>
    </x:row>
    <x:row r="149" ht="42" hidden="0" customHeight="1">
      <x:c r="A149" t="str">
        <x:v>Draft</x:v>
      </x:c>
      <x:c r="B149" t="str">
        <x:v>ADP_FAM_ORFS_NPT_ST</x:v>
      </x:c>
      <x:c r="C149" t="str">
        <x:v>ADP_ST_ORFS_M_04_NPT_M_06</x:v>
      </x:c>
      <x:c r="D149" t="str">
        <x:v>ADP_ST_ORFS_M_{SIZE1}_NPT_M_{SIZE2}</x:v>
      </x:c>
      <x:c r="E149" t="str">
        <x:v>FS2404-04-06</x:v>
      </x:c>
      <x:c r="F149" s="116" t="str">
        <x:v>Straight ORFS Male -04 to NPTF Male -06 Adapter</x:v>
      </x:c>
      <x:c r="G149" t="str">
        <x:v>ST</x:v>
      </x:c>
      <x:c r="H149" t="str">
        <x:v>ORFS</x:v>
      </x:c>
      <x:c r="I149" t="str">
        <x:v>M</x:v>
      </x:c>
      <x:c r="J149" t="str">
        <x:v>-4</x:v>
      </x:c>
      <x:c r="K149" t="str">
        <x:v>NPT</x:v>
      </x:c>
      <x:c r="L149" t="str">
        <x:v>M</x:v>
      </x:c>
      <x:c r="M149" t="str">
        <x:v>-6</x:v>
      </x:c>
      <x:c r="N149"/>
      <x:c r="O149"/>
      <x:c r="P149"/>
      <x:c r="Q149" t="str">
        <x:v>YES - RFQ SKU</x:v>
      </x:c>
      <x:c r="R149" s="116" t="str">
        <x:v>https://www.discounthydraulichose.com/fs2404-face-seal-x-male-pipe.html</x:v>
      </x:c>
      <x:c r="S149" s="116" t="str">
        <x:v>Market-reference size combination. Availability, price and lead time are subject to supplier confirmation.</x:v>
      </x:c>
      <x:c r="T149" s="161" t="str">
        <x:v>Eligible</x:v>
      </x:c>
      <x:c r="U149" s="161" t="str">
        <x:v>Pending</x:v>
      </x:c>
    </x:row>
    <x:row r="150" ht="42" hidden="0" customHeight="1">
      <x:c r="A150" t="str">
        <x:v>Draft</x:v>
      </x:c>
      <x:c r="B150" t="str">
        <x:v>ADP_FAM_ORFS_NPT_ST</x:v>
      </x:c>
      <x:c r="C150" t="str">
        <x:v>ADP_ST_ORFS_M_06_NPT_M_02</x:v>
      </x:c>
      <x:c r="D150" t="str">
        <x:v>ADP_ST_ORFS_M_{SIZE1}_NPT_M_{SIZE2}</x:v>
      </x:c>
      <x:c r="E150" t="str">
        <x:v>FS2404-06-02</x:v>
      </x:c>
      <x:c r="F150" s="116" t="str">
        <x:v>Straight ORFS Male -06 to NPTF Male -02 Adapter</x:v>
      </x:c>
      <x:c r="G150" t="str">
        <x:v>ST</x:v>
      </x:c>
      <x:c r="H150" t="str">
        <x:v>ORFS</x:v>
      </x:c>
      <x:c r="I150" t="str">
        <x:v>M</x:v>
      </x:c>
      <x:c r="J150" t="str">
        <x:v>-6</x:v>
      </x:c>
      <x:c r="K150" t="str">
        <x:v>NPT</x:v>
      </x:c>
      <x:c r="L150" t="str">
        <x:v>M</x:v>
      </x:c>
      <x:c r="M150" t="str">
        <x:v>-2</x:v>
      </x:c>
      <x:c r="N150"/>
      <x:c r="O150"/>
      <x:c r="P150"/>
      <x:c r="Q150" t="str">
        <x:v>YES - RFQ SKU</x:v>
      </x:c>
      <x:c r="R150" s="116" t="str">
        <x:v>https://www.discounthydraulichose.com/fs2404-face-seal-x-male-pipe.html</x:v>
      </x:c>
      <x:c r="S150" s="116" t="str">
        <x:v>Market-reference size combination. Availability, price and lead time are subject to supplier confirmation.</x:v>
      </x:c>
      <x:c r="T150" s="161" t="str">
        <x:v>Eligible</x:v>
      </x:c>
      <x:c r="U150" s="161" t="str">
        <x:v>Pending</x:v>
      </x:c>
    </x:row>
    <x:row r="151" ht="42" hidden="0" customHeight="1">
      <x:c r="A151" t="str">
        <x:v>Draft</x:v>
      </x:c>
      <x:c r="B151" t="str">
        <x:v>ADP_FAM_ORFS_NPT_ST</x:v>
      </x:c>
      <x:c r="C151" t="str">
        <x:v>ADP_ST_ORFS_M_06_NPT_M_04</x:v>
      </x:c>
      <x:c r="D151" t="str">
        <x:v>ADP_ST_ORFS_M_{SIZE1}_NPT_M_{SIZE2}</x:v>
      </x:c>
      <x:c r="E151" t="str">
        <x:v>FS2404-06-04</x:v>
      </x:c>
      <x:c r="F151" s="116" t="str">
        <x:v>Straight ORFS Male -06 to NPTF Male -04 Adapter</x:v>
      </x:c>
      <x:c r="G151" t="str">
        <x:v>ST</x:v>
      </x:c>
      <x:c r="H151" t="str">
        <x:v>ORFS</x:v>
      </x:c>
      <x:c r="I151" t="str">
        <x:v>M</x:v>
      </x:c>
      <x:c r="J151" t="str">
        <x:v>-6</x:v>
      </x:c>
      <x:c r="K151" t="str">
        <x:v>NPT</x:v>
      </x:c>
      <x:c r="L151" t="str">
        <x:v>M</x:v>
      </x:c>
      <x:c r="M151" t="str">
        <x:v>-4</x:v>
      </x:c>
      <x:c r="N151"/>
      <x:c r="O151"/>
      <x:c r="P151"/>
      <x:c r="Q151" t="str">
        <x:v>YES - RFQ SKU</x:v>
      </x:c>
      <x:c r="R151" s="116" t="str">
        <x:v>https://www.discounthydraulichose.com/fs2404-face-seal-x-male-pipe.html</x:v>
      </x:c>
      <x:c r="S151" s="116" t="str">
        <x:v>Market-reference size combination. Availability, price and lead time are subject to supplier confirmation.</x:v>
      </x:c>
      <x:c r="T151" s="161" t="str">
        <x:v>Eligible</x:v>
      </x:c>
      <x:c r="U151" s="161" t="str">
        <x:v>Pending</x:v>
      </x:c>
    </x:row>
    <x:row r="152" ht="42" hidden="0" customHeight="1">
      <x:c r="A152" t="str">
        <x:v>Draft</x:v>
      </x:c>
      <x:c r="B152" t="str">
        <x:v>ADP_FAM_ORFS_NPT_ST</x:v>
      </x:c>
      <x:c r="C152" t="str">
        <x:v>ADP_ST_ORFS_M_06_NPT_M_06</x:v>
      </x:c>
      <x:c r="D152" t="str">
        <x:v>ADP_ST_ORFS_M_{SIZE1}_NPT_M_{SIZE2}</x:v>
      </x:c>
      <x:c r="E152" t="str">
        <x:v>FS2404-06-06</x:v>
      </x:c>
      <x:c r="F152" s="116" t="str">
        <x:v>Straight ORFS Male -06 to NPTF Male -06 Adapter</x:v>
      </x:c>
      <x:c r="G152" t="str">
        <x:v>ST</x:v>
      </x:c>
      <x:c r="H152" t="str">
        <x:v>ORFS</x:v>
      </x:c>
      <x:c r="I152" t="str">
        <x:v>M</x:v>
      </x:c>
      <x:c r="J152" t="str">
        <x:v>-6</x:v>
      </x:c>
      <x:c r="K152" t="str">
        <x:v>NPT</x:v>
      </x:c>
      <x:c r="L152" t="str">
        <x:v>M</x:v>
      </x:c>
      <x:c r="M152" t="str">
        <x:v>-6</x:v>
      </x:c>
      <x:c r="N152"/>
      <x:c r="O152"/>
      <x:c r="P152"/>
      <x:c r="Q152" t="str">
        <x:v>YES - RFQ SKU</x:v>
      </x:c>
      <x:c r="R152" s="116" t="str">
        <x:v>https://www.discounthydraulichose.com/fs2404-face-seal-x-male-pipe.html</x:v>
      </x:c>
      <x:c r="S152" s="116" t="str">
        <x:v>Market-reference size combination. Availability, price and lead time are subject to supplier confirmation.</x:v>
      </x:c>
      <x:c r="T152" s="161" t="str">
        <x:v>Eligible</x:v>
      </x:c>
      <x:c r="U152" s="161" t="str">
        <x:v>Pending</x:v>
      </x:c>
    </x:row>
    <x:row r="153" ht="42" hidden="0" customHeight="1">
      <x:c r="A153" t="str">
        <x:v>Draft</x:v>
      </x:c>
      <x:c r="B153" t="str">
        <x:v>ADP_FAM_ORFS_NPT_ST</x:v>
      </x:c>
      <x:c r="C153" t="str">
        <x:v>ADP_ST_ORFS_M_06_NPT_M_08</x:v>
      </x:c>
      <x:c r="D153" t="str">
        <x:v>ADP_ST_ORFS_M_{SIZE1}_NPT_M_{SIZE2}</x:v>
      </x:c>
      <x:c r="E153" t="str">
        <x:v>FS2404-06-08</x:v>
      </x:c>
      <x:c r="F153" s="116" t="str">
        <x:v>Straight ORFS Male -06 to NPTF Male -08 Adapter</x:v>
      </x:c>
      <x:c r="G153" t="str">
        <x:v>ST</x:v>
      </x:c>
      <x:c r="H153" t="str">
        <x:v>ORFS</x:v>
      </x:c>
      <x:c r="I153" t="str">
        <x:v>M</x:v>
      </x:c>
      <x:c r="J153" t="str">
        <x:v>-6</x:v>
      </x:c>
      <x:c r="K153" t="str">
        <x:v>NPT</x:v>
      </x:c>
      <x:c r="L153" t="str">
        <x:v>M</x:v>
      </x:c>
      <x:c r="M153" t="str">
        <x:v>-8</x:v>
      </x:c>
      <x:c r="N153"/>
      <x:c r="O153"/>
      <x:c r="P153"/>
      <x:c r="Q153" t="str">
        <x:v>YES - RFQ SKU</x:v>
      </x:c>
      <x:c r="R153" s="116" t="str">
        <x:v>https://www.discounthydraulichose.com/fs2404-face-seal-x-male-pipe.html</x:v>
      </x:c>
      <x:c r="S153" s="116" t="str">
        <x:v>Market-reference size combination. Availability, price and lead time are subject to supplier confirmation.</x:v>
      </x:c>
      <x:c r="T153" s="161" t="str">
        <x:v>Eligible</x:v>
      </x:c>
      <x:c r="U153" s="161" t="str">
        <x:v>Pending</x:v>
      </x:c>
    </x:row>
    <x:row r="154" ht="42" hidden="0" customHeight="1">
      <x:c r="A154" t="str">
        <x:v>Draft</x:v>
      </x:c>
      <x:c r="B154" t="str">
        <x:v>ADP_FAM_ORFS_NPT_ST</x:v>
      </x:c>
      <x:c r="C154" t="str">
        <x:v>ADP_ST_ORFS_M_08_NPT_M_04</x:v>
      </x:c>
      <x:c r="D154" t="str">
        <x:v>ADP_ST_ORFS_M_{SIZE1}_NPT_M_{SIZE2}</x:v>
      </x:c>
      <x:c r="E154" t="str">
        <x:v>FS2404-08-04</x:v>
      </x:c>
      <x:c r="F154" s="116" t="str">
        <x:v>Straight ORFS Male -08 to NPTF Male -04 Adapter</x:v>
      </x:c>
      <x:c r="G154" t="str">
        <x:v>ST</x:v>
      </x:c>
      <x:c r="H154" t="str">
        <x:v>ORFS</x:v>
      </x:c>
      <x:c r="I154" t="str">
        <x:v>M</x:v>
      </x:c>
      <x:c r="J154" t="str">
        <x:v>-8</x:v>
      </x:c>
      <x:c r="K154" t="str">
        <x:v>NPT</x:v>
      </x:c>
      <x:c r="L154" t="str">
        <x:v>M</x:v>
      </x:c>
      <x:c r="M154" t="str">
        <x:v>-4</x:v>
      </x:c>
      <x:c r="N154"/>
      <x:c r="O154"/>
      <x:c r="P154"/>
      <x:c r="Q154" t="str">
        <x:v>YES - RFQ SKU</x:v>
      </x:c>
      <x:c r="R154" s="116" t="str">
        <x:v>https://www.discounthydraulichose.com/fs2404-face-seal-x-male-pipe.html</x:v>
      </x:c>
      <x:c r="S154" s="116" t="str">
        <x:v>Market-reference size combination. Availability, price and lead time are subject to supplier confirmation.</x:v>
      </x:c>
      <x:c r="T154" s="161" t="str">
        <x:v>Eligible</x:v>
      </x:c>
      <x:c r="U154" s="161" t="str">
        <x:v>Pending</x:v>
      </x:c>
    </x:row>
    <x:row r="155" ht="42" hidden="0" customHeight="1">
      <x:c r="A155" t="str">
        <x:v>Draft</x:v>
      </x:c>
      <x:c r="B155" t="str">
        <x:v>ADP_FAM_ORFS_NPT_ST</x:v>
      </x:c>
      <x:c r="C155" t="str">
        <x:v>ADP_ST_ORFS_M_08_NPT_M_06</x:v>
      </x:c>
      <x:c r="D155" t="str">
        <x:v>ADP_ST_ORFS_M_{SIZE1}_NPT_M_{SIZE2}</x:v>
      </x:c>
      <x:c r="E155" t="str">
        <x:v>FS2404-08-06</x:v>
      </x:c>
      <x:c r="F155" s="116" t="str">
        <x:v>Straight ORFS Male -08 to NPTF Male -06 Adapter</x:v>
      </x:c>
      <x:c r="G155" t="str">
        <x:v>ST</x:v>
      </x:c>
      <x:c r="H155" t="str">
        <x:v>ORFS</x:v>
      </x:c>
      <x:c r="I155" t="str">
        <x:v>M</x:v>
      </x:c>
      <x:c r="J155" t="str">
        <x:v>-8</x:v>
      </x:c>
      <x:c r="K155" t="str">
        <x:v>NPT</x:v>
      </x:c>
      <x:c r="L155" t="str">
        <x:v>M</x:v>
      </x:c>
      <x:c r="M155" t="str">
        <x:v>-6</x:v>
      </x:c>
      <x:c r="N155"/>
      <x:c r="O155"/>
      <x:c r="P155"/>
      <x:c r="Q155" t="str">
        <x:v>YES - RFQ SKU</x:v>
      </x:c>
      <x:c r="R155" s="116" t="str">
        <x:v>https://www.discounthydraulichose.com/fs2404-face-seal-x-male-pipe.html</x:v>
      </x:c>
      <x:c r="S155" s="116" t="str">
        <x:v>Market-reference size combination. Availability, price and lead time are subject to supplier confirmation.</x:v>
      </x:c>
      <x:c r="T155" s="161" t="str">
        <x:v>Eligible</x:v>
      </x:c>
      <x:c r="U155" s="161" t="str">
        <x:v>Pending</x:v>
      </x:c>
    </x:row>
    <x:row r="156" ht="42" hidden="0" customHeight="1">
      <x:c r="A156" t="str">
        <x:v>Draft</x:v>
      </x:c>
      <x:c r="B156" t="str">
        <x:v>ADP_FAM_ORFS_NPT_ST</x:v>
      </x:c>
      <x:c r="C156" t="str">
        <x:v>ADP_ST_ORFS_M_08_NPT_M_08</x:v>
      </x:c>
      <x:c r="D156" t="str">
        <x:v>ADP_ST_ORFS_M_{SIZE1}_NPT_M_{SIZE2}</x:v>
      </x:c>
      <x:c r="E156" t="str">
        <x:v>FS2404-08-08</x:v>
      </x:c>
      <x:c r="F156" s="116" t="str">
        <x:v>Straight ORFS Male -08 to NPTF Male -08 Adapter</x:v>
      </x:c>
      <x:c r="G156" t="str">
        <x:v>ST</x:v>
      </x:c>
      <x:c r="H156" t="str">
        <x:v>ORFS</x:v>
      </x:c>
      <x:c r="I156" t="str">
        <x:v>M</x:v>
      </x:c>
      <x:c r="J156" t="str">
        <x:v>-8</x:v>
      </x:c>
      <x:c r="K156" t="str">
        <x:v>NPT</x:v>
      </x:c>
      <x:c r="L156" t="str">
        <x:v>M</x:v>
      </x:c>
      <x:c r="M156" t="str">
        <x:v>-8</x:v>
      </x:c>
      <x:c r="N156"/>
      <x:c r="O156"/>
      <x:c r="P156"/>
      <x:c r="Q156" t="str">
        <x:v>YES - RFQ SKU</x:v>
      </x:c>
      <x:c r="R156" s="116" t="str">
        <x:v>https://www.discounthydraulichose.com/fs2404-face-seal-x-male-pipe.html</x:v>
      </x:c>
      <x:c r="S156" s="116" t="str">
        <x:v>Market-reference size combination. Availability, price and lead time are subject to supplier confirmation.</x:v>
      </x:c>
      <x:c r="T156" s="161" t="str">
        <x:v>Eligible</x:v>
      </x:c>
      <x:c r="U156" s="161" t="str">
        <x:v>Pending</x:v>
      </x:c>
    </x:row>
    <x:row r="157" ht="42" hidden="0" customHeight="1">
      <x:c r="A157" t="str">
        <x:v>Draft</x:v>
      </x:c>
      <x:c r="B157" t="str">
        <x:v>ADP_FAM_ORFS_NPT_ST</x:v>
      </x:c>
      <x:c r="C157" t="str">
        <x:v>ADP_ST_ORFS_M_08_NPT_M_12</x:v>
      </x:c>
      <x:c r="D157" t="str">
        <x:v>ADP_ST_ORFS_M_{SIZE1}_NPT_M_{SIZE2}</x:v>
      </x:c>
      <x:c r="E157" t="str">
        <x:v>FS2404-08-12</x:v>
      </x:c>
      <x:c r="F157" s="116" t="str">
        <x:v>Straight ORFS Male -08 to NPTF Male -12 Adapter</x:v>
      </x:c>
      <x:c r="G157" t="str">
        <x:v>ST</x:v>
      </x:c>
      <x:c r="H157" t="str">
        <x:v>ORFS</x:v>
      </x:c>
      <x:c r="I157" t="str">
        <x:v>M</x:v>
      </x:c>
      <x:c r="J157" t="str">
        <x:v>-8</x:v>
      </x:c>
      <x:c r="K157" t="str">
        <x:v>NPT</x:v>
      </x:c>
      <x:c r="L157" t="str">
        <x:v>M</x:v>
      </x:c>
      <x:c r="M157" t="str">
        <x:v>-12</x:v>
      </x:c>
      <x:c r="N157"/>
      <x:c r="O157"/>
      <x:c r="P157"/>
      <x:c r="Q157" t="str">
        <x:v>YES - RFQ SKU</x:v>
      </x:c>
      <x:c r="R157" s="116" t="str">
        <x:v>https://www.discounthydraulichose.com/fs2404-face-seal-x-male-pipe.html</x:v>
      </x:c>
      <x:c r="S157" s="116" t="str">
        <x:v>Market-reference size combination. Availability, price and lead time are subject to supplier confirmation.</x:v>
      </x:c>
      <x:c r="T157" s="162" t="str">
        <x:v>Eligible</x:v>
      </x:c>
      <x:c r="U157" s="162" t="str">
        <x:v>Pending</x:v>
      </x:c>
    </x:row>
  </x:sheetData>
  <x:mergeCells>
    <x:mergeCell ref="A1:U1"/>
    <x:mergeCell ref="A2:U2"/>
  </x:mergeCells>
  <x:conditionalFormatting sqref="A5:A21">
    <x:cfRule type="containsText" dxfId="16" priority="1" operator="containsText" text="Ready"/>
    <x:cfRule type="containsText" dxfId="17" priority="2" operator="containsText" text="Blocked"/>
    <x:cfRule type="containsText" dxfId="18" priority="3" operator="containsText" text="Draft"/>
  </x:conditionalFormatting>
  <x:conditionalFormatting sqref="B5:B21">
    <x:cfRule type="duplicateValues" dxfId="19" priority="4"/>
  </x:conditionalFormatting>
  <x:dataValidations count="4">
    <x:dataValidation type="list" sqref="A5:A21">
      <x:formula1>"Draft,Ready,Blocked"</x:formula1>
    </x:dataValidation>
    <x:dataValidation type="list" sqref="A5:A5004">
      <x:formula1>"Draft,Published,Archived"</x:formula1>
    </x:dataValidation>
    <x:dataValidation type="list" sqref="T5:T5004">
      <x:formula1>"Eligible,Manual Quote Only,Blocked"</x:formula1>
    </x:dataValidation>
    <x:dataValidation type="list" sqref="U5:U5004">
      <x:formula1>"Complete,Inherited,Pending"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4339cbdb81b4061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8" hidden="0" customWidth="1"/>
    <x:col min="3" max="3" width="20" hidden="0" customWidth="1"/>
    <x:col min="4" max="4" width="20" hidden="0" customWidth="1"/>
    <x:col min="5" max="5" width="20" hidden="0" customWidth="1"/>
    <x:col min="6" max="6" width="22" hidden="0" customWidth="1"/>
    <x:col min="7" max="7" width="16" hidden="0" customWidth="1"/>
    <x:col min="8" max="8" width="18" hidden="0" customWidth="1"/>
    <x:col min="9" max="9" width="16" hidden="0" customWidth="1"/>
    <x:col min="10" max="10" width="18" hidden="0" customWidth="1"/>
    <x:col min="11" max="11" width="22" hidden="0" customWidth="1"/>
    <x:col min="12" max="12" width="20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26" hidden="0" customWidth="1"/>
    <x:col min="20" max="20" width="16" hidden="0" customWidth="1"/>
    <x:col min="21" max="21" width="16" hidden="0" customWidth="1"/>
    <x:col min="22" max="22" width="18" hidden="0" customWidth="1"/>
    <x:col min="23" max="23" width="16" hidden="0" customWidth="1"/>
    <x:col min="24" max="24" width="20" hidden="0" customWidth="1"/>
    <x:col min="25" max="25" width="48" hidden="0" customWidth="1"/>
    <x:col min="26" max="26" width="62" hidden="0" customWidth="1"/>
    <x:col min="27" max="27" width="19" hidden="0" customWidth="1"/>
    <x:col min="28" max="28" width="22" hidden="0" customWidth="1"/>
  </x:cols>
  <x:sheetData>
    <x:row r="1" ht="30" customHeight="1">
      <x:c r="A1" s="3" t="str">
        <x:v>Quick Couplers / 快速接头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</x:row>
    <x:row r="2" ht="34" customHeight="1">
      <x:c r="A2" s="12" t="str">
        <x:v>填写说明: 57条北美市场快速接头 SKU 可使用 Add to Quote。技术参数不逐条补填；缺失值保持空白并标记 Technical Data Status = Pending，不阻断 RFQ Eligibility = Eligible。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  <x:c r="O2" s="13"/>
      <x:c r="P2" s="13"/>
      <x:c r="Q2" s="13"/>
      <x:c r="R2" s="13"/>
      <x:c r="S2" s="13"/>
      <x:c r="T2" s="13"/>
      <x:c r="U2" s="13"/>
      <x:c r="V2" s="13"/>
      <x:c r="W2" s="13"/>
      <x:c r="X2" s="13"/>
      <x:c r="Y2" s="13"/>
      <x:c r="Z2" s="14"/>
    </x:row>
    <x:row r="4" ht="48" customHeight="1">
      <x:c r="A4" s="20" t="str">
        <x:v>* Catalog Publication Status / 目录发布状态</x:v>
      </x:c>
      <x:c r="B4" s="20" t="str">
        <x:v>* Quick Coupler SKU / 快接SKU</x:v>
      </x:c>
      <x:c r="C4" s="20" t="str">
        <x:v>* Coupler Series / 快接系列</x:v>
      </x:c>
      <x:c r="D4" s="20" t="str">
        <x:v>* Role / 类型</x:v>
      </x:c>
      <x:c r="E4" s="20" t="str">
        <x:v>* Mating Series / 配对系列</x:v>
      </x:c>
      <x:c r="F4" s="20" t="str">
        <x:v>* Interchange Standard / 互换标准</x:v>
      </x:c>
      <x:c r="G4" s="20" t="str">
        <x:v>* Body Size / 阀体尺寸</x:v>
      </x:c>
      <x:c r="H4" s="20" t="str">
        <x:v>* Port Interface / 端口接口</x:v>
      </x:c>
      <x:c r="I4" s="20" t="str">
        <x:v>* Port Gender / 端口公母</x:v>
      </x:c>
      <x:c r="J4" s="20" t="str">
        <x:v>* Port Thread / 端口螺纹</x:v>
      </x:c>
      <x:c r="K4" s="20" t="str">
        <x:v>* Connection Mechanism / 连接机构</x:v>
      </x:c>
      <x:c r="L4" s="20" t="str">
        <x:v>* Valving / 阀结构</x:v>
      </x:c>
      <x:c r="M4" s="163" t="str">
        <x:v>Body Material / 主体材质</x:v>
      </x:c>
      <x:c r="N4" s="163" t="str">
        <x:v>Coating / 表面处理</x:v>
      </x:c>
      <x:c r="O4" s="163" t="str">
        <x:v>Seal Material / 密封材料</x:v>
      </x:c>
      <x:c r="P4" s="163" t="str">
        <x:v>Max Working bar / 最大工作压力</x:v>
      </x:c>
      <x:c r="Q4" s="163" t="str">
        <x:v>Minimum Burst bar / 最小爆破压力</x:v>
      </x:c>
      <x:c r="R4" s="163" t="str">
        <x:v>Rated Flow L/min / 额定流量</x:v>
      </x:c>
      <x:c r="S4" s="163" t="str">
        <x:v>Pressure Drop Basis / 压降条件</x:v>
      </x:c>
      <x:c r="T4" s="163" t="str">
        <x:v>Temp Min °C / 最低温度</x:v>
      </x:c>
      <x:c r="U4" s="163" t="str">
        <x:v>Temp Max °C / 最高温度</x:v>
      </x:c>
      <x:c r="V4" s="163" t="str">
        <x:v>Overall Length mm / 总长</x:v>
      </x:c>
      <x:c r="W4" s="163" t="str">
        <x:v>Unit Weight g / 单重</x:v>
      </x:c>
      <x:c r="X4" s="163" t="str">
        <x:v>Drawing No. / 图纸号</x:v>
      </x:c>
      <x:c r="Y4" s="20" t="str">
        <x:v>* Source Document/Page / 来源</x:v>
      </x:c>
      <x:c r="Z4" s="19" t="str">
        <x:v>Notes / 备注</x:v>
      </x:c>
      <x:c r="AA4" s="154" t="str">
        <x:v>* RFQ Eligibility / 询价资格</x:v>
      </x:c>
      <x:c r="AB4" s="154" t="str">
        <x:v>* Technical Data Status / 技术资料状态</x:v>
      </x:c>
    </x:row>
    <x:row r="5" ht="48" customHeight="1">
      <x:c r="A5" s="69" t="str">
        <x:v>Draft</x:v>
      </x:c>
      <x:c r="B5" s="73" t="str">
        <x:v>QDC_16028_SOC_04_FNPT_04</x:v>
      </x:c>
      <x:c r="C5" s="73" t="str">
        <x:v>ISO 16028 Flat Face</x:v>
      </x:c>
      <x:c r="D5" s="69" t="str">
        <x:v>Coupler/Socket</x:v>
      </x:c>
      <x:c r="E5" s="73" t="str">
        <x:v>ISO 16028</x:v>
      </x:c>
      <x:c r="F5" s="73" t="str">
        <x:v>ISO 16028</x:v>
      </x:c>
      <x:c r="G5" s="73" t="str">
        <x:v>1/4 in</x:v>
      </x:c>
      <x:c r="H5" s="69" t="str">
        <x:v>NPTF</x:v>
      </x:c>
      <x:c r="I5" s="69" t="str">
        <x:v>Female</x:v>
      </x:c>
      <x:c r="J5" s="73" t="str">
        <x:v>1/4-18 NPTF</x:v>
      </x:c>
      <x:c r="K5" s="73" t="str">
        <x:v>Sleeve lock / push-to-connect</x:v>
      </x:c>
      <x:c r="L5" s="73" t="str">
        <x:v>Flat face / double shut-off</x:v>
      </x:c>
      <x:c r="M5" s="73"/>
      <x:c r="N5" s="69"/>
      <x:c r="O5" s="73"/>
      <x:c r="P5" s="74"/>
      <x:c r="Q5" s="74"/>
      <x:c r="R5" s="74"/>
      <x:c r="S5" s="73"/>
      <x:c r="T5" s="74"/>
      <x:c r="U5" s="74"/>
      <x:c r="V5" s="74"/>
      <x:c r="W5" s="74"/>
      <x:c r="X5" s="73"/>
      <x:c r="Y5" s="73" t="str">
        <x:v>62d65f8412ff5.pdf catalog p.52 / PDF p.35; https://ph.parker.com/us/en/product-list/series-fem-if-quick-coupling</x:v>
      </x:c>
      <x:c r="Z5" s="73" t="str">
        <x:v>RFQ-eligible launch SKU. Technical Data Status is Pending; unresolved attributes are omitted from the storefront and confirmed as needed during quote review before PI issuance.</x:v>
      </x:c>
      <x:c r="AA5" s="161" t="str">
        <x:v>Eligible</x:v>
      </x:c>
      <x:c r="AB5" s="161" t="str">
        <x:v>Pending</x:v>
      </x:c>
    </x:row>
    <x:row r="6" ht="48" customHeight="1">
      <x:c r="A6" t="str">
        <x:v>Draft</x:v>
      </x:c>
      <x:c r="B6" t="str">
        <x:v>QDC_16028_PLG_04_FNPT_04</x:v>
      </x:c>
      <x:c r="C6" s="116" t="str">
        <x:v>ISO 16028 Flat Face</x:v>
      </x:c>
      <x:c r="D6" s="116" t="str">
        <x:v>Plug/Nipple</x:v>
      </x:c>
      <x:c r="E6" s="116" t="str">
        <x:v>ISO 16028</x:v>
      </x:c>
      <x:c r="F6" s="116" t="str">
        <x:v>ISO 16028</x:v>
      </x:c>
      <x:c r="G6" s="116" t="str">
        <x:v>1/4 in</x:v>
      </x:c>
      <x:c r="H6" s="116" t="str">
        <x:v>NPTF</x:v>
      </x:c>
      <x:c r="I6" s="116" t="str">
        <x:v>Female</x:v>
      </x:c>
      <x:c r="J6" s="116" t="str">
        <x:v>1/4-18 NPTF</x:v>
      </x:c>
      <x:c r="K6" s="116" t="str">
        <x:v>Sleeve lock / push-to-connect</x:v>
      </x:c>
      <x:c r="L6" s="116" t="str">
        <x:v>Flat face / double shut-off</x:v>
      </x:c>
      <x:c r="M6"/>
      <x:c r="N6"/>
      <x:c r="O6"/>
      <x:c r="P6"/>
      <x:c r="Q6"/>
      <x:c r="R6"/>
      <x:c r="S6"/>
      <x:c r="T6"/>
      <x:c r="U6"/>
      <x:c r="V6"/>
      <x:c r="W6"/>
      <x:c r="X6"/>
      <x:c r="Y6" s="116" t="str">
        <x:v>62d65f8412ff5.pdf catalog p.52 / PDF p.35; https://ph.parker.com/us/en/product-list/series-fem-if-quick-coupling</x:v>
      </x:c>
      <x:c r="Z6" s="116" t="str">
        <x:v>RFQ-eligible launch SKU. Technical Data Status is Pending; unresolved attributes are omitted from the storefront and confirmed as needed during quote review before PI issuance.</x:v>
      </x:c>
      <x:c r="AA6" s="161" t="str">
        <x:v>Eligible</x:v>
      </x:c>
      <x:c r="AB6" s="161" t="str">
        <x:v>Pending</x:v>
      </x:c>
    </x:row>
    <x:row r="7" ht="48" customHeight="1">
      <x:c r="A7" t="str">
        <x:v>Draft</x:v>
      </x:c>
      <x:c r="B7" t="str">
        <x:v>QDC_16028_SET_04_FNPT_04</x:v>
      </x:c>
      <x:c r="C7" s="116" t="str">
        <x:v>ISO 16028 Flat Face</x:v>
      </x:c>
      <x:c r="D7" s="116" t="str">
        <x:v>Complete Pair</x:v>
      </x:c>
      <x:c r="E7" s="116" t="str">
        <x:v>ISO 16028</x:v>
      </x:c>
      <x:c r="F7" s="116" t="str">
        <x:v>ISO 16028</x:v>
      </x:c>
      <x:c r="G7" s="116" t="str">
        <x:v>1/4 in</x:v>
      </x:c>
      <x:c r="H7" s="116" t="str">
        <x:v>NPTF</x:v>
      </x:c>
      <x:c r="I7" s="116" t="str">
        <x:v>Female</x:v>
      </x:c>
      <x:c r="J7" s="116" t="str">
        <x:v>1/4-18 NPTF</x:v>
      </x:c>
      <x:c r="K7" s="116" t="str">
        <x:v>Sleeve lock / push-to-connect</x:v>
      </x:c>
      <x:c r="L7" s="116" t="str">
        <x:v>Flat face / double shut-off</x:v>
      </x:c>
      <x:c r="M7"/>
      <x:c r="N7"/>
      <x:c r="O7"/>
      <x:c r="P7"/>
      <x:c r="Q7"/>
      <x:c r="R7"/>
      <x:c r="S7"/>
      <x:c r="T7"/>
      <x:c r="U7"/>
      <x:c r="V7"/>
      <x:c r="W7"/>
      <x:c r="X7"/>
      <x:c r="Y7" s="116" t="str">
        <x:v>62d65f8412ff5.pdf catalog p.52 / PDF p.35; https://ph.parker.com/us/en/product-list/series-fem-if-quick-coupling</x:v>
      </x:c>
      <x:c r="Z7" s="116" t="str">
        <x:v>RFQ-eligible launch SKU. Technical Data Status is Pending; unresolved attributes are omitted from the storefront and confirmed as needed during quote review before PI issuance.</x:v>
      </x:c>
      <x:c r="AA7" s="161" t="str">
        <x:v>Eligible</x:v>
      </x:c>
      <x:c r="AB7" s="161" t="str">
        <x:v>Pending</x:v>
      </x:c>
    </x:row>
    <x:row r="8" ht="48" customHeight="1">
      <x:c r="A8" t="str">
        <x:v>Draft</x:v>
      </x:c>
      <x:c r="B8" t="str">
        <x:v>QDC_16028_SOC_06_FNPT_06</x:v>
      </x:c>
      <x:c r="C8" s="116" t="str">
        <x:v>ISO 16028 Flat Face</x:v>
      </x:c>
      <x:c r="D8" s="116" t="str">
        <x:v>Coupler/Socket</x:v>
      </x:c>
      <x:c r="E8" s="116" t="str">
        <x:v>ISO 16028</x:v>
      </x:c>
      <x:c r="F8" s="116" t="str">
        <x:v>ISO 16028</x:v>
      </x:c>
      <x:c r="G8" s="116" t="str">
        <x:v>3/8 in</x:v>
      </x:c>
      <x:c r="H8" s="116" t="str">
        <x:v>NPTF</x:v>
      </x:c>
      <x:c r="I8" s="116" t="str">
        <x:v>Female</x:v>
      </x:c>
      <x:c r="J8" s="116" t="str">
        <x:v>3/8-18 NPTF</x:v>
      </x:c>
      <x:c r="K8" s="116" t="str">
        <x:v>Sleeve lock / push-to-connect</x:v>
      </x:c>
      <x:c r="L8" s="116" t="str">
        <x:v>Flat face / double shut-off</x:v>
      </x:c>
      <x:c r="M8"/>
      <x:c r="N8"/>
      <x:c r="O8"/>
      <x:c r="P8"/>
      <x:c r="Q8"/>
      <x:c r="R8"/>
      <x:c r="S8"/>
      <x:c r="T8"/>
      <x:c r="U8"/>
      <x:c r="V8"/>
      <x:c r="W8"/>
      <x:c r="X8"/>
      <x:c r="Y8" s="116" t="str">
        <x:v>62d65f8412ff5.pdf catalog p.52 / PDF p.35; https://ph.parker.com/us/en/product-list/series-fem-if-quick-coupling</x:v>
      </x:c>
      <x:c r="Z8" s="116" t="str">
        <x:v>RFQ-eligible launch SKU. Technical Data Status is Pending; unresolved attributes are omitted from the storefront and confirmed as needed during quote review before PI issuance.</x:v>
      </x:c>
      <x:c r="AA8" s="161" t="str">
        <x:v>Eligible</x:v>
      </x:c>
      <x:c r="AB8" s="161" t="str">
        <x:v>Pending</x:v>
      </x:c>
    </x:row>
    <x:row r="9" ht="48" customHeight="1">
      <x:c r="A9" t="str">
        <x:v>Draft</x:v>
      </x:c>
      <x:c r="B9" t="str">
        <x:v>QDC_16028_PLG_06_FNPT_06</x:v>
      </x:c>
      <x:c r="C9" s="116" t="str">
        <x:v>ISO 16028 Flat Face</x:v>
      </x:c>
      <x:c r="D9" s="116" t="str">
        <x:v>Plug/Nipple</x:v>
      </x:c>
      <x:c r="E9" s="116" t="str">
        <x:v>ISO 16028</x:v>
      </x:c>
      <x:c r="F9" s="116" t="str">
        <x:v>ISO 16028</x:v>
      </x:c>
      <x:c r="G9" s="116" t="str">
        <x:v>3/8 in</x:v>
      </x:c>
      <x:c r="H9" s="116" t="str">
        <x:v>NPTF</x:v>
      </x:c>
      <x:c r="I9" s="116" t="str">
        <x:v>Female</x:v>
      </x:c>
      <x:c r="J9" s="116" t="str">
        <x:v>3/8-18 NPTF</x:v>
      </x:c>
      <x:c r="K9" s="116" t="str">
        <x:v>Sleeve lock / push-to-connect</x:v>
      </x:c>
      <x:c r="L9" s="116" t="str">
        <x:v>Flat face / double shut-off</x:v>
      </x:c>
      <x:c r="M9"/>
      <x:c r="N9"/>
      <x:c r="O9"/>
      <x:c r="P9"/>
      <x:c r="Q9"/>
      <x:c r="R9"/>
      <x:c r="S9"/>
      <x:c r="T9"/>
      <x:c r="U9"/>
      <x:c r="V9"/>
      <x:c r="W9"/>
      <x:c r="X9"/>
      <x:c r="Y9" s="116" t="str">
        <x:v>62d65f8412ff5.pdf catalog p.52 / PDF p.35; https://ph.parker.com/us/en/product-list/series-fem-if-quick-coupling</x:v>
      </x:c>
      <x:c r="Z9" s="116" t="str">
        <x:v>RFQ-eligible launch SKU. Technical Data Status is Pending; unresolved attributes are omitted from the storefront and confirmed as needed during quote review before PI issuance.</x:v>
      </x:c>
      <x:c r="AA9" s="161" t="str">
        <x:v>Eligible</x:v>
      </x:c>
      <x:c r="AB9" s="161" t="str">
        <x:v>Pending</x:v>
      </x:c>
    </x:row>
    <x:row r="10" ht="48" customHeight="1">
      <x:c r="A10" t="str">
        <x:v>Draft</x:v>
      </x:c>
      <x:c r="B10" t="str">
        <x:v>QDC_16028_SET_06_FNPT_06</x:v>
      </x:c>
      <x:c r="C10" s="116" t="str">
        <x:v>ISO 16028 Flat Face</x:v>
      </x:c>
      <x:c r="D10" s="116" t="str">
        <x:v>Complete Pair</x:v>
      </x:c>
      <x:c r="E10" s="116" t="str">
        <x:v>ISO 16028</x:v>
      </x:c>
      <x:c r="F10" s="116" t="str">
        <x:v>ISO 16028</x:v>
      </x:c>
      <x:c r="G10" s="116" t="str">
        <x:v>3/8 in</x:v>
      </x:c>
      <x:c r="H10" s="116" t="str">
        <x:v>NPTF</x:v>
      </x:c>
      <x:c r="I10" s="116" t="str">
        <x:v>Female</x:v>
      </x:c>
      <x:c r="J10" s="116" t="str">
        <x:v>3/8-18 NPTF</x:v>
      </x:c>
      <x:c r="K10" s="116" t="str">
        <x:v>Sleeve lock / push-to-connect</x:v>
      </x:c>
      <x:c r="L10" s="116" t="str">
        <x:v>Flat face / double shut-off</x:v>
      </x:c>
      <x:c r="M10"/>
      <x:c r="N10"/>
      <x:c r="O10"/>
      <x:c r="P10"/>
      <x:c r="Q10"/>
      <x:c r="R10"/>
      <x:c r="S10"/>
      <x:c r="T10"/>
      <x:c r="U10"/>
      <x:c r="V10"/>
      <x:c r="W10"/>
      <x:c r="X10"/>
      <x:c r="Y10" s="116" t="str">
        <x:v>62d65f8412ff5.pdf catalog p.52 / PDF p.35; https://ph.parker.com/us/en/product-list/series-fem-if-quick-coupling</x:v>
      </x:c>
      <x:c r="Z10" s="116" t="str">
        <x:v>RFQ-eligible launch SKU. Technical Data Status is Pending; unresolved attributes are omitted from the storefront and confirmed as needed during quote review before PI issuance.</x:v>
      </x:c>
      <x:c r="AA10" s="161" t="str">
        <x:v>Eligible</x:v>
      </x:c>
      <x:c r="AB10" s="161" t="str">
        <x:v>Pending</x:v>
      </x:c>
    </x:row>
    <x:row r="11" ht="48" customHeight="1">
      <x:c r="A11" t="str">
        <x:v>Draft</x:v>
      </x:c>
      <x:c r="B11" t="str">
        <x:v>QDC_16028_SOC_06_FNPT_08</x:v>
      </x:c>
      <x:c r="C11" s="116" t="str">
        <x:v>ISO 16028 Flat Face</x:v>
      </x:c>
      <x:c r="D11" s="116" t="str">
        <x:v>Coupler/Socket</x:v>
      </x:c>
      <x:c r="E11" s="116" t="str">
        <x:v>ISO 16028</x:v>
      </x:c>
      <x:c r="F11" s="116" t="str">
        <x:v>ISO 16028</x:v>
      </x:c>
      <x:c r="G11" s="116" t="str">
        <x:v>3/8 in</x:v>
      </x:c>
      <x:c r="H11" s="116" t="str">
        <x:v>NPTF</x:v>
      </x:c>
      <x:c r="I11" s="116" t="str">
        <x:v>Female</x:v>
      </x:c>
      <x:c r="J11" s="116" t="str">
        <x:v>1/2-14 NPTF</x:v>
      </x:c>
      <x:c r="K11" s="116" t="str">
        <x:v>Sleeve lock / push-to-connect</x:v>
      </x:c>
      <x:c r="L11" s="116" t="str">
        <x:v>Flat face / double shut-off</x:v>
      </x:c>
      <x:c r="M11"/>
      <x:c r="N11"/>
      <x:c r="O11"/>
      <x:c r="P11"/>
      <x:c r="Q11"/>
      <x:c r="R11"/>
      <x:c r="S11"/>
      <x:c r="T11"/>
      <x:c r="U11"/>
      <x:c r="V11"/>
      <x:c r="W11"/>
      <x:c r="X11"/>
      <x:c r="Y11" s="116" t="str">
        <x:v>62d65f8412ff5.pdf catalog p.52 / PDF p.35; https://ph.parker.com/us/en/product-list/series-fem-if-quick-coupling</x:v>
      </x:c>
      <x:c r="Z11" s="116" t="str">
        <x:v>RFQ-eligible launch SKU. Technical Data Status is Pending; unresolved attributes are omitted from the storefront and confirmed as needed during quote review before PI issuance.</x:v>
      </x:c>
      <x:c r="AA11" s="161" t="str">
        <x:v>Eligible</x:v>
      </x:c>
      <x:c r="AB11" s="161" t="str">
        <x:v>Pending</x:v>
      </x:c>
    </x:row>
    <x:row r="12" ht="48" customHeight="1">
      <x:c r="A12" t="str">
        <x:v>Draft</x:v>
      </x:c>
      <x:c r="B12" t="str">
        <x:v>QDC_16028_PLG_06_FNPT_08</x:v>
      </x:c>
      <x:c r="C12" s="116" t="str">
        <x:v>ISO 16028 Flat Face</x:v>
      </x:c>
      <x:c r="D12" s="116" t="str">
        <x:v>Plug/Nipple</x:v>
      </x:c>
      <x:c r="E12" s="116" t="str">
        <x:v>ISO 16028</x:v>
      </x:c>
      <x:c r="F12" s="116" t="str">
        <x:v>ISO 16028</x:v>
      </x:c>
      <x:c r="G12" s="116" t="str">
        <x:v>3/8 in</x:v>
      </x:c>
      <x:c r="H12" s="116" t="str">
        <x:v>NPTF</x:v>
      </x:c>
      <x:c r="I12" s="116" t="str">
        <x:v>Female</x:v>
      </x:c>
      <x:c r="J12" s="116" t="str">
        <x:v>1/2-14 NPTF</x:v>
      </x:c>
      <x:c r="K12" s="116" t="str">
        <x:v>Sleeve lock / push-to-connect</x:v>
      </x:c>
      <x:c r="L12" s="116" t="str">
        <x:v>Flat face / double shut-off</x:v>
      </x:c>
      <x:c r="M12"/>
      <x:c r="N12"/>
      <x:c r="O12"/>
      <x:c r="P12"/>
      <x:c r="Q12"/>
      <x:c r="R12"/>
      <x:c r="S12"/>
      <x:c r="T12"/>
      <x:c r="U12"/>
      <x:c r="V12"/>
      <x:c r="W12"/>
      <x:c r="X12"/>
      <x:c r="Y12" s="116" t="str">
        <x:v>62d65f8412ff5.pdf catalog p.52 / PDF p.35; https://ph.parker.com/us/en/product-list/series-fem-if-quick-coupling</x:v>
      </x:c>
      <x:c r="Z12" s="116" t="str">
        <x:v>RFQ-eligible launch SKU. Technical Data Status is Pending; unresolved attributes are omitted from the storefront and confirmed as needed during quote review before PI issuance.</x:v>
      </x:c>
      <x:c r="AA12" s="161" t="str">
        <x:v>Eligible</x:v>
      </x:c>
      <x:c r="AB12" s="161" t="str">
        <x:v>Pending</x:v>
      </x:c>
    </x:row>
    <x:row r="13" ht="48" customHeight="1">
      <x:c r="A13" t="str">
        <x:v>Draft</x:v>
      </x:c>
      <x:c r="B13" t="str">
        <x:v>QDC_16028_SET_06_FNPT_08</x:v>
      </x:c>
      <x:c r="C13" s="116" t="str">
        <x:v>ISO 16028 Flat Face</x:v>
      </x:c>
      <x:c r="D13" s="116" t="str">
        <x:v>Complete Pair</x:v>
      </x:c>
      <x:c r="E13" s="116" t="str">
        <x:v>ISO 16028</x:v>
      </x:c>
      <x:c r="F13" s="116" t="str">
        <x:v>ISO 16028</x:v>
      </x:c>
      <x:c r="G13" s="116" t="str">
        <x:v>3/8 in</x:v>
      </x:c>
      <x:c r="H13" s="116" t="str">
        <x:v>NPTF</x:v>
      </x:c>
      <x:c r="I13" s="116" t="str">
        <x:v>Female</x:v>
      </x:c>
      <x:c r="J13" s="116" t="str">
        <x:v>1/2-14 NPTF</x:v>
      </x:c>
      <x:c r="K13" s="116" t="str">
        <x:v>Sleeve lock / push-to-connect</x:v>
      </x:c>
      <x:c r="L13" s="116" t="str">
        <x:v>Flat face / double shut-off</x:v>
      </x:c>
      <x:c r="M13"/>
      <x:c r="N13"/>
      <x:c r="O13"/>
      <x:c r="P13"/>
      <x:c r="Q13"/>
      <x:c r="R13"/>
      <x:c r="S13"/>
      <x:c r="T13"/>
      <x:c r="U13"/>
      <x:c r="V13"/>
      <x:c r="W13"/>
      <x:c r="X13"/>
      <x:c r="Y13" s="116" t="str">
        <x:v>62d65f8412ff5.pdf catalog p.52 / PDF p.35; https://ph.parker.com/us/en/product-list/series-fem-if-quick-coupling</x:v>
      </x:c>
      <x:c r="Z13" s="116" t="str">
        <x:v>RFQ-eligible launch SKU. Technical Data Status is Pending; unresolved attributes are omitted from the storefront and confirmed as needed during quote review before PI issuance.</x:v>
      </x:c>
      <x:c r="AA13" s="161" t="str">
        <x:v>Eligible</x:v>
      </x:c>
      <x:c r="AB13" s="161" t="str">
        <x:v>Pending</x:v>
      </x:c>
    </x:row>
    <x:row r="14" ht="48" customHeight="1">
      <x:c r="A14" t="str">
        <x:v>Draft</x:v>
      </x:c>
      <x:c r="B14" t="str">
        <x:v>QDC_16028_SOC_08_FNPT_08</x:v>
      </x:c>
      <x:c r="C14" s="116" t="str">
        <x:v>ISO 16028 Flat Face</x:v>
      </x:c>
      <x:c r="D14" s="116" t="str">
        <x:v>Coupler/Socket</x:v>
      </x:c>
      <x:c r="E14" s="116" t="str">
        <x:v>ISO 16028</x:v>
      </x:c>
      <x:c r="F14" s="116" t="str">
        <x:v>ISO 16028</x:v>
      </x:c>
      <x:c r="G14" s="116" t="str">
        <x:v>1/2 in</x:v>
      </x:c>
      <x:c r="H14" s="116" t="str">
        <x:v>NPTF</x:v>
      </x:c>
      <x:c r="I14" s="116" t="str">
        <x:v>Female</x:v>
      </x:c>
      <x:c r="J14" s="116" t="str">
        <x:v>1/2-14 NPTF</x:v>
      </x:c>
      <x:c r="K14" s="116" t="str">
        <x:v>Sleeve lock / push-to-connect</x:v>
      </x:c>
      <x:c r="L14" s="116" t="str">
        <x:v>Flat face / double shut-off</x:v>
      </x:c>
      <x:c r="M14"/>
      <x:c r="N14"/>
      <x:c r="O14"/>
      <x:c r="P14"/>
      <x:c r="Q14"/>
      <x:c r="R14"/>
      <x:c r="S14"/>
      <x:c r="T14"/>
      <x:c r="U14"/>
      <x:c r="V14"/>
      <x:c r="W14"/>
      <x:c r="X14"/>
      <x:c r="Y14" s="116" t="str">
        <x:v>62d65f8412ff5.pdf catalog p.52 / PDF p.35; https://ph.parker.com/us/en/product-list/series-fem-if-quick-coupling</x:v>
      </x:c>
      <x:c r="Z14" s="116" t="str">
        <x:v>RFQ-eligible launch SKU. Technical Data Status is Pending; unresolved attributes are omitted from the storefront and confirmed as needed during quote review before PI issuance.</x:v>
      </x:c>
      <x:c r="AA14" s="161" t="str">
        <x:v>Eligible</x:v>
      </x:c>
      <x:c r="AB14" s="161" t="str">
        <x:v>Pending</x:v>
      </x:c>
    </x:row>
    <x:row r="15" ht="48" customHeight="1">
      <x:c r="A15" t="str">
        <x:v>Draft</x:v>
      </x:c>
      <x:c r="B15" t="str">
        <x:v>QDC_16028_PLG_08_FNPT_08</x:v>
      </x:c>
      <x:c r="C15" s="116" t="str">
        <x:v>ISO 16028 Flat Face</x:v>
      </x:c>
      <x:c r="D15" s="116" t="str">
        <x:v>Plug/Nipple</x:v>
      </x:c>
      <x:c r="E15" s="116" t="str">
        <x:v>ISO 16028</x:v>
      </x:c>
      <x:c r="F15" s="116" t="str">
        <x:v>ISO 16028</x:v>
      </x:c>
      <x:c r="G15" s="116" t="str">
        <x:v>1/2 in</x:v>
      </x:c>
      <x:c r="H15" s="116" t="str">
        <x:v>NPTF</x:v>
      </x:c>
      <x:c r="I15" s="116" t="str">
        <x:v>Female</x:v>
      </x:c>
      <x:c r="J15" s="116" t="str">
        <x:v>1/2-14 NPTF</x:v>
      </x:c>
      <x:c r="K15" s="116" t="str">
        <x:v>Sleeve lock / push-to-connect</x:v>
      </x:c>
      <x:c r="L15" s="116" t="str">
        <x:v>Flat face / double shut-off</x:v>
      </x:c>
      <x:c r="M15"/>
      <x:c r="N15"/>
      <x:c r="O15"/>
      <x:c r="P15"/>
      <x:c r="Q15"/>
      <x:c r="R15"/>
      <x:c r="S15"/>
      <x:c r="T15"/>
      <x:c r="U15"/>
      <x:c r="V15"/>
      <x:c r="W15"/>
      <x:c r="X15"/>
      <x:c r="Y15" s="116" t="str">
        <x:v>62d65f8412ff5.pdf catalog p.52 / PDF p.35; https://ph.parker.com/us/en/product-list/series-fem-if-quick-coupling</x:v>
      </x:c>
      <x:c r="Z15" s="116" t="str">
        <x:v>RFQ-eligible launch SKU. Technical Data Status is Pending; unresolved attributes are omitted from the storefront and confirmed as needed during quote review before PI issuance.</x:v>
      </x:c>
      <x:c r="AA15" s="161" t="str">
        <x:v>Eligible</x:v>
      </x:c>
      <x:c r="AB15" s="161" t="str">
        <x:v>Pending</x:v>
      </x:c>
    </x:row>
    <x:row r="16" ht="48" customHeight="1">
      <x:c r="A16" t="str">
        <x:v>Draft</x:v>
      </x:c>
      <x:c r="B16" t="str">
        <x:v>QDC_16028_SET_08_FNPT_08</x:v>
      </x:c>
      <x:c r="C16" s="116" t="str">
        <x:v>ISO 16028 Flat Face</x:v>
      </x:c>
      <x:c r="D16" s="116" t="str">
        <x:v>Complete Pair</x:v>
      </x:c>
      <x:c r="E16" s="116" t="str">
        <x:v>ISO 16028</x:v>
      </x:c>
      <x:c r="F16" s="116" t="str">
        <x:v>ISO 16028</x:v>
      </x:c>
      <x:c r="G16" s="116" t="str">
        <x:v>1/2 in</x:v>
      </x:c>
      <x:c r="H16" s="116" t="str">
        <x:v>NPTF</x:v>
      </x:c>
      <x:c r="I16" s="116" t="str">
        <x:v>Female</x:v>
      </x:c>
      <x:c r="J16" s="116" t="str">
        <x:v>1/2-14 NPTF</x:v>
      </x:c>
      <x:c r="K16" s="116" t="str">
        <x:v>Sleeve lock / push-to-connect</x:v>
      </x:c>
      <x:c r="L16" s="116" t="str">
        <x:v>Flat face / double shut-off</x:v>
      </x:c>
      <x:c r="M16"/>
      <x:c r="N16"/>
      <x:c r="O16"/>
      <x:c r="P16"/>
      <x:c r="Q16"/>
      <x:c r="R16"/>
      <x:c r="S16"/>
      <x:c r="T16"/>
      <x:c r="U16"/>
      <x:c r="V16"/>
      <x:c r="W16"/>
      <x:c r="X16"/>
      <x:c r="Y16" s="116" t="str">
        <x:v>62d65f8412ff5.pdf catalog p.52 / PDF p.35; https://ph.parker.com/us/en/product-list/series-fem-if-quick-coupling</x:v>
      </x:c>
      <x:c r="Z16" s="116" t="str">
        <x:v>RFQ-eligible launch SKU. Technical Data Status is Pending; unresolved attributes are omitted from the storefront and confirmed as needed during quote review before PI issuance.</x:v>
      </x:c>
      <x:c r="AA16" s="161" t="str">
        <x:v>Eligible</x:v>
      </x:c>
      <x:c r="AB16" s="161" t="str">
        <x:v>Pending</x:v>
      </x:c>
    </x:row>
    <x:row r="17" ht="48" customHeight="1">
      <x:c r="A17" t="str">
        <x:v>Draft</x:v>
      </x:c>
      <x:c r="B17" t="str">
        <x:v>QDC_16028_SOC_08_FNPT_12</x:v>
      </x:c>
      <x:c r="C17" s="116" t="str">
        <x:v>ISO 16028 Flat Face</x:v>
      </x:c>
      <x:c r="D17" s="116" t="str">
        <x:v>Coupler/Socket</x:v>
      </x:c>
      <x:c r="E17" s="116" t="str">
        <x:v>ISO 16028</x:v>
      </x:c>
      <x:c r="F17" s="116" t="str">
        <x:v>ISO 16028</x:v>
      </x:c>
      <x:c r="G17" s="116" t="str">
        <x:v>1/2 in</x:v>
      </x:c>
      <x:c r="H17" s="116" t="str">
        <x:v>NPTF</x:v>
      </x:c>
      <x:c r="I17" s="116" t="str">
        <x:v>Female</x:v>
      </x:c>
      <x:c r="J17" s="116" t="str">
        <x:v>3/4-14 NPTF</x:v>
      </x:c>
      <x:c r="K17" s="116" t="str">
        <x:v>Sleeve lock / push-to-connect</x:v>
      </x:c>
      <x:c r="L17" s="116" t="str">
        <x:v>Flat face / double shut-off</x:v>
      </x:c>
      <x:c r="M17"/>
      <x:c r="N17"/>
      <x:c r="O17"/>
      <x:c r="P17"/>
      <x:c r="Q17"/>
      <x:c r="R17"/>
      <x:c r="S17"/>
      <x:c r="T17"/>
      <x:c r="U17"/>
      <x:c r="V17"/>
      <x:c r="W17"/>
      <x:c r="X17"/>
      <x:c r="Y17" s="116" t="str">
        <x:v>62d65f8412ff5.pdf catalog p.52 / PDF p.35; https://ph.parker.com/us/en/product-list/series-fem-if-quick-coupling</x:v>
      </x:c>
      <x:c r="Z17" s="116" t="str">
        <x:v>RFQ-eligible launch SKU. Technical Data Status is Pending; unresolved attributes are omitted from the storefront and confirmed as needed during quote review before PI issuance.</x:v>
      </x:c>
      <x:c r="AA17" s="161" t="str">
        <x:v>Eligible</x:v>
      </x:c>
      <x:c r="AB17" s="161" t="str">
        <x:v>Pending</x:v>
      </x:c>
    </x:row>
    <x:row r="18" ht="48" customHeight="1">
      <x:c r="A18" t="str">
        <x:v>Draft</x:v>
      </x:c>
      <x:c r="B18" t="str">
        <x:v>QDC_16028_PLG_08_FNPT_12</x:v>
      </x:c>
      <x:c r="C18" s="116" t="str">
        <x:v>ISO 16028 Flat Face</x:v>
      </x:c>
      <x:c r="D18" s="116" t="str">
        <x:v>Plug/Nipple</x:v>
      </x:c>
      <x:c r="E18" s="116" t="str">
        <x:v>ISO 16028</x:v>
      </x:c>
      <x:c r="F18" s="116" t="str">
        <x:v>ISO 16028</x:v>
      </x:c>
      <x:c r="G18" s="116" t="str">
        <x:v>1/2 in</x:v>
      </x:c>
      <x:c r="H18" s="116" t="str">
        <x:v>NPTF</x:v>
      </x:c>
      <x:c r="I18" s="116" t="str">
        <x:v>Female</x:v>
      </x:c>
      <x:c r="J18" s="116" t="str">
        <x:v>3/4-14 NPTF</x:v>
      </x:c>
      <x:c r="K18" s="116" t="str">
        <x:v>Sleeve lock / push-to-connect</x:v>
      </x:c>
      <x:c r="L18" s="116" t="str">
        <x:v>Flat face / double shut-off</x:v>
      </x:c>
      <x:c r="M18"/>
      <x:c r="N18"/>
      <x:c r="O18"/>
      <x:c r="P18"/>
      <x:c r="Q18"/>
      <x:c r="R18"/>
      <x:c r="S18"/>
      <x:c r="T18"/>
      <x:c r="U18"/>
      <x:c r="V18"/>
      <x:c r="W18"/>
      <x:c r="X18"/>
      <x:c r="Y18" s="116" t="str">
        <x:v>62d65f8412ff5.pdf catalog p.52 / PDF p.35; https://ph.parker.com/us/en/product-list/series-fem-if-quick-coupling</x:v>
      </x:c>
      <x:c r="Z18" s="116" t="str">
        <x:v>RFQ-eligible launch SKU. Technical Data Status is Pending; unresolved attributes are omitted from the storefront and confirmed as needed during quote review before PI issuance.</x:v>
      </x:c>
      <x:c r="AA18" s="161" t="str">
        <x:v>Eligible</x:v>
      </x:c>
      <x:c r="AB18" s="161" t="str">
        <x:v>Pending</x:v>
      </x:c>
    </x:row>
    <x:row r="19" ht="48" customHeight="1">
      <x:c r="A19" t="str">
        <x:v>Draft</x:v>
      </x:c>
      <x:c r="B19" t="str">
        <x:v>QDC_16028_SET_08_FNPT_12</x:v>
      </x:c>
      <x:c r="C19" s="116" t="str">
        <x:v>ISO 16028 Flat Face</x:v>
      </x:c>
      <x:c r="D19" s="116" t="str">
        <x:v>Complete Pair</x:v>
      </x:c>
      <x:c r="E19" s="116" t="str">
        <x:v>ISO 16028</x:v>
      </x:c>
      <x:c r="F19" s="116" t="str">
        <x:v>ISO 16028</x:v>
      </x:c>
      <x:c r="G19" s="116" t="str">
        <x:v>1/2 in</x:v>
      </x:c>
      <x:c r="H19" s="116" t="str">
        <x:v>NPTF</x:v>
      </x:c>
      <x:c r="I19" s="116" t="str">
        <x:v>Female</x:v>
      </x:c>
      <x:c r="J19" s="116" t="str">
        <x:v>3/4-14 NPTF</x:v>
      </x:c>
      <x:c r="K19" s="116" t="str">
        <x:v>Sleeve lock / push-to-connect</x:v>
      </x:c>
      <x:c r="L19" s="116" t="str">
        <x:v>Flat face / double shut-off</x:v>
      </x:c>
      <x:c r="M19"/>
      <x:c r="N19"/>
      <x:c r="O19"/>
      <x:c r="P19"/>
      <x:c r="Q19"/>
      <x:c r="R19"/>
      <x:c r="S19"/>
      <x:c r="T19"/>
      <x:c r="U19"/>
      <x:c r="V19"/>
      <x:c r="W19"/>
      <x:c r="X19"/>
      <x:c r="Y19" s="116" t="str">
        <x:v>62d65f8412ff5.pdf catalog p.52 / PDF p.35; https://ph.parker.com/us/en/product-list/series-fem-if-quick-coupling</x:v>
      </x:c>
      <x:c r="Z19" s="116" t="str">
        <x:v>RFQ-eligible launch SKU. Technical Data Status is Pending; unresolved attributes are omitted from the storefront and confirmed as needed during quote review before PI issuance.</x:v>
      </x:c>
      <x:c r="AA19" s="161" t="str">
        <x:v>Eligible</x:v>
      </x:c>
      <x:c r="AB19" s="161" t="str">
        <x:v>Pending</x:v>
      </x:c>
    </x:row>
    <x:row r="20" ht="48" customHeight="1">
      <x:c r="A20" t="str">
        <x:v>Draft</x:v>
      </x:c>
      <x:c r="B20" t="str">
        <x:v>QDC_16028_SOC_12_FNPT_12</x:v>
      </x:c>
      <x:c r="C20" s="116" t="str">
        <x:v>ISO 16028 Flat Face</x:v>
      </x:c>
      <x:c r="D20" s="116" t="str">
        <x:v>Coupler/Socket</x:v>
      </x:c>
      <x:c r="E20" s="116" t="str">
        <x:v>ISO 16028</x:v>
      </x:c>
      <x:c r="F20" s="116" t="str">
        <x:v>ISO 16028</x:v>
      </x:c>
      <x:c r="G20" s="116" t="str">
        <x:v>3/4 in</x:v>
      </x:c>
      <x:c r="H20" s="116" t="str">
        <x:v>NPTF</x:v>
      </x:c>
      <x:c r="I20" s="116" t="str">
        <x:v>Female</x:v>
      </x:c>
      <x:c r="J20" s="116" t="str">
        <x:v>3/4-14 NPTF</x:v>
      </x:c>
      <x:c r="K20" s="116" t="str">
        <x:v>Sleeve lock / push-to-connect</x:v>
      </x:c>
      <x:c r="L20" s="116" t="str">
        <x:v>Flat face / double shut-off</x:v>
      </x:c>
      <x:c r="M20"/>
      <x:c r="N20"/>
      <x:c r="O20"/>
      <x:c r="P20"/>
      <x:c r="Q20"/>
      <x:c r="R20"/>
      <x:c r="S20"/>
      <x:c r="T20"/>
      <x:c r="U20"/>
      <x:c r="V20"/>
      <x:c r="W20"/>
      <x:c r="X20"/>
      <x:c r="Y20" s="116" t="str">
        <x:v>62d65f8412ff5.pdf catalog p.52 / PDF p.35; https://ph.parker.com/us/en/product-list/series-fem-if-quick-coupling</x:v>
      </x:c>
      <x:c r="Z20" s="116" t="str">
        <x:v>RFQ-eligible launch SKU. Technical Data Status is Pending; unresolved attributes are omitted from the storefront and confirmed as needed during quote review before PI issuance.</x:v>
      </x:c>
      <x:c r="AA20" s="161" t="str">
        <x:v>Eligible</x:v>
      </x:c>
      <x:c r="AB20" s="161" t="str">
        <x:v>Pending</x:v>
      </x:c>
    </x:row>
    <x:row r="21" ht="48" customHeight="1">
      <x:c r="A21" t="str">
        <x:v>Draft</x:v>
      </x:c>
      <x:c r="B21" t="str">
        <x:v>QDC_16028_PLG_12_FNPT_12</x:v>
      </x:c>
      <x:c r="C21" s="116" t="str">
        <x:v>ISO 16028 Flat Face</x:v>
      </x:c>
      <x:c r="D21" s="116" t="str">
        <x:v>Plug/Nipple</x:v>
      </x:c>
      <x:c r="E21" s="116" t="str">
        <x:v>ISO 16028</x:v>
      </x:c>
      <x:c r="F21" s="116" t="str">
        <x:v>ISO 16028</x:v>
      </x:c>
      <x:c r="G21" s="116" t="str">
        <x:v>3/4 in</x:v>
      </x:c>
      <x:c r="H21" s="116" t="str">
        <x:v>NPTF</x:v>
      </x:c>
      <x:c r="I21" s="116" t="str">
        <x:v>Female</x:v>
      </x:c>
      <x:c r="J21" s="116" t="str">
        <x:v>3/4-14 NPTF</x:v>
      </x:c>
      <x:c r="K21" s="116" t="str">
        <x:v>Sleeve lock / push-to-connect</x:v>
      </x:c>
      <x:c r="L21" s="116" t="str">
        <x:v>Flat face / double shut-off</x:v>
      </x:c>
      <x:c r="M21"/>
      <x:c r="N21"/>
      <x:c r="O21"/>
      <x:c r="P21"/>
      <x:c r="Q21"/>
      <x:c r="R21"/>
      <x:c r="S21"/>
      <x:c r="T21"/>
      <x:c r="U21"/>
      <x:c r="V21"/>
      <x:c r="W21"/>
      <x:c r="X21"/>
      <x:c r="Y21" s="116" t="str">
        <x:v>62d65f8412ff5.pdf catalog p.52 / PDF p.35; https://ph.parker.com/us/en/product-list/series-fem-if-quick-coupling</x:v>
      </x:c>
      <x:c r="Z21" s="116" t="str">
        <x:v>RFQ-eligible launch SKU. Technical Data Status is Pending; unresolved attributes are omitted from the storefront and confirmed as needed during quote review before PI issuance.</x:v>
      </x:c>
      <x:c r="AA21" s="161" t="str">
        <x:v>Eligible</x:v>
      </x:c>
      <x:c r="AB21" s="161" t="str">
        <x:v>Pending</x:v>
      </x:c>
    </x:row>
    <x:row r="22" ht="48" customHeight="1">
      <x:c r="A22" t="str">
        <x:v>Draft</x:v>
      </x:c>
      <x:c r="B22" t="str">
        <x:v>QDC_16028_SET_12_FNPT_12</x:v>
      </x:c>
      <x:c r="C22" s="116" t="str">
        <x:v>ISO 16028 Flat Face</x:v>
      </x:c>
      <x:c r="D22" s="116" t="str">
        <x:v>Complete Pair</x:v>
      </x:c>
      <x:c r="E22" s="116" t="str">
        <x:v>ISO 16028</x:v>
      </x:c>
      <x:c r="F22" s="116" t="str">
        <x:v>ISO 16028</x:v>
      </x:c>
      <x:c r="G22" s="116" t="str">
        <x:v>3/4 in</x:v>
      </x:c>
      <x:c r="H22" s="116" t="str">
        <x:v>NPTF</x:v>
      </x:c>
      <x:c r="I22" s="116" t="str">
        <x:v>Female</x:v>
      </x:c>
      <x:c r="J22" s="116" t="str">
        <x:v>3/4-14 NPTF</x:v>
      </x:c>
      <x:c r="K22" s="116" t="str">
        <x:v>Sleeve lock / push-to-connect</x:v>
      </x:c>
      <x:c r="L22" s="116" t="str">
        <x:v>Flat face / double shut-off</x:v>
      </x:c>
      <x:c r="M22"/>
      <x:c r="N22"/>
      <x:c r="O22"/>
      <x:c r="P22"/>
      <x:c r="Q22"/>
      <x:c r="R22"/>
      <x:c r="S22"/>
      <x:c r="T22"/>
      <x:c r="U22"/>
      <x:c r="V22"/>
      <x:c r="W22"/>
      <x:c r="X22"/>
      <x:c r="Y22" s="116" t="str">
        <x:v>62d65f8412ff5.pdf catalog p.52 / PDF p.35; https://ph.parker.com/us/en/product-list/series-fem-if-quick-coupling</x:v>
      </x:c>
      <x:c r="Z22" s="116" t="str">
        <x:v>RFQ-eligible launch SKU. Technical Data Status is Pending; unresolved attributes are omitted from the storefront and confirmed as needed during quote review before PI issuance.</x:v>
      </x:c>
      <x:c r="AA22" s="161" t="str">
        <x:v>Eligible</x:v>
      </x:c>
      <x:c r="AB22" s="161" t="str">
        <x:v>Pending</x:v>
      </x:c>
    </x:row>
    <x:row r="23" ht="48" customHeight="1">
      <x:c r="A23" t="str">
        <x:v>Draft</x:v>
      </x:c>
      <x:c r="B23" t="str">
        <x:v>QDC_16028_SOC_16_FNPT_16</x:v>
      </x:c>
      <x:c r="C23" s="116" t="str">
        <x:v>ISO 16028 Flat Face</x:v>
      </x:c>
      <x:c r="D23" s="116" t="str">
        <x:v>Coupler/Socket</x:v>
      </x:c>
      <x:c r="E23" s="116" t="str">
        <x:v>ISO 16028</x:v>
      </x:c>
      <x:c r="F23" s="116" t="str">
        <x:v>ISO 16028</x:v>
      </x:c>
      <x:c r="G23" s="116" t="str">
        <x:v>1 in</x:v>
      </x:c>
      <x:c r="H23" s="116" t="str">
        <x:v>NPTF</x:v>
      </x:c>
      <x:c r="I23" s="116" t="str">
        <x:v>Female</x:v>
      </x:c>
      <x:c r="J23" s="116" t="str">
        <x:v>1-11.5 NPTF</x:v>
      </x:c>
      <x:c r="K23" s="116" t="str">
        <x:v>Sleeve lock / push-to-connect</x:v>
      </x:c>
      <x:c r="L23" s="116" t="str">
        <x:v>Flat face / double shut-off</x:v>
      </x:c>
      <x:c r="M23"/>
      <x:c r="N23"/>
      <x:c r="O23"/>
      <x:c r="P23"/>
      <x:c r="Q23"/>
      <x:c r="R23"/>
      <x:c r="S23"/>
      <x:c r="T23"/>
      <x:c r="U23"/>
      <x:c r="V23"/>
      <x:c r="W23"/>
      <x:c r="X23"/>
      <x:c r="Y23" s="116" t="str">
        <x:v>62d65f8412ff5.pdf catalog p.52 / PDF p.35; https://ph.parker.com/us/en/product-list/series-fem-if-quick-coupling</x:v>
      </x:c>
      <x:c r="Z23" s="116" t="str">
        <x:v>RFQ-eligible launch SKU. Technical Data Status is Pending; unresolved attributes are omitted from the storefront and confirmed as needed during quote review before PI issuance.</x:v>
      </x:c>
      <x:c r="AA23" s="161" t="str">
        <x:v>Eligible</x:v>
      </x:c>
      <x:c r="AB23" s="161" t="str">
        <x:v>Pending</x:v>
      </x:c>
    </x:row>
    <x:row r="24" ht="48" customHeight="1">
      <x:c r="A24" t="str">
        <x:v>Draft</x:v>
      </x:c>
      <x:c r="B24" t="str">
        <x:v>QDC_16028_PLG_16_FNPT_16</x:v>
      </x:c>
      <x:c r="C24" s="116" t="str">
        <x:v>ISO 16028 Flat Face</x:v>
      </x:c>
      <x:c r="D24" s="116" t="str">
        <x:v>Plug/Nipple</x:v>
      </x:c>
      <x:c r="E24" s="116" t="str">
        <x:v>ISO 16028</x:v>
      </x:c>
      <x:c r="F24" s="116" t="str">
        <x:v>ISO 16028</x:v>
      </x:c>
      <x:c r="G24" s="116" t="str">
        <x:v>1 in</x:v>
      </x:c>
      <x:c r="H24" s="116" t="str">
        <x:v>NPTF</x:v>
      </x:c>
      <x:c r="I24" s="116" t="str">
        <x:v>Female</x:v>
      </x:c>
      <x:c r="J24" s="116" t="str">
        <x:v>1-11.5 NPTF</x:v>
      </x:c>
      <x:c r="K24" s="116" t="str">
        <x:v>Sleeve lock / push-to-connect</x:v>
      </x:c>
      <x:c r="L24" s="116" t="str">
        <x:v>Flat face / double shut-off</x:v>
      </x:c>
      <x:c r="M24"/>
      <x:c r="N24"/>
      <x:c r="O24"/>
      <x:c r="P24"/>
      <x:c r="Q24"/>
      <x:c r="R24"/>
      <x:c r="S24"/>
      <x:c r="T24"/>
      <x:c r="U24"/>
      <x:c r="V24"/>
      <x:c r="W24"/>
      <x:c r="X24"/>
      <x:c r="Y24" s="116" t="str">
        <x:v>62d65f8412ff5.pdf catalog p.52 / PDF p.35; https://ph.parker.com/us/en/product-list/series-fem-if-quick-coupling</x:v>
      </x:c>
      <x:c r="Z24" s="116" t="str">
        <x:v>RFQ-eligible launch SKU. Technical Data Status is Pending; unresolved attributes are omitted from the storefront and confirmed as needed during quote review before PI issuance.</x:v>
      </x:c>
      <x:c r="AA24" s="161" t="str">
        <x:v>Eligible</x:v>
      </x:c>
      <x:c r="AB24" s="161" t="str">
        <x:v>Pending</x:v>
      </x:c>
    </x:row>
    <x:row r="25" ht="48" customHeight="1">
      <x:c r="A25" t="str">
        <x:v>Draft</x:v>
      </x:c>
      <x:c r="B25" t="str">
        <x:v>QDC_16028_SET_16_FNPT_16</x:v>
      </x:c>
      <x:c r="C25" s="116" t="str">
        <x:v>ISO 16028 Flat Face</x:v>
      </x:c>
      <x:c r="D25" s="116" t="str">
        <x:v>Complete Pair</x:v>
      </x:c>
      <x:c r="E25" s="116" t="str">
        <x:v>ISO 16028</x:v>
      </x:c>
      <x:c r="F25" s="116" t="str">
        <x:v>ISO 16028</x:v>
      </x:c>
      <x:c r="G25" s="116" t="str">
        <x:v>1 in</x:v>
      </x:c>
      <x:c r="H25" s="116" t="str">
        <x:v>NPTF</x:v>
      </x:c>
      <x:c r="I25" s="116" t="str">
        <x:v>Female</x:v>
      </x:c>
      <x:c r="J25" s="116" t="str">
        <x:v>1-11.5 NPTF</x:v>
      </x:c>
      <x:c r="K25" s="116" t="str">
        <x:v>Sleeve lock / push-to-connect</x:v>
      </x:c>
      <x:c r="L25" s="116" t="str">
        <x:v>Flat face / double shut-off</x:v>
      </x:c>
      <x:c r="M25"/>
      <x:c r="N25"/>
      <x:c r="O25"/>
      <x:c r="P25"/>
      <x:c r="Q25"/>
      <x:c r="R25"/>
      <x:c r="S25"/>
      <x:c r="T25"/>
      <x:c r="U25"/>
      <x:c r="V25"/>
      <x:c r="W25"/>
      <x:c r="X25"/>
      <x:c r="Y25" s="116" t="str">
        <x:v>62d65f8412ff5.pdf catalog p.52 / PDF p.35; https://ph.parker.com/us/en/product-list/series-fem-if-quick-coupling</x:v>
      </x:c>
      <x:c r="Z25" s="116" t="str">
        <x:v>RFQ-eligible launch SKU. Technical Data Status is Pending; unresolved attributes are omitted from the storefront and confirmed as needed during quote review before PI issuance.</x:v>
      </x:c>
      <x:c r="AA25" s="161" t="str">
        <x:v>Eligible</x:v>
      </x:c>
      <x:c r="AB25" s="161" t="str">
        <x:v>Pending</x:v>
      </x:c>
    </x:row>
    <x:row r="26" ht="48" customHeight="1">
      <x:c r="A26" t="str">
        <x:v>Draft</x:v>
      </x:c>
      <x:c r="B26" t="str">
        <x:v>QDC_5675_SOC_08_FNPT_08</x:v>
      </x:c>
      <x:c r="C26" s="116" t="str">
        <x:v>ISO 5675 Agricultural</x:v>
      </x:c>
      <x:c r="D26" s="116" t="str">
        <x:v>Coupler/Socket</x:v>
      </x:c>
      <x:c r="E26" s="116" t="str">
        <x:v>ISO 5675 Universal</x:v>
      </x:c>
      <x:c r="F26" s="116" t="str">
        <x:v>ISO 5675</x:v>
      </x:c>
      <x:c r="G26" s="116" t="str">
        <x:v>1/2 in</x:v>
      </x:c>
      <x:c r="H26" s="116" t="str">
        <x:v>NPTF</x:v>
      </x:c>
      <x:c r="I26" s="116" t="str">
        <x:v>Female</x:v>
      </x:c>
      <x:c r="J26" s="116" t="str">
        <x:v>1/2-14 NPTF</x:v>
      </x:c>
      <x:c r="K26" s="116" t="str">
        <x:v>Ball lock / push-pull</x:v>
      </x:c>
      <x:c r="L26" s="116" t="str">
        <x:v>Poppet / double shut-off</x:v>
      </x:c>
      <x:c r="M26"/>
      <x:c r="N26"/>
      <x:c r="O26"/>
      <x:c r="P26"/>
      <x:c r="Q26"/>
      <x:c r="R26"/>
      <x:c r="S26"/>
      <x:c r="T26"/>
      <x:c r="U26"/>
      <x:c r="V26"/>
      <x:c r="W26"/>
      <x:c r="X26"/>
      <x:c r="Y26" s="116" t="str">
        <x:v>62d65f8412ff5.pdf catalog p.52 / PDF p.35; https://ph.parker.com/us/en/8010-4p</x:v>
      </x:c>
      <x:c r="Z26" s="116" t="str">
        <x:v>RFQ-eligible launch SKU. Technical Data Status is Pending; unresolved attributes are omitted from the storefront and confirmed as needed during quote review before PI issuance.</x:v>
      </x:c>
      <x:c r="AA26" s="161" t="str">
        <x:v>Eligible</x:v>
      </x:c>
      <x:c r="AB26" s="161" t="str">
        <x:v>Pending</x:v>
      </x:c>
    </x:row>
    <x:row r="27" ht="48" customHeight="1">
      <x:c r="A27" t="str">
        <x:v>Draft</x:v>
      </x:c>
      <x:c r="B27" t="str">
        <x:v>QDC_5675_PLG_08_FNPT_08</x:v>
      </x:c>
      <x:c r="C27" s="116" t="str">
        <x:v>ISO 5675 Agricultural</x:v>
      </x:c>
      <x:c r="D27" s="116" t="str">
        <x:v>Plug/Nipple</x:v>
      </x:c>
      <x:c r="E27" s="116" t="str">
        <x:v>ISO 5675 Universal</x:v>
      </x:c>
      <x:c r="F27" s="116" t="str">
        <x:v>ISO 5675</x:v>
      </x:c>
      <x:c r="G27" s="116" t="str">
        <x:v>1/2 in</x:v>
      </x:c>
      <x:c r="H27" s="116" t="str">
        <x:v>NPTF</x:v>
      </x:c>
      <x:c r="I27" s="116" t="str">
        <x:v>Female</x:v>
      </x:c>
      <x:c r="J27" s="116" t="str">
        <x:v>1/2-14 NPTF</x:v>
      </x:c>
      <x:c r="K27" s="116" t="str">
        <x:v>Ball lock / push-pull</x:v>
      </x:c>
      <x:c r="L27" s="116" t="str">
        <x:v>Poppet / double shut-off</x:v>
      </x:c>
      <x:c r="M27"/>
      <x:c r="N27"/>
      <x:c r="O27"/>
      <x:c r="P27"/>
      <x:c r="Q27"/>
      <x:c r="R27"/>
      <x:c r="S27"/>
      <x:c r="T27"/>
      <x:c r="U27"/>
      <x:c r="V27"/>
      <x:c r="W27"/>
      <x:c r="X27"/>
      <x:c r="Y27" s="116" t="str">
        <x:v>62d65f8412ff5.pdf catalog p.52 / PDF p.35; https://ph.parker.com/us/en/8010-4p</x:v>
      </x:c>
      <x:c r="Z27" s="116" t="str">
        <x:v>RFQ-eligible launch SKU. Technical Data Status is Pending; unresolved attributes are omitted from the storefront and confirmed as needed during quote review before PI issuance.</x:v>
      </x:c>
      <x:c r="AA27" s="161" t="str">
        <x:v>Eligible</x:v>
      </x:c>
      <x:c r="AB27" s="161" t="str">
        <x:v>Pending</x:v>
      </x:c>
    </x:row>
    <x:row r="28" ht="48" customHeight="1">
      <x:c r="A28" t="str">
        <x:v>Draft</x:v>
      </x:c>
      <x:c r="B28" t="str">
        <x:v>QDC_5675_SET_08_FNPT_08</x:v>
      </x:c>
      <x:c r="C28" s="116" t="str">
        <x:v>ISO 5675 Agricultural</x:v>
      </x:c>
      <x:c r="D28" s="116" t="str">
        <x:v>Complete Pair</x:v>
      </x:c>
      <x:c r="E28" s="116" t="str">
        <x:v>ISO 5675 Universal</x:v>
      </x:c>
      <x:c r="F28" s="116" t="str">
        <x:v>ISO 5675</x:v>
      </x:c>
      <x:c r="G28" s="116" t="str">
        <x:v>1/2 in</x:v>
      </x:c>
      <x:c r="H28" s="116" t="str">
        <x:v>NPTF</x:v>
      </x:c>
      <x:c r="I28" s="116" t="str">
        <x:v>Female</x:v>
      </x:c>
      <x:c r="J28" s="116" t="str">
        <x:v>1/2-14 NPTF</x:v>
      </x:c>
      <x:c r="K28" s="116" t="str">
        <x:v>Ball lock / push-pull</x:v>
      </x:c>
      <x:c r="L28" s="116" t="str">
        <x:v>Poppet / double shut-off</x:v>
      </x:c>
      <x:c r="M28"/>
      <x:c r="N28"/>
      <x:c r="O28"/>
      <x:c r="P28"/>
      <x:c r="Q28"/>
      <x:c r="R28"/>
      <x:c r="S28"/>
      <x:c r="T28"/>
      <x:c r="U28"/>
      <x:c r="V28"/>
      <x:c r="W28"/>
      <x:c r="X28"/>
      <x:c r="Y28" s="116" t="str">
        <x:v>62d65f8412ff5.pdf catalog p.52 / PDF p.35; https://ph.parker.com/us/en/8010-4p</x:v>
      </x:c>
      <x:c r="Z28" s="116" t="str">
        <x:v>RFQ-eligible launch SKU. Technical Data Status is Pending; unresolved attributes are omitted from the storefront and confirmed as needed during quote review before PI issuance.</x:v>
      </x:c>
      <x:c r="AA28" s="161" t="str">
        <x:v>Eligible</x:v>
      </x:c>
      <x:c r="AB28" s="161" t="str">
        <x:v>Pending</x:v>
      </x:c>
    </x:row>
    <x:row r="29" ht="48" customHeight="1">
      <x:c r="A29" t="str">
        <x:v>Draft</x:v>
      </x:c>
      <x:c r="B29" t="str">
        <x:v>QDC_5675_SOC_08_FORB_08</x:v>
      </x:c>
      <x:c r="C29" s="116" t="str">
        <x:v>ISO 5675 Agricultural</x:v>
      </x:c>
      <x:c r="D29" s="116" t="str">
        <x:v>Coupler/Socket</x:v>
      </x:c>
      <x:c r="E29" s="116" t="str">
        <x:v>ISO 5675 Universal</x:v>
      </x:c>
      <x:c r="F29" s="116" t="str">
        <x:v>ISO 5675</x:v>
      </x:c>
      <x:c r="G29" s="116" t="str">
        <x:v>1/2 in</x:v>
      </x:c>
      <x:c r="H29" s="116" t="str">
        <x:v>ORB</x:v>
      </x:c>
      <x:c r="I29" s="116" t="str">
        <x:v>Female</x:v>
      </x:c>
      <x:c r="J29" s="116" t="str">
        <x:v>3/4-16 UNF-2B</x:v>
      </x:c>
      <x:c r="K29" s="116" t="str">
        <x:v>Ball lock / push-pull</x:v>
      </x:c>
      <x:c r="L29" s="116" t="str">
        <x:v>Poppet / double shut-off</x:v>
      </x:c>
      <x:c r="M29"/>
      <x:c r="N29"/>
      <x:c r="O29"/>
      <x:c r="P29"/>
      <x:c r="Q29"/>
      <x:c r="R29"/>
      <x:c r="S29"/>
      <x:c r="T29"/>
      <x:c r="U29"/>
      <x:c r="V29"/>
      <x:c r="W29"/>
      <x:c r="X29"/>
      <x:c r="Y29" s="116" t="str">
        <x:v>62d65f8412ff5.pdf catalog p.52 / PDF p.35; https://ph.parker.com/us/en/8010-4p</x:v>
      </x:c>
      <x:c r="Z29" s="116" t="str">
        <x:v>RFQ-eligible launch SKU. Technical Data Status is Pending; unresolved attributes are omitted from the storefront and confirmed as needed during quote review before PI issuance.</x:v>
      </x:c>
      <x:c r="AA29" s="161" t="str">
        <x:v>Eligible</x:v>
      </x:c>
      <x:c r="AB29" s="161" t="str">
        <x:v>Pending</x:v>
      </x:c>
    </x:row>
    <x:row r="30" ht="48" customHeight="1">
      <x:c r="A30" t="str">
        <x:v>Draft</x:v>
      </x:c>
      <x:c r="B30" t="str">
        <x:v>QDC_5675_PLG_08_FORB_08</x:v>
      </x:c>
      <x:c r="C30" s="116" t="str">
        <x:v>ISO 5675 Agricultural</x:v>
      </x:c>
      <x:c r="D30" s="116" t="str">
        <x:v>Plug/Nipple</x:v>
      </x:c>
      <x:c r="E30" s="116" t="str">
        <x:v>ISO 5675 Universal</x:v>
      </x:c>
      <x:c r="F30" s="116" t="str">
        <x:v>ISO 5675</x:v>
      </x:c>
      <x:c r="G30" s="116" t="str">
        <x:v>1/2 in</x:v>
      </x:c>
      <x:c r="H30" s="116" t="str">
        <x:v>ORB</x:v>
      </x:c>
      <x:c r="I30" s="116" t="str">
        <x:v>Female</x:v>
      </x:c>
      <x:c r="J30" s="116" t="str">
        <x:v>3/4-16 UNF-2B</x:v>
      </x:c>
      <x:c r="K30" s="116" t="str">
        <x:v>Ball lock / push-pull</x:v>
      </x:c>
      <x:c r="L30" s="116" t="str">
        <x:v>Poppet / double shut-off</x:v>
      </x:c>
      <x:c r="M30"/>
      <x:c r="N30"/>
      <x:c r="O30"/>
      <x:c r="P30"/>
      <x:c r="Q30"/>
      <x:c r="R30"/>
      <x:c r="S30"/>
      <x:c r="T30"/>
      <x:c r="U30"/>
      <x:c r="V30"/>
      <x:c r="W30"/>
      <x:c r="X30"/>
      <x:c r="Y30" s="116" t="str">
        <x:v>62d65f8412ff5.pdf catalog p.52 / PDF p.35; https://ph.parker.com/us/en/8010-4p</x:v>
      </x:c>
      <x:c r="Z30" s="116" t="str">
        <x:v>RFQ-eligible launch SKU. Technical Data Status is Pending; unresolved attributes are omitted from the storefront and confirmed as needed during quote review before PI issuance.</x:v>
      </x:c>
      <x:c r="AA30" s="161" t="str">
        <x:v>Eligible</x:v>
      </x:c>
      <x:c r="AB30" s="161" t="str">
        <x:v>Pending</x:v>
      </x:c>
    </x:row>
    <x:row r="31" ht="48" customHeight="1">
      <x:c r="A31" t="str">
        <x:v>Draft</x:v>
      </x:c>
      <x:c r="B31" t="str">
        <x:v>QDC_5675_SET_08_FORB_08</x:v>
      </x:c>
      <x:c r="C31" s="116" t="str">
        <x:v>ISO 5675 Agricultural</x:v>
      </x:c>
      <x:c r="D31" s="116" t="str">
        <x:v>Complete Pair</x:v>
      </x:c>
      <x:c r="E31" s="116" t="str">
        <x:v>ISO 5675 Universal</x:v>
      </x:c>
      <x:c r="F31" s="116" t="str">
        <x:v>ISO 5675</x:v>
      </x:c>
      <x:c r="G31" s="116" t="str">
        <x:v>1/2 in</x:v>
      </x:c>
      <x:c r="H31" s="116" t="str">
        <x:v>ORB</x:v>
      </x:c>
      <x:c r="I31" s="116" t="str">
        <x:v>Female</x:v>
      </x:c>
      <x:c r="J31" s="116" t="str">
        <x:v>3/4-16 UNF-2B</x:v>
      </x:c>
      <x:c r="K31" s="116" t="str">
        <x:v>Ball lock / push-pull</x:v>
      </x:c>
      <x:c r="L31" s="116" t="str">
        <x:v>Poppet / double shut-off</x:v>
      </x:c>
      <x:c r="M31"/>
      <x:c r="N31"/>
      <x:c r="O31"/>
      <x:c r="P31"/>
      <x:c r="Q31"/>
      <x:c r="R31"/>
      <x:c r="S31"/>
      <x:c r="T31"/>
      <x:c r="U31"/>
      <x:c r="V31"/>
      <x:c r="W31"/>
      <x:c r="X31"/>
      <x:c r="Y31" s="116" t="str">
        <x:v>62d65f8412ff5.pdf catalog p.52 / PDF p.35; https://ph.parker.com/us/en/8010-4p</x:v>
      </x:c>
      <x:c r="Z31" s="116" t="str">
        <x:v>RFQ-eligible launch SKU. Technical Data Status is Pending; unresolved attributes are omitted from the storefront and confirmed as needed during quote review before PI issuance.</x:v>
      </x:c>
      <x:c r="AA31" s="161" t="str">
        <x:v>Eligible</x:v>
      </x:c>
      <x:c r="AB31" s="161" t="str">
        <x:v>Pending</x:v>
      </x:c>
    </x:row>
    <x:row r="32" ht="48" customHeight="1">
      <x:c r="A32" t="str">
        <x:v>Draft</x:v>
      </x:c>
      <x:c r="B32" t="str">
        <x:v>QDC_7241A_SOC_04_FNPT_04</x:v>
      </x:c>
      <x:c r="C32" s="116" t="str">
        <x:v>ISO 7241-1 Series A</x:v>
      </x:c>
      <x:c r="D32" s="116" t="str">
        <x:v>Coupler/Socket</x:v>
      </x:c>
      <x:c r="E32" s="116" t="str">
        <x:v>ISO 7241-1 Series A</x:v>
      </x:c>
      <x:c r="F32" s="116" t="str">
        <x:v>ISO 7241-1 Series A</x:v>
      </x:c>
      <x:c r="G32" s="116" t="str">
        <x:v>1/4 in</x:v>
      </x:c>
      <x:c r="H32" s="116" t="str">
        <x:v>NPTF</x:v>
      </x:c>
      <x:c r="I32" s="116" t="str">
        <x:v>Female</x:v>
      </x:c>
      <x:c r="J32" s="116" t="str">
        <x:v>1/4-18 NPTF</x:v>
      </x:c>
      <x:c r="K32" s="116" t="str">
        <x:v>Ball lock / manual connect</x:v>
      </x:c>
      <x:c r="L32" s="116" t="str">
        <x:v>Poppet / double shut-off</x:v>
      </x:c>
      <x:c r="M32"/>
      <x:c r="N32"/>
      <x:c r="O32"/>
      <x:c r="P32"/>
      <x:c r="Q32"/>
      <x:c r="R32"/>
      <x:c r="S32"/>
      <x:c r="T32"/>
      <x:c r="U32"/>
      <x:c r="V32"/>
      <x:c r="W32"/>
      <x:c r="X32"/>
      <x:c r="Y32" s="116" t="str">
        <x:v>62d65f8412ff5.pdf catalog p.52 / PDF p.35; https://ph.parker.com/us/en/product/multi-purpose-hydrualic-quick-couplings-iso-7241-series-a-interchange-6600-series/6601-16-16</x:v>
      </x:c>
      <x:c r="Z32" s="116" t="str">
        <x:v>RFQ-eligible launch SKU. Technical Data Status is Pending; unresolved attributes are omitted from the storefront and confirmed as needed during quote review before PI issuance.</x:v>
      </x:c>
      <x:c r="AA32" s="161" t="str">
        <x:v>Eligible</x:v>
      </x:c>
      <x:c r="AB32" s="161" t="str">
        <x:v>Pending</x:v>
      </x:c>
    </x:row>
    <x:row r="33" ht="48" customHeight="1">
      <x:c r="A33" t="str">
        <x:v>Draft</x:v>
      </x:c>
      <x:c r="B33" t="str">
        <x:v>QDC_7241A_PLG_04_FNPT_04</x:v>
      </x:c>
      <x:c r="C33" s="116" t="str">
        <x:v>ISO 7241-1 Series A</x:v>
      </x:c>
      <x:c r="D33" s="116" t="str">
        <x:v>Plug/Nipple</x:v>
      </x:c>
      <x:c r="E33" s="116" t="str">
        <x:v>ISO 7241-1 Series A</x:v>
      </x:c>
      <x:c r="F33" s="116" t="str">
        <x:v>ISO 7241-1 Series A</x:v>
      </x:c>
      <x:c r="G33" s="116" t="str">
        <x:v>1/4 in</x:v>
      </x:c>
      <x:c r="H33" s="116" t="str">
        <x:v>NPTF</x:v>
      </x:c>
      <x:c r="I33" s="116" t="str">
        <x:v>Female</x:v>
      </x:c>
      <x:c r="J33" s="116" t="str">
        <x:v>1/4-18 NPTF</x:v>
      </x:c>
      <x:c r="K33" s="116" t="str">
        <x:v>Ball lock / manual connect</x:v>
      </x:c>
      <x:c r="L33" s="116" t="str">
        <x:v>Poppet / double shut-off</x:v>
      </x:c>
      <x:c r="M33"/>
      <x:c r="N33"/>
      <x:c r="O33"/>
      <x:c r="P33"/>
      <x:c r="Q33"/>
      <x:c r="R33"/>
      <x:c r="S33"/>
      <x:c r="T33"/>
      <x:c r="U33"/>
      <x:c r="V33"/>
      <x:c r="W33"/>
      <x:c r="X33"/>
      <x:c r="Y33" s="116" t="str">
        <x:v>62d65f8412ff5.pdf catalog p.52 / PDF p.35; https://ph.parker.com/us/en/product/multi-purpose-hydrualic-quick-couplings-iso-7241-series-a-interchange-6600-series/6601-16-16</x:v>
      </x:c>
      <x:c r="Z33" s="116" t="str">
        <x:v>RFQ-eligible launch SKU. Technical Data Status is Pending; unresolved attributes are omitted from the storefront and confirmed as needed during quote review before PI issuance.</x:v>
      </x:c>
      <x:c r="AA33" s="161" t="str">
        <x:v>Eligible</x:v>
      </x:c>
      <x:c r="AB33" s="161" t="str">
        <x:v>Pending</x:v>
      </x:c>
    </x:row>
    <x:row r="34" ht="48" customHeight="1">
      <x:c r="A34" t="str">
        <x:v>Draft</x:v>
      </x:c>
      <x:c r="B34" t="str">
        <x:v>QDC_7241A_SET_04_FNPT_04</x:v>
      </x:c>
      <x:c r="C34" s="116" t="str">
        <x:v>ISO 7241-1 Series A</x:v>
      </x:c>
      <x:c r="D34" s="116" t="str">
        <x:v>Complete Pair</x:v>
      </x:c>
      <x:c r="E34" s="116" t="str">
        <x:v>ISO 7241-1 Series A</x:v>
      </x:c>
      <x:c r="F34" s="116" t="str">
        <x:v>ISO 7241-1 Series A</x:v>
      </x:c>
      <x:c r="G34" s="116" t="str">
        <x:v>1/4 in</x:v>
      </x:c>
      <x:c r="H34" s="116" t="str">
        <x:v>NPTF</x:v>
      </x:c>
      <x:c r="I34" s="116" t="str">
        <x:v>Female</x:v>
      </x:c>
      <x:c r="J34" s="116" t="str">
        <x:v>1/4-18 NPTF</x:v>
      </x:c>
      <x:c r="K34" s="116" t="str">
        <x:v>Ball lock / manual connect</x:v>
      </x:c>
      <x:c r="L34" s="116" t="str">
        <x:v>Poppet / double shut-off</x:v>
      </x:c>
      <x:c r="M34"/>
      <x:c r="N34"/>
      <x:c r="O34"/>
      <x:c r="P34"/>
      <x:c r="Q34"/>
      <x:c r="R34"/>
      <x:c r="S34"/>
      <x:c r="T34"/>
      <x:c r="U34"/>
      <x:c r="V34"/>
      <x:c r="W34"/>
      <x:c r="X34"/>
      <x:c r="Y34" s="116" t="str">
        <x:v>62d65f8412ff5.pdf catalog p.52 / PDF p.35; https://ph.parker.com/us/en/product/multi-purpose-hydrualic-quick-couplings-iso-7241-series-a-interchange-6600-series/6601-16-16</x:v>
      </x:c>
      <x:c r="Z34" s="116" t="str">
        <x:v>RFQ-eligible launch SKU. Technical Data Status is Pending; unresolved attributes are omitted from the storefront and confirmed as needed during quote review before PI issuance.</x:v>
      </x:c>
      <x:c r="AA34" s="161" t="str">
        <x:v>Eligible</x:v>
      </x:c>
      <x:c r="AB34" s="161" t="str">
        <x:v>Pending</x:v>
      </x:c>
    </x:row>
    <x:row r="35" ht="48" customHeight="1">
      <x:c r="A35" t="str">
        <x:v>Draft</x:v>
      </x:c>
      <x:c r="B35" t="str">
        <x:v>QDC_7241A_SOC_06_FNPT_06</x:v>
      </x:c>
      <x:c r="C35" s="116" t="str">
        <x:v>ISO 7241-1 Series A</x:v>
      </x:c>
      <x:c r="D35" s="116" t="str">
        <x:v>Coupler/Socket</x:v>
      </x:c>
      <x:c r="E35" s="116" t="str">
        <x:v>ISO 7241-1 Series A</x:v>
      </x:c>
      <x:c r="F35" s="116" t="str">
        <x:v>ISO 7241-1 Series A</x:v>
      </x:c>
      <x:c r="G35" s="116" t="str">
        <x:v>3/8 in</x:v>
      </x:c>
      <x:c r="H35" s="116" t="str">
        <x:v>NPTF</x:v>
      </x:c>
      <x:c r="I35" s="116" t="str">
        <x:v>Female</x:v>
      </x:c>
      <x:c r="J35" s="116" t="str">
        <x:v>3/8-18 NPTF</x:v>
      </x:c>
      <x:c r="K35" s="116" t="str">
        <x:v>Ball lock / manual connect</x:v>
      </x:c>
      <x:c r="L35" s="116" t="str">
        <x:v>Poppet / double shut-off</x:v>
      </x:c>
      <x:c r="M35"/>
      <x:c r="N35"/>
      <x:c r="O35"/>
      <x:c r="P35"/>
      <x:c r="Q35"/>
      <x:c r="R35"/>
      <x:c r="S35"/>
      <x:c r="T35"/>
      <x:c r="U35"/>
      <x:c r="V35"/>
      <x:c r="W35"/>
      <x:c r="X35"/>
      <x:c r="Y35" s="116" t="str">
        <x:v>62d65f8412ff5.pdf catalog p.52 / PDF p.35; https://ph.parker.com/us/en/product/multi-purpose-hydrualic-quick-couplings-iso-7241-series-a-interchange-6600-series/6601-16-16</x:v>
      </x:c>
      <x:c r="Z35" s="116" t="str">
        <x:v>RFQ-eligible launch SKU. Technical Data Status is Pending; unresolved attributes are omitted from the storefront and confirmed as needed during quote review before PI issuance.</x:v>
      </x:c>
      <x:c r="AA35" s="161" t="str">
        <x:v>Eligible</x:v>
      </x:c>
      <x:c r="AB35" s="161" t="str">
        <x:v>Pending</x:v>
      </x:c>
    </x:row>
    <x:row r="36" ht="48" customHeight="1">
      <x:c r="A36" t="str">
        <x:v>Draft</x:v>
      </x:c>
      <x:c r="B36" t="str">
        <x:v>QDC_7241A_PLG_06_FNPT_06</x:v>
      </x:c>
      <x:c r="C36" s="116" t="str">
        <x:v>ISO 7241-1 Series A</x:v>
      </x:c>
      <x:c r="D36" s="116" t="str">
        <x:v>Plug/Nipple</x:v>
      </x:c>
      <x:c r="E36" s="116" t="str">
        <x:v>ISO 7241-1 Series A</x:v>
      </x:c>
      <x:c r="F36" s="116" t="str">
        <x:v>ISO 7241-1 Series A</x:v>
      </x:c>
      <x:c r="G36" s="116" t="str">
        <x:v>3/8 in</x:v>
      </x:c>
      <x:c r="H36" s="116" t="str">
        <x:v>NPTF</x:v>
      </x:c>
      <x:c r="I36" s="116" t="str">
        <x:v>Female</x:v>
      </x:c>
      <x:c r="J36" s="116" t="str">
        <x:v>3/8-18 NPTF</x:v>
      </x:c>
      <x:c r="K36" s="116" t="str">
        <x:v>Ball lock / manual connect</x:v>
      </x:c>
      <x:c r="L36" s="116" t="str">
        <x:v>Poppet / double shut-off</x:v>
      </x:c>
      <x:c r="M36"/>
      <x:c r="N36"/>
      <x:c r="O36"/>
      <x:c r="P36"/>
      <x:c r="Q36"/>
      <x:c r="R36"/>
      <x:c r="S36"/>
      <x:c r="T36"/>
      <x:c r="U36"/>
      <x:c r="V36"/>
      <x:c r="W36"/>
      <x:c r="X36"/>
      <x:c r="Y36" s="116" t="str">
        <x:v>62d65f8412ff5.pdf catalog p.52 / PDF p.35; https://ph.parker.com/us/en/product/multi-purpose-hydrualic-quick-couplings-iso-7241-series-a-interchange-6600-series/6601-16-16</x:v>
      </x:c>
      <x:c r="Z36" s="116" t="str">
        <x:v>RFQ-eligible launch SKU. Technical Data Status is Pending; unresolved attributes are omitted from the storefront and confirmed as needed during quote review before PI issuance.</x:v>
      </x:c>
      <x:c r="AA36" s="161" t="str">
        <x:v>Eligible</x:v>
      </x:c>
      <x:c r="AB36" s="161" t="str">
        <x:v>Pending</x:v>
      </x:c>
    </x:row>
    <x:row r="37" ht="48" customHeight="1">
      <x:c r="A37" t="str">
        <x:v>Draft</x:v>
      </x:c>
      <x:c r="B37" t="str">
        <x:v>QDC_7241A_SET_06_FNPT_06</x:v>
      </x:c>
      <x:c r="C37" s="116" t="str">
        <x:v>ISO 7241-1 Series A</x:v>
      </x:c>
      <x:c r="D37" s="116" t="str">
        <x:v>Complete Pair</x:v>
      </x:c>
      <x:c r="E37" s="116" t="str">
        <x:v>ISO 7241-1 Series A</x:v>
      </x:c>
      <x:c r="F37" s="116" t="str">
        <x:v>ISO 7241-1 Series A</x:v>
      </x:c>
      <x:c r="G37" s="116" t="str">
        <x:v>3/8 in</x:v>
      </x:c>
      <x:c r="H37" s="116" t="str">
        <x:v>NPTF</x:v>
      </x:c>
      <x:c r="I37" s="116" t="str">
        <x:v>Female</x:v>
      </x:c>
      <x:c r="J37" s="116" t="str">
        <x:v>3/8-18 NPTF</x:v>
      </x:c>
      <x:c r="K37" s="116" t="str">
        <x:v>Ball lock / manual connect</x:v>
      </x:c>
      <x:c r="L37" s="116" t="str">
        <x:v>Poppet / double shut-off</x:v>
      </x:c>
      <x:c r="M37"/>
      <x:c r="N37"/>
      <x:c r="O37"/>
      <x:c r="P37"/>
      <x:c r="Q37"/>
      <x:c r="R37"/>
      <x:c r="S37"/>
      <x:c r="T37"/>
      <x:c r="U37"/>
      <x:c r="V37"/>
      <x:c r="W37"/>
      <x:c r="X37"/>
      <x:c r="Y37" s="116" t="str">
        <x:v>62d65f8412ff5.pdf catalog p.52 / PDF p.35; https://ph.parker.com/us/en/product/multi-purpose-hydrualic-quick-couplings-iso-7241-series-a-interchange-6600-series/6601-16-16</x:v>
      </x:c>
      <x:c r="Z37" s="116" t="str">
        <x:v>RFQ-eligible launch SKU. Technical Data Status is Pending; unresolved attributes are omitted from the storefront and confirmed as needed during quote review before PI issuance.</x:v>
      </x:c>
      <x:c r="AA37" s="161" t="str">
        <x:v>Eligible</x:v>
      </x:c>
      <x:c r="AB37" s="161" t="str">
        <x:v>Pending</x:v>
      </x:c>
    </x:row>
    <x:row r="38" ht="48" customHeight="1">
      <x:c r="A38" t="str">
        <x:v>Draft</x:v>
      </x:c>
      <x:c r="B38" t="str">
        <x:v>QDC_7241A_SOC_08_FNPT_08</x:v>
      </x:c>
      <x:c r="C38" s="116" t="str">
        <x:v>ISO 7241-1 Series A</x:v>
      </x:c>
      <x:c r="D38" s="116" t="str">
        <x:v>Coupler/Socket</x:v>
      </x:c>
      <x:c r="E38" s="116" t="str">
        <x:v>ISO 7241-1 Series A</x:v>
      </x:c>
      <x:c r="F38" s="116" t="str">
        <x:v>ISO 7241-1 Series A</x:v>
      </x:c>
      <x:c r="G38" s="116" t="str">
        <x:v>1/2 in</x:v>
      </x:c>
      <x:c r="H38" s="116" t="str">
        <x:v>NPTF</x:v>
      </x:c>
      <x:c r="I38" s="116" t="str">
        <x:v>Female</x:v>
      </x:c>
      <x:c r="J38" s="116" t="str">
        <x:v>1/2-14 NPTF</x:v>
      </x:c>
      <x:c r="K38" s="116" t="str">
        <x:v>Ball lock / manual connect</x:v>
      </x:c>
      <x:c r="L38" s="116" t="str">
        <x:v>Poppet / double shut-off</x:v>
      </x:c>
      <x:c r="M38"/>
      <x:c r="N38"/>
      <x:c r="O38"/>
      <x:c r="P38"/>
      <x:c r="Q38"/>
      <x:c r="R38"/>
      <x:c r="S38"/>
      <x:c r="T38"/>
      <x:c r="U38"/>
      <x:c r="V38"/>
      <x:c r="W38"/>
      <x:c r="X38"/>
      <x:c r="Y38" s="116" t="str">
        <x:v>62d65f8412ff5.pdf catalog p.52 / PDF p.35; https://ph.parker.com/us/en/product/multi-purpose-hydrualic-quick-couplings-iso-7241-series-a-interchange-6600-series/6601-16-16</x:v>
      </x:c>
      <x:c r="Z38" s="116" t="str">
        <x:v>RFQ-eligible launch SKU. Technical Data Status is Pending; unresolved attributes are omitted from the storefront and confirmed as needed during quote review before PI issuance.</x:v>
      </x:c>
      <x:c r="AA38" s="161" t="str">
        <x:v>Eligible</x:v>
      </x:c>
      <x:c r="AB38" s="161" t="str">
        <x:v>Pending</x:v>
      </x:c>
    </x:row>
    <x:row r="39" ht="48" customHeight="1">
      <x:c r="A39" t="str">
        <x:v>Draft</x:v>
      </x:c>
      <x:c r="B39" t="str">
        <x:v>QDC_7241A_PLG_08_FNPT_08</x:v>
      </x:c>
      <x:c r="C39" s="116" t="str">
        <x:v>ISO 7241-1 Series A</x:v>
      </x:c>
      <x:c r="D39" s="116" t="str">
        <x:v>Plug/Nipple</x:v>
      </x:c>
      <x:c r="E39" s="116" t="str">
        <x:v>ISO 7241-1 Series A</x:v>
      </x:c>
      <x:c r="F39" s="116" t="str">
        <x:v>ISO 7241-1 Series A</x:v>
      </x:c>
      <x:c r="G39" s="116" t="str">
        <x:v>1/2 in</x:v>
      </x:c>
      <x:c r="H39" s="116" t="str">
        <x:v>NPTF</x:v>
      </x:c>
      <x:c r="I39" s="116" t="str">
        <x:v>Female</x:v>
      </x:c>
      <x:c r="J39" s="116" t="str">
        <x:v>1/2-14 NPTF</x:v>
      </x:c>
      <x:c r="K39" s="116" t="str">
        <x:v>Ball lock / manual connect</x:v>
      </x:c>
      <x:c r="L39" s="116" t="str">
        <x:v>Poppet / double shut-off</x:v>
      </x:c>
      <x:c r="M39"/>
      <x:c r="N39"/>
      <x:c r="O39"/>
      <x:c r="P39"/>
      <x:c r="Q39"/>
      <x:c r="R39"/>
      <x:c r="S39"/>
      <x:c r="T39"/>
      <x:c r="U39"/>
      <x:c r="V39"/>
      <x:c r="W39"/>
      <x:c r="X39"/>
      <x:c r="Y39" s="116" t="str">
        <x:v>62d65f8412ff5.pdf catalog p.52 / PDF p.35; https://ph.parker.com/us/en/product/multi-purpose-hydrualic-quick-couplings-iso-7241-series-a-interchange-6600-series/6601-16-16</x:v>
      </x:c>
      <x:c r="Z39" s="116" t="str">
        <x:v>RFQ-eligible launch SKU. Technical Data Status is Pending; unresolved attributes are omitted from the storefront and confirmed as needed during quote review before PI issuance.</x:v>
      </x:c>
      <x:c r="AA39" s="161" t="str">
        <x:v>Eligible</x:v>
      </x:c>
      <x:c r="AB39" s="161" t="str">
        <x:v>Pending</x:v>
      </x:c>
    </x:row>
    <x:row r="40" ht="48" customHeight="1">
      <x:c r="A40" t="str">
        <x:v>Draft</x:v>
      </x:c>
      <x:c r="B40" t="str">
        <x:v>QDC_7241A_SET_08_FNPT_08</x:v>
      </x:c>
      <x:c r="C40" s="116" t="str">
        <x:v>ISO 7241-1 Series A</x:v>
      </x:c>
      <x:c r="D40" s="116" t="str">
        <x:v>Complete Pair</x:v>
      </x:c>
      <x:c r="E40" s="116" t="str">
        <x:v>ISO 7241-1 Series A</x:v>
      </x:c>
      <x:c r="F40" s="116" t="str">
        <x:v>ISO 7241-1 Series A</x:v>
      </x:c>
      <x:c r="G40" s="116" t="str">
        <x:v>1/2 in</x:v>
      </x:c>
      <x:c r="H40" s="116" t="str">
        <x:v>NPTF</x:v>
      </x:c>
      <x:c r="I40" s="116" t="str">
        <x:v>Female</x:v>
      </x:c>
      <x:c r="J40" s="116" t="str">
        <x:v>1/2-14 NPTF</x:v>
      </x:c>
      <x:c r="K40" s="116" t="str">
        <x:v>Ball lock / manual connect</x:v>
      </x:c>
      <x:c r="L40" s="116" t="str">
        <x:v>Poppet / double shut-off</x:v>
      </x:c>
      <x:c r="M40"/>
      <x:c r="N40"/>
      <x:c r="O40"/>
      <x:c r="P40"/>
      <x:c r="Q40"/>
      <x:c r="R40"/>
      <x:c r="S40"/>
      <x:c r="T40"/>
      <x:c r="U40"/>
      <x:c r="V40"/>
      <x:c r="W40"/>
      <x:c r="X40"/>
      <x:c r="Y40" s="116" t="str">
        <x:v>62d65f8412ff5.pdf catalog p.52 / PDF p.35; https://ph.parker.com/us/en/product/multi-purpose-hydrualic-quick-couplings-iso-7241-series-a-interchange-6600-series/6601-16-16</x:v>
      </x:c>
      <x:c r="Z40" s="116" t="str">
        <x:v>RFQ-eligible launch SKU. Technical Data Status is Pending; unresolved attributes are omitted from the storefront and confirmed as needed during quote review before PI issuance.</x:v>
      </x:c>
      <x:c r="AA40" s="161" t="str">
        <x:v>Eligible</x:v>
      </x:c>
      <x:c r="AB40" s="161" t="str">
        <x:v>Pending</x:v>
      </x:c>
    </x:row>
    <x:row r="41" ht="48" customHeight="1">
      <x:c r="A41" t="str">
        <x:v>Draft</x:v>
      </x:c>
      <x:c r="B41" t="str">
        <x:v>QDC_7241A_SOC_12_FNPT_12</x:v>
      </x:c>
      <x:c r="C41" s="116" t="str">
        <x:v>ISO 7241-1 Series A</x:v>
      </x:c>
      <x:c r="D41" s="116" t="str">
        <x:v>Coupler/Socket</x:v>
      </x:c>
      <x:c r="E41" s="116" t="str">
        <x:v>ISO 7241-1 Series A</x:v>
      </x:c>
      <x:c r="F41" s="116" t="str">
        <x:v>ISO 7241-1 Series A</x:v>
      </x:c>
      <x:c r="G41" s="116" t="str">
        <x:v>3/4 in</x:v>
      </x:c>
      <x:c r="H41" s="116" t="str">
        <x:v>NPTF</x:v>
      </x:c>
      <x:c r="I41" s="116" t="str">
        <x:v>Female</x:v>
      </x:c>
      <x:c r="J41" s="116" t="str">
        <x:v>3/4-14 NPTF</x:v>
      </x:c>
      <x:c r="K41" s="116" t="str">
        <x:v>Ball lock / manual connect</x:v>
      </x:c>
      <x:c r="L41" s="116" t="str">
        <x:v>Poppet / double shut-off</x:v>
      </x:c>
      <x:c r="M41"/>
      <x:c r="N41"/>
      <x:c r="O41"/>
      <x:c r="P41"/>
      <x:c r="Q41"/>
      <x:c r="R41"/>
      <x:c r="S41"/>
      <x:c r="T41"/>
      <x:c r="U41"/>
      <x:c r="V41"/>
      <x:c r="W41"/>
      <x:c r="X41"/>
      <x:c r="Y41" s="116" t="str">
        <x:v>62d65f8412ff5.pdf catalog p.52 / PDF p.35; https://ph.parker.com/us/en/product/multi-purpose-hydrualic-quick-couplings-iso-7241-series-a-interchange-6600-series/6601-16-16</x:v>
      </x:c>
      <x:c r="Z41" s="116" t="str">
        <x:v>RFQ-eligible launch SKU. Technical Data Status is Pending; unresolved attributes are omitted from the storefront and confirmed as needed during quote review before PI issuance.</x:v>
      </x:c>
      <x:c r="AA41" s="161" t="str">
        <x:v>Eligible</x:v>
      </x:c>
      <x:c r="AB41" s="161" t="str">
        <x:v>Pending</x:v>
      </x:c>
    </x:row>
    <x:row r="42" ht="48" customHeight="1">
      <x:c r="A42" t="str">
        <x:v>Draft</x:v>
      </x:c>
      <x:c r="B42" t="str">
        <x:v>QDC_7241A_PLG_12_FNPT_12</x:v>
      </x:c>
      <x:c r="C42" s="116" t="str">
        <x:v>ISO 7241-1 Series A</x:v>
      </x:c>
      <x:c r="D42" s="116" t="str">
        <x:v>Plug/Nipple</x:v>
      </x:c>
      <x:c r="E42" s="116" t="str">
        <x:v>ISO 7241-1 Series A</x:v>
      </x:c>
      <x:c r="F42" s="116" t="str">
        <x:v>ISO 7241-1 Series A</x:v>
      </x:c>
      <x:c r="G42" s="116" t="str">
        <x:v>3/4 in</x:v>
      </x:c>
      <x:c r="H42" s="116" t="str">
        <x:v>NPTF</x:v>
      </x:c>
      <x:c r="I42" s="116" t="str">
        <x:v>Female</x:v>
      </x:c>
      <x:c r="J42" s="116" t="str">
        <x:v>3/4-14 NPTF</x:v>
      </x:c>
      <x:c r="K42" s="116" t="str">
        <x:v>Ball lock / manual connect</x:v>
      </x:c>
      <x:c r="L42" s="116" t="str">
        <x:v>Poppet / double shut-off</x:v>
      </x:c>
      <x:c r="M42"/>
      <x:c r="N42"/>
      <x:c r="O42"/>
      <x:c r="P42"/>
      <x:c r="Q42"/>
      <x:c r="R42"/>
      <x:c r="S42"/>
      <x:c r="T42"/>
      <x:c r="U42"/>
      <x:c r="V42"/>
      <x:c r="W42"/>
      <x:c r="X42"/>
      <x:c r="Y42" s="116" t="str">
        <x:v>62d65f8412ff5.pdf catalog p.52 / PDF p.35; https://ph.parker.com/us/en/product/multi-purpose-hydrualic-quick-couplings-iso-7241-series-a-interchange-6600-series/6601-16-16</x:v>
      </x:c>
      <x:c r="Z42" s="116" t="str">
        <x:v>RFQ-eligible launch SKU. Technical Data Status is Pending; unresolved attributes are omitted from the storefront and confirmed as needed during quote review before PI issuance.</x:v>
      </x:c>
      <x:c r="AA42" s="161" t="str">
        <x:v>Eligible</x:v>
      </x:c>
      <x:c r="AB42" s="161" t="str">
        <x:v>Pending</x:v>
      </x:c>
    </x:row>
    <x:row r="43" ht="48" customHeight="1">
      <x:c r="A43" t="str">
        <x:v>Draft</x:v>
      </x:c>
      <x:c r="B43" t="str">
        <x:v>QDC_7241A_SET_12_FNPT_12</x:v>
      </x:c>
      <x:c r="C43" s="116" t="str">
        <x:v>ISO 7241-1 Series A</x:v>
      </x:c>
      <x:c r="D43" s="116" t="str">
        <x:v>Complete Pair</x:v>
      </x:c>
      <x:c r="E43" s="116" t="str">
        <x:v>ISO 7241-1 Series A</x:v>
      </x:c>
      <x:c r="F43" s="116" t="str">
        <x:v>ISO 7241-1 Series A</x:v>
      </x:c>
      <x:c r="G43" s="116" t="str">
        <x:v>3/4 in</x:v>
      </x:c>
      <x:c r="H43" s="116" t="str">
        <x:v>NPTF</x:v>
      </x:c>
      <x:c r="I43" s="116" t="str">
        <x:v>Female</x:v>
      </x:c>
      <x:c r="J43" s="116" t="str">
        <x:v>3/4-14 NPTF</x:v>
      </x:c>
      <x:c r="K43" s="116" t="str">
        <x:v>Ball lock / manual connect</x:v>
      </x:c>
      <x:c r="L43" s="116" t="str">
        <x:v>Poppet / double shut-off</x:v>
      </x:c>
      <x:c r="M43"/>
      <x:c r="N43"/>
      <x:c r="O43"/>
      <x:c r="P43"/>
      <x:c r="Q43"/>
      <x:c r="R43"/>
      <x:c r="S43"/>
      <x:c r="T43"/>
      <x:c r="U43"/>
      <x:c r="V43"/>
      <x:c r="W43"/>
      <x:c r="X43"/>
      <x:c r="Y43" s="116" t="str">
        <x:v>62d65f8412ff5.pdf catalog p.52 / PDF p.35; https://ph.parker.com/us/en/product/multi-purpose-hydrualic-quick-couplings-iso-7241-series-a-interchange-6600-series/6601-16-16</x:v>
      </x:c>
      <x:c r="Z43" s="116" t="str">
        <x:v>RFQ-eligible launch SKU. Technical Data Status is Pending; unresolved attributes are omitted from the storefront and confirmed as needed during quote review before PI issuance.</x:v>
      </x:c>
      <x:c r="AA43" s="161" t="str">
        <x:v>Eligible</x:v>
      </x:c>
      <x:c r="AB43" s="161" t="str">
        <x:v>Pending</x:v>
      </x:c>
    </x:row>
    <x:row r="44" ht="48" customHeight="1">
      <x:c r="A44" t="str">
        <x:v>Draft</x:v>
      </x:c>
      <x:c r="B44" t="str">
        <x:v>QDC_7241A_SOC_16_FNPT_16</x:v>
      </x:c>
      <x:c r="C44" s="116" t="str">
        <x:v>ISO 7241-1 Series A</x:v>
      </x:c>
      <x:c r="D44" s="116" t="str">
        <x:v>Coupler/Socket</x:v>
      </x:c>
      <x:c r="E44" s="116" t="str">
        <x:v>ISO 7241-1 Series A</x:v>
      </x:c>
      <x:c r="F44" s="116" t="str">
        <x:v>ISO 7241-1 Series A</x:v>
      </x:c>
      <x:c r="G44" s="116" t="str">
        <x:v>1 in</x:v>
      </x:c>
      <x:c r="H44" s="116" t="str">
        <x:v>NPTF</x:v>
      </x:c>
      <x:c r="I44" s="116" t="str">
        <x:v>Female</x:v>
      </x:c>
      <x:c r="J44" s="116" t="str">
        <x:v>1-11.5 NPTF</x:v>
      </x:c>
      <x:c r="K44" s="116" t="str">
        <x:v>Ball lock / manual connect</x:v>
      </x:c>
      <x:c r="L44" s="116" t="str">
        <x:v>Poppet / double shut-off</x:v>
      </x:c>
      <x:c r="M44"/>
      <x:c r="N44"/>
      <x:c r="O44"/>
      <x:c r="P44"/>
      <x:c r="Q44"/>
      <x:c r="R44"/>
      <x:c r="S44"/>
      <x:c r="T44"/>
      <x:c r="U44"/>
      <x:c r="V44"/>
      <x:c r="W44"/>
      <x:c r="X44"/>
      <x:c r="Y44" s="116" t="str">
        <x:v>62d65f8412ff5.pdf catalog p.52 / PDF p.35; https://ph.parker.com/us/en/product/multi-purpose-hydrualic-quick-couplings-iso-7241-series-a-interchange-6600-series/6601-16-16</x:v>
      </x:c>
      <x:c r="Z44" s="116" t="str">
        <x:v>RFQ-eligible launch SKU. Technical Data Status is Pending; unresolved attributes are omitted from the storefront and confirmed as needed during quote review before PI issuance.</x:v>
      </x:c>
      <x:c r="AA44" s="161" t="str">
        <x:v>Eligible</x:v>
      </x:c>
      <x:c r="AB44" s="161" t="str">
        <x:v>Pending</x:v>
      </x:c>
    </x:row>
    <x:row r="45" ht="48" customHeight="1">
      <x:c r="A45" t="str">
        <x:v>Draft</x:v>
      </x:c>
      <x:c r="B45" t="str">
        <x:v>QDC_7241A_PLG_16_FNPT_16</x:v>
      </x:c>
      <x:c r="C45" s="116" t="str">
        <x:v>ISO 7241-1 Series A</x:v>
      </x:c>
      <x:c r="D45" s="116" t="str">
        <x:v>Plug/Nipple</x:v>
      </x:c>
      <x:c r="E45" s="116" t="str">
        <x:v>ISO 7241-1 Series A</x:v>
      </x:c>
      <x:c r="F45" s="116" t="str">
        <x:v>ISO 7241-1 Series A</x:v>
      </x:c>
      <x:c r="G45" s="116" t="str">
        <x:v>1 in</x:v>
      </x:c>
      <x:c r="H45" s="116" t="str">
        <x:v>NPTF</x:v>
      </x:c>
      <x:c r="I45" s="116" t="str">
        <x:v>Female</x:v>
      </x:c>
      <x:c r="J45" s="116" t="str">
        <x:v>1-11.5 NPTF</x:v>
      </x:c>
      <x:c r="K45" s="116" t="str">
        <x:v>Ball lock / manual connect</x:v>
      </x:c>
      <x:c r="L45" s="116" t="str">
        <x:v>Poppet / double shut-off</x:v>
      </x:c>
      <x:c r="M45"/>
      <x:c r="N45"/>
      <x:c r="O45"/>
      <x:c r="P45"/>
      <x:c r="Q45"/>
      <x:c r="R45"/>
      <x:c r="S45"/>
      <x:c r="T45"/>
      <x:c r="U45"/>
      <x:c r="V45"/>
      <x:c r="W45"/>
      <x:c r="X45"/>
      <x:c r="Y45" s="116" t="str">
        <x:v>62d65f8412ff5.pdf catalog p.52 / PDF p.35; https://ph.parker.com/us/en/product/multi-purpose-hydrualic-quick-couplings-iso-7241-series-a-interchange-6600-series/6601-16-16</x:v>
      </x:c>
      <x:c r="Z45" s="116" t="str">
        <x:v>RFQ-eligible launch SKU. Technical Data Status is Pending; unresolved attributes are omitted from the storefront and confirmed as needed during quote review before PI issuance.</x:v>
      </x:c>
      <x:c r="AA45" s="161" t="str">
        <x:v>Eligible</x:v>
      </x:c>
      <x:c r="AB45" s="161" t="str">
        <x:v>Pending</x:v>
      </x:c>
    </x:row>
    <x:row r="46" ht="48" customHeight="1">
      <x:c r="A46" t="str">
        <x:v>Draft</x:v>
      </x:c>
      <x:c r="B46" t="str">
        <x:v>QDC_7241A_SET_16_FNPT_16</x:v>
      </x:c>
      <x:c r="C46" s="116" t="str">
        <x:v>ISO 7241-1 Series A</x:v>
      </x:c>
      <x:c r="D46" s="116" t="str">
        <x:v>Complete Pair</x:v>
      </x:c>
      <x:c r="E46" s="116" t="str">
        <x:v>ISO 7241-1 Series A</x:v>
      </x:c>
      <x:c r="F46" s="116" t="str">
        <x:v>ISO 7241-1 Series A</x:v>
      </x:c>
      <x:c r="G46" s="116" t="str">
        <x:v>1 in</x:v>
      </x:c>
      <x:c r="H46" s="116" t="str">
        <x:v>NPTF</x:v>
      </x:c>
      <x:c r="I46" s="116" t="str">
        <x:v>Female</x:v>
      </x:c>
      <x:c r="J46" s="116" t="str">
        <x:v>1-11.5 NPTF</x:v>
      </x:c>
      <x:c r="K46" s="116" t="str">
        <x:v>Ball lock / manual connect</x:v>
      </x:c>
      <x:c r="L46" s="116" t="str">
        <x:v>Poppet / double shut-off</x:v>
      </x:c>
      <x:c r="M46"/>
      <x:c r="N46"/>
      <x:c r="O46"/>
      <x:c r="P46"/>
      <x:c r="Q46"/>
      <x:c r="R46"/>
      <x:c r="S46"/>
      <x:c r="T46"/>
      <x:c r="U46"/>
      <x:c r="V46"/>
      <x:c r="W46"/>
      <x:c r="X46"/>
      <x:c r="Y46" s="116" t="str">
        <x:v>62d65f8412ff5.pdf catalog p.52 / PDF p.35; https://ph.parker.com/us/en/product/multi-purpose-hydrualic-quick-couplings-iso-7241-series-a-interchange-6600-series/6601-16-16</x:v>
      </x:c>
      <x:c r="Z46" s="116" t="str">
        <x:v>RFQ-eligible launch SKU. Technical Data Status is Pending; unresolved attributes are omitted from the storefront and confirmed as needed during quote review before PI issuance.</x:v>
      </x:c>
      <x:c r="AA46" s="161" t="str">
        <x:v>Eligible</x:v>
      </x:c>
      <x:c r="AB46" s="161" t="str">
        <x:v>Pending</x:v>
      </x:c>
    </x:row>
    <x:row r="47" ht="48" customHeight="1">
      <x:c r="A47" t="str">
        <x:v>Draft</x:v>
      </x:c>
      <x:c r="B47" t="str">
        <x:v>QDC_7241B_SOC_04_FNPT_04</x:v>
      </x:c>
      <x:c r="C47" s="116" t="str">
        <x:v>ISO 7241-1 Series B</x:v>
      </x:c>
      <x:c r="D47" s="116" t="str">
        <x:v>Coupler/Socket</x:v>
      </x:c>
      <x:c r="E47" s="116" t="str">
        <x:v>ISO 7241-1 Series B</x:v>
      </x:c>
      <x:c r="F47" s="116" t="str">
        <x:v>ISO 7241-1 Series B</x:v>
      </x:c>
      <x:c r="G47" s="116" t="str">
        <x:v>1/4 in</x:v>
      </x:c>
      <x:c r="H47" s="116" t="str">
        <x:v>NPTF</x:v>
      </x:c>
      <x:c r="I47" s="116" t="str">
        <x:v>Female</x:v>
      </x:c>
      <x:c r="J47" s="116" t="str">
        <x:v>1/4-18 NPTF</x:v>
      </x:c>
      <x:c r="K47" s="116" t="str">
        <x:v>Ball lock / manual connect</x:v>
      </x:c>
      <x:c r="L47" s="116" t="str">
        <x:v>Poppet / double shut-off</x:v>
      </x:c>
      <x:c r="M47"/>
      <x:c r="N47"/>
      <x:c r="O47"/>
      <x:c r="P47"/>
      <x:c r="Q47"/>
      <x:c r="R47"/>
      <x:c r="S47"/>
      <x:c r="T47"/>
      <x:c r="U47"/>
      <x:c r="V47"/>
      <x:c r="W47"/>
      <x:c r="X47"/>
      <x:c r="Y47" s="116" t="str">
        <x:v>62d65f8412ff5.pdf catalog p.52 / PDF p.35; https://ph.parker.com/en/us/quick-coupling-division-master/ssh3-62y-t8</x:v>
      </x:c>
      <x:c r="Z47" s="116" t="str">
        <x:v>RFQ-eligible launch SKU. Technical Data Status is Pending; unresolved attributes are omitted from the storefront and confirmed as needed during quote review before PI issuance.</x:v>
      </x:c>
      <x:c r="AA47" s="161" t="str">
        <x:v>Eligible</x:v>
      </x:c>
      <x:c r="AB47" s="161" t="str">
        <x:v>Pending</x:v>
      </x:c>
    </x:row>
    <x:row r="48" ht="48" customHeight="1">
      <x:c r="A48" t="str">
        <x:v>Draft</x:v>
      </x:c>
      <x:c r="B48" t="str">
        <x:v>QDC_7241B_PLG_04_FNPT_04</x:v>
      </x:c>
      <x:c r="C48" s="116" t="str">
        <x:v>ISO 7241-1 Series B</x:v>
      </x:c>
      <x:c r="D48" s="116" t="str">
        <x:v>Plug/Nipple</x:v>
      </x:c>
      <x:c r="E48" s="116" t="str">
        <x:v>ISO 7241-1 Series B</x:v>
      </x:c>
      <x:c r="F48" s="116" t="str">
        <x:v>ISO 7241-1 Series B</x:v>
      </x:c>
      <x:c r="G48" s="116" t="str">
        <x:v>1/4 in</x:v>
      </x:c>
      <x:c r="H48" s="116" t="str">
        <x:v>NPTF</x:v>
      </x:c>
      <x:c r="I48" s="116" t="str">
        <x:v>Female</x:v>
      </x:c>
      <x:c r="J48" s="116" t="str">
        <x:v>1/4-18 NPTF</x:v>
      </x:c>
      <x:c r="K48" s="116" t="str">
        <x:v>Ball lock / manual connect</x:v>
      </x:c>
      <x:c r="L48" s="116" t="str">
        <x:v>Poppet / double shut-off</x:v>
      </x:c>
      <x:c r="M48"/>
      <x:c r="N48"/>
      <x:c r="O48"/>
      <x:c r="P48"/>
      <x:c r="Q48"/>
      <x:c r="R48"/>
      <x:c r="S48"/>
      <x:c r="T48"/>
      <x:c r="U48"/>
      <x:c r="V48"/>
      <x:c r="W48"/>
      <x:c r="X48"/>
      <x:c r="Y48" s="116" t="str">
        <x:v>62d65f8412ff5.pdf catalog p.52 / PDF p.35; https://ph.parker.com/en/us/quick-coupling-division-master/ssh3-62y-t8</x:v>
      </x:c>
      <x:c r="Z48" s="116" t="str">
        <x:v>RFQ-eligible launch SKU. Technical Data Status is Pending; unresolved attributes are omitted from the storefront and confirmed as needed during quote review before PI issuance.</x:v>
      </x:c>
      <x:c r="AA48" s="161" t="str">
        <x:v>Eligible</x:v>
      </x:c>
      <x:c r="AB48" s="161" t="str">
        <x:v>Pending</x:v>
      </x:c>
    </x:row>
    <x:row r="49" ht="48" customHeight="1">
      <x:c r="A49" t="str">
        <x:v>Draft</x:v>
      </x:c>
      <x:c r="B49" t="str">
        <x:v>QDC_7241B_SET_04_FNPT_04</x:v>
      </x:c>
      <x:c r="C49" s="116" t="str">
        <x:v>ISO 7241-1 Series B</x:v>
      </x:c>
      <x:c r="D49" s="116" t="str">
        <x:v>Complete Pair</x:v>
      </x:c>
      <x:c r="E49" s="116" t="str">
        <x:v>ISO 7241-1 Series B</x:v>
      </x:c>
      <x:c r="F49" s="116" t="str">
        <x:v>ISO 7241-1 Series B</x:v>
      </x:c>
      <x:c r="G49" s="116" t="str">
        <x:v>1/4 in</x:v>
      </x:c>
      <x:c r="H49" s="116" t="str">
        <x:v>NPTF</x:v>
      </x:c>
      <x:c r="I49" s="116" t="str">
        <x:v>Female</x:v>
      </x:c>
      <x:c r="J49" s="116" t="str">
        <x:v>1/4-18 NPTF</x:v>
      </x:c>
      <x:c r="K49" s="116" t="str">
        <x:v>Ball lock / manual connect</x:v>
      </x:c>
      <x:c r="L49" s="116" t="str">
        <x:v>Poppet / double shut-off</x:v>
      </x:c>
      <x:c r="M49"/>
      <x:c r="N49"/>
      <x:c r="O49"/>
      <x:c r="P49"/>
      <x:c r="Q49"/>
      <x:c r="R49"/>
      <x:c r="S49"/>
      <x:c r="T49"/>
      <x:c r="U49"/>
      <x:c r="V49"/>
      <x:c r="W49"/>
      <x:c r="X49"/>
      <x:c r="Y49" s="116" t="str">
        <x:v>62d65f8412ff5.pdf catalog p.52 / PDF p.35; https://ph.parker.com/en/us/quick-coupling-division-master/ssh3-62y-t8</x:v>
      </x:c>
      <x:c r="Z49" s="116" t="str">
        <x:v>RFQ-eligible launch SKU. Technical Data Status is Pending; unresolved attributes are omitted from the storefront and confirmed as needed during quote review before PI issuance.</x:v>
      </x:c>
      <x:c r="AA49" s="161" t="str">
        <x:v>Eligible</x:v>
      </x:c>
      <x:c r="AB49" s="161" t="str">
        <x:v>Pending</x:v>
      </x:c>
    </x:row>
    <x:row r="50" ht="48" customHeight="1">
      <x:c r="A50" t="str">
        <x:v>Draft</x:v>
      </x:c>
      <x:c r="B50" t="str">
        <x:v>QDC_7241B_SOC_06_FNPT_06</x:v>
      </x:c>
      <x:c r="C50" s="116" t="str">
        <x:v>ISO 7241-1 Series B</x:v>
      </x:c>
      <x:c r="D50" s="116" t="str">
        <x:v>Coupler/Socket</x:v>
      </x:c>
      <x:c r="E50" s="116" t="str">
        <x:v>ISO 7241-1 Series B</x:v>
      </x:c>
      <x:c r="F50" s="116" t="str">
        <x:v>ISO 7241-1 Series B</x:v>
      </x:c>
      <x:c r="G50" s="116" t="str">
        <x:v>3/8 in</x:v>
      </x:c>
      <x:c r="H50" s="116" t="str">
        <x:v>NPTF</x:v>
      </x:c>
      <x:c r="I50" s="116" t="str">
        <x:v>Female</x:v>
      </x:c>
      <x:c r="J50" s="116" t="str">
        <x:v>3/8-18 NPTF</x:v>
      </x:c>
      <x:c r="K50" s="116" t="str">
        <x:v>Ball lock / manual connect</x:v>
      </x:c>
      <x:c r="L50" s="116" t="str">
        <x:v>Poppet / double shut-off</x:v>
      </x:c>
      <x:c r="M50"/>
      <x:c r="N50"/>
      <x:c r="O50"/>
      <x:c r="P50"/>
      <x:c r="Q50"/>
      <x:c r="R50"/>
      <x:c r="S50"/>
      <x:c r="T50"/>
      <x:c r="U50"/>
      <x:c r="V50"/>
      <x:c r="W50"/>
      <x:c r="X50"/>
      <x:c r="Y50" s="116" t="str">
        <x:v>62d65f8412ff5.pdf catalog p.52 / PDF p.35; https://ph.parker.com/en/us/quick-coupling-division-master/ssh3-62y-t8</x:v>
      </x:c>
      <x:c r="Z50" s="116" t="str">
        <x:v>RFQ-eligible launch SKU. Technical Data Status is Pending; unresolved attributes are omitted from the storefront and confirmed as needed during quote review before PI issuance.</x:v>
      </x:c>
      <x:c r="AA50" s="161" t="str">
        <x:v>Eligible</x:v>
      </x:c>
      <x:c r="AB50" s="161" t="str">
        <x:v>Pending</x:v>
      </x:c>
    </x:row>
    <x:row r="51" ht="48" customHeight="1">
      <x:c r="A51" t="str">
        <x:v>Draft</x:v>
      </x:c>
      <x:c r="B51" t="str">
        <x:v>QDC_7241B_PLG_06_FNPT_06</x:v>
      </x:c>
      <x:c r="C51" s="116" t="str">
        <x:v>ISO 7241-1 Series B</x:v>
      </x:c>
      <x:c r="D51" s="116" t="str">
        <x:v>Plug/Nipple</x:v>
      </x:c>
      <x:c r="E51" s="116" t="str">
        <x:v>ISO 7241-1 Series B</x:v>
      </x:c>
      <x:c r="F51" s="116" t="str">
        <x:v>ISO 7241-1 Series B</x:v>
      </x:c>
      <x:c r="G51" s="116" t="str">
        <x:v>3/8 in</x:v>
      </x:c>
      <x:c r="H51" s="116" t="str">
        <x:v>NPTF</x:v>
      </x:c>
      <x:c r="I51" s="116" t="str">
        <x:v>Female</x:v>
      </x:c>
      <x:c r="J51" s="116" t="str">
        <x:v>3/8-18 NPTF</x:v>
      </x:c>
      <x:c r="K51" s="116" t="str">
        <x:v>Ball lock / manual connect</x:v>
      </x:c>
      <x:c r="L51" s="116" t="str">
        <x:v>Poppet / double shut-off</x:v>
      </x:c>
      <x:c r="M51"/>
      <x:c r="N51"/>
      <x:c r="O51"/>
      <x:c r="P51"/>
      <x:c r="Q51"/>
      <x:c r="R51"/>
      <x:c r="S51"/>
      <x:c r="T51"/>
      <x:c r="U51"/>
      <x:c r="V51"/>
      <x:c r="W51"/>
      <x:c r="X51"/>
      <x:c r="Y51" s="116" t="str">
        <x:v>62d65f8412ff5.pdf catalog p.52 / PDF p.35; https://ph.parker.com/en/us/quick-coupling-division-master/ssh3-62y-t8</x:v>
      </x:c>
      <x:c r="Z51" s="116" t="str">
        <x:v>RFQ-eligible launch SKU. Technical Data Status is Pending; unresolved attributes are omitted from the storefront and confirmed as needed during quote review before PI issuance.</x:v>
      </x:c>
      <x:c r="AA51" s="161" t="str">
        <x:v>Eligible</x:v>
      </x:c>
      <x:c r="AB51" s="161" t="str">
        <x:v>Pending</x:v>
      </x:c>
    </x:row>
    <x:row r="52" ht="48" customHeight="1">
      <x:c r="A52" t="str">
        <x:v>Draft</x:v>
      </x:c>
      <x:c r="B52" t="str">
        <x:v>QDC_7241B_SET_06_FNPT_06</x:v>
      </x:c>
      <x:c r="C52" s="116" t="str">
        <x:v>ISO 7241-1 Series B</x:v>
      </x:c>
      <x:c r="D52" s="116" t="str">
        <x:v>Complete Pair</x:v>
      </x:c>
      <x:c r="E52" s="116" t="str">
        <x:v>ISO 7241-1 Series B</x:v>
      </x:c>
      <x:c r="F52" s="116" t="str">
        <x:v>ISO 7241-1 Series B</x:v>
      </x:c>
      <x:c r="G52" s="116" t="str">
        <x:v>3/8 in</x:v>
      </x:c>
      <x:c r="H52" s="116" t="str">
        <x:v>NPTF</x:v>
      </x:c>
      <x:c r="I52" s="116" t="str">
        <x:v>Female</x:v>
      </x:c>
      <x:c r="J52" s="116" t="str">
        <x:v>3/8-18 NPTF</x:v>
      </x:c>
      <x:c r="K52" s="116" t="str">
        <x:v>Ball lock / manual connect</x:v>
      </x:c>
      <x:c r="L52" s="116" t="str">
        <x:v>Poppet / double shut-off</x:v>
      </x:c>
      <x:c r="M52"/>
      <x:c r="N52"/>
      <x:c r="O52"/>
      <x:c r="P52"/>
      <x:c r="Q52"/>
      <x:c r="R52"/>
      <x:c r="S52"/>
      <x:c r="T52"/>
      <x:c r="U52"/>
      <x:c r="V52"/>
      <x:c r="W52"/>
      <x:c r="X52"/>
      <x:c r="Y52" s="116" t="str">
        <x:v>62d65f8412ff5.pdf catalog p.52 / PDF p.35; https://ph.parker.com/en/us/quick-coupling-division-master/ssh3-62y-t8</x:v>
      </x:c>
      <x:c r="Z52" s="116" t="str">
        <x:v>RFQ-eligible launch SKU. Technical Data Status is Pending; unresolved attributes are omitted from the storefront and confirmed as needed during quote review before PI issuance.</x:v>
      </x:c>
      <x:c r="AA52" s="161" t="str">
        <x:v>Eligible</x:v>
      </x:c>
      <x:c r="AB52" s="161" t="str">
        <x:v>Pending</x:v>
      </x:c>
    </x:row>
    <x:row r="53" ht="48" customHeight="1">
      <x:c r="A53" t="str">
        <x:v>Draft</x:v>
      </x:c>
      <x:c r="B53" t="str">
        <x:v>QDC_7241B_SOC_08_FNPT_08</x:v>
      </x:c>
      <x:c r="C53" s="116" t="str">
        <x:v>ISO 7241-1 Series B</x:v>
      </x:c>
      <x:c r="D53" s="116" t="str">
        <x:v>Coupler/Socket</x:v>
      </x:c>
      <x:c r="E53" s="116" t="str">
        <x:v>ISO 7241-1 Series B</x:v>
      </x:c>
      <x:c r="F53" s="116" t="str">
        <x:v>ISO 7241-1 Series B</x:v>
      </x:c>
      <x:c r="G53" s="116" t="str">
        <x:v>1/2 in</x:v>
      </x:c>
      <x:c r="H53" s="116" t="str">
        <x:v>NPTF</x:v>
      </x:c>
      <x:c r="I53" s="116" t="str">
        <x:v>Female</x:v>
      </x:c>
      <x:c r="J53" s="116" t="str">
        <x:v>1/2-14 NPTF</x:v>
      </x:c>
      <x:c r="K53" s="116" t="str">
        <x:v>Ball lock / manual connect</x:v>
      </x:c>
      <x:c r="L53" s="116" t="str">
        <x:v>Poppet / double shut-off</x:v>
      </x:c>
      <x:c r="M53"/>
      <x:c r="N53"/>
      <x:c r="O53"/>
      <x:c r="P53"/>
      <x:c r="Q53"/>
      <x:c r="R53"/>
      <x:c r="S53"/>
      <x:c r="T53"/>
      <x:c r="U53"/>
      <x:c r="V53"/>
      <x:c r="W53"/>
      <x:c r="X53"/>
      <x:c r="Y53" s="116" t="str">
        <x:v>62d65f8412ff5.pdf catalog p.52 / PDF p.35; https://ph.parker.com/en/us/quick-coupling-division-master/ssh3-62y-t8</x:v>
      </x:c>
      <x:c r="Z53" s="116" t="str">
        <x:v>RFQ-eligible launch SKU. Technical Data Status is Pending; unresolved attributes are omitted from the storefront and confirmed as needed during quote review before PI issuance.</x:v>
      </x:c>
      <x:c r="AA53" s="161" t="str">
        <x:v>Eligible</x:v>
      </x:c>
      <x:c r="AB53" s="161" t="str">
        <x:v>Pending</x:v>
      </x:c>
    </x:row>
    <x:row r="54" ht="48" customHeight="1">
      <x:c r="A54" t="str">
        <x:v>Draft</x:v>
      </x:c>
      <x:c r="B54" t="str">
        <x:v>QDC_7241B_PLG_08_FNPT_08</x:v>
      </x:c>
      <x:c r="C54" s="116" t="str">
        <x:v>ISO 7241-1 Series B</x:v>
      </x:c>
      <x:c r="D54" s="116" t="str">
        <x:v>Plug/Nipple</x:v>
      </x:c>
      <x:c r="E54" s="116" t="str">
        <x:v>ISO 7241-1 Series B</x:v>
      </x:c>
      <x:c r="F54" s="116" t="str">
        <x:v>ISO 7241-1 Series B</x:v>
      </x:c>
      <x:c r="G54" s="116" t="str">
        <x:v>1/2 in</x:v>
      </x:c>
      <x:c r="H54" s="116" t="str">
        <x:v>NPTF</x:v>
      </x:c>
      <x:c r="I54" s="116" t="str">
        <x:v>Female</x:v>
      </x:c>
      <x:c r="J54" s="116" t="str">
        <x:v>1/2-14 NPTF</x:v>
      </x:c>
      <x:c r="K54" s="116" t="str">
        <x:v>Ball lock / manual connect</x:v>
      </x:c>
      <x:c r="L54" s="116" t="str">
        <x:v>Poppet / double shut-off</x:v>
      </x:c>
      <x:c r="M54"/>
      <x:c r="N54"/>
      <x:c r="O54"/>
      <x:c r="P54"/>
      <x:c r="Q54"/>
      <x:c r="R54"/>
      <x:c r="S54"/>
      <x:c r="T54"/>
      <x:c r="U54"/>
      <x:c r="V54"/>
      <x:c r="W54"/>
      <x:c r="X54"/>
      <x:c r="Y54" s="116" t="str">
        <x:v>62d65f8412ff5.pdf catalog p.52 / PDF p.35; https://ph.parker.com/en/us/quick-coupling-division-master/ssh3-62y-t8</x:v>
      </x:c>
      <x:c r="Z54" s="116" t="str">
        <x:v>RFQ-eligible launch SKU. Technical Data Status is Pending; unresolved attributes are omitted from the storefront and confirmed as needed during quote review before PI issuance.</x:v>
      </x:c>
      <x:c r="AA54" s="161" t="str">
        <x:v>Eligible</x:v>
      </x:c>
      <x:c r="AB54" s="161" t="str">
        <x:v>Pending</x:v>
      </x:c>
    </x:row>
    <x:row r="55" ht="48" customHeight="1">
      <x:c r="A55" t="str">
        <x:v>Draft</x:v>
      </x:c>
      <x:c r="B55" t="str">
        <x:v>QDC_7241B_SET_08_FNPT_08</x:v>
      </x:c>
      <x:c r="C55" s="116" t="str">
        <x:v>ISO 7241-1 Series B</x:v>
      </x:c>
      <x:c r="D55" s="116" t="str">
        <x:v>Complete Pair</x:v>
      </x:c>
      <x:c r="E55" s="116" t="str">
        <x:v>ISO 7241-1 Series B</x:v>
      </x:c>
      <x:c r="F55" s="116" t="str">
        <x:v>ISO 7241-1 Series B</x:v>
      </x:c>
      <x:c r="G55" s="116" t="str">
        <x:v>1/2 in</x:v>
      </x:c>
      <x:c r="H55" s="116" t="str">
        <x:v>NPTF</x:v>
      </x:c>
      <x:c r="I55" s="116" t="str">
        <x:v>Female</x:v>
      </x:c>
      <x:c r="J55" s="116" t="str">
        <x:v>1/2-14 NPTF</x:v>
      </x:c>
      <x:c r="K55" s="116" t="str">
        <x:v>Ball lock / manual connect</x:v>
      </x:c>
      <x:c r="L55" s="116" t="str">
        <x:v>Poppet / double shut-off</x:v>
      </x:c>
      <x:c r="M55"/>
      <x:c r="N55"/>
      <x:c r="O55"/>
      <x:c r="P55"/>
      <x:c r="Q55"/>
      <x:c r="R55"/>
      <x:c r="S55"/>
      <x:c r="T55"/>
      <x:c r="U55"/>
      <x:c r="V55"/>
      <x:c r="W55"/>
      <x:c r="X55"/>
      <x:c r="Y55" s="116" t="str">
        <x:v>62d65f8412ff5.pdf catalog p.52 / PDF p.35; https://ph.parker.com/en/us/quick-coupling-division-master/ssh3-62y-t8</x:v>
      </x:c>
      <x:c r="Z55" s="116" t="str">
        <x:v>RFQ-eligible launch SKU. Technical Data Status is Pending; unresolved attributes are omitted from the storefront and confirmed as needed during quote review before PI issuance.</x:v>
      </x:c>
      <x:c r="AA55" s="161" t="str">
        <x:v>Eligible</x:v>
      </x:c>
      <x:c r="AB55" s="161" t="str">
        <x:v>Pending</x:v>
      </x:c>
    </x:row>
    <x:row r="56" ht="48" customHeight="1">
      <x:c r="A56" t="str">
        <x:v>Draft</x:v>
      </x:c>
      <x:c r="B56" t="str">
        <x:v>QDC_7241B_SOC_12_FNPT_12</x:v>
      </x:c>
      <x:c r="C56" s="116" t="str">
        <x:v>ISO 7241-1 Series B</x:v>
      </x:c>
      <x:c r="D56" s="116" t="str">
        <x:v>Coupler/Socket</x:v>
      </x:c>
      <x:c r="E56" s="116" t="str">
        <x:v>ISO 7241-1 Series B</x:v>
      </x:c>
      <x:c r="F56" s="116" t="str">
        <x:v>ISO 7241-1 Series B</x:v>
      </x:c>
      <x:c r="G56" s="116" t="str">
        <x:v>3/4 in</x:v>
      </x:c>
      <x:c r="H56" s="116" t="str">
        <x:v>NPTF</x:v>
      </x:c>
      <x:c r="I56" s="116" t="str">
        <x:v>Female</x:v>
      </x:c>
      <x:c r="J56" s="116" t="str">
        <x:v>3/4-14 NPTF</x:v>
      </x:c>
      <x:c r="K56" s="116" t="str">
        <x:v>Ball lock / manual connect</x:v>
      </x:c>
      <x:c r="L56" s="116" t="str">
        <x:v>Poppet / double shut-off</x:v>
      </x:c>
      <x:c r="M56"/>
      <x:c r="N56"/>
      <x:c r="O56"/>
      <x:c r="P56"/>
      <x:c r="Q56"/>
      <x:c r="R56"/>
      <x:c r="S56"/>
      <x:c r="T56"/>
      <x:c r="U56"/>
      <x:c r="V56"/>
      <x:c r="W56"/>
      <x:c r="X56"/>
      <x:c r="Y56" s="116" t="str">
        <x:v>62d65f8412ff5.pdf catalog p.52 / PDF p.35; https://ph.parker.com/en/us/quick-coupling-division-master/ssh3-62y-t8</x:v>
      </x:c>
      <x:c r="Z56" s="116" t="str">
        <x:v>RFQ-eligible launch SKU. Technical Data Status is Pending; unresolved attributes are omitted from the storefront and confirmed as needed during quote review before PI issuance.</x:v>
      </x:c>
      <x:c r="AA56" s="161" t="str">
        <x:v>Eligible</x:v>
      </x:c>
      <x:c r="AB56" s="161" t="str">
        <x:v>Pending</x:v>
      </x:c>
    </x:row>
    <x:row r="57" ht="48" customHeight="1">
      <x:c r="A57" t="str">
        <x:v>Draft</x:v>
      </x:c>
      <x:c r="B57" t="str">
        <x:v>QDC_7241B_PLG_12_FNPT_12</x:v>
      </x:c>
      <x:c r="C57" s="116" t="str">
        <x:v>ISO 7241-1 Series B</x:v>
      </x:c>
      <x:c r="D57" s="116" t="str">
        <x:v>Plug/Nipple</x:v>
      </x:c>
      <x:c r="E57" s="116" t="str">
        <x:v>ISO 7241-1 Series B</x:v>
      </x:c>
      <x:c r="F57" s="116" t="str">
        <x:v>ISO 7241-1 Series B</x:v>
      </x:c>
      <x:c r="G57" s="116" t="str">
        <x:v>3/4 in</x:v>
      </x:c>
      <x:c r="H57" s="116" t="str">
        <x:v>NPTF</x:v>
      </x:c>
      <x:c r="I57" s="116" t="str">
        <x:v>Female</x:v>
      </x:c>
      <x:c r="J57" s="116" t="str">
        <x:v>3/4-14 NPTF</x:v>
      </x:c>
      <x:c r="K57" s="116" t="str">
        <x:v>Ball lock / manual connect</x:v>
      </x:c>
      <x:c r="L57" s="116" t="str">
        <x:v>Poppet / double shut-off</x:v>
      </x:c>
      <x:c r="M57"/>
      <x:c r="N57"/>
      <x:c r="O57"/>
      <x:c r="P57"/>
      <x:c r="Q57"/>
      <x:c r="R57"/>
      <x:c r="S57"/>
      <x:c r="T57"/>
      <x:c r="U57"/>
      <x:c r="V57"/>
      <x:c r="W57"/>
      <x:c r="X57"/>
      <x:c r="Y57" s="116" t="str">
        <x:v>62d65f8412ff5.pdf catalog p.52 / PDF p.35; https://ph.parker.com/en/us/quick-coupling-division-master/ssh3-62y-t8</x:v>
      </x:c>
      <x:c r="Z57" s="116" t="str">
        <x:v>RFQ-eligible launch SKU. Technical Data Status is Pending; unresolved attributes are omitted from the storefront and confirmed as needed during quote review before PI issuance.</x:v>
      </x:c>
      <x:c r="AA57" s="161" t="str">
        <x:v>Eligible</x:v>
      </x:c>
      <x:c r="AB57" s="161" t="str">
        <x:v>Pending</x:v>
      </x:c>
    </x:row>
    <x:row r="58" ht="48" customHeight="1">
      <x:c r="A58" t="str">
        <x:v>Draft</x:v>
      </x:c>
      <x:c r="B58" t="str">
        <x:v>QDC_7241B_SET_12_FNPT_12</x:v>
      </x:c>
      <x:c r="C58" s="116" t="str">
        <x:v>ISO 7241-1 Series B</x:v>
      </x:c>
      <x:c r="D58" s="116" t="str">
        <x:v>Complete Pair</x:v>
      </x:c>
      <x:c r="E58" s="116" t="str">
        <x:v>ISO 7241-1 Series B</x:v>
      </x:c>
      <x:c r="F58" s="116" t="str">
        <x:v>ISO 7241-1 Series B</x:v>
      </x:c>
      <x:c r="G58" s="116" t="str">
        <x:v>3/4 in</x:v>
      </x:c>
      <x:c r="H58" s="116" t="str">
        <x:v>NPTF</x:v>
      </x:c>
      <x:c r="I58" s="116" t="str">
        <x:v>Female</x:v>
      </x:c>
      <x:c r="J58" s="116" t="str">
        <x:v>3/4-14 NPTF</x:v>
      </x:c>
      <x:c r="K58" s="116" t="str">
        <x:v>Ball lock / manual connect</x:v>
      </x:c>
      <x:c r="L58" s="116" t="str">
        <x:v>Poppet / double shut-off</x:v>
      </x:c>
      <x:c r="M58"/>
      <x:c r="N58"/>
      <x:c r="O58"/>
      <x:c r="P58"/>
      <x:c r="Q58"/>
      <x:c r="R58"/>
      <x:c r="S58"/>
      <x:c r="T58"/>
      <x:c r="U58"/>
      <x:c r="V58"/>
      <x:c r="W58"/>
      <x:c r="X58"/>
      <x:c r="Y58" s="116" t="str">
        <x:v>62d65f8412ff5.pdf catalog p.52 / PDF p.35; https://ph.parker.com/en/us/quick-coupling-division-master/ssh3-62y-t8</x:v>
      </x:c>
      <x:c r="Z58" s="116" t="str">
        <x:v>RFQ-eligible launch SKU. Technical Data Status is Pending; unresolved attributes are omitted from the storefront and confirmed as needed during quote review before PI issuance.</x:v>
      </x:c>
      <x:c r="AA58" s="161" t="str">
        <x:v>Eligible</x:v>
      </x:c>
      <x:c r="AB58" s="161" t="str">
        <x:v>Pending</x:v>
      </x:c>
    </x:row>
    <x:row r="59" ht="48" customHeight="1">
      <x:c r="A59" t="str">
        <x:v>Draft</x:v>
      </x:c>
      <x:c r="B59" t="str">
        <x:v>QDC_7241B_SOC_16_FNPT_16</x:v>
      </x:c>
      <x:c r="C59" s="116" t="str">
        <x:v>ISO 7241-1 Series B</x:v>
      </x:c>
      <x:c r="D59" s="116" t="str">
        <x:v>Coupler/Socket</x:v>
      </x:c>
      <x:c r="E59" s="116" t="str">
        <x:v>ISO 7241-1 Series B</x:v>
      </x:c>
      <x:c r="F59" s="116" t="str">
        <x:v>ISO 7241-1 Series B</x:v>
      </x:c>
      <x:c r="G59" s="116" t="str">
        <x:v>1 in</x:v>
      </x:c>
      <x:c r="H59" s="116" t="str">
        <x:v>NPTF</x:v>
      </x:c>
      <x:c r="I59" s="116" t="str">
        <x:v>Female</x:v>
      </x:c>
      <x:c r="J59" s="116" t="str">
        <x:v>1-11.5 NPTF</x:v>
      </x:c>
      <x:c r="K59" s="116" t="str">
        <x:v>Ball lock / manual connect</x:v>
      </x:c>
      <x:c r="L59" s="116" t="str">
        <x:v>Poppet / double shut-off</x:v>
      </x:c>
      <x:c r="M59"/>
      <x:c r="N59"/>
      <x:c r="O59"/>
      <x:c r="P59"/>
      <x:c r="Q59"/>
      <x:c r="R59"/>
      <x:c r="S59"/>
      <x:c r="T59"/>
      <x:c r="U59"/>
      <x:c r="V59"/>
      <x:c r="W59"/>
      <x:c r="X59"/>
      <x:c r="Y59" s="116" t="str">
        <x:v>62d65f8412ff5.pdf catalog p.52 / PDF p.35; https://ph.parker.com/en/us/quick-coupling-division-master/ssh3-62y-t8</x:v>
      </x:c>
      <x:c r="Z59" s="116" t="str">
        <x:v>RFQ-eligible launch SKU. Technical Data Status is Pending; unresolved attributes are omitted from the storefront and confirmed as needed during quote review before PI issuance.</x:v>
      </x:c>
      <x:c r="AA59" s="161" t="str">
        <x:v>Eligible</x:v>
      </x:c>
      <x:c r="AB59" s="161" t="str">
        <x:v>Pending</x:v>
      </x:c>
    </x:row>
    <x:row r="60" ht="48" customHeight="1">
      <x:c r="A60" t="str">
        <x:v>Draft</x:v>
      </x:c>
      <x:c r="B60" t="str">
        <x:v>QDC_7241B_PLG_16_FNPT_16</x:v>
      </x:c>
      <x:c r="C60" s="116" t="str">
        <x:v>ISO 7241-1 Series B</x:v>
      </x:c>
      <x:c r="D60" s="116" t="str">
        <x:v>Plug/Nipple</x:v>
      </x:c>
      <x:c r="E60" s="116" t="str">
        <x:v>ISO 7241-1 Series B</x:v>
      </x:c>
      <x:c r="F60" s="116" t="str">
        <x:v>ISO 7241-1 Series B</x:v>
      </x:c>
      <x:c r="G60" s="116" t="str">
        <x:v>1 in</x:v>
      </x:c>
      <x:c r="H60" s="116" t="str">
        <x:v>NPTF</x:v>
      </x:c>
      <x:c r="I60" s="116" t="str">
        <x:v>Female</x:v>
      </x:c>
      <x:c r="J60" s="116" t="str">
        <x:v>1-11.5 NPTF</x:v>
      </x:c>
      <x:c r="K60" s="116" t="str">
        <x:v>Ball lock / manual connect</x:v>
      </x:c>
      <x:c r="L60" s="116" t="str">
        <x:v>Poppet / double shut-off</x:v>
      </x:c>
      <x:c r="M60"/>
      <x:c r="N60"/>
      <x:c r="O60"/>
      <x:c r="P60"/>
      <x:c r="Q60"/>
      <x:c r="R60"/>
      <x:c r="S60"/>
      <x:c r="T60"/>
      <x:c r="U60"/>
      <x:c r="V60"/>
      <x:c r="W60"/>
      <x:c r="X60"/>
      <x:c r="Y60" s="116" t="str">
        <x:v>62d65f8412ff5.pdf catalog p.52 / PDF p.35; https://ph.parker.com/en/us/quick-coupling-division-master/ssh3-62y-t8</x:v>
      </x:c>
      <x:c r="Z60" s="116" t="str">
        <x:v>RFQ-eligible launch SKU. Technical Data Status is Pending; unresolved attributes are omitted from the storefront and confirmed as needed during quote review before PI issuance.</x:v>
      </x:c>
      <x:c r="AA60" s="161" t="str">
        <x:v>Eligible</x:v>
      </x:c>
      <x:c r="AB60" s="161" t="str">
        <x:v>Pending</x:v>
      </x:c>
    </x:row>
    <x:row r="61" ht="48" customHeight="1">
      <x:c r="A61" t="str">
        <x:v>Draft</x:v>
      </x:c>
      <x:c r="B61" t="str">
        <x:v>QDC_7241B_SET_16_FNPT_16</x:v>
      </x:c>
      <x:c r="C61" s="116" t="str">
        <x:v>ISO 7241-1 Series B</x:v>
      </x:c>
      <x:c r="D61" s="116" t="str">
        <x:v>Complete Pair</x:v>
      </x:c>
      <x:c r="E61" s="116" t="str">
        <x:v>ISO 7241-1 Series B</x:v>
      </x:c>
      <x:c r="F61" s="116" t="str">
        <x:v>ISO 7241-1 Series B</x:v>
      </x:c>
      <x:c r="G61" s="116" t="str">
        <x:v>1 in</x:v>
      </x:c>
      <x:c r="H61" s="116" t="str">
        <x:v>NPTF</x:v>
      </x:c>
      <x:c r="I61" s="116" t="str">
        <x:v>Female</x:v>
      </x:c>
      <x:c r="J61" s="116" t="str">
        <x:v>1-11.5 NPTF</x:v>
      </x:c>
      <x:c r="K61" s="116" t="str">
        <x:v>Ball lock / manual connect</x:v>
      </x:c>
      <x:c r="L61" s="116" t="str">
        <x:v>Poppet / double shut-off</x:v>
      </x:c>
      <x:c r="M61"/>
      <x:c r="N61"/>
      <x:c r="O61"/>
      <x:c r="P61"/>
      <x:c r="Q61"/>
      <x:c r="R61"/>
      <x:c r="S61"/>
      <x:c r="T61"/>
      <x:c r="U61"/>
      <x:c r="V61"/>
      <x:c r="W61"/>
      <x:c r="X61"/>
      <x:c r="Y61" s="116" t="str">
        <x:v>62d65f8412ff5.pdf catalog p.52 / PDF p.35; https://ph.parker.com/en/us/quick-coupling-division-master/ssh3-62y-t8</x:v>
      </x:c>
      <x:c r="Z61" s="116" t="str">
        <x:v>RFQ-eligible launch SKU. Technical Data Status is Pending; unresolved attributes are omitted from the storefront and confirmed as needed during quote review before PI issuance.</x:v>
      </x:c>
      <x:c r="AA61" s="162" t="str">
        <x:v>Eligible</x:v>
      </x:c>
      <x:c r="AB61" s="162" t="str">
        <x:v>Pending</x:v>
      </x:c>
    </x:row>
  </x:sheetData>
  <x:mergeCells>
    <x:mergeCell ref="A1:AB1"/>
    <x:mergeCell ref="A2:AB2"/>
  </x:mergeCells>
  <x:conditionalFormatting sqref="A5:A5">
    <x:cfRule type="containsText" dxfId="20" priority="1" operator="containsText" text="Ready"/>
    <x:cfRule type="containsText" dxfId="21" priority="2" operator="containsText" text="Blocked"/>
    <x:cfRule type="containsText" dxfId="22" priority="3" operator="containsText" text="Draft"/>
  </x:conditionalFormatting>
  <x:conditionalFormatting sqref="B5:B5">
    <x:cfRule type="duplicateValues" dxfId="23" priority="4"/>
  </x:conditionalFormatting>
  <x:dataValidations count="8">
    <x:dataValidation type="list" sqref="A5">
      <x:formula1>"Draft,Ready,Blocked"</x:formula1>
    </x:dataValidation>
    <x:dataValidation type="list" sqref="D5">
      <x:formula1>"Coupler/Socket,Plug/Nipple,Complete Pair"</x:formula1>
    </x:dataValidation>
    <x:dataValidation type="list" sqref="H5">
      <x:formula1>"JIC 37°,NPT,NPTF,ORFS,BSPP,BSPT,Metric DIN,SAE Flange,Banjo,Japanese,Other"</x:formula1>
    </x:dataValidation>
    <x:dataValidation type="list" sqref="I5">
      <x:formula1>"Male,Female,N/A"</x:formula1>
    </x:dataValidation>
    <x:dataValidation type="list" sqref="N5">
      <x:formula1>"Zinc plating,Zinc Nickel,Trivalent Zinc,Stainless Steel,Brass,Uncoated,Other"</x:formula1>
    </x:dataValidation>
    <x:dataValidation type="list" sqref="A5:A5004">
      <x:formula1>"Draft,Published,Archived"</x:formula1>
    </x:dataValidation>
    <x:dataValidation type="list" sqref="AA5:AA5004">
      <x:formula1>"Eligible,Manual Quote Only,Blocked"</x:formula1>
    </x:dataValidation>
    <x:dataValidation type="list" sqref="AB5:AB5004">
      <x:formula1>"Complete,Inherited,Pending"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a3c22de2b1041c4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22" hidden="0" customWidth="1"/>
    <x:col min="4" max="4" width="28" hidden="0" customWidth="1"/>
    <x:col min="5" max="5" width="14" hidden="0" customWidth="1"/>
    <x:col min="6" max="6" width="18" hidden="0" customWidth="1"/>
    <x:col min="7" max="7" width="18" hidden="0" customWidth="1"/>
    <x:col min="8" max="8" width="14" hidden="0" customWidth="1"/>
    <x:col min="9" max="9" width="22" hidden="0" customWidth="1"/>
    <x:col min="10" max="10" width="18" hidden="0" customWidth="1"/>
    <x:col min="11" max="11" width="20" hidden="0" customWidth="1"/>
    <x:col min="12" max="12" width="14" hidden="0" customWidth="1"/>
    <x:col min="13" max="13" width="16" hidden="0" customWidth="1"/>
    <x:col min="14" max="14" width="18" hidden="0" customWidth="1"/>
    <x:col min="15" max="15" width="16" hidden="0" customWidth="1"/>
    <x:col min="16" max="16" width="18" hidden="0" customWidth="1"/>
    <x:col min="17" max="17" width="22" hidden="0" customWidth="1"/>
    <x:col min="18" max="18" width="20" hidden="0" customWidth="1"/>
    <x:col min="19" max="19" width="18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8" hidden="0" customWidth="1"/>
    <x:col min="25" max="25" width="28" hidden="0" customWidth="1"/>
    <x:col min="26" max="26" width="22" hidden="0" customWidth="1"/>
    <x:col min="27" max="27" width="44" hidden="0" customWidth="1"/>
    <x:col min="28" max="28" width="19" hidden="0" customWidth="1"/>
    <x:col min="29" max="29" width="22" hidden="0" customWidth="1"/>
    <x:col min="30" max="30" width="24" hidden="0" customWidth="1"/>
    <x:col min="31" max="31" width="20" hidden="0" customWidth="1"/>
    <x:col min="32" max="32" width="20" hidden="0" customWidth="1"/>
    <x:col min="33" max="33" width="17" hidden="0" customWidth="1"/>
    <x:col min="34" max="34" width="17" hidden="0" customWidth="1"/>
    <x:col min="35" max="35" width="17" hidden="0" customWidth="1"/>
    <x:col min="36" max="36" width="30" hidden="0" customWidth="1"/>
  </x:cols>
  <x:sheetData>
    <x:row r="1" ht="30" customHeight="1">
      <x:c r="A1" s="3" t="str">
        <x:v>Pricing and Packaging / 价格与包装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</x:row>
    <x:row r="2" ht="42" customHeight="1">
      <x:c r="A2" s="12" t="str">
        <x:v>填写说明: 当前包含515条销售SKU。单SKU MOQ为1个销售单位；RFQ整单最低金额USD 100由网站控制。61个Hose Variant使用Length x Pieces，长度步长1 ft，快捷值25/50/100 ft；最大连续长度在Quote阶段确认。前台不自动计算阶梯价。净重和SKU级箱规均为可选；正式运费按整份Quote制作 Shipment Packing Estimate。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  <x:c r="O2" s="13"/>
      <x:c r="P2" s="13"/>
      <x:c r="Q2" s="13"/>
      <x:c r="R2" s="13"/>
      <x:c r="S2" s="13"/>
      <x:c r="T2" s="13"/>
      <x:c r="U2" s="13"/>
      <x:c r="V2" s="13"/>
      <x:c r="W2" s="13"/>
      <x:c r="X2" s="13"/>
      <x:c r="Y2" s="13"/>
      <x:c r="Z2" s="13"/>
      <x:c r="AA2" s="14"/>
      <x:c r="AB2" s="116"/>
      <x:c r="AC2" s="116"/>
      <x:c r="AD2" s="116"/>
      <x:c r="AE2" s="116"/>
      <x:c r="AF2" s="116"/>
      <x:c r="AG2" s="116"/>
      <x:c r="AH2" s="116"/>
      <x:c r="AI2" s="116"/>
      <x:c r="AJ2" s="116"/>
    </x:row>
    <x:row r="4" ht="58" customHeight="1">
      <x:c r="A4" s="20" t="str">
        <x:v>* Catalog Publication Status / 目录发布状态</x:v>
      </x:c>
      <x:c r="B4" s="20" t="str">
        <x:v>* Product Type / 产品类型</x:v>
      </x:c>
      <x:c r="C4" s="20" t="str">
        <x:v>* Base SKU / 基础SKU</x:v>
      </x:c>
      <x:c r="D4" s="20" t="str">
        <x:v>* Sales SKU / 销售SKU</x:v>
      </x:c>
      <x:c r="E4" s="20" t="str">
        <x:v>* Sales Unit / 销售单位</x:v>
      </x:c>
      <x:c r="F4" s="163" t="str">
        <x:v>Package Length ft / 包装长度</x:v>
      </x:c>
      <x:c r="G4" s="20" t="str">
        <x:v>* Units per Sales Pack / 每销售包装数量</x:v>
      </x:c>
      <x:c r="H4" s="20" t="str">
        <x:v>* MOQ / 最小起订量</x:v>
      </x:c>
      <x:c r="I4" s="163" t="str">
        <x:v>Net Unit Weight kg / 单个销售单位净重</x:v>
      </x:c>
      <x:c r="J4" s="20" t="str">
        <x:v>* Lead Time days / 交期天数</x:v>
      </x:c>
      <x:c r="K4" s="20" t="str">
        <x:v>* Country of Origin / 原产国</x:v>
      </x:c>
      <x:c r="L4" s="163" t="str">
        <x:v>Currency / 币种</x:v>
      </x:c>
      <x:c r="M4" s="163" t="str">
        <x:v>Factory Unit Price / 工厂单价</x:v>
      </x:c>
      <x:c r="N4" s="163" t="str">
        <x:v>Price Incoterm / 采购价格条款</x:v>
      </x:c>
      <x:c r="O4" s="163" t="str">
        <x:v>Incoterm Place / 条款地点</x:v>
      </x:c>
      <x:c r="P4" s="163" t="str">
        <x:v>Tier Qty / 阶梯数量</x:v>
      </x:c>
      <x:c r="Q4" s="163" t="str">
        <x:v>Tier Price / 阶梯单价</x:v>
      </x:c>
      <x:c r="R4" s="163" t="str">
        <x:v>Retail Unit Price USD / 零售单价</x:v>
      </x:c>
      <x:c r="S4" s="163" t="str">
        <x:v>Inner Pack Qty / 内包装数量</x:v>
      </x:c>
      <x:c r="T4" s="163" t="str">
        <x:v>Master Carton Qty / 每外箱数量</x:v>
      </x:c>
      <x:c r="U4" s="163" t="str">
        <x:v>Carton Gross Weight kg / 整箱毛重</x:v>
      </x:c>
      <x:c r="V4" s="163" t="str">
        <x:v>Carton L cm / 箱长</x:v>
      </x:c>
      <x:c r="W4" s="163" t="str">
        <x:v>Carton W cm / 箱宽</x:v>
      </x:c>
      <x:c r="X4" s="163" t="str">
        <x:v>Carton H cm / 箱高</x:v>
      </x:c>
      <x:c r="Y4" s="163" t="str">
        <x:v>Packing Basis / 装箱依据</x:v>
      </x:c>
      <x:c r="Z4" s="163" t="str">
        <x:v>HS Code / 海关编码</x:v>
      </x:c>
      <x:c r="AA4" s="163" t="str">
        <x:v>Notes / 备注</x:v>
      </x:c>
      <x:c r="AB4" s="154" t="str">
        <x:v>* RFQ Eligibility / 询价资格</x:v>
      </x:c>
      <x:c r="AC4" s="154" t="str">
        <x:v>* Technical Data Status / 技术资料状态</x:v>
      </x:c>
      <x:c r="AD4" s="202" t="str">
        <x:v>* Quantity Input Mode / 数量输入方式</x:v>
      </x:c>
      <x:c r="AE4" s="206" t="str">
        <x:v>Minimum Length per Piece ft / 每根最小长度</x:v>
      </x:c>
      <x:c r="AF4" s="206" t="str">
        <x:v>Length Increment ft / 长度步长</x:v>
      </x:c>
      <x:c r="AG4" s="206" t="str">
        <x:v>Preset Length 1 ft / 快捷长度1</x:v>
      </x:c>
      <x:c r="AH4" s="206" t="str">
        <x:v>Preset Length 2 ft / 快捷长度2</x:v>
      </x:c>
      <x:c r="AI4" s="206" t="str">
        <x:v>Preset Length 3 ft / 快捷长度3</x:v>
      </x:c>
      <x:c r="AJ4" s="206" t="str">
        <x:v>Continuous Length Confirmation / 连续长度确认</x:v>
      </x:c>
    </x:row>
    <x:row r="5" ht="30" customHeight="1">
      <x:c r="A5" s="135" t="str">
        <x:v>Draft</x:v>
      </x:c>
      <x:c r="B5" s="135" t="str">
        <x:v>Hose Variant</x:v>
      </x:c>
      <x:c r="C5" s="136" t="str">
        <x:v>601R1_001</x:v>
      </x:c>
      <x:c r="D5" s="136" t="str">
        <x:v>601R1_001</x:v>
      </x:c>
      <x:c r="E5" s="135" t="str">
        <x:v>FT</x:v>
      </x:c>
      <x:c r="F5" s="137"/>
      <x:c r="G5" s="140" t="n">
        <x:v>1</x:v>
      </x:c>
      <x:c r="H5" s="140" t="n">
        <x:v>1</x:v>
      </x:c>
      <x:c r="I5" s="142" t="n">
        <x:v>0.0579</x:v>
      </x:c>
      <x:c r="J5" s="140" t="n">
        <x:v>10</x:v>
      </x:c>
      <x:c r="K5" s="136" t="str">
        <x:v>China</x:v>
      </x:c>
      <x:c r="L5" s="133" t="str">
        <x:v>USD</x:v>
      </x:c>
      <x:c r="M5" s="125"/>
      <x:c r="N5" s="134"/>
      <x:c r="O5" s="129"/>
      <x:c r="P5" s="144"/>
      <x:c r="Q5" s="125"/>
      <x:c r="R5" s="148" t="n">
        <x:v>2.16</x:v>
      </x:c>
      <x:c r="S5" s="144"/>
      <x:c r="T5" s="144"/>
      <x:c r="U5" s="123"/>
      <x:c r="V5" s="123"/>
      <x:c r="W5" s="123"/>
      <x:c r="X5" s="123"/>
      <x:c r="Y5" s="129"/>
      <x:c r="Z5" s="127"/>
      <x:c r="AA5" s="117" t="str">
        <x:v>Net unit weight calculated from 01 kg/m x 0.3048. Order-level RFQ minimum: USD 100. Retail basis: DHH SAE 100R1AT; extrapolated per-ft price; observed 2026-08-15; https://www.discounthydraulichose.com/sae-100r1at-hydraulic-hose.html</x:v>
      </x:c>
      <x:c r="AB5" s="161" t="str">
        <x:v>Eligible</x:v>
      </x:c>
      <x:c r="AC5" s="161" t="str">
        <x:v>Pending</x:v>
      </x:c>
      <x:c r="AD5" t="str">
        <x:v>Length x Pieces</x:v>
      </x:c>
      <x:c r="AE5" s="145" t="n">
        <x:v>1</x:v>
      </x:c>
      <x:c r="AF5" s="145" t="n">
        <x:v>1</x:v>
      </x:c>
      <x:c r="AG5" s="145" t="n">
        <x:v>25</x:v>
      </x:c>
      <x:c r="AH5" s="145" t="n">
        <x:v>50</x:v>
      </x:c>
      <x:c r="AI5" s="145" t="n">
        <x:v>100</x:v>
      </x:c>
      <x:c r="AJ5" t="str">
        <x:v>Quote Review</x:v>
      </x:c>
    </x:row>
    <x:row r="6" ht="30" customHeight="1">
      <x:c r="A6" s="138" t="str">
        <x:v>Draft</x:v>
      </x:c>
      <x:c r="B6" s="138" t="str">
        <x:v>Hose Variant</x:v>
      </x:c>
      <x:c r="C6" s="138" t="str">
        <x:v>601R1_002</x:v>
      </x:c>
      <x:c r="D6" s="138" t="str">
        <x:v>601R1_002</x:v>
      </x:c>
      <x:c r="E6" s="138" t="str">
        <x:v>FT</x:v>
      </x:c>
      <x:c r="F6" s="139"/>
      <x:c r="G6" s="141" t="n">
        <x:v>1</x:v>
      </x:c>
      <x:c r="H6" s="141" t="n">
        <x:v>1</x:v>
      </x:c>
      <x:c r="I6" s="143" t="n">
        <x:v>0.0701</x:v>
      </x:c>
      <x:c r="J6" s="141" t="n">
        <x:v>10</x:v>
      </x:c>
      <x:c r="K6" s="138" t="str">
        <x:v>China</x:v>
      </x:c>
      <x:c r="L6" t="str">
        <x:v>USD</x:v>
      </x:c>
      <x:c r="M6" s="126"/>
      <x:c r="N6"/>
      <x:c r="O6"/>
      <x:c r="P6" s="145"/>
      <x:c r="Q6" s="126"/>
      <x:c r="R6" s="149" t="n">
        <x:v>2.16</x:v>
      </x:c>
      <x:c r="S6" s="145"/>
      <x:c r="T6" s="145"/>
      <x:c r="U6" s="124"/>
      <x:c r="V6" s="124"/>
      <x:c r="W6" s="124"/>
      <x:c r="X6" s="124"/>
      <x:c r="Y6"/>
      <x:c r="Z6"/>
      <x:c r="AA6" s="116" t="str">
        <x:v>Net unit weight calculated from 01 kg/m x 0.3048. Order-level RFQ minimum: USD 100. Retail basis: DHH SAE 100R1AT; direct per-ft price; observed 2026-08-15; https://www.discounthydraulichose.com/sae-100r1at-hydraulic-hose.html</x:v>
      </x:c>
      <x:c r="AB6" s="161" t="str">
        <x:v>Eligible</x:v>
      </x:c>
      <x:c r="AC6" s="161" t="str">
        <x:v>Pending</x:v>
      </x:c>
      <x:c r="AD6" t="str">
        <x:v>Length x Pieces</x:v>
      </x:c>
      <x:c r="AE6" s="145" t="n">
        <x:v>1</x:v>
      </x:c>
      <x:c r="AF6" s="145" t="n">
        <x:v>1</x:v>
      </x:c>
      <x:c r="AG6" s="145" t="n">
        <x:v>25</x:v>
      </x:c>
      <x:c r="AH6" s="145" t="n">
        <x:v>50</x:v>
      </x:c>
      <x:c r="AI6" s="145" t="n">
        <x:v>100</x:v>
      </x:c>
      <x:c r="AJ6" t="str">
        <x:v>Quote Review</x:v>
      </x:c>
    </x:row>
    <x:row r="7" ht="30" customHeight="1">
      <x:c r="A7" s="138" t="str">
        <x:v>Draft</x:v>
      </x:c>
      <x:c r="B7" s="138" t="str">
        <x:v>Hose Variant</x:v>
      </x:c>
      <x:c r="C7" s="138" t="str">
        <x:v>601R1_003</x:v>
      </x:c>
      <x:c r="D7" s="138" t="str">
        <x:v>601R1_003</x:v>
      </x:c>
      <x:c r="E7" s="138" t="str">
        <x:v>FT</x:v>
      </x:c>
      <x:c r="F7" s="139"/>
      <x:c r="G7" s="141" t="n">
        <x:v>1</x:v>
      </x:c>
      <x:c r="H7" s="141" t="n">
        <x:v>1</x:v>
      </x:c>
      <x:c r="I7" s="143" t="n">
        <x:v>0.0792</x:v>
      </x:c>
      <x:c r="J7" s="141" t="n">
        <x:v>10</x:v>
      </x:c>
      <x:c r="K7" s="138" t="str">
        <x:v>China</x:v>
      </x:c>
      <x:c r="L7" t="str">
        <x:v>USD</x:v>
      </x:c>
      <x:c r="M7" s="126"/>
      <x:c r="N7"/>
      <x:c r="O7"/>
      <x:c r="P7" s="145"/>
      <x:c r="Q7" s="126"/>
      <x:c r="R7" s="149" t="n">
        <x:v>2.16</x:v>
      </x:c>
      <x:c r="S7" s="145"/>
      <x:c r="T7" s="145"/>
      <x:c r="U7" s="124"/>
      <x:c r="V7" s="124"/>
      <x:c r="W7" s="124"/>
      <x:c r="X7" s="124"/>
      <x:c r="Y7"/>
      <x:c r="Z7"/>
      <x:c r="AA7" s="116" t="str">
        <x:v>Net unit weight calculated from 01 kg/m x 0.3048. Order-level RFQ minimum: USD 100. Retail basis: DHH SAE 100R1AT; interpolated per-ft price; observed 2026-08-15; https://www.discounthydraulichose.com/sae-100r1at-hydraulic-hose.html</x:v>
      </x:c>
      <x:c r="AB7" s="161" t="str">
        <x:v>Eligible</x:v>
      </x:c>
      <x:c r="AC7" s="161" t="str">
        <x:v>Pending</x:v>
      </x:c>
      <x:c r="AD7" t="str">
        <x:v>Length x Pieces</x:v>
      </x:c>
      <x:c r="AE7" s="145" t="n">
        <x:v>1</x:v>
      </x:c>
      <x:c r="AF7" s="145" t="n">
        <x:v>1</x:v>
      </x:c>
      <x:c r="AG7" s="145" t="n">
        <x:v>25</x:v>
      </x:c>
      <x:c r="AH7" s="145" t="n">
        <x:v>50</x:v>
      </x:c>
      <x:c r="AI7" s="145" t="n">
        <x:v>100</x:v>
      </x:c>
      <x:c r="AJ7" t="str">
        <x:v>Quote Review</x:v>
      </x:c>
    </x:row>
    <x:row r="8" ht="30" customHeight="1">
      <x:c r="A8" s="138" t="str">
        <x:v>Draft</x:v>
      </x:c>
      <x:c r="B8" s="138" t="str">
        <x:v>Hose Variant</x:v>
      </x:c>
      <x:c r="C8" s="138" t="str">
        <x:v>601R1_004</x:v>
      </x:c>
      <x:c r="D8" s="138" t="str">
        <x:v>601R1_004</x:v>
      </x:c>
      <x:c r="E8" s="138" t="str">
        <x:v>FT</x:v>
      </x:c>
      <x:c r="F8" s="139"/>
      <x:c r="G8" s="141" t="n">
        <x:v>1</x:v>
      </x:c>
      <x:c r="H8" s="141" t="n">
        <x:v>1</x:v>
      </x:c>
      <x:c r="I8" s="143" t="n">
        <x:v>0.1006</x:v>
      </x:c>
      <x:c r="J8" s="141" t="n">
        <x:v>10</x:v>
      </x:c>
      <x:c r="K8" s="138" t="str">
        <x:v>China</x:v>
      </x:c>
      <x:c r="L8" t="str">
        <x:v>USD</x:v>
      </x:c>
      <x:c r="M8" s="126"/>
      <x:c r="N8"/>
      <x:c r="O8"/>
      <x:c r="P8" s="145"/>
      <x:c r="Q8" s="126"/>
      <x:c r="R8" s="149" t="n">
        <x:v>2.16</x:v>
      </x:c>
      <x:c r="S8" s="145"/>
      <x:c r="T8" s="145"/>
      <x:c r="U8" s="124"/>
      <x:c r="V8" s="124"/>
      <x:c r="W8" s="124"/>
      <x:c r="X8" s="124"/>
      <x:c r="Y8"/>
      <x:c r="Z8"/>
      <x:c r="AA8" s="116" t="str">
        <x:v>Net unit weight calculated from 01 kg/m x 0.3048. Order-level RFQ minimum: USD 100. Retail basis: DHH SAE 100R1AT; direct per-ft price; observed 2026-08-15; https://www.discounthydraulichose.com/sae-100r1at-hydraulic-hose.html</x:v>
      </x:c>
      <x:c r="AB8" s="161" t="str">
        <x:v>Eligible</x:v>
      </x:c>
      <x:c r="AC8" s="161" t="str">
        <x:v>Pending</x:v>
      </x:c>
      <x:c r="AD8" t="str">
        <x:v>Length x Pieces</x:v>
      </x:c>
      <x:c r="AE8" s="145" t="n">
        <x:v>1</x:v>
      </x:c>
      <x:c r="AF8" s="145" t="n">
        <x:v>1</x:v>
      </x:c>
      <x:c r="AG8" s="145" t="n">
        <x:v>25</x:v>
      </x:c>
      <x:c r="AH8" s="145" t="n">
        <x:v>50</x:v>
      </x:c>
      <x:c r="AI8" s="145" t="n">
        <x:v>100</x:v>
      </x:c>
      <x:c r="AJ8" t="str">
        <x:v>Quote Review</x:v>
      </x:c>
    </x:row>
    <x:row r="9" ht="30" customHeight="1">
      <x:c r="A9" s="138" t="str">
        <x:v>Draft</x:v>
      </x:c>
      <x:c r="B9" s="138" t="str">
        <x:v>Hose Variant</x:v>
      </x:c>
      <x:c r="C9" s="138" t="str">
        <x:v>601R1_005</x:v>
      </x:c>
      <x:c r="D9" s="138" t="str">
        <x:v>601R1_005</x:v>
      </x:c>
      <x:c r="E9" s="138" t="str">
        <x:v>FT</x:v>
      </x:c>
      <x:c r="F9" s="139"/>
      <x:c r="G9" s="141" t="n">
        <x:v>1</x:v>
      </x:c>
      <x:c r="H9" s="141" t="n">
        <x:v>1</x:v>
      </x:c>
      <x:c r="I9" s="143" t="n">
        <x:v>0.1372</x:v>
      </x:c>
      <x:c r="J9" s="141" t="n">
        <x:v>10</x:v>
      </x:c>
      <x:c r="K9" s="138" t="str">
        <x:v>China</x:v>
      </x:c>
      <x:c r="L9" t="str">
        <x:v>USD</x:v>
      </x:c>
      <x:c r="M9" s="126"/>
      <x:c r="N9"/>
      <x:c r="O9"/>
      <x:c r="P9" s="145"/>
      <x:c r="Q9" s="126"/>
      <x:c r="R9" s="149" t="n">
        <x:v>3</x:v>
      </x:c>
      <x:c r="S9" s="145"/>
      <x:c r="T9" s="145"/>
      <x:c r="U9" s="124"/>
      <x:c r="V9" s="124"/>
      <x:c r="W9" s="124"/>
      <x:c r="X9" s="124"/>
      <x:c r="Y9"/>
      <x:c r="Z9"/>
      <x:c r="AA9" s="116" t="str">
        <x:v>Net unit weight calculated from 01 kg/m x 0.3048. Order-level RFQ minimum: USD 100. Retail basis: DHH SAE 100R1AT; direct per-ft price; observed 2026-08-15; https://www.discounthydraulichose.com/sae-100r1at-hydraulic-hose.html</x:v>
      </x:c>
      <x:c r="AB9" s="161" t="str">
        <x:v>Eligible</x:v>
      </x:c>
      <x:c r="AC9" s="161" t="str">
        <x:v>Pending</x:v>
      </x:c>
      <x:c r="AD9" t="str">
        <x:v>Length x Pieces</x:v>
      </x:c>
      <x:c r="AE9" s="145" t="n">
        <x:v>1</x:v>
      </x:c>
      <x:c r="AF9" s="145" t="n">
        <x:v>1</x:v>
      </x:c>
      <x:c r="AG9" s="145" t="n">
        <x:v>25</x:v>
      </x:c>
      <x:c r="AH9" s="145" t="n">
        <x:v>50</x:v>
      </x:c>
      <x:c r="AI9" s="145" t="n">
        <x:v>100</x:v>
      </x:c>
      <x:c r="AJ9" t="str">
        <x:v>Quote Review</x:v>
      </x:c>
    </x:row>
    <x:row r="10" ht="30" customHeight="1">
      <x:c r="A10" s="138" t="str">
        <x:v>Draft</x:v>
      </x:c>
      <x:c r="B10" s="138" t="str">
        <x:v>Hose Variant</x:v>
      </x:c>
      <x:c r="C10" s="138" t="str">
        <x:v>601R1_006</x:v>
      </x:c>
      <x:c r="D10" s="138" t="str">
        <x:v>601R1_006</x:v>
      </x:c>
      <x:c r="E10" s="138" t="str">
        <x:v>FT</x:v>
      </x:c>
      <x:c r="F10" s="139"/>
      <x:c r="G10" s="141" t="n">
        <x:v>1</x:v>
      </x:c>
      <x:c r="H10" s="141" t="n">
        <x:v>1</x:v>
      </x:c>
      <x:c r="I10" s="143" t="n">
        <x:v>0.1585</x:v>
      </x:c>
      <x:c r="J10" s="141" t="n">
        <x:v>10</x:v>
      </x:c>
      <x:c r="K10" s="138" t="str">
        <x:v>China</x:v>
      </x:c>
      <x:c r="L10" t="str">
        <x:v>USD</x:v>
      </x:c>
      <x:c r="M10" s="126"/>
      <x:c r="N10"/>
      <x:c r="O10"/>
      <x:c r="P10" s="145"/>
      <x:c r="Q10" s="126"/>
      <x:c r="R10" s="149" t="n">
        <x:v>3.84</x:v>
      </x:c>
      <x:c r="S10" s="145"/>
      <x:c r="T10" s="145"/>
      <x:c r="U10" s="124"/>
      <x:c r="V10" s="124"/>
      <x:c r="W10" s="124"/>
      <x:c r="X10" s="124"/>
      <x:c r="Y10"/>
      <x:c r="Z10"/>
      <x:c r="AA10" s="116" t="str">
        <x:v>Net unit weight calculated from 01 kg/m x 0.3048. Order-level RFQ minimum: USD 100. Retail basis: DHH SAE 100R1AT; direct per-ft price; observed 2026-08-15; https://www.discounthydraulichose.com/sae-100r1at-hydraulic-hose.html</x:v>
      </x:c>
      <x:c r="AB10" s="161" t="str">
        <x:v>Eligible</x:v>
      </x:c>
      <x:c r="AC10" s="161" t="str">
        <x:v>Pending</x:v>
      </x:c>
      <x:c r="AD10" t="str">
        <x:v>Length x Pieces</x:v>
      </x:c>
      <x:c r="AE10" s="145" t="n">
        <x:v>1</x:v>
      </x:c>
      <x:c r="AF10" s="145" t="n">
        <x:v>1</x:v>
      </x:c>
      <x:c r="AG10" s="145" t="n">
        <x:v>25</x:v>
      </x:c>
      <x:c r="AH10" s="145" t="n">
        <x:v>50</x:v>
      </x:c>
      <x:c r="AI10" s="145" t="n">
        <x:v>100</x:v>
      </x:c>
      <x:c r="AJ10" t="str">
        <x:v>Quote Review</x:v>
      </x:c>
    </x:row>
    <x:row r="11" ht="30" customHeight="1">
      <x:c r="A11" s="138" t="str">
        <x:v>Draft</x:v>
      </x:c>
      <x:c r="B11" s="138" t="str">
        <x:v>Hose Variant</x:v>
      </x:c>
      <x:c r="C11" s="138" t="str">
        <x:v>601R1_007</x:v>
      </x:c>
      <x:c r="D11" s="138" t="str">
        <x:v>601R1_007</x:v>
      </x:c>
      <x:c r="E11" s="138" t="str">
        <x:v>FT</x:v>
      </x:c>
      <x:c r="F11" s="139"/>
      <x:c r="G11" s="141" t="n">
        <x:v>1</x:v>
      </x:c>
      <x:c r="H11" s="141" t="n">
        <x:v>1</x:v>
      </x:c>
      <x:c r="I11" s="143" t="n">
        <x:v>0.189</x:v>
      </x:c>
      <x:c r="J11" s="141" t="n">
        <x:v>10</x:v>
      </x:c>
      <x:c r="K11" s="138" t="str">
        <x:v>China</x:v>
      </x:c>
      <x:c r="L11" t="str">
        <x:v>USD</x:v>
      </x:c>
      <x:c r="M11" s="126"/>
      <x:c r="N11"/>
      <x:c r="O11"/>
      <x:c r="P11" s="145"/>
      <x:c r="Q11" s="126"/>
      <x:c r="R11" s="149" t="n">
        <x:v>4.44</x:v>
      </x:c>
      <x:c r="S11" s="145"/>
      <x:c r="T11" s="145"/>
      <x:c r="U11" s="124"/>
      <x:c r="V11" s="124"/>
      <x:c r="W11" s="124"/>
      <x:c r="X11" s="124"/>
      <x:c r="Y11"/>
      <x:c r="Z11"/>
      <x:c r="AA11" s="116" t="str">
        <x:v>Net unit weight calculated from 01 kg/m x 0.3048. Order-level RFQ minimum: USD 100. Retail basis: DHH SAE 100R1AT; direct per-ft price; observed 2026-08-15; https://www.discounthydraulichose.com/sae-100r1at-hydraulic-hose.html</x:v>
      </x:c>
      <x:c r="AB11" s="161" t="str">
        <x:v>Eligible</x:v>
      </x:c>
      <x:c r="AC11" s="161" t="str">
        <x:v>Pending</x:v>
      </x:c>
      <x:c r="AD11" t="str">
        <x:v>Length x Pieces</x:v>
      </x:c>
      <x:c r="AE11" s="145" t="n">
        <x:v>1</x:v>
      </x:c>
      <x:c r="AF11" s="145" t="n">
        <x:v>1</x:v>
      </x:c>
      <x:c r="AG11" s="145" t="n">
        <x:v>25</x:v>
      </x:c>
      <x:c r="AH11" s="145" t="n">
        <x:v>50</x:v>
      </x:c>
      <x:c r="AI11" s="145" t="n">
        <x:v>100</x:v>
      </x:c>
      <x:c r="AJ11" t="str">
        <x:v>Quote Review</x:v>
      </x:c>
    </x:row>
    <x:row r="12" ht="30" customHeight="1">
      <x:c r="A12" s="138" t="str">
        <x:v>Draft</x:v>
      </x:c>
      <x:c r="B12" s="138" t="str">
        <x:v>Hose Variant</x:v>
      </x:c>
      <x:c r="C12" s="138" t="str">
        <x:v>601R1_008</x:v>
      </x:c>
      <x:c r="D12" s="138" t="str">
        <x:v>601R1_008</x:v>
      </x:c>
      <x:c r="E12" s="138" t="str">
        <x:v>FT</x:v>
      </x:c>
      <x:c r="F12" s="139"/>
      <x:c r="G12" s="141" t="n">
        <x:v>1</x:v>
      </x:c>
      <x:c r="H12" s="141" t="n">
        <x:v>1</x:v>
      </x:c>
      <x:c r="I12" s="143" t="n">
        <x:v>0.2134</x:v>
      </x:c>
      <x:c r="J12" s="141" t="n">
        <x:v>10</x:v>
      </x:c>
      <x:c r="K12" s="138" t="str">
        <x:v>China</x:v>
      </x:c>
      <x:c r="L12" t="str">
        <x:v>USD</x:v>
      </x:c>
      <x:c r="M12" s="126"/>
      <x:c r="N12"/>
      <x:c r="O12"/>
      <x:c r="P12" s="145"/>
      <x:c r="Q12" s="126"/>
      <x:c r="R12" s="149" t="n">
        <x:v>4.93</x:v>
      </x:c>
      <x:c r="S12" s="145"/>
      <x:c r="T12" s="145"/>
      <x:c r="U12" s="124"/>
      <x:c r="V12" s="124"/>
      <x:c r="W12" s="124"/>
      <x:c r="X12" s="124"/>
      <x:c r="Y12"/>
      <x:c r="Z12"/>
      <x:c r="AA12" s="116" t="str">
        <x:v>Net unit weight calculated from 01 kg/m x 0.3048. Order-level RFQ minimum: USD 100. Retail basis: DHH SAE 100R1AT; interpolated per-ft price; observed 2026-08-15; https://www.discounthydraulichose.com/sae-100r1at-hydraulic-hose.html</x:v>
      </x:c>
      <x:c r="AB12" s="161" t="str">
        <x:v>Eligible</x:v>
      </x:c>
      <x:c r="AC12" s="161" t="str">
        <x:v>Pending</x:v>
      </x:c>
      <x:c r="AD12" t="str">
        <x:v>Length x Pieces</x:v>
      </x:c>
      <x:c r="AE12" s="145" t="n">
        <x:v>1</x:v>
      </x:c>
      <x:c r="AF12" s="145" t="n">
        <x:v>1</x:v>
      </x:c>
      <x:c r="AG12" s="145" t="n">
        <x:v>25</x:v>
      </x:c>
      <x:c r="AH12" s="145" t="n">
        <x:v>50</x:v>
      </x:c>
      <x:c r="AI12" s="145" t="n">
        <x:v>100</x:v>
      </x:c>
      <x:c r="AJ12" t="str">
        <x:v>Quote Review</x:v>
      </x:c>
    </x:row>
    <x:row r="13" ht="30" customHeight="1">
      <x:c r="A13" s="138" t="str">
        <x:v>Draft</x:v>
      </x:c>
      <x:c r="B13" s="138" t="str">
        <x:v>Hose Variant</x:v>
      </x:c>
      <x:c r="C13" s="138" t="str">
        <x:v>601R1_009</x:v>
      </x:c>
      <x:c r="D13" s="138" t="str">
        <x:v>601R1_009</x:v>
      </x:c>
      <x:c r="E13" s="138" t="str">
        <x:v>FT</x:v>
      </x:c>
      <x:c r="F13" s="139"/>
      <x:c r="G13" s="141" t="n">
        <x:v>1</x:v>
      </x:c>
      <x:c r="H13" s="141" t="n">
        <x:v>1</x:v>
      </x:c>
      <x:c r="I13" s="143" t="n">
        <x:v>0.2774</x:v>
      </x:c>
      <x:c r="J13" s="141" t="n">
        <x:v>10</x:v>
      </x:c>
      <x:c r="K13" s="138" t="str">
        <x:v>China</x:v>
      </x:c>
      <x:c r="L13" t="str">
        <x:v>USD</x:v>
      </x:c>
      <x:c r="M13" s="126"/>
      <x:c r="N13"/>
      <x:c r="O13"/>
      <x:c r="P13" s="145"/>
      <x:c r="Q13" s="126"/>
      <x:c r="R13" s="149" t="n">
        <x:v>5.4</x:v>
      </x:c>
      <x:c r="S13" s="145"/>
      <x:c r="T13" s="145"/>
      <x:c r="U13" s="124"/>
      <x:c r="V13" s="124"/>
      <x:c r="W13" s="124"/>
      <x:c r="X13" s="124"/>
      <x:c r="Y13"/>
      <x:c r="Z13"/>
      <x:c r="AA13" s="116" t="str">
        <x:v>Net unit weight calculated from 01 kg/m x 0.3048. Order-level RFQ minimum: USD 100. Retail basis: DHH SAE 100R1AT; direct per-ft price; observed 2026-08-15; https://www.discounthydraulichose.com/sae-100r1at-hydraulic-hose.html</x:v>
      </x:c>
      <x:c r="AB13" s="161" t="str">
        <x:v>Eligible</x:v>
      </x:c>
      <x:c r="AC13" s="161" t="str">
        <x:v>Pending</x:v>
      </x:c>
      <x:c r="AD13" t="str">
        <x:v>Length x Pieces</x:v>
      </x:c>
      <x:c r="AE13" s="145" t="n">
        <x:v>1</x:v>
      </x:c>
      <x:c r="AF13" s="145" t="n">
        <x:v>1</x:v>
      </x:c>
      <x:c r="AG13" s="145" t="n">
        <x:v>25</x:v>
      </x:c>
      <x:c r="AH13" s="145" t="n">
        <x:v>50</x:v>
      </x:c>
      <x:c r="AI13" s="145" t="n">
        <x:v>100</x:v>
      </x:c>
      <x:c r="AJ13" t="str">
        <x:v>Quote Review</x:v>
      </x:c>
    </x:row>
    <x:row r="14" ht="30" customHeight="1">
      <x:c r="A14" s="138" t="str">
        <x:v>Draft</x:v>
      </x:c>
      <x:c r="B14" s="138" t="str">
        <x:v>Hose Variant</x:v>
      </x:c>
      <x:c r="C14" s="138" t="str">
        <x:v>601R1_010</x:v>
      </x:c>
      <x:c r="D14" s="138" t="str">
        <x:v>601R1_010</x:v>
      </x:c>
      <x:c r="E14" s="138" t="str">
        <x:v>FT</x:v>
      </x:c>
      <x:c r="F14" s="139"/>
      <x:c r="G14" s="141" t="n">
        <x:v>1</x:v>
      </x:c>
      <x:c r="H14" s="141" t="n">
        <x:v>1</x:v>
      </x:c>
      <x:c r="I14" s="143" t="n">
        <x:v>0.3962</x:v>
      </x:c>
      <x:c r="J14" s="141" t="n">
        <x:v>10</x:v>
      </x:c>
      <x:c r="K14" s="138" t="str">
        <x:v>China</x:v>
      </x:c>
      <x:c r="L14" t="str">
        <x:v>USD</x:v>
      </x:c>
      <x:c r="M14" s="126"/>
      <x:c r="N14"/>
      <x:c r="O14"/>
      <x:c r="P14" s="145"/>
      <x:c r="Q14" s="126"/>
      <x:c r="R14" s="149" t="n">
        <x:v>6.29</x:v>
      </x:c>
      <x:c r="S14" s="145"/>
      <x:c r="T14" s="145"/>
      <x:c r="U14" s="124"/>
      <x:c r="V14" s="124"/>
      <x:c r="W14" s="124"/>
      <x:c r="X14" s="124"/>
      <x:c r="Y14"/>
      <x:c r="Z14"/>
      <x:c r="AA14" s="116" t="str">
        <x:v>Net unit weight calculated from 01 kg/m x 0.3048. Order-level RFQ minimum: USD 100. Retail basis: DHH SAE 100R1AT; extrapolated per-ft price; observed 2026-08-15; https://www.discounthydraulichose.com/sae-100r1at-hydraulic-hose.html</x:v>
      </x:c>
      <x:c r="AB14" s="161" t="str">
        <x:v>Eligible</x:v>
      </x:c>
      <x:c r="AC14" s="161" t="str">
        <x:v>Pending</x:v>
      </x:c>
      <x:c r="AD14" t="str">
        <x:v>Length x Pieces</x:v>
      </x:c>
      <x:c r="AE14" s="145" t="n">
        <x:v>1</x:v>
      </x:c>
      <x:c r="AF14" s="145" t="n">
        <x:v>1</x:v>
      </x:c>
      <x:c r="AG14" s="145" t="n">
        <x:v>25</x:v>
      </x:c>
      <x:c r="AH14" s="145" t="n">
        <x:v>50</x:v>
      </x:c>
      <x:c r="AI14" s="145" t="n">
        <x:v>100</x:v>
      </x:c>
      <x:c r="AJ14" t="str">
        <x:v>Quote Review</x:v>
      </x:c>
    </x:row>
    <x:row r="15" ht="30" customHeight="1">
      <x:c r="A15" s="138" t="str">
        <x:v>Draft</x:v>
      </x:c>
      <x:c r="B15" s="138" t="str">
        <x:v>Hose Variant</x:v>
      </x:c>
      <x:c r="C15" s="138" t="str">
        <x:v>601R1_011</x:v>
      </x:c>
      <x:c r="D15" s="138" t="str">
        <x:v>601R1_011</x:v>
      </x:c>
      <x:c r="E15" s="138" t="str">
        <x:v>FT</x:v>
      </x:c>
      <x:c r="F15" s="139"/>
      <x:c r="G15" s="141" t="n">
        <x:v>1</x:v>
      </x:c>
      <x:c r="H15" s="141" t="n">
        <x:v>1</x:v>
      </x:c>
      <x:c r="I15" s="143" t="n">
        <x:v>0.5182</x:v>
      </x:c>
      <x:c r="J15" s="141" t="n">
        <x:v>10</x:v>
      </x:c>
      <x:c r="K15" s="138" t="str">
        <x:v>China</x:v>
      </x:c>
      <x:c r="L15" t="str">
        <x:v>USD</x:v>
      </x:c>
      <x:c r="M15" s="126"/>
      <x:c r="N15"/>
      <x:c r="O15"/>
      <x:c r="P15" s="145"/>
      <x:c r="Q15" s="126"/>
      <x:c r="R15" s="149" t="n">
        <x:v>7.12</x:v>
      </x:c>
      <x:c r="S15" s="145"/>
      <x:c r="T15" s="145"/>
      <x:c r="U15" s="124"/>
      <x:c r="V15" s="124"/>
      <x:c r="W15" s="124"/>
      <x:c r="X15" s="124"/>
      <x:c r="Y15"/>
      <x:c r="Z15"/>
      <x:c r="AA15" s="116" t="str">
        <x:v>Net unit weight calculated from 01 kg/m x 0.3048. Order-level RFQ minimum: USD 100. Retail basis: DHH SAE 100R1AT; extrapolated per-ft price; observed 2026-08-15; https://www.discounthydraulichose.com/sae-100r1at-hydraulic-hose.html</x:v>
      </x:c>
      <x:c r="AB15" s="161" t="str">
        <x:v>Eligible</x:v>
      </x:c>
      <x:c r="AC15" s="161" t="str">
        <x:v>Pending</x:v>
      </x:c>
      <x:c r="AD15" t="str">
        <x:v>Length x Pieces</x:v>
      </x:c>
      <x:c r="AE15" s="145" t="n">
        <x:v>1</x:v>
      </x:c>
      <x:c r="AF15" s="145" t="n">
        <x:v>1</x:v>
      </x:c>
      <x:c r="AG15" s="145" t="n">
        <x:v>25</x:v>
      </x:c>
      <x:c r="AH15" s="145" t="n">
        <x:v>50</x:v>
      </x:c>
      <x:c r="AI15" s="145" t="n">
        <x:v>100</x:v>
      </x:c>
      <x:c r="AJ15" t="str">
        <x:v>Quote Review</x:v>
      </x:c>
    </x:row>
    <x:row r="16" ht="30" customHeight="1">
      <x:c r="A16" s="138" t="str">
        <x:v>Draft</x:v>
      </x:c>
      <x:c r="B16" s="138" t="str">
        <x:v>Hose Variant</x:v>
      </x:c>
      <x:c r="C16" s="138" t="str">
        <x:v>601R1_012</x:v>
      </x:c>
      <x:c r="D16" s="138" t="str">
        <x:v>601R1_012</x:v>
      </x:c>
      <x:c r="E16" s="138" t="str">
        <x:v>FT</x:v>
      </x:c>
      <x:c r="F16" s="139"/>
      <x:c r="G16" s="141" t="n">
        <x:v>1</x:v>
      </x:c>
      <x:c r="H16" s="141" t="n">
        <x:v>1</x:v>
      </x:c>
      <x:c r="I16" s="143" t="n">
        <x:v>0.5791</x:v>
      </x:c>
      <x:c r="J16" s="141" t="n">
        <x:v>10</x:v>
      </x:c>
      <x:c r="K16" s="138" t="str">
        <x:v>China</x:v>
      </x:c>
      <x:c r="L16" t="str">
        <x:v>USD</x:v>
      </x:c>
      <x:c r="M16" s="126"/>
      <x:c r="N16"/>
      <x:c r="O16"/>
      <x:c r="P16" s="145"/>
      <x:c r="Q16" s="126"/>
      <x:c r="R16" s="149" t="n">
        <x:v>8.65</x:v>
      </x:c>
      <x:c r="S16" s="145"/>
      <x:c r="T16" s="145"/>
      <x:c r="U16" s="124"/>
      <x:c r="V16" s="124"/>
      <x:c r="W16" s="124"/>
      <x:c r="X16" s="124"/>
      <x:c r="Y16"/>
      <x:c r="Z16"/>
      <x:c r="AA16" s="116" t="str">
        <x:v>Net unit weight calculated from 01 kg/m x 0.3048. Order-level RFQ minimum: USD 100. Retail basis: DHH SAE 100R1AT; extrapolated per-ft price; observed 2026-08-15; https://www.discounthydraulichose.com/sae-100r1at-hydraulic-hose.html</x:v>
      </x:c>
      <x:c r="AB16" s="161" t="str">
        <x:v>Eligible</x:v>
      </x:c>
      <x:c r="AC16" s="161" t="str">
        <x:v>Pending</x:v>
      </x:c>
      <x:c r="AD16" t="str">
        <x:v>Length x Pieces</x:v>
      </x:c>
      <x:c r="AE16" s="145" t="n">
        <x:v>1</x:v>
      </x:c>
      <x:c r="AF16" s="145" t="n">
        <x:v>1</x:v>
      </x:c>
      <x:c r="AG16" s="145" t="n">
        <x:v>25</x:v>
      </x:c>
      <x:c r="AH16" s="145" t="n">
        <x:v>50</x:v>
      </x:c>
      <x:c r="AI16" s="145" t="n">
        <x:v>100</x:v>
      </x:c>
      <x:c r="AJ16" t="str">
        <x:v>Quote Review</x:v>
      </x:c>
    </x:row>
    <x:row r="17" ht="30" customHeight="1">
      <x:c r="A17" s="138" t="str">
        <x:v>Draft</x:v>
      </x:c>
      <x:c r="B17" s="138" t="str">
        <x:v>Hose Variant</x:v>
      </x:c>
      <x:c r="C17" s="138" t="str">
        <x:v>601R1_013</x:v>
      </x:c>
      <x:c r="D17" s="138" t="str">
        <x:v>601R1_013</x:v>
      </x:c>
      <x:c r="E17" s="138" t="str">
        <x:v>FT</x:v>
      </x:c>
      <x:c r="F17" s="139"/>
      <x:c r="G17" s="141" t="n">
        <x:v>1</x:v>
      </x:c>
      <x:c r="H17" s="141" t="n">
        <x:v>1</x:v>
      </x:c>
      <x:c r="I17" s="143" t="n">
        <x:v>0.762</x:v>
      </x:c>
      <x:c r="J17" s="141" t="n">
        <x:v>10</x:v>
      </x:c>
      <x:c r="K17" s="138" t="str">
        <x:v>China</x:v>
      </x:c>
      <x:c r="L17" t="str">
        <x:v>USD</x:v>
      </x:c>
      <x:c r="M17" s="126"/>
      <x:c r="N17"/>
      <x:c r="O17"/>
      <x:c r="P17" s="145"/>
      <x:c r="Q17" s="126"/>
      <x:c r="R17" s="149" t="n">
        <x:v>10.07</x:v>
      </x:c>
      <x:c r="S17" s="145"/>
      <x:c r="T17" s="145"/>
      <x:c r="U17" s="124"/>
      <x:c r="V17" s="124"/>
      <x:c r="W17" s="124"/>
      <x:c r="X17" s="124"/>
      <x:c r="Y17"/>
      <x:c r="Z17"/>
      <x:c r="AA17" s="116" t="str">
        <x:v>Net unit weight calculated from 01 kg/m x 0.3048. Order-level RFQ minimum: USD 100. Retail basis: DHH SAE 100R1AT; extrapolated per-ft price; observed 2026-08-15; https://www.discounthydraulichose.com/sae-100r1at-hydraulic-hose.html</x:v>
      </x:c>
      <x:c r="AB17" s="161" t="str">
        <x:v>Eligible</x:v>
      </x:c>
      <x:c r="AC17" s="161" t="str">
        <x:v>Pending</x:v>
      </x:c>
      <x:c r="AD17" t="str">
        <x:v>Length x Pieces</x:v>
      </x:c>
      <x:c r="AE17" s="145" t="n">
        <x:v>1</x:v>
      </x:c>
      <x:c r="AF17" s="145" t="n">
        <x:v>1</x:v>
      </x:c>
      <x:c r="AG17" s="145" t="n">
        <x:v>25</x:v>
      </x:c>
      <x:c r="AH17" s="145" t="n">
        <x:v>50</x:v>
      </x:c>
      <x:c r="AI17" s="145" t="n">
        <x:v>100</x:v>
      </x:c>
      <x:c r="AJ17" t="str">
        <x:v>Quote Review</x:v>
      </x:c>
    </x:row>
    <x:row r="18" ht="30" customHeight="1">
      <x:c r="A18" s="138" t="str">
        <x:v>Draft</x:v>
      </x:c>
      <x:c r="B18" s="138" t="str">
        <x:v>Hose Variant</x:v>
      </x:c>
      <x:c r="C18" s="138" t="str">
        <x:v>601R1_014</x:v>
      </x:c>
      <x:c r="D18" s="138" t="str">
        <x:v>601R1_014</x:v>
      </x:c>
      <x:c r="E18" s="138" t="str">
        <x:v>FT</x:v>
      </x:c>
      <x:c r="F18" s="139"/>
      <x:c r="G18" s="141" t="n">
        <x:v>1</x:v>
      </x:c>
      <x:c r="H18" s="141" t="n">
        <x:v>1</x:v>
      </x:c>
      <x:c r="I18" s="143" t="n">
        <x:v>1.015</x:v>
      </x:c>
      <x:c r="J18" s="141" t="n">
        <x:v>10</x:v>
      </x:c>
      <x:c r="K18" s="138" t="str">
        <x:v>China</x:v>
      </x:c>
      <x:c r="L18" t="str">
        <x:v>USD</x:v>
      </x:c>
      <x:c r="M18" s="126"/>
      <x:c r="N18"/>
      <x:c r="O18"/>
      <x:c r="P18" s="145"/>
      <x:c r="Q18" s="126"/>
      <x:c r="R18" s="149" t="n">
        <x:v>11.4</x:v>
      </x:c>
      <x:c r="S18" s="145"/>
      <x:c r="T18" s="145"/>
      <x:c r="U18" s="124"/>
      <x:c r="V18" s="124"/>
      <x:c r="W18" s="124"/>
      <x:c r="X18" s="124"/>
      <x:c r="Y18"/>
      <x:c r="Z18"/>
      <x:c r="AA18" s="116" t="str">
        <x:v>Net unit weight calculated from 01 kg/m x 0.3048. Order-level RFQ minimum: USD 100. Retail basis: DHH SAE 100R1AT; extrapolated per-ft price; observed 2026-08-15; https://www.discounthydraulichose.com/sae-100r1at-hydraulic-hose.html</x:v>
      </x:c>
      <x:c r="AB18" s="161" t="str">
        <x:v>Eligible</x:v>
      </x:c>
      <x:c r="AC18" s="161" t="str">
        <x:v>Pending</x:v>
      </x:c>
      <x:c r="AD18" t="str">
        <x:v>Length x Pieces</x:v>
      </x:c>
      <x:c r="AE18" s="145" t="n">
        <x:v>1</x:v>
      </x:c>
      <x:c r="AF18" s="145" t="n">
        <x:v>1</x:v>
      </x:c>
      <x:c r="AG18" s="145" t="n">
        <x:v>25</x:v>
      </x:c>
      <x:c r="AH18" s="145" t="n">
        <x:v>50</x:v>
      </x:c>
      <x:c r="AI18" s="145" t="n">
        <x:v>100</x:v>
      </x:c>
      <x:c r="AJ18" t="str">
        <x:v>Quote Review</x:v>
      </x:c>
    </x:row>
    <x:row r="19" ht="30" customHeight="1">
      <x:c r="A19" s="138" t="str">
        <x:v>Draft</x:v>
      </x:c>
      <x:c r="B19" s="138" t="str">
        <x:v>Hose Variant</x:v>
      </x:c>
      <x:c r="C19" s="138" t="str">
        <x:v>601R1_015</x:v>
      </x:c>
      <x:c r="D19" s="138" t="str">
        <x:v>601R1_015</x:v>
      </x:c>
      <x:c r="E19" s="138" t="str">
        <x:v>FT</x:v>
      </x:c>
      <x:c r="F19" s="139"/>
      <x:c r="G19" s="141" t="n">
        <x:v>1</x:v>
      </x:c>
      <x:c r="H19" s="141" t="n">
        <x:v>1</x:v>
      </x:c>
      <x:c r="I19" s="143" t="n">
        <x:v>1.3045</x:v>
      </x:c>
      <x:c r="J19" s="141" t="n">
        <x:v>10</x:v>
      </x:c>
      <x:c r="K19" s="138" t="str">
        <x:v>China</x:v>
      </x:c>
      <x:c r="L19" t="str">
        <x:v>USD</x:v>
      </x:c>
      <x:c r="M19" s="126"/>
      <x:c r="N19"/>
      <x:c r="O19"/>
      <x:c r="P19" s="145"/>
      <x:c r="Q19" s="126"/>
      <x:c r="R19" s="149" t="n">
        <x:v>12.66</x:v>
      </x:c>
      <x:c r="S19" s="145"/>
      <x:c r="T19" s="145"/>
      <x:c r="U19" s="124"/>
      <x:c r="V19" s="124"/>
      <x:c r="W19" s="124"/>
      <x:c r="X19" s="124"/>
      <x:c r="Y19"/>
      <x:c r="Z19"/>
      <x:c r="AA19" s="116" t="str">
        <x:v>Net unit weight calculated from 01 kg/m x 0.3048. Order-level RFQ minimum: USD 100. Retail basis: DHH SAE 100R1AT; extrapolated per-ft price; observed 2026-08-15; https://www.discounthydraulichose.com/sae-100r1at-hydraulic-hose.html</x:v>
      </x:c>
      <x:c r="AB19" s="161" t="str">
        <x:v>Eligible</x:v>
      </x:c>
      <x:c r="AC19" s="161" t="str">
        <x:v>Pending</x:v>
      </x:c>
      <x:c r="AD19" t="str">
        <x:v>Length x Pieces</x:v>
      </x:c>
      <x:c r="AE19" s="145" t="n">
        <x:v>1</x:v>
      </x:c>
      <x:c r="AF19" s="145" t="n">
        <x:v>1</x:v>
      </x:c>
      <x:c r="AG19" s="145" t="n">
        <x:v>25</x:v>
      </x:c>
      <x:c r="AH19" s="145" t="n">
        <x:v>50</x:v>
      </x:c>
      <x:c r="AI19" s="145" t="n">
        <x:v>100</x:v>
      </x:c>
      <x:c r="AJ19" t="str">
        <x:v>Quote Review</x:v>
      </x:c>
    </x:row>
    <x:row r="20" ht="30" customHeight="1">
      <x:c r="A20" s="138" t="str">
        <x:v>Draft</x:v>
      </x:c>
      <x:c r="B20" s="138" t="str">
        <x:v>Hose Variant</x:v>
      </x:c>
      <x:c r="C20" s="138" t="str">
        <x:v>601R1_016</x:v>
      </x:c>
      <x:c r="D20" s="138" t="str">
        <x:v>601R1_016</x:v>
      </x:c>
      <x:c r="E20" s="138" t="str">
        <x:v>FT</x:v>
      </x:c>
      <x:c r="F20" s="139"/>
      <x:c r="G20" s="141" t="n">
        <x:v>1</x:v>
      </x:c>
      <x:c r="H20" s="141" t="n">
        <x:v>1</x:v>
      </x:c>
      <x:c r="I20" s="143" t="n">
        <x:v>1.5331</x:v>
      </x:c>
      <x:c r="J20" s="141" t="n">
        <x:v>10</x:v>
      </x:c>
      <x:c r="K20" s="138" t="str">
        <x:v>China</x:v>
      </x:c>
      <x:c r="L20" t="str">
        <x:v>USD</x:v>
      </x:c>
      <x:c r="M20" s="126"/>
      <x:c r="N20"/>
      <x:c r="O20"/>
      <x:c r="P20" s="145"/>
      <x:c r="Q20" s="126"/>
      <x:c r="R20" s="149" t="n">
        <x:v>13.87</x:v>
      </x:c>
      <x:c r="S20" s="145"/>
      <x:c r="T20" s="145"/>
      <x:c r="U20" s="124"/>
      <x:c r="V20" s="124"/>
      <x:c r="W20" s="124"/>
      <x:c r="X20" s="124"/>
      <x:c r="Y20"/>
      <x:c r="Z20"/>
      <x:c r="AA20" s="116" t="str">
        <x:v>Net unit weight calculated from 01 kg/m x 0.3048. Order-level RFQ minimum: USD 100. Retail basis: DHH SAE 100R1AT; extrapolated per-ft price; observed 2026-08-15; https://www.discounthydraulichose.com/sae-100r1at-hydraulic-hose.html</x:v>
      </x:c>
      <x:c r="AB20" s="161" t="str">
        <x:v>Eligible</x:v>
      </x:c>
      <x:c r="AC20" s="161" t="str">
        <x:v>Pending</x:v>
      </x:c>
      <x:c r="AD20" t="str">
        <x:v>Length x Pieces</x:v>
      </x:c>
      <x:c r="AE20" s="145" t="n">
        <x:v>1</x:v>
      </x:c>
      <x:c r="AF20" s="145" t="n">
        <x:v>1</x:v>
      </x:c>
      <x:c r="AG20" s="145" t="n">
        <x:v>25</x:v>
      </x:c>
      <x:c r="AH20" s="145" t="n">
        <x:v>50</x:v>
      </x:c>
      <x:c r="AI20" s="145" t="n">
        <x:v>100</x:v>
      </x:c>
      <x:c r="AJ20" t="str">
        <x:v>Quote Review</x:v>
      </x:c>
    </x:row>
    <x:row r="21" ht="30" customHeight="1">
      <x:c r="A21" s="138" t="str">
        <x:v>Draft</x:v>
      </x:c>
      <x:c r="B21" s="138" t="str">
        <x:v>Hose Variant</x:v>
      </x:c>
      <x:c r="C21" s="138" t="str">
        <x:v>601R2_001</x:v>
      </x:c>
      <x:c r="D21" s="138" t="str">
        <x:v>601R2_001</x:v>
      </x:c>
      <x:c r="E21" s="138" t="str">
        <x:v>FT</x:v>
      </x:c>
      <x:c r="F21" s="139"/>
      <x:c r="G21" s="141" t="n">
        <x:v>1</x:v>
      </x:c>
      <x:c r="H21" s="141" t="n">
        <x:v>1</x:v>
      </x:c>
      <x:c r="I21" s="143" t="n">
        <x:v>0.0884</x:v>
      </x:c>
      <x:c r="J21" s="141" t="n">
        <x:v>10</x:v>
      </x:c>
      <x:c r="K21" s="138" t="str">
        <x:v>China</x:v>
      </x:c>
      <x:c r="L21" t="str">
        <x:v>USD</x:v>
      </x:c>
      <x:c r="M21" s="126"/>
      <x:c r="N21"/>
      <x:c r="O21"/>
      <x:c r="P21" s="145"/>
      <x:c r="Q21" s="126"/>
      <x:c r="R21" s="149" t="n">
        <x:v>2.23</x:v>
      </x:c>
      <x:c r="S21" s="145"/>
      <x:c r="T21" s="145"/>
      <x:c r="U21" s="124"/>
      <x:c r="V21" s="124"/>
      <x:c r="W21" s="124"/>
      <x:c r="X21" s="124"/>
      <x:c r="Y21"/>
      <x:c r="Z21"/>
      <x:c r="AA21" s="116" t="str">
        <x:v>Net unit weight calculated from 01 kg/m x 0.3048. Order-level RFQ minimum: USD 100. Retail basis: DHH SAE 100R2AT; extrapolated per-ft price; observed 2026-08-15; https://www.discounthydraulichose.com/sae-100r2at-hydraulic-hose.html</x:v>
      </x:c>
      <x:c r="AB21" s="161" t="str">
        <x:v>Eligible</x:v>
      </x:c>
      <x:c r="AC21" s="161" t="str">
        <x:v>Pending</x:v>
      </x:c>
      <x:c r="AD21" t="str">
        <x:v>Length x Pieces</x:v>
      </x:c>
      <x:c r="AE21" s="145" t="n">
        <x:v>1</x:v>
      </x:c>
      <x:c r="AF21" s="145" t="n">
        <x:v>1</x:v>
      </x:c>
      <x:c r="AG21" s="145" t="n">
        <x:v>25</x:v>
      </x:c>
      <x:c r="AH21" s="145" t="n">
        <x:v>50</x:v>
      </x:c>
      <x:c r="AI21" s="145" t="n">
        <x:v>100</x:v>
      </x:c>
      <x:c r="AJ21" t="str">
        <x:v>Quote Review</x:v>
      </x:c>
    </x:row>
    <x:row r="22" ht="30" customHeight="1">
      <x:c r="A22" s="138" t="str">
        <x:v>Draft</x:v>
      </x:c>
      <x:c r="B22" s="138" t="str">
        <x:v>Hose Variant</x:v>
      </x:c>
      <x:c r="C22" s="138" t="str">
        <x:v>601R2_002</x:v>
      </x:c>
      <x:c r="D22" s="138" t="str">
        <x:v>601R2_002</x:v>
      </x:c>
      <x:c r="E22" s="138" t="str">
        <x:v>FT</x:v>
      </x:c>
      <x:c r="F22" s="139"/>
      <x:c r="G22" s="141" t="n">
        <x:v>1</x:v>
      </x:c>
      <x:c r="H22" s="141" t="n">
        <x:v>1</x:v>
      </x:c>
      <x:c r="I22" s="143" t="n">
        <x:v>0.1067</x:v>
      </x:c>
      <x:c r="J22" s="141" t="n">
        <x:v>10</x:v>
      </x:c>
      <x:c r="K22" s="138" t="str">
        <x:v>China</x:v>
      </x:c>
      <x:c r="L22" t="str">
        <x:v>USD</x:v>
      </x:c>
      <x:c r="M22" s="126"/>
      <x:c r="N22"/>
      <x:c r="O22"/>
      <x:c r="P22" s="145"/>
      <x:c r="Q22" s="126"/>
      <x:c r="R22" s="149" t="n">
        <x:v>2.52</x:v>
      </x:c>
      <x:c r="S22" s="145"/>
      <x:c r="T22" s="145"/>
      <x:c r="U22" s="124"/>
      <x:c r="V22" s="124"/>
      <x:c r="W22" s="124"/>
      <x:c r="X22" s="124"/>
      <x:c r="Y22"/>
      <x:c r="Z22"/>
      <x:c r="AA22" s="116" t="str">
        <x:v>Net unit weight calculated from 01 kg/m x 0.3048. Order-level RFQ minimum: USD 100. Retail basis: DHH SAE 100R2AT; direct per-ft price; observed 2026-08-15; https://www.discounthydraulichose.com/sae-100r2at-hydraulic-hose.html</x:v>
      </x:c>
      <x:c r="AB22" s="161" t="str">
        <x:v>Eligible</x:v>
      </x:c>
      <x:c r="AC22" s="161" t="str">
        <x:v>Pending</x:v>
      </x:c>
      <x:c r="AD22" t="str">
        <x:v>Length x Pieces</x:v>
      </x:c>
      <x:c r="AE22" s="145" t="n">
        <x:v>1</x:v>
      </x:c>
      <x:c r="AF22" s="145" t="n">
        <x:v>1</x:v>
      </x:c>
      <x:c r="AG22" s="145" t="n">
        <x:v>25</x:v>
      </x:c>
      <x:c r="AH22" s="145" t="n">
        <x:v>50</x:v>
      </x:c>
      <x:c r="AI22" s="145" t="n">
        <x:v>100</x:v>
      </x:c>
      <x:c r="AJ22" t="str">
        <x:v>Quote Review</x:v>
      </x:c>
    </x:row>
    <x:row r="23" ht="30" customHeight="1">
      <x:c r="A23" s="138" t="str">
        <x:v>Draft</x:v>
      </x:c>
      <x:c r="B23" s="138" t="str">
        <x:v>Hose Variant</x:v>
      </x:c>
      <x:c r="C23" s="138" t="str">
        <x:v>601R2_003</x:v>
      </x:c>
      <x:c r="D23" s="138" t="str">
        <x:v>601R2_003</x:v>
      </x:c>
      <x:c r="E23" s="138" t="str">
        <x:v>FT</x:v>
      </x:c>
      <x:c r="F23" s="139"/>
      <x:c r="G23" s="141" t="n">
        <x:v>1</x:v>
      </x:c>
      <x:c r="H23" s="141" t="n">
        <x:v>1</x:v>
      </x:c>
      <x:c r="I23" s="143" t="n">
        <x:v>0.1189</x:v>
      </x:c>
      <x:c r="J23" s="141" t="n">
        <x:v>10</x:v>
      </x:c>
      <x:c r="K23" s="138" t="str">
        <x:v>China</x:v>
      </x:c>
      <x:c r="L23" t="str">
        <x:v>USD</x:v>
      </x:c>
      <x:c r="M23" s="126"/>
      <x:c r="N23"/>
      <x:c r="O23"/>
      <x:c r="P23" s="145"/>
      <x:c r="Q23" s="126"/>
      <x:c r="R23" s="149" t="n">
        <x:v>2.77</x:v>
      </x:c>
      <x:c r="S23" s="145"/>
      <x:c r="T23" s="145"/>
      <x:c r="U23" s="124"/>
      <x:c r="V23" s="124"/>
      <x:c r="W23" s="124"/>
      <x:c r="X23" s="124"/>
      <x:c r="Y23"/>
      <x:c r="Z23"/>
      <x:c r="AA23" s="116" t="str">
        <x:v>Net unit weight calculated from 01 kg/m x 0.3048. Order-level RFQ minimum: USD 100. Retail basis: DHH SAE 100R2AT; interpolated per-ft price; observed 2026-08-15; https://www.discounthydraulichose.com/sae-100r2at-hydraulic-hose.html</x:v>
      </x:c>
      <x:c r="AB23" s="161" t="str">
        <x:v>Eligible</x:v>
      </x:c>
      <x:c r="AC23" s="161" t="str">
        <x:v>Pending</x:v>
      </x:c>
      <x:c r="AD23" t="str">
        <x:v>Length x Pieces</x:v>
      </x:c>
      <x:c r="AE23" s="145" t="n">
        <x:v>1</x:v>
      </x:c>
      <x:c r="AF23" s="145" t="n">
        <x:v>1</x:v>
      </x:c>
      <x:c r="AG23" s="145" t="n">
        <x:v>25</x:v>
      </x:c>
      <x:c r="AH23" s="145" t="n">
        <x:v>50</x:v>
      </x:c>
      <x:c r="AI23" s="145" t="n">
        <x:v>100</x:v>
      </x:c>
      <x:c r="AJ23" t="str">
        <x:v>Quote Review</x:v>
      </x:c>
    </x:row>
    <x:row r="24" ht="30" customHeight="1">
      <x:c r="A24" s="138" t="str">
        <x:v>Draft</x:v>
      </x:c>
      <x:c r="B24" s="138" t="str">
        <x:v>Hose Variant</x:v>
      </x:c>
      <x:c r="C24" s="138" t="str">
        <x:v>601R2_004</x:v>
      </x:c>
      <x:c r="D24" s="138" t="str">
        <x:v>601R2_004</x:v>
      </x:c>
      <x:c r="E24" s="138" t="str">
        <x:v>FT</x:v>
      </x:c>
      <x:c r="F24" s="139"/>
      <x:c r="G24" s="141" t="n">
        <x:v>1</x:v>
      </x:c>
      <x:c r="H24" s="141" t="n">
        <x:v>1</x:v>
      </x:c>
      <x:c r="I24" s="143" t="n">
        <x:v>0.1494</x:v>
      </x:c>
      <x:c r="J24" s="141" t="n">
        <x:v>10</x:v>
      </x:c>
      <x:c r="K24" s="138" t="str">
        <x:v>China</x:v>
      </x:c>
      <x:c r="L24" t="str">
        <x:v>USD</x:v>
      </x:c>
      <x:c r="M24" s="126"/>
      <x:c r="N24"/>
      <x:c r="O24"/>
      <x:c r="P24" s="145"/>
      <x:c r="Q24" s="126"/>
      <x:c r="R24" s="149" t="n">
        <x:v>3</x:v>
      </x:c>
      <x:c r="S24" s="145"/>
      <x:c r="T24" s="145"/>
      <x:c r="U24" s="124"/>
      <x:c r="V24" s="124"/>
      <x:c r="W24" s="124"/>
      <x:c r="X24" s="124"/>
      <x:c r="Y24"/>
      <x:c r="Z24"/>
      <x:c r="AA24" s="116" t="str">
        <x:v>Net unit weight calculated from 01 kg/m x 0.3048. Order-level RFQ minimum: USD 100. Retail basis: DHH SAE 100R2AT; direct per-ft price; observed 2026-08-15; https://www.discounthydraulichose.com/sae-100r2at-hydraulic-hose.html</x:v>
      </x:c>
      <x:c r="AB24" s="161" t="str">
        <x:v>Eligible</x:v>
      </x:c>
      <x:c r="AC24" s="161" t="str">
        <x:v>Pending</x:v>
      </x:c>
      <x:c r="AD24" t="str">
        <x:v>Length x Pieces</x:v>
      </x:c>
      <x:c r="AE24" s="145" t="n">
        <x:v>1</x:v>
      </x:c>
      <x:c r="AF24" s="145" t="n">
        <x:v>1</x:v>
      </x:c>
      <x:c r="AG24" s="145" t="n">
        <x:v>25</x:v>
      </x:c>
      <x:c r="AH24" s="145" t="n">
        <x:v>50</x:v>
      </x:c>
      <x:c r="AI24" s="145" t="n">
        <x:v>100</x:v>
      </x:c>
      <x:c r="AJ24" t="str">
        <x:v>Quote Review</x:v>
      </x:c>
    </x:row>
    <x:row r="25" ht="30" customHeight="1">
      <x:c r="A25" s="138" t="str">
        <x:v>Draft</x:v>
      </x:c>
      <x:c r="B25" s="138" t="str">
        <x:v>Hose Variant</x:v>
      </x:c>
      <x:c r="C25" s="138" t="str">
        <x:v>601R2_005</x:v>
      </x:c>
      <x:c r="D25" s="138" t="str">
        <x:v>601R2_005</x:v>
      </x:c>
      <x:c r="E25" s="138" t="str">
        <x:v>FT</x:v>
      </x:c>
      <x:c r="F25" s="139"/>
      <x:c r="G25" s="141" t="n">
        <x:v>1</x:v>
      </x:c>
      <x:c r="H25" s="141" t="n">
        <x:v>1</x:v>
      </x:c>
      <x:c r="I25" s="143" t="n">
        <x:v>0.1859</x:v>
      </x:c>
      <x:c r="J25" s="141" t="n">
        <x:v>10</x:v>
      </x:c>
      <x:c r="K25" s="138" t="str">
        <x:v>China</x:v>
      </x:c>
      <x:c r="L25" t="str">
        <x:v>USD</x:v>
      </x:c>
      <x:c r="M25" s="126"/>
      <x:c r="N25"/>
      <x:c r="O25"/>
      <x:c r="P25" s="145"/>
      <x:c r="Q25" s="126"/>
      <x:c r="R25" s="149" t="n">
        <x:v>3.48</x:v>
      </x:c>
      <x:c r="S25" s="145"/>
      <x:c r="T25" s="145"/>
      <x:c r="U25" s="124"/>
      <x:c r="V25" s="124"/>
      <x:c r="W25" s="124"/>
      <x:c r="X25" s="124"/>
      <x:c r="Y25"/>
      <x:c r="Z25"/>
      <x:c r="AA25" s="116" t="str">
        <x:v>Net unit weight calculated from 01 kg/m x 0.3048. Order-level RFQ minimum: USD 100. Retail basis: DHH SAE 100R2AT; direct per-ft price; observed 2026-08-15; https://www.discounthydraulichose.com/sae-100r2at-hydraulic-hose.html</x:v>
      </x:c>
      <x:c r="AB25" s="161" t="str">
        <x:v>Eligible</x:v>
      </x:c>
      <x:c r="AC25" s="161" t="str">
        <x:v>Pending</x:v>
      </x:c>
      <x:c r="AD25" t="str">
        <x:v>Length x Pieces</x:v>
      </x:c>
      <x:c r="AE25" s="145" t="n">
        <x:v>1</x:v>
      </x:c>
      <x:c r="AF25" s="145" t="n">
        <x:v>1</x:v>
      </x:c>
      <x:c r="AG25" s="145" t="n">
        <x:v>25</x:v>
      </x:c>
      <x:c r="AH25" s="145" t="n">
        <x:v>50</x:v>
      </x:c>
      <x:c r="AI25" s="145" t="n">
        <x:v>100</x:v>
      </x:c>
      <x:c r="AJ25" t="str">
        <x:v>Quote Review</x:v>
      </x:c>
    </x:row>
    <x:row r="26" ht="30" customHeight="1">
      <x:c r="A26" s="138" t="str">
        <x:v>Draft</x:v>
      </x:c>
      <x:c r="B26" s="138" t="str">
        <x:v>Hose Variant</x:v>
      </x:c>
      <x:c r="C26" s="138" t="str">
        <x:v>601R2_006</x:v>
      </x:c>
      <x:c r="D26" s="138" t="str">
        <x:v>601R2_006</x:v>
      </x:c>
      <x:c r="E26" s="138" t="str">
        <x:v>FT</x:v>
      </x:c>
      <x:c r="F26" s="139"/>
      <x:c r="G26" s="141" t="n">
        <x:v>1</x:v>
      </x:c>
      <x:c r="H26" s="141" t="n">
        <x:v>1</x:v>
      </x:c>
      <x:c r="I26" s="143" t="n">
        <x:v>0.2256</x:v>
      </x:c>
      <x:c r="J26" s="141" t="n">
        <x:v>10</x:v>
      </x:c>
      <x:c r="K26" s="138" t="str">
        <x:v>China</x:v>
      </x:c>
      <x:c r="L26" t="str">
        <x:v>USD</x:v>
      </x:c>
      <x:c r="M26" s="126"/>
      <x:c r="N26"/>
      <x:c r="O26"/>
      <x:c r="P26" s="145"/>
      <x:c r="Q26" s="126"/>
      <x:c r="R26" s="149" t="n">
        <x:v>5.16</x:v>
      </x:c>
      <x:c r="S26" s="145"/>
      <x:c r="T26" s="145"/>
      <x:c r="U26" s="124"/>
      <x:c r="V26" s="124"/>
      <x:c r="W26" s="124"/>
      <x:c r="X26" s="124"/>
      <x:c r="Y26"/>
      <x:c r="Z26"/>
      <x:c r="AA26" s="116" t="str">
        <x:v>Net unit weight calculated from 01 kg/m x 0.3048. Order-level RFQ minimum: USD 100. Retail basis: DHH SAE 100R2AT; direct per-ft price; observed 2026-08-15; https://www.discounthydraulichose.com/sae-100r2at-hydraulic-hose.html</x:v>
      </x:c>
      <x:c r="AB26" s="161" t="str">
        <x:v>Eligible</x:v>
      </x:c>
      <x:c r="AC26" s="161" t="str">
        <x:v>Pending</x:v>
      </x:c>
      <x:c r="AD26" t="str">
        <x:v>Length x Pieces</x:v>
      </x:c>
      <x:c r="AE26" s="145" t="n">
        <x:v>1</x:v>
      </x:c>
      <x:c r="AF26" s="145" t="n">
        <x:v>1</x:v>
      </x:c>
      <x:c r="AG26" s="145" t="n">
        <x:v>25</x:v>
      </x:c>
      <x:c r="AH26" s="145" t="n">
        <x:v>50</x:v>
      </x:c>
      <x:c r="AI26" s="145" t="n">
        <x:v>100</x:v>
      </x:c>
      <x:c r="AJ26" t="str">
        <x:v>Quote Review</x:v>
      </x:c>
    </x:row>
    <x:row r="27" ht="30" customHeight="1">
      <x:c r="A27" s="138" t="str">
        <x:v>Draft</x:v>
      </x:c>
      <x:c r="B27" s="138" t="str">
        <x:v>Hose Variant</x:v>
      </x:c>
      <x:c r="C27" s="138" t="str">
        <x:v>601R2_007</x:v>
      </x:c>
      <x:c r="D27" s="138" t="str">
        <x:v>601R2_007</x:v>
      </x:c>
      <x:c r="E27" s="138" t="str">
        <x:v>FT</x:v>
      </x:c>
      <x:c r="F27" s="139"/>
      <x:c r="G27" s="141" t="n">
        <x:v>1</x:v>
      </x:c>
      <x:c r="H27" s="141" t="n">
        <x:v>1</x:v>
      </x:c>
      <x:c r="I27" s="143" t="n">
        <x:v>0.2835</x:v>
      </x:c>
      <x:c r="J27" s="141" t="n">
        <x:v>10</x:v>
      </x:c>
      <x:c r="K27" s="138" t="str">
        <x:v>China</x:v>
      </x:c>
      <x:c r="L27" t="str">
        <x:v>USD</x:v>
      </x:c>
      <x:c r="M27" s="126"/>
      <x:c r="N27"/>
      <x:c r="O27"/>
      <x:c r="P27" s="145"/>
      <x:c r="Q27" s="126"/>
      <x:c r="R27" s="149" t="n">
        <x:v>5.04</x:v>
      </x:c>
      <x:c r="S27" s="145"/>
      <x:c r="T27" s="145"/>
      <x:c r="U27" s="124"/>
      <x:c r="V27" s="124"/>
      <x:c r="W27" s="124"/>
      <x:c r="X27" s="124"/>
      <x:c r="Y27"/>
      <x:c r="Z27"/>
      <x:c r="AA27" s="116" t="str">
        <x:v>Net unit weight calculated from 01 kg/m x 0.3048. Order-level RFQ minimum: USD 100. Retail basis: DHH SAE 100R2AT; direct per-ft price; observed 2026-08-15; https://www.discounthydraulichose.com/sae-100r2at-hydraulic-hose.html</x:v>
      </x:c>
      <x:c r="AB27" s="161" t="str">
        <x:v>Eligible</x:v>
      </x:c>
      <x:c r="AC27" s="161" t="str">
        <x:v>Pending</x:v>
      </x:c>
      <x:c r="AD27" t="str">
        <x:v>Length x Pieces</x:v>
      </x:c>
      <x:c r="AE27" s="145" t="n">
        <x:v>1</x:v>
      </x:c>
      <x:c r="AF27" s="145" t="n">
        <x:v>1</x:v>
      </x:c>
      <x:c r="AG27" s="145" t="n">
        <x:v>25</x:v>
      </x:c>
      <x:c r="AH27" s="145" t="n">
        <x:v>50</x:v>
      </x:c>
      <x:c r="AI27" s="145" t="n">
        <x:v>100</x:v>
      </x:c>
      <x:c r="AJ27" t="str">
        <x:v>Quote Review</x:v>
      </x:c>
    </x:row>
    <x:row r="28" ht="30" customHeight="1">
      <x:c r="A28" s="138" t="str">
        <x:v>Draft</x:v>
      </x:c>
      <x:c r="B28" s="138" t="str">
        <x:v>Hose Variant</x:v>
      </x:c>
      <x:c r="C28" s="138" t="str">
        <x:v>601R2_008</x:v>
      </x:c>
      <x:c r="D28" s="138" t="str">
        <x:v>601R2_008</x:v>
      </x:c>
      <x:c r="E28" s="138" t="str">
        <x:v>FT</x:v>
      </x:c>
      <x:c r="F28" s="139"/>
      <x:c r="G28" s="141" t="n">
        <x:v>1</x:v>
      </x:c>
      <x:c r="H28" s="141" t="n">
        <x:v>1</x:v>
      </x:c>
      <x:c r="I28" s="143" t="n">
        <x:v>0.317</x:v>
      </x:c>
      <x:c r="J28" s="141" t="n">
        <x:v>10</x:v>
      </x:c>
      <x:c r="K28" s="138" t="str">
        <x:v>China</x:v>
      </x:c>
      <x:c r="L28" t="str">
        <x:v>USD</x:v>
      </x:c>
      <x:c r="M28" s="126"/>
      <x:c r="N28"/>
      <x:c r="O28"/>
      <x:c r="P28" s="145"/>
      <x:c r="Q28" s="126"/>
      <x:c r="R28" s="149" t="n">
        <x:v>5.94</x:v>
      </x:c>
      <x:c r="S28" s="145"/>
      <x:c r="T28" s="145"/>
      <x:c r="U28" s="124"/>
      <x:c r="V28" s="124"/>
      <x:c r="W28" s="124"/>
      <x:c r="X28" s="124"/>
      <x:c r="Y28"/>
      <x:c r="Z28"/>
      <x:c r="AA28" s="116" t="str">
        <x:v>Net unit weight calculated from 01 kg/m x 0.3048. Order-level RFQ minimum: USD 100. Retail basis: DHH SAE 100R2AT; interpolated per-ft price; observed 2026-08-15; https://www.discounthydraulichose.com/sae-100r2at-hydraulic-hose.html</x:v>
      </x:c>
      <x:c r="AB28" s="161" t="str">
        <x:v>Eligible</x:v>
      </x:c>
      <x:c r="AC28" s="161" t="str">
        <x:v>Pending</x:v>
      </x:c>
      <x:c r="AD28" t="str">
        <x:v>Length x Pieces</x:v>
      </x:c>
      <x:c r="AE28" s="145" t="n">
        <x:v>1</x:v>
      </x:c>
      <x:c r="AF28" s="145" t="n">
        <x:v>1</x:v>
      </x:c>
      <x:c r="AG28" s="145" t="n">
        <x:v>25</x:v>
      </x:c>
      <x:c r="AH28" s="145" t="n">
        <x:v>50</x:v>
      </x:c>
      <x:c r="AI28" s="145" t="n">
        <x:v>100</x:v>
      </x:c>
      <x:c r="AJ28" t="str">
        <x:v>Quote Review</x:v>
      </x:c>
    </x:row>
    <x:row r="29" ht="30" customHeight="1">
      <x:c r="A29" s="138" t="str">
        <x:v>Draft</x:v>
      </x:c>
      <x:c r="B29" s="138" t="str">
        <x:v>Hose Variant</x:v>
      </x:c>
      <x:c r="C29" s="138" t="str">
        <x:v>601R2_009</x:v>
      </x:c>
      <x:c r="D29" s="138" t="str">
        <x:v>601R2_009</x:v>
      </x:c>
      <x:c r="E29" s="138" t="str">
        <x:v>FT</x:v>
      </x:c>
      <x:c r="F29" s="139"/>
      <x:c r="G29" s="141" t="n">
        <x:v>1</x:v>
      </x:c>
      <x:c r="H29" s="141" t="n">
        <x:v>1</x:v>
      </x:c>
      <x:c r="I29" s="143" t="n">
        <x:v>0.4267</x:v>
      </x:c>
      <x:c r="J29" s="141" t="n">
        <x:v>10</x:v>
      </x:c>
      <x:c r="K29" s="138" t="str">
        <x:v>China</x:v>
      </x:c>
      <x:c r="L29" t="str">
        <x:v>USD</x:v>
      </x:c>
      <x:c r="M29" s="126"/>
      <x:c r="N29"/>
      <x:c r="O29"/>
      <x:c r="P29" s="145"/>
      <x:c r="Q29" s="126"/>
      <x:c r="R29" s="149" t="n">
        <x:v>6.84</x:v>
      </x:c>
      <x:c r="S29" s="145"/>
      <x:c r="T29" s="145"/>
      <x:c r="U29" s="124"/>
      <x:c r="V29" s="124"/>
      <x:c r="W29" s="124"/>
      <x:c r="X29" s="124"/>
      <x:c r="Y29"/>
      <x:c r="Z29"/>
      <x:c r="AA29" s="116" t="str">
        <x:v>Net unit weight calculated from 01 kg/m x 0.3048. Order-level RFQ minimum: USD 100. Retail basis: DHH SAE 100R2AT; direct per-ft price; observed 2026-08-15; https://www.discounthydraulichose.com/sae-100r2at-hydraulic-hose.html</x:v>
      </x:c>
      <x:c r="AB29" s="161" t="str">
        <x:v>Eligible</x:v>
      </x:c>
      <x:c r="AC29" s="161" t="str">
        <x:v>Pending</x:v>
      </x:c>
      <x:c r="AD29" t="str">
        <x:v>Length x Pieces</x:v>
      </x:c>
      <x:c r="AE29" s="145" t="n">
        <x:v>1</x:v>
      </x:c>
      <x:c r="AF29" s="145" t="n">
        <x:v>1</x:v>
      </x:c>
      <x:c r="AG29" s="145" t="n">
        <x:v>25</x:v>
      </x:c>
      <x:c r="AH29" s="145" t="n">
        <x:v>50</x:v>
      </x:c>
      <x:c r="AI29" s="145" t="n">
        <x:v>100</x:v>
      </x:c>
      <x:c r="AJ29" t="str">
        <x:v>Quote Review</x:v>
      </x:c>
    </x:row>
    <x:row r="30" ht="30" customHeight="1">
      <x:c r="A30" s="138" t="str">
        <x:v>Draft</x:v>
      </x:c>
      <x:c r="B30" s="138" t="str">
        <x:v>Hose Variant</x:v>
      </x:c>
      <x:c r="C30" s="138" t="str">
        <x:v>601R2_010</x:v>
      </x:c>
      <x:c r="D30" s="138" t="str">
        <x:v>601R2_010</x:v>
      </x:c>
      <x:c r="E30" s="138" t="str">
        <x:v>FT</x:v>
      </x:c>
      <x:c r="F30" s="139"/>
      <x:c r="G30" s="141" t="n">
        <x:v>1</x:v>
      </x:c>
      <x:c r="H30" s="141" t="n">
        <x:v>1</x:v>
      </x:c>
      <x:c r="I30" s="143" t="n">
        <x:v>0.6187</x:v>
      </x:c>
      <x:c r="J30" s="141" t="n">
        <x:v>10</x:v>
      </x:c>
      <x:c r="K30" s="138" t="str">
        <x:v>China</x:v>
      </x:c>
      <x:c r="L30" t="str">
        <x:v>USD</x:v>
      </x:c>
      <x:c r="M30" s="126"/>
      <x:c r="N30"/>
      <x:c r="O30"/>
      <x:c r="P30" s="145"/>
      <x:c r="Q30" s="126"/>
      <x:c r="R30" s="149" t="n">
        <x:v>20.04</x:v>
      </x:c>
      <x:c r="S30" s="145"/>
      <x:c r="T30" s="145"/>
      <x:c r="U30" s="124"/>
      <x:c r="V30" s="124"/>
      <x:c r="W30" s="124"/>
      <x:c r="X30" s="124"/>
      <x:c r="Y30"/>
      <x:c r="Z30"/>
      <x:c r="AA30" s="116" t="str">
        <x:v>Net unit weight calculated from 01 kg/m x 0.3048. Order-level RFQ minimum: USD 100. Retail basis: DHH SAE 100R2AT; direct per-ft price; observed 2026-08-15; https://www.discounthydraulichose.com/sae-100r2at-hydraulic-hose.html</x:v>
      </x:c>
      <x:c r="AB30" s="161" t="str">
        <x:v>Eligible</x:v>
      </x:c>
      <x:c r="AC30" s="161" t="str">
        <x:v>Pending</x:v>
      </x:c>
      <x:c r="AD30" t="str">
        <x:v>Length x Pieces</x:v>
      </x:c>
      <x:c r="AE30" s="145" t="n">
        <x:v>1</x:v>
      </x:c>
      <x:c r="AF30" s="145" t="n">
        <x:v>1</x:v>
      </x:c>
      <x:c r="AG30" s="145" t="n">
        <x:v>25</x:v>
      </x:c>
      <x:c r="AH30" s="145" t="n">
        <x:v>50</x:v>
      </x:c>
      <x:c r="AI30" s="145" t="n">
        <x:v>100</x:v>
      </x:c>
      <x:c r="AJ30" t="str">
        <x:v>Quote Review</x:v>
      </x:c>
    </x:row>
    <x:row r="31" ht="30" customHeight="1">
      <x:c r="A31" s="138" t="str">
        <x:v>Draft</x:v>
      </x:c>
      <x:c r="B31" s="138" t="str">
        <x:v>Hose Variant</x:v>
      </x:c>
      <x:c r="C31" s="138" t="str">
        <x:v>601R2_011</x:v>
      </x:c>
      <x:c r="D31" s="138" t="str">
        <x:v>601R2_011</x:v>
      </x:c>
      <x:c r="E31" s="138" t="str">
        <x:v>FT</x:v>
      </x:c>
      <x:c r="F31" s="139"/>
      <x:c r="G31" s="141" t="n">
        <x:v>1</x:v>
      </x:c>
      <x:c r="H31" s="141" t="n">
        <x:v>1</x:v>
      </x:c>
      <x:c r="I31" s="143" t="n">
        <x:v>0.6888</x:v>
      </x:c>
      <x:c r="J31" s="141" t="n">
        <x:v>10</x:v>
      </x:c>
      <x:c r="K31" s="138" t="str">
        <x:v>China</x:v>
      </x:c>
      <x:c r="L31" t="str">
        <x:v>USD</x:v>
      </x:c>
      <x:c r="M31" s="126"/>
      <x:c r="N31"/>
      <x:c r="O31"/>
      <x:c r="P31" s="145"/>
      <x:c r="Q31" s="126"/>
      <x:c r="R31" s="149" t="n">
        <x:v>23.4</x:v>
      </x:c>
      <x:c r="S31" s="145"/>
      <x:c r="T31" s="145"/>
      <x:c r="U31" s="124"/>
      <x:c r="V31" s="124"/>
      <x:c r="W31" s="124"/>
      <x:c r="X31" s="124"/>
      <x:c r="Y31"/>
      <x:c r="Z31"/>
      <x:c r="AA31" s="116" t="str">
        <x:v>Net unit weight calculated from 01 kg/m x 0.3048. Order-level RFQ minimum: USD 100. Retail basis: DHH SAE 100R2AT; direct per-ft price; observed 2026-08-15; https://www.discounthydraulichose.com/sae-100r2at-hydraulic-hose.html</x:v>
      </x:c>
      <x:c r="AB31" s="161" t="str">
        <x:v>Eligible</x:v>
      </x:c>
      <x:c r="AC31" s="161" t="str">
        <x:v>Pending</x:v>
      </x:c>
      <x:c r="AD31" t="str">
        <x:v>Length x Pieces</x:v>
      </x:c>
      <x:c r="AE31" s="145" t="n">
        <x:v>1</x:v>
      </x:c>
      <x:c r="AF31" s="145" t="n">
        <x:v>1</x:v>
      </x:c>
      <x:c r="AG31" s="145" t="n">
        <x:v>25</x:v>
      </x:c>
      <x:c r="AH31" s="145" t="n">
        <x:v>50</x:v>
      </x:c>
      <x:c r="AI31" s="145" t="n">
        <x:v>100</x:v>
      </x:c>
      <x:c r="AJ31" t="str">
        <x:v>Quote Review</x:v>
      </x:c>
    </x:row>
    <x:row r="32" ht="30" customHeight="1">
      <x:c r="A32" s="138" t="str">
        <x:v>Draft</x:v>
      </x:c>
      <x:c r="B32" s="138" t="str">
        <x:v>Hose Variant</x:v>
      </x:c>
      <x:c r="C32" s="138" t="str">
        <x:v>601R2_012</x:v>
      </x:c>
      <x:c r="D32" s="138" t="str">
        <x:v>601R2_012</x:v>
      </x:c>
      <x:c r="E32" s="138" t="str">
        <x:v>FT</x:v>
      </x:c>
      <x:c r="F32" s="139"/>
      <x:c r="G32" s="141" t="n">
        <x:v>1</x:v>
      </x:c>
      <x:c r="H32" s="141" t="n">
        <x:v>1</x:v>
      </x:c>
      <x:c r="I32" s="143" t="n">
        <x:v>0.89</x:v>
      </x:c>
      <x:c r="J32" s="141" t="n">
        <x:v>10</x:v>
      </x:c>
      <x:c r="K32" s="138" t="str">
        <x:v>China</x:v>
      </x:c>
      <x:c r="L32" t="str">
        <x:v>USD</x:v>
      </x:c>
      <x:c r="M32" s="126"/>
      <x:c r="N32"/>
      <x:c r="O32"/>
      <x:c r="P32" s="145"/>
      <x:c r="Q32" s="126"/>
      <x:c r="R32" s="149" t="n">
        <x:v>29.76</x:v>
      </x:c>
      <x:c r="S32" s="145"/>
      <x:c r="T32" s="145"/>
      <x:c r="U32" s="124"/>
      <x:c r="V32" s="124"/>
      <x:c r="W32" s="124"/>
      <x:c r="X32" s="124"/>
      <x:c r="Y32"/>
      <x:c r="Z32"/>
      <x:c r="AA32" s="116" t="str">
        <x:v>Net unit weight calculated from 01 kg/m x 0.3048. Order-level RFQ minimum: USD 100. Retail basis: DHH SAE 100R2AT; direct per-ft price; observed 2026-08-15; https://www.discounthydraulichose.com/sae-100r2at-hydraulic-hose.html</x:v>
      </x:c>
      <x:c r="AB32" s="161" t="str">
        <x:v>Eligible</x:v>
      </x:c>
      <x:c r="AC32" s="161" t="str">
        <x:v>Pending</x:v>
      </x:c>
      <x:c r="AD32" t="str">
        <x:v>Length x Pieces</x:v>
      </x:c>
      <x:c r="AE32" s="145" t="n">
        <x:v>1</x:v>
      </x:c>
      <x:c r="AF32" s="145" t="n">
        <x:v>1</x:v>
      </x:c>
      <x:c r="AG32" s="145" t="n">
        <x:v>25</x:v>
      </x:c>
      <x:c r="AH32" s="145" t="n">
        <x:v>50</x:v>
      </x:c>
      <x:c r="AI32" s="145" t="n">
        <x:v>100</x:v>
      </x:c>
      <x:c r="AJ32" t="str">
        <x:v>Quote Review</x:v>
      </x:c>
    </x:row>
    <x:row r="33" ht="30" customHeight="1">
      <x:c r="A33" s="138" t="str">
        <x:v>Draft</x:v>
      </x:c>
      <x:c r="B33" s="138" t="str">
        <x:v>Hose Variant</x:v>
      </x:c>
      <x:c r="C33" s="138" t="str">
        <x:v>601R2_013</x:v>
      </x:c>
      <x:c r="D33" s="138" t="str">
        <x:v>601R2_013</x:v>
      </x:c>
      <x:c r="E33" s="138" t="str">
        <x:v>FT</x:v>
      </x:c>
      <x:c r="F33" s="139"/>
      <x:c r="G33" s="141" t="n">
        <x:v>1</x:v>
      </x:c>
      <x:c r="H33" s="141" t="n">
        <x:v>1</x:v>
      </x:c>
      <x:c r="I33" s="143" t="n">
        <x:v>1.0455</x:v>
      </x:c>
      <x:c r="J33" s="141" t="n">
        <x:v>10</x:v>
      </x:c>
      <x:c r="K33" s="138" t="str">
        <x:v>China</x:v>
      </x:c>
      <x:c r="L33" t="str">
        <x:v>USD</x:v>
      </x:c>
      <x:c r="M33" s="126"/>
      <x:c r="N33"/>
      <x:c r="O33"/>
      <x:c r="P33" s="145"/>
      <x:c r="Q33" s="126"/>
      <x:c r="R33" s="149" t="n">
        <x:v>35.86</x:v>
      </x:c>
      <x:c r="S33" s="145"/>
      <x:c r="T33" s="145"/>
      <x:c r="U33" s="124"/>
      <x:c r="V33" s="124"/>
      <x:c r="W33" s="124"/>
      <x:c r="X33" s="124"/>
      <x:c r="Y33"/>
      <x:c r="Z33"/>
      <x:c r="AA33" s="116" t="str">
        <x:v>Net unit weight calculated from 01 kg/m x 0.3048. Order-level RFQ minimum: USD 100. Retail basis: DHH SAE 100R2AT; extrapolated per-ft price; observed 2026-08-15; https://www.discounthydraulichose.com/sae-100r2at-hydraulic-hose.html</x:v>
      </x:c>
      <x:c r="AB33" s="161" t="str">
        <x:v>Eligible</x:v>
      </x:c>
      <x:c r="AC33" s="161" t="str">
        <x:v>Pending</x:v>
      </x:c>
      <x:c r="AD33" t="str">
        <x:v>Length x Pieces</x:v>
      </x:c>
      <x:c r="AE33" s="145" t="n">
        <x:v>1</x:v>
      </x:c>
      <x:c r="AF33" s="145" t="n">
        <x:v>1</x:v>
      </x:c>
      <x:c r="AG33" s="145" t="n">
        <x:v>25</x:v>
      </x:c>
      <x:c r="AH33" s="145" t="n">
        <x:v>50</x:v>
      </x:c>
      <x:c r="AI33" s="145" t="n">
        <x:v>100</x:v>
      </x:c>
      <x:c r="AJ33" t="str">
        <x:v>Quote Review</x:v>
      </x:c>
    </x:row>
    <x:row r="34" ht="30" customHeight="1">
      <x:c r="A34" s="138" t="str">
        <x:v>Draft</x:v>
      </x:c>
      <x:c r="B34" s="138" t="str">
        <x:v>Hose Variant</x:v>
      </x:c>
      <x:c r="C34" s="138" t="str">
        <x:v>601R2_014</x:v>
      </x:c>
      <x:c r="D34" s="138" t="str">
        <x:v>601R2_014</x:v>
      </x:c>
      <x:c r="E34" s="138" t="str">
        <x:v>FT</x:v>
      </x:c>
      <x:c r="F34" s="139"/>
      <x:c r="G34" s="141" t="n">
        <x:v>1</x:v>
      </x:c>
      <x:c r="H34" s="141" t="n">
        <x:v>1</x:v>
      </x:c>
      <x:c r="I34" s="143" t="n">
        <x:v>1.335</x:v>
      </x:c>
      <x:c r="J34" s="141" t="n">
        <x:v>10</x:v>
      </x:c>
      <x:c r="K34" s="138" t="str">
        <x:v>China</x:v>
      </x:c>
      <x:c r="L34" t="str">
        <x:v>USD</x:v>
      </x:c>
      <x:c r="M34" s="126"/>
      <x:c r="N34"/>
      <x:c r="O34"/>
      <x:c r="P34" s="145"/>
      <x:c r="Q34" s="126"/>
      <x:c r="R34" s="149" t="n">
        <x:v>41.76</x:v>
      </x:c>
      <x:c r="S34" s="145"/>
      <x:c r="T34" s="145"/>
      <x:c r="U34" s="124"/>
      <x:c r="V34" s="124"/>
      <x:c r="W34" s="124"/>
      <x:c r="X34" s="124"/>
      <x:c r="Y34"/>
      <x:c r="Z34"/>
      <x:c r="AA34" s="116" t="str">
        <x:v>Net unit weight calculated from 01 kg/m x 0.3048. Order-level RFQ minimum: USD 100. Retail basis: DHH SAE 100R2AT; extrapolated per-ft price; observed 2026-08-15; https://www.discounthydraulichose.com/sae-100r2at-hydraulic-hose.html</x:v>
      </x:c>
      <x:c r="AB34" s="161" t="str">
        <x:v>Eligible</x:v>
      </x:c>
      <x:c r="AC34" s="161" t="str">
        <x:v>Pending</x:v>
      </x:c>
      <x:c r="AD34" t="str">
        <x:v>Length x Pieces</x:v>
      </x:c>
      <x:c r="AE34" s="145" t="n">
        <x:v>1</x:v>
      </x:c>
      <x:c r="AF34" s="145" t="n">
        <x:v>1</x:v>
      </x:c>
      <x:c r="AG34" s="145" t="n">
        <x:v>25</x:v>
      </x:c>
      <x:c r="AH34" s="145" t="n">
        <x:v>50</x:v>
      </x:c>
      <x:c r="AI34" s="145" t="n">
        <x:v>100</x:v>
      </x:c>
      <x:c r="AJ34" t="str">
        <x:v>Quote Review</x:v>
      </x:c>
    </x:row>
    <x:row r="35" ht="30" customHeight="1">
      <x:c r="A35" s="138" t="str">
        <x:v>Draft</x:v>
      </x:c>
      <x:c r="B35" s="138" t="str">
        <x:v>Hose Variant</x:v>
      </x:c>
      <x:c r="C35" s="138" t="str">
        <x:v>601R2_015</x:v>
      </x:c>
      <x:c r="D35" s="138" t="str">
        <x:v>601R2_015</x:v>
      </x:c>
      <x:c r="E35" s="138" t="str">
        <x:v>FT</x:v>
      </x:c>
      <x:c r="F35" s="139"/>
      <x:c r="G35" s="141" t="n">
        <x:v>1</x:v>
      </x:c>
      <x:c r="H35" s="141" t="n">
        <x:v>1</x:v>
      </x:c>
      <x:c r="I35" s="143" t="n">
        <x:v>1.7313</x:v>
      </x:c>
      <x:c r="J35" s="141" t="n">
        <x:v>10</x:v>
      </x:c>
      <x:c r="K35" s="138" t="str">
        <x:v>China</x:v>
      </x:c>
      <x:c r="L35" t="str">
        <x:v>USD</x:v>
      </x:c>
      <x:c r="M35" s="126"/>
      <x:c r="N35"/>
      <x:c r="O35"/>
      <x:c r="P35" s="145"/>
      <x:c r="Q35" s="126"/>
      <x:c r="R35" s="149" t="n">
        <x:v>47.51</x:v>
      </x:c>
      <x:c r="S35" s="145"/>
      <x:c r="T35" s="145"/>
      <x:c r="U35" s="124"/>
      <x:c r="V35" s="124"/>
      <x:c r="W35" s="124"/>
      <x:c r="X35" s="124"/>
      <x:c r="Y35"/>
      <x:c r="Z35"/>
      <x:c r="AA35" s="116" t="str">
        <x:v>Net unit weight calculated from 01 kg/m x 0.3048. Order-level RFQ minimum: USD 100. Retail basis: DHH SAE 100R2AT; extrapolated per-ft price; observed 2026-08-15; https://www.discounthydraulichose.com/sae-100r2at-hydraulic-hose.html</x:v>
      </x:c>
      <x:c r="AB35" s="161" t="str">
        <x:v>Eligible</x:v>
      </x:c>
      <x:c r="AC35" s="161" t="str">
        <x:v>Pending</x:v>
      </x:c>
      <x:c r="AD35" t="str">
        <x:v>Length x Pieces</x:v>
      </x:c>
      <x:c r="AE35" s="145" t="n">
        <x:v>1</x:v>
      </x:c>
      <x:c r="AF35" s="145" t="n">
        <x:v>1</x:v>
      </x:c>
      <x:c r="AG35" s="145" t="n">
        <x:v>25</x:v>
      </x:c>
      <x:c r="AH35" s="145" t="n">
        <x:v>50</x:v>
      </x:c>
      <x:c r="AI35" s="145" t="n">
        <x:v>100</x:v>
      </x:c>
      <x:c r="AJ35" t="str">
        <x:v>Quote Review</x:v>
      </x:c>
    </x:row>
    <x:row r="36" ht="30" customHeight="1">
      <x:c r="A36" s="138" t="str">
        <x:v>Draft</x:v>
      </x:c>
      <x:c r="B36" s="138" t="str">
        <x:v>Hose Variant</x:v>
      </x:c>
      <x:c r="C36" s="138" t="str">
        <x:v>601R2_016</x:v>
      </x:c>
      <x:c r="D36" s="138" t="str">
        <x:v>601R2_016</x:v>
      </x:c>
      <x:c r="E36" s="138" t="str">
        <x:v>FT</x:v>
      </x:c>
      <x:c r="F36" s="139"/>
      <x:c r="G36" s="141" t="n">
        <x:v>1</x:v>
      </x:c>
      <x:c r="H36" s="141" t="n">
        <x:v>1</x:v>
      </x:c>
      <x:c r="I36" s="143" t="n">
        <x:v>1.966</x:v>
      </x:c>
      <x:c r="J36" s="141" t="n">
        <x:v>10</x:v>
      </x:c>
      <x:c r="K36" s="138" t="str">
        <x:v>China</x:v>
      </x:c>
      <x:c r="L36" t="str">
        <x:v>USD</x:v>
      </x:c>
      <x:c r="M36" s="126"/>
      <x:c r="N36"/>
      <x:c r="O36"/>
      <x:c r="P36" s="145"/>
      <x:c r="Q36" s="126"/>
      <x:c r="R36" s="149" t="n">
        <x:v>53.12</x:v>
      </x:c>
      <x:c r="S36" s="145"/>
      <x:c r="T36" s="145"/>
      <x:c r="U36" s="124"/>
      <x:c r="V36" s="124"/>
      <x:c r="W36" s="124"/>
      <x:c r="X36" s="124"/>
      <x:c r="Y36"/>
      <x:c r="Z36"/>
      <x:c r="AA36" s="116" t="str">
        <x:v>Net unit weight calculated from 01 kg/m x 0.3048. Order-level RFQ minimum: USD 100. Retail basis: DHH SAE 100R2AT; extrapolated per-ft price; observed 2026-08-15; https://www.discounthydraulichose.com/sae-100r2at-hydraulic-hose.html</x:v>
      </x:c>
      <x:c r="AB36" s="161" t="str">
        <x:v>Eligible</x:v>
      </x:c>
      <x:c r="AC36" s="161" t="str">
        <x:v>Pending</x:v>
      </x:c>
      <x:c r="AD36" t="str">
        <x:v>Length x Pieces</x:v>
      </x:c>
      <x:c r="AE36" s="145" t="n">
        <x:v>1</x:v>
      </x:c>
      <x:c r="AF36" s="145" t="n">
        <x:v>1</x:v>
      </x:c>
      <x:c r="AG36" s="145" t="n">
        <x:v>25</x:v>
      </x:c>
      <x:c r="AH36" s="145" t="n">
        <x:v>50</x:v>
      </x:c>
      <x:c r="AI36" s="145" t="n">
        <x:v>100</x:v>
      </x:c>
      <x:c r="AJ36" t="str">
        <x:v>Quote Review</x:v>
      </x:c>
    </x:row>
    <x:row r="37" ht="30" customHeight="1">
      <x:c r="A37" s="138" t="str">
        <x:v>Draft</x:v>
      </x:c>
      <x:c r="B37" s="138" t="str">
        <x:v>Hose Variant</x:v>
      </x:c>
      <x:c r="C37" s="138" t="str">
        <x:v>EN1SC_001</x:v>
      </x:c>
      <x:c r="D37" s="138" t="str">
        <x:v>EN1SC_001</x:v>
      </x:c>
      <x:c r="E37" s="138" t="str">
        <x:v>FT</x:v>
      </x:c>
      <x:c r="F37" s="139"/>
      <x:c r="G37" s="141" t="n">
        <x:v>1</x:v>
      </x:c>
      <x:c r="H37" s="141" t="n">
        <x:v>1</x:v>
      </x:c>
      <x:c r="I37" s="143" t="n">
        <x:v>0.0732</x:v>
      </x:c>
      <x:c r="J37" s="141" t="n">
        <x:v>10</x:v>
      </x:c>
      <x:c r="K37" s="138" t="str">
        <x:v>China</x:v>
      </x:c>
      <x:c r="L37" t="str">
        <x:v>USD</x:v>
      </x:c>
      <x:c r="M37" s="126"/>
      <x:c r="N37"/>
      <x:c r="O37"/>
      <x:c r="P37" s="145"/>
      <x:c r="Q37" s="126"/>
      <x:c r="R37" s="149" t="n">
        <x:v>2.16</x:v>
      </x:c>
      <x:c r="S37" s="145"/>
      <x:c r="T37" s="145"/>
      <x:c r="U37" s="124"/>
      <x:c r="V37" s="124"/>
      <x:c r="W37" s="124"/>
      <x:c r="X37" s="124"/>
      <x:c r="Y37"/>
      <x:c r="Z37"/>
      <x:c r="AA37" s="116" t="str">
        <x:v>Net unit weight calculated from 01 kg/m x 0.3048. Order-level RFQ minimum: USD 100. Retail basis: DHH SAE 100R17 compact-hose analog; analog/direct per-ft price; observed 2026-08-15; https://www.discounthydraulichose.com/sae-100r17-hydraulic-hose.html</x:v>
      </x:c>
      <x:c r="AB37" s="161" t="str">
        <x:v>Eligible</x:v>
      </x:c>
      <x:c r="AC37" s="161" t="str">
        <x:v>Pending</x:v>
      </x:c>
      <x:c r="AD37" t="str">
        <x:v>Length x Pieces</x:v>
      </x:c>
      <x:c r="AE37" s="145" t="n">
        <x:v>1</x:v>
      </x:c>
      <x:c r="AF37" s="145" t="n">
        <x:v>1</x:v>
      </x:c>
      <x:c r="AG37" s="145" t="n">
        <x:v>25</x:v>
      </x:c>
      <x:c r="AH37" s="145" t="n">
        <x:v>50</x:v>
      </x:c>
      <x:c r="AI37" s="145" t="n">
        <x:v>100</x:v>
      </x:c>
      <x:c r="AJ37" t="str">
        <x:v>Quote Review</x:v>
      </x:c>
    </x:row>
    <x:row r="38" ht="30" customHeight="1">
      <x:c r="A38" s="138" t="str">
        <x:v>Draft</x:v>
      </x:c>
      <x:c r="B38" s="138" t="str">
        <x:v>Hose Variant</x:v>
      </x:c>
      <x:c r="C38" s="138" t="str">
        <x:v>EN1SC_002</x:v>
      </x:c>
      <x:c r="D38" s="138" t="str">
        <x:v>EN1SC_002</x:v>
      </x:c>
      <x:c r="E38" s="138" t="str">
        <x:v>FT</x:v>
      </x:c>
      <x:c r="F38" s="139"/>
      <x:c r="G38" s="141" t="n">
        <x:v>1</x:v>
      </x:c>
      <x:c r="H38" s="141" t="n">
        <x:v>1</x:v>
      </x:c>
      <x:c r="I38" s="143" t="n">
        <x:v>0.0792</x:v>
      </x:c>
      <x:c r="J38" s="141" t="n">
        <x:v>10</x:v>
      </x:c>
      <x:c r="K38" s="138" t="str">
        <x:v>China</x:v>
      </x:c>
      <x:c r="L38" t="str">
        <x:v>USD</x:v>
      </x:c>
      <x:c r="M38" s="126"/>
      <x:c r="N38"/>
      <x:c r="O38"/>
      <x:c r="P38" s="145"/>
      <x:c r="Q38" s="126"/>
      <x:c r="R38" s="149" t="n">
        <x:v>2.96</x:v>
      </x:c>
      <x:c r="S38" s="145"/>
      <x:c r="T38" s="145"/>
      <x:c r="U38" s="124"/>
      <x:c r="V38" s="124"/>
      <x:c r="W38" s="124"/>
      <x:c r="X38" s="124"/>
      <x:c r="Y38"/>
      <x:c r="Z38"/>
      <x:c r="AA38" s="116" t="str">
        <x:v>Net unit weight calculated from 01 kg/m x 0.3048. Order-level RFQ minimum: USD 100. Retail basis: DHH SAE 100R17 compact-hose analog; analog/interpolated per-ft price; observed 2026-08-15; https://www.discounthydraulichose.com/sae-100r17-hydraulic-hose.html</x:v>
      </x:c>
      <x:c r="AB38" s="161" t="str">
        <x:v>Eligible</x:v>
      </x:c>
      <x:c r="AC38" s="161" t="str">
        <x:v>Pending</x:v>
      </x:c>
      <x:c r="AD38" t="str">
        <x:v>Length x Pieces</x:v>
      </x:c>
      <x:c r="AE38" s="145" t="n">
        <x:v>1</x:v>
      </x:c>
      <x:c r="AF38" s="145" t="n">
        <x:v>1</x:v>
      </x:c>
      <x:c r="AG38" s="145" t="n">
        <x:v>25</x:v>
      </x:c>
      <x:c r="AH38" s="145" t="n">
        <x:v>50</x:v>
      </x:c>
      <x:c r="AI38" s="145" t="n">
        <x:v>100</x:v>
      </x:c>
      <x:c r="AJ38" t="str">
        <x:v>Quote Review</x:v>
      </x:c>
    </x:row>
    <x:row r="39" ht="30" customHeight="1">
      <x:c r="A39" s="138" t="str">
        <x:v>Draft</x:v>
      </x:c>
      <x:c r="B39" s="138" t="str">
        <x:v>Hose Variant</x:v>
      </x:c>
      <x:c r="C39" s="138" t="str">
        <x:v>EN1SC_003</x:v>
      </x:c>
      <x:c r="D39" s="138" t="str">
        <x:v>EN1SC_003</x:v>
      </x:c>
      <x:c r="E39" s="138" t="str">
        <x:v>FT</x:v>
      </x:c>
      <x:c r="F39" s="139"/>
      <x:c r="G39" s="141" t="n">
        <x:v>1</x:v>
      </x:c>
      <x:c r="H39" s="141" t="n">
        <x:v>1</x:v>
      </x:c>
      <x:c r="I39" s="143" t="n">
        <x:v>0.0884</x:v>
      </x:c>
      <x:c r="J39" s="141" t="n">
        <x:v>10</x:v>
      </x:c>
      <x:c r="K39" s="138" t="str">
        <x:v>China</x:v>
      </x:c>
      <x:c r="L39" t="str">
        <x:v>USD</x:v>
      </x:c>
      <x:c r="M39" s="126"/>
      <x:c r="N39"/>
      <x:c r="O39"/>
      <x:c r="P39" s="145"/>
      <x:c r="Q39" s="126"/>
      <x:c r="R39" s="149" t="n">
        <x:v>3.84</x:v>
      </x:c>
      <x:c r="S39" s="145"/>
      <x:c r="T39" s="145"/>
      <x:c r="U39" s="124"/>
      <x:c r="V39" s="124"/>
      <x:c r="W39" s="124"/>
      <x:c r="X39" s="124"/>
      <x:c r="Y39"/>
      <x:c r="Z39"/>
      <x:c r="AA39" s="116" t="str">
        <x:v>Net unit weight calculated from 01 kg/m x 0.3048. Order-level RFQ minimum: USD 100. Retail basis: DHH SAE 100R17 compact-hose analog; analog/direct per-ft price; observed 2026-08-15; https://www.discounthydraulichose.com/sae-100r17-hydraulic-hose.html</x:v>
      </x:c>
      <x:c r="AB39" s="161" t="str">
        <x:v>Eligible</x:v>
      </x:c>
      <x:c r="AC39" s="161" t="str">
        <x:v>Pending</x:v>
      </x:c>
      <x:c r="AD39" t="str">
        <x:v>Length x Pieces</x:v>
      </x:c>
      <x:c r="AE39" s="145" t="n">
        <x:v>1</x:v>
      </x:c>
      <x:c r="AF39" s="145" t="n">
        <x:v>1</x:v>
      </x:c>
      <x:c r="AG39" s="145" t="n">
        <x:v>25</x:v>
      </x:c>
      <x:c r="AH39" s="145" t="n">
        <x:v>50</x:v>
      </x:c>
      <x:c r="AI39" s="145" t="n">
        <x:v>100</x:v>
      </x:c>
      <x:c r="AJ39" t="str">
        <x:v>Quote Review</x:v>
      </x:c>
    </x:row>
    <x:row r="40" ht="30" customHeight="1">
      <x:c r="A40" s="138" t="str">
        <x:v>Draft</x:v>
      </x:c>
      <x:c r="B40" s="138" t="str">
        <x:v>Hose Variant</x:v>
      </x:c>
      <x:c r="C40" s="138" t="str">
        <x:v>EN1SC_004</x:v>
      </x:c>
      <x:c r="D40" s="138" t="str">
        <x:v>EN1SC_004</x:v>
      </x:c>
      <x:c r="E40" s="138" t="str">
        <x:v>FT</x:v>
      </x:c>
      <x:c r="F40" s="139"/>
      <x:c r="G40" s="141" t="n">
        <x:v>1</x:v>
      </x:c>
      <x:c r="H40" s="141" t="n">
        <x:v>1</x:v>
      </x:c>
      <x:c r="I40" s="143" t="n">
        <x:v>0.1189</x:v>
      </x:c>
      <x:c r="J40" s="141" t="n">
        <x:v>10</x:v>
      </x:c>
      <x:c r="K40" s="138" t="str">
        <x:v>China</x:v>
      </x:c>
      <x:c r="L40" t="str">
        <x:v>USD</x:v>
      </x:c>
      <x:c r="M40" s="126"/>
      <x:c r="N40"/>
      <x:c r="O40"/>
      <x:c r="P40" s="145"/>
      <x:c r="Q40" s="126"/>
      <x:c r="R40" s="149" t="n">
        <x:v>3</x:v>
      </x:c>
      <x:c r="S40" s="145"/>
      <x:c r="T40" s="145"/>
      <x:c r="U40" s="124"/>
      <x:c r="V40" s="124"/>
      <x:c r="W40" s="124"/>
      <x:c r="X40" s="124"/>
      <x:c r="Y40"/>
      <x:c r="Z40"/>
      <x:c r="AA40" s="116" t="str">
        <x:v>Net unit weight calculated from 01 kg/m x 0.3048. Order-level RFQ minimum: USD 100. Retail basis: DHH SAE 100R17 compact-hose analog; analog/direct per-ft price; observed 2026-08-15; https://www.discounthydraulichose.com/sae-100r17-hydraulic-hose.html</x:v>
      </x:c>
      <x:c r="AB40" s="161" t="str">
        <x:v>Eligible</x:v>
      </x:c>
      <x:c r="AC40" s="161" t="str">
        <x:v>Pending</x:v>
      </x:c>
      <x:c r="AD40" t="str">
        <x:v>Length x Pieces</x:v>
      </x:c>
      <x:c r="AE40" s="145" t="n">
        <x:v>1</x:v>
      </x:c>
      <x:c r="AF40" s="145" t="n">
        <x:v>1</x:v>
      </x:c>
      <x:c r="AG40" s="145" t="n">
        <x:v>25</x:v>
      </x:c>
      <x:c r="AH40" s="145" t="n">
        <x:v>50</x:v>
      </x:c>
      <x:c r="AI40" s="145" t="n">
        <x:v>100</x:v>
      </x:c>
      <x:c r="AJ40" t="str">
        <x:v>Quote Review</x:v>
      </x:c>
    </x:row>
    <x:row r="41" ht="30" customHeight="1">
      <x:c r="A41" s="138" t="str">
        <x:v>Draft</x:v>
      </x:c>
      <x:c r="B41" s="138" t="str">
        <x:v>Hose Variant</x:v>
      </x:c>
      <x:c r="C41" s="138" t="str">
        <x:v>EN1SC_005</x:v>
      </x:c>
      <x:c r="D41" s="138" t="str">
        <x:v>EN1SC_005</x:v>
      </x:c>
      <x:c r="E41" s="138" t="str">
        <x:v>FT</x:v>
      </x:c>
      <x:c r="F41" s="139"/>
      <x:c r="G41" s="141" t="n">
        <x:v>1</x:v>
      </x:c>
      <x:c r="H41" s="141" t="n">
        <x:v>1</x:v>
      </x:c>
      <x:c r="I41" s="143" t="n">
        <x:v>0.1433</x:v>
      </x:c>
      <x:c r="J41" s="141" t="n">
        <x:v>10</x:v>
      </x:c>
      <x:c r="K41" s="138" t="str">
        <x:v>China</x:v>
      </x:c>
      <x:c r="L41" t="str">
        <x:v>USD</x:v>
      </x:c>
      <x:c r="M41" s="126"/>
      <x:c r="N41"/>
      <x:c r="O41"/>
      <x:c r="P41" s="145"/>
      <x:c r="Q41" s="126"/>
      <x:c r="R41" s="149" t="n">
        <x:v>5.4</x:v>
      </x:c>
      <x:c r="S41" s="145"/>
      <x:c r="T41" s="145"/>
      <x:c r="U41" s="124"/>
      <x:c r="V41" s="124"/>
      <x:c r="W41" s="124"/>
      <x:c r="X41" s="124"/>
      <x:c r="Y41"/>
      <x:c r="Z41"/>
      <x:c r="AA41" s="116" t="str">
        <x:v>Net unit weight calculated from 01 kg/m x 0.3048. Order-level RFQ minimum: USD 100. Retail basis: DHH SAE 100R17 compact-hose analog; analog/direct per-ft price; observed 2026-08-15; https://www.discounthydraulichose.com/sae-100r17-hydraulic-hose.html</x:v>
      </x:c>
      <x:c r="AB41" s="161" t="str">
        <x:v>Eligible</x:v>
      </x:c>
      <x:c r="AC41" s="161" t="str">
        <x:v>Pending</x:v>
      </x:c>
      <x:c r="AD41" t="str">
        <x:v>Length x Pieces</x:v>
      </x:c>
      <x:c r="AE41" s="145" t="n">
        <x:v>1</x:v>
      </x:c>
      <x:c r="AF41" s="145" t="n">
        <x:v>1</x:v>
      </x:c>
      <x:c r="AG41" s="145" t="n">
        <x:v>25</x:v>
      </x:c>
      <x:c r="AH41" s="145" t="n">
        <x:v>50</x:v>
      </x:c>
      <x:c r="AI41" s="145" t="n">
        <x:v>100</x:v>
      </x:c>
      <x:c r="AJ41" t="str">
        <x:v>Quote Review</x:v>
      </x:c>
    </x:row>
    <x:row r="42" ht="30" customHeight="1">
      <x:c r="A42" s="138" t="str">
        <x:v>Draft</x:v>
      </x:c>
      <x:c r="B42" s="138" t="str">
        <x:v>Hose Variant</x:v>
      </x:c>
      <x:c r="C42" s="138" t="str">
        <x:v>EN1SC_006</x:v>
      </x:c>
      <x:c r="D42" s="138" t="str">
        <x:v>EN1SC_006</x:v>
      </x:c>
      <x:c r="E42" s="138" t="str">
        <x:v>FT</x:v>
      </x:c>
      <x:c r="F42" s="139"/>
      <x:c r="G42" s="141" t="n">
        <x:v>1</x:v>
      </x:c>
      <x:c r="H42" s="141" t="n">
        <x:v>1</x:v>
      </x:c>
      <x:c r="I42" s="143" t="n">
        <x:v>0.1676</x:v>
      </x:c>
      <x:c r="J42" s="141" t="n">
        <x:v>10</x:v>
      </x:c>
      <x:c r="K42" s="138" t="str">
        <x:v>China</x:v>
      </x:c>
      <x:c r="L42" t="str">
        <x:v>USD</x:v>
      </x:c>
      <x:c r="M42" s="126"/>
      <x:c r="N42"/>
      <x:c r="O42"/>
      <x:c r="P42" s="145"/>
      <x:c r="Q42" s="126"/>
      <x:c r="R42" s="149" t="n">
        <x:v>5.76</x:v>
      </x:c>
      <x:c r="S42" s="145"/>
      <x:c r="T42" s="145"/>
      <x:c r="U42" s="124"/>
      <x:c r="V42" s="124"/>
      <x:c r="W42" s="124"/>
      <x:c r="X42" s="124"/>
      <x:c r="Y42"/>
      <x:c r="Z42"/>
      <x:c r="AA42" s="116" t="str">
        <x:v>Net unit weight calculated from 01 kg/m x 0.3048. Order-level RFQ minimum: USD 100. Retail basis: DHH SAE 100R17 compact-hose analog; analog/direct per-ft price; observed 2026-08-15; https://www.discounthydraulichose.com/sae-100r17-hydraulic-hose.html</x:v>
      </x:c>
      <x:c r="AB42" s="161" t="str">
        <x:v>Eligible</x:v>
      </x:c>
      <x:c r="AC42" s="161" t="str">
        <x:v>Pending</x:v>
      </x:c>
      <x:c r="AD42" t="str">
        <x:v>Length x Pieces</x:v>
      </x:c>
      <x:c r="AE42" s="145" t="n">
        <x:v>1</x:v>
      </x:c>
      <x:c r="AF42" s="145" t="n">
        <x:v>1</x:v>
      </x:c>
      <x:c r="AG42" s="145" t="n">
        <x:v>25</x:v>
      </x:c>
      <x:c r="AH42" s="145" t="n">
        <x:v>50</x:v>
      </x:c>
      <x:c r="AI42" s="145" t="n">
        <x:v>100</x:v>
      </x:c>
      <x:c r="AJ42" t="str">
        <x:v>Quote Review</x:v>
      </x:c>
    </x:row>
    <x:row r="43" ht="30" customHeight="1">
      <x:c r="A43" s="138" t="str">
        <x:v>Draft</x:v>
      </x:c>
      <x:c r="B43" s="138" t="str">
        <x:v>Hose Variant</x:v>
      </x:c>
      <x:c r="C43" s="138" t="str">
        <x:v>EN1SC_007</x:v>
      </x:c>
      <x:c r="D43" s="138" t="str">
        <x:v>EN1SC_007</x:v>
      </x:c>
      <x:c r="E43" s="138" t="str">
        <x:v>FT</x:v>
      </x:c>
      <x:c r="F43" s="139"/>
      <x:c r="G43" s="141" t="n">
        <x:v>1</x:v>
      </x:c>
      <x:c r="H43" s="141" t="n">
        <x:v>1</x:v>
      </x:c>
      <x:c r="I43" s="143" t="n">
        <x:v>0.256</x:v>
      </x:c>
      <x:c r="J43" s="141" t="n">
        <x:v>10</x:v>
      </x:c>
      <x:c r="K43" s="138" t="str">
        <x:v>China</x:v>
      </x:c>
      <x:c r="L43" t="str">
        <x:v>USD</x:v>
      </x:c>
      <x:c r="M43" s="126"/>
      <x:c r="N43"/>
      <x:c r="O43"/>
      <x:c r="P43" s="145"/>
      <x:c r="Q43" s="126"/>
      <x:c r="R43" s="149" t="n">
        <x:v>8.04</x:v>
      </x:c>
      <x:c r="S43" s="145"/>
      <x:c r="T43" s="145"/>
      <x:c r="U43" s="124"/>
      <x:c r="V43" s="124"/>
      <x:c r="W43" s="124"/>
      <x:c r="X43" s="124"/>
      <x:c r="Y43"/>
      <x:c r="Z43"/>
      <x:c r="AA43" s="116" t="str">
        <x:v>Net unit weight calculated from 01 kg/m x 0.3048. Order-level RFQ minimum: USD 100. Retail basis: DHH SAE 100R17 compact-hose analog; analog/direct per-ft price; observed 2026-08-15; https://www.discounthydraulichose.com/sae-100r17-hydraulic-hose.html</x:v>
      </x:c>
      <x:c r="AB43" s="161" t="str">
        <x:v>Eligible</x:v>
      </x:c>
      <x:c r="AC43" s="161" t="str">
        <x:v>Pending</x:v>
      </x:c>
      <x:c r="AD43" t="str">
        <x:v>Length x Pieces</x:v>
      </x:c>
      <x:c r="AE43" s="145" t="n">
        <x:v>1</x:v>
      </x:c>
      <x:c r="AF43" s="145" t="n">
        <x:v>1</x:v>
      </x:c>
      <x:c r="AG43" s="145" t="n">
        <x:v>25</x:v>
      </x:c>
      <x:c r="AH43" s="145" t="n">
        <x:v>50</x:v>
      </x:c>
      <x:c r="AI43" s="145" t="n">
        <x:v>100</x:v>
      </x:c>
      <x:c r="AJ43" t="str">
        <x:v>Quote Review</x:v>
      </x:c>
    </x:row>
    <x:row r="44" ht="30" customHeight="1">
      <x:c r="A44" s="138" t="str">
        <x:v>Draft</x:v>
      </x:c>
      <x:c r="B44" s="138" t="str">
        <x:v>Hose Variant</x:v>
      </x:c>
      <x:c r="C44" s="138" t="str">
        <x:v>EN2SC_001</x:v>
      </x:c>
      <x:c r="D44" s="138" t="str">
        <x:v>EN2SC_001</x:v>
      </x:c>
      <x:c r="E44" s="138" t="str">
        <x:v>FT</x:v>
      </x:c>
      <x:c r="F44" s="139"/>
      <x:c r="G44" s="141" t="n">
        <x:v>1</x:v>
      </x:c>
      <x:c r="H44" s="141" t="n">
        <x:v>1</x:v>
      </x:c>
      <x:c r="I44" s="143" t="n">
        <x:v>0.0914</x:v>
      </x:c>
      <x:c r="J44" s="141" t="n">
        <x:v>10</x:v>
      </x:c>
      <x:c r="K44" s="138" t="str">
        <x:v>China</x:v>
      </x:c>
      <x:c r="L44" t="str">
        <x:v>USD</x:v>
      </x:c>
      <x:c r="M44" s="126"/>
      <x:c r="N44"/>
      <x:c r="O44"/>
      <x:c r="P44" s="145"/>
      <x:c r="Q44" s="126"/>
      <x:c r="R44" s="149" t="n">
        <x:v>3.24</x:v>
      </x:c>
      <x:c r="S44" s="145"/>
      <x:c r="T44" s="145"/>
      <x:c r="U44" s="124"/>
      <x:c r="V44" s="124"/>
      <x:c r="W44" s="124"/>
      <x:c r="X44" s="124"/>
      <x:c r="Y44"/>
      <x:c r="Z44"/>
      <x:c r="AA44" s="116" t="str">
        <x:v>Net unit weight calculated from 01 kg/m x 0.3048. Order-level RFQ minimum: USD 100. Retail basis: DHH SAE 100R16 compact 2-wire analog; analog/direct per-ft price; observed 2026-08-15; https://www.discounthydraulichose.com/sae-100r16-hydraulic-hose.html</x:v>
      </x:c>
      <x:c r="AB44" s="161" t="str">
        <x:v>Eligible</x:v>
      </x:c>
      <x:c r="AC44" s="161" t="str">
        <x:v>Pending</x:v>
      </x:c>
      <x:c r="AD44" t="str">
        <x:v>Length x Pieces</x:v>
      </x:c>
      <x:c r="AE44" s="145" t="n">
        <x:v>1</x:v>
      </x:c>
      <x:c r="AF44" s="145" t="n">
        <x:v>1</x:v>
      </x:c>
      <x:c r="AG44" s="145" t="n">
        <x:v>25</x:v>
      </x:c>
      <x:c r="AH44" s="145" t="n">
        <x:v>50</x:v>
      </x:c>
      <x:c r="AI44" s="145" t="n">
        <x:v>100</x:v>
      </x:c>
      <x:c r="AJ44" t="str">
        <x:v>Quote Review</x:v>
      </x:c>
    </x:row>
    <x:row r="45" ht="30" customHeight="1">
      <x:c r="A45" s="138" t="str">
        <x:v>Draft</x:v>
      </x:c>
      <x:c r="B45" s="138" t="str">
        <x:v>Hose Variant</x:v>
      </x:c>
      <x:c r="C45" s="138" t="str">
        <x:v>EN2SC_002</x:v>
      </x:c>
      <x:c r="D45" s="138" t="str">
        <x:v>EN2SC_002</x:v>
      </x:c>
      <x:c r="E45" s="138" t="str">
        <x:v>FT</x:v>
      </x:c>
      <x:c r="F45" s="139"/>
      <x:c r="G45" s="141" t="n">
        <x:v>1</x:v>
      </x:c>
      <x:c r="H45" s="141" t="n">
        <x:v>1</x:v>
      </x:c>
      <x:c r="I45" s="143" t="n">
        <x:v>0.1036</x:v>
      </x:c>
      <x:c r="J45" s="141" t="n">
        <x:v>10</x:v>
      </x:c>
      <x:c r="K45" s="138" t="str">
        <x:v>China</x:v>
      </x:c>
      <x:c r="L45" t="str">
        <x:v>USD</x:v>
      </x:c>
      <x:c r="M45" s="126"/>
      <x:c r="N45"/>
      <x:c r="O45"/>
      <x:c r="P45" s="145"/>
      <x:c r="Q45" s="126"/>
      <x:c r="R45" s="149" t="n">
        <x:v>3.37</x:v>
      </x:c>
      <x:c r="S45" s="145"/>
      <x:c r="T45" s="145"/>
      <x:c r="U45" s="124"/>
      <x:c r="V45" s="124"/>
      <x:c r="W45" s="124"/>
      <x:c r="X45" s="124"/>
      <x:c r="Y45"/>
      <x:c r="Z45"/>
      <x:c r="AA45" s="116" t="str">
        <x:v>Net unit weight calculated from 01 kg/m x 0.3048. Order-level RFQ minimum: USD 100. Retail basis: DHH SAE 100R16 compact 2-wire analog; analog/interpolated per-ft price; observed 2026-08-15; https://www.discounthydraulichose.com/sae-100r16-hydraulic-hose.html</x:v>
      </x:c>
      <x:c r="AB45" s="161" t="str">
        <x:v>Eligible</x:v>
      </x:c>
      <x:c r="AC45" s="161" t="str">
        <x:v>Pending</x:v>
      </x:c>
      <x:c r="AD45" t="str">
        <x:v>Length x Pieces</x:v>
      </x:c>
      <x:c r="AE45" s="145" t="n">
        <x:v>1</x:v>
      </x:c>
      <x:c r="AF45" s="145" t="n">
        <x:v>1</x:v>
      </x:c>
      <x:c r="AG45" s="145" t="n">
        <x:v>25</x:v>
      </x:c>
      <x:c r="AH45" s="145" t="n">
        <x:v>50</x:v>
      </x:c>
      <x:c r="AI45" s="145" t="n">
        <x:v>100</x:v>
      </x:c>
      <x:c r="AJ45" t="str">
        <x:v>Quote Review</x:v>
      </x:c>
    </x:row>
    <x:row r="46" ht="30" customHeight="1">
      <x:c r="A46" s="138" t="str">
        <x:v>Draft</x:v>
      </x:c>
      <x:c r="B46" s="138" t="str">
        <x:v>Hose Variant</x:v>
      </x:c>
      <x:c r="C46" s="138" t="str">
        <x:v>EN2SC_003</x:v>
      </x:c>
      <x:c r="D46" s="138" t="str">
        <x:v>EN2SC_003</x:v>
      </x:c>
      <x:c r="E46" s="138" t="str">
        <x:v>FT</x:v>
      </x:c>
      <x:c r="F46" s="139"/>
      <x:c r="G46" s="141" t="n">
        <x:v>1</x:v>
      </x:c>
      <x:c r="H46" s="141" t="n">
        <x:v>1</x:v>
      </x:c>
      <x:c r="I46" s="143" t="n">
        <x:v>0.128</x:v>
      </x:c>
      <x:c r="J46" s="141" t="n">
        <x:v>10</x:v>
      </x:c>
      <x:c r="K46" s="138" t="str">
        <x:v>China</x:v>
      </x:c>
      <x:c r="L46" t="str">
        <x:v>USD</x:v>
      </x:c>
      <x:c r="M46" s="126"/>
      <x:c r="N46"/>
      <x:c r="O46"/>
      <x:c r="P46" s="145"/>
      <x:c r="Q46" s="126"/>
      <x:c r="R46" s="149" t="n">
        <x:v>3.48</x:v>
      </x:c>
      <x:c r="S46" s="145"/>
      <x:c r="T46" s="145"/>
      <x:c r="U46" s="124"/>
      <x:c r="V46" s="124"/>
      <x:c r="W46" s="124"/>
      <x:c r="X46" s="124"/>
      <x:c r="Y46"/>
      <x:c r="Z46"/>
      <x:c r="AA46" s="116" t="str">
        <x:v>Net unit weight calculated from 01 kg/m x 0.3048. Order-level RFQ minimum: USD 100. Retail basis: DHH SAE 100R16 compact 2-wire analog; analog/direct per-ft price; observed 2026-08-15; https://www.discounthydraulichose.com/sae-100r16-hydraulic-hose.html</x:v>
      </x:c>
      <x:c r="AB46" s="161" t="str">
        <x:v>Eligible</x:v>
      </x:c>
      <x:c r="AC46" s="161" t="str">
        <x:v>Pending</x:v>
      </x:c>
      <x:c r="AD46" t="str">
        <x:v>Length x Pieces</x:v>
      </x:c>
      <x:c r="AE46" s="145" t="n">
        <x:v>1</x:v>
      </x:c>
      <x:c r="AF46" s="145" t="n">
        <x:v>1</x:v>
      </x:c>
      <x:c r="AG46" s="145" t="n">
        <x:v>25</x:v>
      </x:c>
      <x:c r="AH46" s="145" t="n">
        <x:v>50</x:v>
      </x:c>
      <x:c r="AI46" s="145" t="n">
        <x:v>100</x:v>
      </x:c>
      <x:c r="AJ46" t="str">
        <x:v>Quote Review</x:v>
      </x:c>
    </x:row>
    <x:row r="47" ht="30" customHeight="1">
      <x:c r="A47" s="138" t="str">
        <x:v>Draft</x:v>
      </x:c>
      <x:c r="B47" s="138" t="str">
        <x:v>Hose Variant</x:v>
      </x:c>
      <x:c r="C47" s="138" t="str">
        <x:v>EN2SC_004</x:v>
      </x:c>
      <x:c r="D47" s="138" t="str">
        <x:v>EN2SC_004</x:v>
      </x:c>
      <x:c r="E47" s="138" t="str">
        <x:v>FT</x:v>
      </x:c>
      <x:c r="F47" s="139"/>
      <x:c r="G47" s="141" t="n">
        <x:v>1</x:v>
      </x:c>
      <x:c r="H47" s="141" t="n">
        <x:v>1</x:v>
      </x:c>
      <x:c r="I47" s="143" t="n">
        <x:v>0.1646</x:v>
      </x:c>
      <x:c r="J47" s="141" t="n">
        <x:v>10</x:v>
      </x:c>
      <x:c r="K47" s="138" t="str">
        <x:v>China</x:v>
      </x:c>
      <x:c r="L47" t="str">
        <x:v>USD</x:v>
      </x:c>
      <x:c r="M47" s="126"/>
      <x:c r="N47"/>
      <x:c r="O47"/>
      <x:c r="P47" s="145"/>
      <x:c r="Q47" s="126"/>
      <x:c r="R47" s="149" t="n">
        <x:v>3.72</x:v>
      </x:c>
      <x:c r="S47" s="145"/>
      <x:c r="T47" s="145"/>
      <x:c r="U47" s="124"/>
      <x:c r="V47" s="124"/>
      <x:c r="W47" s="124"/>
      <x:c r="X47" s="124"/>
      <x:c r="Y47"/>
      <x:c r="Z47"/>
      <x:c r="AA47" s="116" t="str">
        <x:v>Net unit weight calculated from 01 kg/m x 0.3048. Order-level RFQ minimum: USD 100. Retail basis: DHH SAE 100R16 compact 2-wire analog; analog/direct per-ft price; observed 2026-08-15; https://www.discounthydraulichose.com/sae-100r16-hydraulic-hose.html</x:v>
      </x:c>
      <x:c r="AB47" s="161" t="str">
        <x:v>Eligible</x:v>
      </x:c>
      <x:c r="AC47" s="161" t="str">
        <x:v>Pending</x:v>
      </x:c>
      <x:c r="AD47" t="str">
        <x:v>Length x Pieces</x:v>
      </x:c>
      <x:c r="AE47" s="145" t="n">
        <x:v>1</x:v>
      </x:c>
      <x:c r="AF47" s="145" t="n">
        <x:v>1</x:v>
      </x:c>
      <x:c r="AG47" s="145" t="n">
        <x:v>25</x:v>
      </x:c>
      <x:c r="AH47" s="145" t="n">
        <x:v>50</x:v>
      </x:c>
      <x:c r="AI47" s="145" t="n">
        <x:v>100</x:v>
      </x:c>
      <x:c r="AJ47" t="str">
        <x:v>Quote Review</x:v>
      </x:c>
    </x:row>
    <x:row r="48" ht="30" customHeight="1">
      <x:c r="A48" s="138" t="str">
        <x:v>Draft</x:v>
      </x:c>
      <x:c r="B48" s="138" t="str">
        <x:v>Hose Variant</x:v>
      </x:c>
      <x:c r="C48" s="138" t="str">
        <x:v>EN2SC_005</x:v>
      </x:c>
      <x:c r="D48" s="138" t="str">
        <x:v>EN2SC_005</x:v>
      </x:c>
      <x:c r="E48" s="138" t="str">
        <x:v>FT</x:v>
      </x:c>
      <x:c r="F48" s="139"/>
      <x:c r="G48" s="141" t="n">
        <x:v>1</x:v>
      </x:c>
      <x:c r="H48" s="141" t="n">
        <x:v>1</x:v>
      </x:c>
      <x:c r="I48" s="143" t="n">
        <x:v>0.2073</x:v>
      </x:c>
      <x:c r="J48" s="141" t="n">
        <x:v>10</x:v>
      </x:c>
      <x:c r="K48" s="138" t="str">
        <x:v>China</x:v>
      </x:c>
      <x:c r="L48" t="str">
        <x:v>USD</x:v>
      </x:c>
      <x:c r="M48" s="126"/>
      <x:c r="N48"/>
      <x:c r="O48"/>
      <x:c r="P48" s="145"/>
      <x:c r="Q48" s="126"/>
      <x:c r="R48" s="149" t="n">
        <x:v>5.16</x:v>
      </x:c>
      <x:c r="S48" s="145"/>
      <x:c r="T48" s="145"/>
      <x:c r="U48" s="124"/>
      <x:c r="V48" s="124"/>
      <x:c r="W48" s="124"/>
      <x:c r="X48" s="124"/>
      <x:c r="Y48"/>
      <x:c r="Z48"/>
      <x:c r="AA48" s="116" t="str">
        <x:v>Net unit weight calculated from 01 kg/m x 0.3048. Order-level RFQ minimum: USD 100. Retail basis: DHH SAE 100R16 compact 2-wire analog; analog/direct per-ft price; observed 2026-08-15; https://www.discounthydraulichose.com/sae-100r16-hydraulic-hose.html</x:v>
      </x:c>
      <x:c r="AB48" s="161" t="str">
        <x:v>Eligible</x:v>
      </x:c>
      <x:c r="AC48" s="161" t="str">
        <x:v>Pending</x:v>
      </x:c>
      <x:c r="AD48" t="str">
        <x:v>Length x Pieces</x:v>
      </x:c>
      <x:c r="AE48" s="145" t="n">
        <x:v>1</x:v>
      </x:c>
      <x:c r="AF48" s="145" t="n">
        <x:v>1</x:v>
      </x:c>
      <x:c r="AG48" s="145" t="n">
        <x:v>25</x:v>
      </x:c>
      <x:c r="AH48" s="145" t="n">
        <x:v>50</x:v>
      </x:c>
      <x:c r="AI48" s="145" t="n">
        <x:v>100</x:v>
      </x:c>
      <x:c r="AJ48" t="str">
        <x:v>Quote Review</x:v>
      </x:c>
    </x:row>
    <x:row r="49" ht="30" customHeight="1">
      <x:c r="A49" s="138" t="str">
        <x:v>Draft</x:v>
      </x:c>
      <x:c r="B49" s="138" t="str">
        <x:v>Hose Variant</x:v>
      </x:c>
      <x:c r="C49" s="138" t="str">
        <x:v>EN2SC_006</x:v>
      </x:c>
      <x:c r="D49" s="138" t="str">
        <x:v>EN2SC_006</x:v>
      </x:c>
      <x:c r="E49" s="138" t="str">
        <x:v>FT</x:v>
      </x:c>
      <x:c r="F49" s="139"/>
      <x:c r="G49" s="141" t="n">
        <x:v>1</x:v>
      </x:c>
      <x:c r="H49" s="141" t="n">
        <x:v>1</x:v>
      </x:c>
      <x:c r="I49" s="143" t="n">
        <x:v>0.2438</x:v>
      </x:c>
      <x:c r="J49" s="141" t="n">
        <x:v>10</x:v>
      </x:c>
      <x:c r="K49" s="138" t="str">
        <x:v>China</x:v>
      </x:c>
      <x:c r="L49" t="str">
        <x:v>USD</x:v>
      </x:c>
      <x:c r="M49" s="126"/>
      <x:c r="N49"/>
      <x:c r="O49"/>
      <x:c r="P49" s="145"/>
      <x:c r="Q49" s="126"/>
      <x:c r="R49" s="149" t="n">
        <x:v>6.6</x:v>
      </x:c>
      <x:c r="S49" s="145"/>
      <x:c r="T49" s="145"/>
      <x:c r="U49" s="124"/>
      <x:c r="V49" s="124"/>
      <x:c r="W49" s="124"/>
      <x:c r="X49" s="124"/>
      <x:c r="Y49"/>
      <x:c r="Z49"/>
      <x:c r="AA49" s="116" t="str">
        <x:v>Net unit weight calculated from 01 kg/m x 0.3048. Order-level RFQ minimum: USD 100. Retail basis: DHH SAE 100R16 compact 2-wire analog; analog/direct per-ft price; observed 2026-08-15; https://www.discounthydraulichose.com/sae-100r16-hydraulic-hose.html</x:v>
      </x:c>
      <x:c r="AB49" s="161" t="str">
        <x:v>Eligible</x:v>
      </x:c>
      <x:c r="AC49" s="161" t="str">
        <x:v>Pending</x:v>
      </x:c>
      <x:c r="AD49" t="str">
        <x:v>Length x Pieces</x:v>
      </x:c>
      <x:c r="AE49" s="145" t="n">
        <x:v>1</x:v>
      </x:c>
      <x:c r="AF49" s="145" t="n">
        <x:v>1</x:v>
      </x:c>
      <x:c r="AG49" s="145" t="n">
        <x:v>25</x:v>
      </x:c>
      <x:c r="AH49" s="145" t="n">
        <x:v>50</x:v>
      </x:c>
      <x:c r="AI49" s="145" t="n">
        <x:v>100</x:v>
      </x:c>
      <x:c r="AJ49" t="str">
        <x:v>Quote Review</x:v>
      </x:c>
    </x:row>
    <x:row r="50" ht="30" customHeight="1">
      <x:c r="A50" s="138" t="str">
        <x:v>Draft</x:v>
      </x:c>
      <x:c r="B50" s="138" t="str">
        <x:v>Hose Variant</x:v>
      </x:c>
      <x:c r="C50" s="138" t="str">
        <x:v>EN2SC_007</x:v>
      </x:c>
      <x:c r="D50" s="138" t="str">
        <x:v>EN2SC_007</x:v>
      </x:c>
      <x:c r="E50" s="138" t="str">
        <x:v>FT</x:v>
      </x:c>
      <x:c r="F50" s="139"/>
      <x:c r="G50" s="141" t="n">
        <x:v>1</x:v>
      </x:c>
      <x:c r="H50" s="141" t="n">
        <x:v>1</x:v>
      </x:c>
      <x:c r="I50" s="143" t="n">
        <x:v>0.3505</x:v>
      </x:c>
      <x:c r="J50" s="141" t="n">
        <x:v>10</x:v>
      </x:c>
      <x:c r="K50" s="138" t="str">
        <x:v>China</x:v>
      </x:c>
      <x:c r="L50" t="str">
        <x:v>USD</x:v>
      </x:c>
      <x:c r="M50" s="126"/>
      <x:c r="N50"/>
      <x:c r="O50"/>
      <x:c r="P50" s="145"/>
      <x:c r="Q50" s="126"/>
      <x:c r="R50" s="149" t="n">
        <x:v>7.68</x:v>
      </x:c>
      <x:c r="S50" s="145"/>
      <x:c r="T50" s="145"/>
      <x:c r="U50" s="124"/>
      <x:c r="V50" s="124"/>
      <x:c r="W50" s="124"/>
      <x:c r="X50" s="124"/>
      <x:c r="Y50"/>
      <x:c r="Z50"/>
      <x:c r="AA50" s="116" t="str">
        <x:v>Net unit weight calculated from 01 kg/m x 0.3048. Order-level RFQ minimum: USD 100. Retail basis: DHH SAE 100R16 compact 2-wire analog; analog/direct per-ft price; observed 2026-08-15; https://www.discounthydraulichose.com/sae-100r16-hydraulic-hose.html</x:v>
      </x:c>
      <x:c r="AB50" s="161" t="str">
        <x:v>Eligible</x:v>
      </x:c>
      <x:c r="AC50" s="161" t="str">
        <x:v>Pending</x:v>
      </x:c>
      <x:c r="AD50" t="str">
        <x:v>Length x Pieces</x:v>
      </x:c>
      <x:c r="AE50" s="145" t="n">
        <x:v>1</x:v>
      </x:c>
      <x:c r="AF50" s="145" t="n">
        <x:v>1</x:v>
      </x:c>
      <x:c r="AG50" s="145" t="n">
        <x:v>25</x:v>
      </x:c>
      <x:c r="AH50" s="145" t="n">
        <x:v>50</x:v>
      </x:c>
      <x:c r="AI50" s="145" t="n">
        <x:v>100</x:v>
      </x:c>
      <x:c r="AJ50" t="str">
        <x:v>Quote Review</x:v>
      </x:c>
    </x:row>
    <x:row r="51" ht="30" customHeight="1">
      <x:c r="A51" s="138" t="str">
        <x:v>Draft</x:v>
      </x:c>
      <x:c r="B51" s="138" t="str">
        <x:v>Hose Variant</x:v>
      </x:c>
      <x:c r="C51" s="138" t="str">
        <x:v>EN4SP_001</x:v>
      </x:c>
      <x:c r="D51" s="138" t="str">
        <x:v>EN4SP_001</x:v>
      </x:c>
      <x:c r="E51" s="138" t="str">
        <x:v>FT</x:v>
      </x:c>
      <x:c r="F51" s="139"/>
      <x:c r="G51" s="141" t="n">
        <x:v>1</x:v>
      </x:c>
      <x:c r="H51" s="141" t="n">
        <x:v>1</x:v>
      </x:c>
      <x:c r="I51" s="143" t="n">
        <x:v>0.1829</x:v>
      </x:c>
      <x:c r="J51" s="141" t="n">
        <x:v>10</x:v>
      </x:c>
      <x:c r="K51" s="138" t="str">
        <x:v>China</x:v>
      </x:c>
      <x:c r="L51" t="str">
        <x:v>USD</x:v>
      </x:c>
      <x:c r="M51" s="126"/>
      <x:c r="N51"/>
      <x:c r="O51"/>
      <x:c r="P51" s="145"/>
      <x:c r="Q51" s="126"/>
      <x:c r="R51" s="149" t="n">
        <x:v>8.45</x:v>
      </x:c>
      <x:c r="S51" s="145"/>
      <x:c r="T51" s="145"/>
      <x:c r="U51" s="124"/>
      <x:c r="V51" s="124"/>
      <x:c r="W51" s="124"/>
      <x:c r="X51" s="124"/>
      <x:c r="Y51"/>
      <x:c r="Z51"/>
      <x:c r="AA51" s="116" t="str">
        <x:v>Net unit weight calculated from 01 kg/m x 0.3048. Order-level RFQ minimum: USD 100. Retail basis: DHH SAE 100R12 4-spiral analog; analog/extrapolated per-ft price; observed 2026-08-15; https://www.discounthydraulichose.com/sae-100r12-hydraulic-hose.html</x:v>
      </x:c>
      <x:c r="AB51" s="161" t="str">
        <x:v>Eligible</x:v>
      </x:c>
      <x:c r="AC51" s="161" t="str">
        <x:v>Pending</x:v>
      </x:c>
      <x:c r="AD51" t="str">
        <x:v>Length x Pieces</x:v>
      </x:c>
      <x:c r="AE51" s="145" t="n">
        <x:v>1</x:v>
      </x:c>
      <x:c r="AF51" s="145" t="n">
        <x:v>1</x:v>
      </x:c>
      <x:c r="AG51" s="145" t="n">
        <x:v>25</x:v>
      </x:c>
      <x:c r="AH51" s="145" t="n">
        <x:v>50</x:v>
      </x:c>
      <x:c r="AI51" s="145" t="n">
        <x:v>100</x:v>
      </x:c>
      <x:c r="AJ51" t="str">
        <x:v>Quote Review</x:v>
      </x:c>
    </x:row>
    <x:row r="52" ht="30" customHeight="1">
      <x:c r="A52" s="138" t="str">
        <x:v>Draft</x:v>
      </x:c>
      <x:c r="B52" s="138" t="str">
        <x:v>Hose Variant</x:v>
      </x:c>
      <x:c r="C52" s="138" t="str">
        <x:v>EN4SP_002</x:v>
      </x:c>
      <x:c r="D52" s="138" t="str">
        <x:v>EN4SP_002</x:v>
      </x:c>
      <x:c r="E52" s="138" t="str">
        <x:v>FT</x:v>
      </x:c>
      <x:c r="F52" s="139"/>
      <x:c r="G52" s="141" t="n">
        <x:v>1</x:v>
      </x:c>
      <x:c r="H52" s="141" t="n">
        <x:v>1</x:v>
      </x:c>
      <x:c r="I52" s="143" t="n">
        <x:v>0.2316</x:v>
      </x:c>
      <x:c r="J52" s="141" t="n">
        <x:v>10</x:v>
      </x:c>
      <x:c r="K52" s="138" t="str">
        <x:v>China</x:v>
      </x:c>
      <x:c r="L52" t="str">
        <x:v>USD</x:v>
      </x:c>
      <x:c r="M52" s="126"/>
      <x:c r="N52"/>
      <x:c r="O52"/>
      <x:c r="P52" s="145"/>
      <x:c r="Q52" s="126"/>
      <x:c r="R52" s="149" t="n">
        <x:v>8.28</x:v>
      </x:c>
      <x:c r="S52" s="145"/>
      <x:c r="T52" s="145"/>
      <x:c r="U52" s="124"/>
      <x:c r="V52" s="124"/>
      <x:c r="W52" s="124"/>
      <x:c r="X52" s="124"/>
      <x:c r="Y52"/>
      <x:c r="Z52"/>
      <x:c r="AA52" s="116" t="str">
        <x:v>Net unit weight calculated from 01 kg/m x 0.3048. Order-level RFQ minimum: USD 100. Retail basis: DHH SAE 100R12 4-spiral analog; analog/direct per-ft price; observed 2026-08-15; https://www.discounthydraulichose.com/sae-100r12-hydraulic-hose.html</x:v>
      </x:c>
      <x:c r="AB52" s="161" t="str">
        <x:v>Eligible</x:v>
      </x:c>
      <x:c r="AC52" s="161" t="str">
        <x:v>Pending</x:v>
      </x:c>
      <x:c r="AD52" t="str">
        <x:v>Length x Pieces</x:v>
      </x:c>
      <x:c r="AE52" s="145" t="n">
        <x:v>1</x:v>
      </x:c>
      <x:c r="AF52" s="145" t="n">
        <x:v>1</x:v>
      </x:c>
      <x:c r="AG52" s="145" t="n">
        <x:v>25</x:v>
      </x:c>
      <x:c r="AH52" s="145" t="n">
        <x:v>50</x:v>
      </x:c>
      <x:c r="AI52" s="145" t="n">
        <x:v>100</x:v>
      </x:c>
      <x:c r="AJ52" t="str">
        <x:v>Quote Review</x:v>
      </x:c>
    </x:row>
    <x:row r="53" ht="30" customHeight="1">
      <x:c r="A53" s="138" t="str">
        <x:v>Draft</x:v>
      </x:c>
      <x:c r="B53" s="138" t="str">
        <x:v>Hose Variant</x:v>
      </x:c>
      <x:c r="C53" s="138" t="str">
        <x:v>EN4SP_003</x:v>
      </x:c>
      <x:c r="D53" s="138" t="str">
        <x:v>EN4SP_003</x:v>
      </x:c>
      <x:c r="E53" s="138" t="str">
        <x:v>FT</x:v>
      </x:c>
      <x:c r="F53" s="139"/>
      <x:c r="G53" s="141" t="n">
        <x:v>1</x:v>
      </x:c>
      <x:c r="H53" s="141" t="n">
        <x:v>1</x:v>
      </x:c>
      <x:c r="I53" s="143" t="n">
        <x:v>0.2743</x:v>
      </x:c>
      <x:c r="J53" s="141" t="n">
        <x:v>10</x:v>
      </x:c>
      <x:c r="K53" s="138" t="str">
        <x:v>China</x:v>
      </x:c>
      <x:c r="L53" t="str">
        <x:v>USD</x:v>
      </x:c>
      <x:c r="M53" s="126"/>
      <x:c r="N53"/>
      <x:c r="O53"/>
      <x:c r="P53" s="145"/>
      <x:c r="Q53" s="126"/>
      <x:c r="R53" s="149" t="n">
        <x:v>8.16</x:v>
      </x:c>
      <x:c r="S53" s="145"/>
      <x:c r="T53" s="145"/>
      <x:c r="U53" s="124"/>
      <x:c r="V53" s="124"/>
      <x:c r="W53" s="124"/>
      <x:c r="X53" s="124"/>
      <x:c r="Y53"/>
      <x:c r="Z53"/>
      <x:c r="AA53" s="116" t="str">
        <x:v>Net unit weight calculated from 01 kg/m x 0.3048. Order-level RFQ minimum: USD 100. Retail basis: DHH SAE 100R12 4-spiral analog; analog/direct per-ft price; observed 2026-08-15; https://www.discounthydraulichose.com/sae-100r12-hydraulic-hose.html</x:v>
      </x:c>
      <x:c r="AB53" s="161" t="str">
        <x:v>Eligible</x:v>
      </x:c>
      <x:c r="AC53" s="161" t="str">
        <x:v>Pending</x:v>
      </x:c>
      <x:c r="AD53" t="str">
        <x:v>Length x Pieces</x:v>
      </x:c>
      <x:c r="AE53" s="145" t="n">
        <x:v>1</x:v>
      </x:c>
      <x:c r="AF53" s="145" t="n">
        <x:v>1</x:v>
      </x:c>
      <x:c r="AG53" s="145" t="n">
        <x:v>25</x:v>
      </x:c>
      <x:c r="AH53" s="145" t="n">
        <x:v>50</x:v>
      </x:c>
      <x:c r="AI53" s="145" t="n">
        <x:v>100</x:v>
      </x:c>
      <x:c r="AJ53" t="str">
        <x:v>Quote Review</x:v>
      </x:c>
    </x:row>
    <x:row r="54" ht="30" customHeight="1">
      <x:c r="A54" s="138" t="str">
        <x:v>Draft</x:v>
      </x:c>
      <x:c r="B54" s="138" t="str">
        <x:v>Hose Variant</x:v>
      </x:c>
      <x:c r="C54" s="138" t="str">
        <x:v>EN4SP_004</x:v>
      </x:c>
      <x:c r="D54" s="138" t="str">
        <x:v>EN4SP_004</x:v>
      </x:c>
      <x:c r="E54" s="138" t="str">
        <x:v>FT</x:v>
      </x:c>
      <x:c r="F54" s="139"/>
      <x:c r="G54" s="141" t="n">
        <x:v>1</x:v>
      </x:c>
      <x:c r="H54" s="141" t="n">
        <x:v>1</x:v>
      </x:c>
      <x:c r="I54" s="143" t="n">
        <x:v>0.3536</x:v>
      </x:c>
      <x:c r="J54" s="141" t="n">
        <x:v>10</x:v>
      </x:c>
      <x:c r="K54" s="138" t="str">
        <x:v>China</x:v>
      </x:c>
      <x:c r="L54" t="str">
        <x:v>USD</x:v>
      </x:c>
      <x:c r="M54" s="126"/>
      <x:c r="N54"/>
      <x:c r="O54"/>
      <x:c r="P54" s="145"/>
      <x:c r="Q54" s="126"/>
      <x:c r="R54" s="149" t="n">
        <x:v>9.46</x:v>
      </x:c>
      <x:c r="S54" s="145"/>
      <x:c r="T54" s="145"/>
      <x:c r="U54" s="124"/>
      <x:c r="V54" s="124"/>
      <x:c r="W54" s="124"/>
      <x:c r="X54" s="124"/>
      <x:c r="Y54"/>
      <x:c r="Z54"/>
      <x:c r="AA54" s="116" t="str">
        <x:v>Net unit weight calculated from 01 kg/m x 0.3048. Order-level RFQ minimum: USD 100. Retail basis: DHH SAE 100R12 4-spiral analog; analog/interpolated per-ft price; observed 2026-08-15; https://www.discounthydraulichose.com/sae-100r12-hydraulic-hose.html</x:v>
      </x:c>
      <x:c r="AB54" s="161" t="str">
        <x:v>Eligible</x:v>
      </x:c>
      <x:c r="AC54" s="161" t="str">
        <x:v>Pending</x:v>
      </x:c>
      <x:c r="AD54" t="str">
        <x:v>Length x Pieces</x:v>
      </x:c>
      <x:c r="AE54" s="145" t="n">
        <x:v>1</x:v>
      </x:c>
      <x:c r="AF54" s="145" t="n">
        <x:v>1</x:v>
      </x:c>
      <x:c r="AG54" s="145" t="n">
        <x:v>25</x:v>
      </x:c>
      <x:c r="AH54" s="145" t="n">
        <x:v>50</x:v>
      </x:c>
      <x:c r="AI54" s="145" t="n">
        <x:v>100</x:v>
      </x:c>
      <x:c r="AJ54" t="str">
        <x:v>Quote Review</x:v>
      </x:c>
    </x:row>
    <x:row r="55" ht="30" customHeight="1">
      <x:c r="A55" s="138" t="str">
        <x:v>Draft</x:v>
      </x:c>
      <x:c r="B55" s="138" t="str">
        <x:v>Hose Variant</x:v>
      </x:c>
      <x:c r="C55" s="138" t="str">
        <x:v>EN4SP_005</x:v>
      </x:c>
      <x:c r="D55" s="138" t="str">
        <x:v>EN4SP_005</x:v>
      </x:c>
      <x:c r="E55" s="138" t="str">
        <x:v>FT</x:v>
      </x:c>
      <x:c r="F55" s="139"/>
      <x:c r="G55" s="141" t="n">
        <x:v>1</x:v>
      </x:c>
      <x:c r="H55" s="141" t="n">
        <x:v>1</x:v>
      </x:c>
      <x:c r="I55" s="143" t="n">
        <x:v>0.4511</x:v>
      </x:c>
      <x:c r="J55" s="141" t="n">
        <x:v>10</x:v>
      </x:c>
      <x:c r="K55" s="138" t="str">
        <x:v>China</x:v>
      </x:c>
      <x:c r="L55" t="str">
        <x:v>USD</x:v>
      </x:c>
      <x:c r="M55" s="126"/>
      <x:c r="N55"/>
      <x:c r="O55"/>
      <x:c r="P55" s="145"/>
      <x:c r="Q55" s="126"/>
      <x:c r="R55" s="149" t="n">
        <x:v>10.68</x:v>
      </x:c>
      <x:c r="S55" s="145"/>
      <x:c r="T55" s="145"/>
      <x:c r="U55" s="124"/>
      <x:c r="V55" s="124"/>
      <x:c r="W55" s="124"/>
      <x:c r="X55" s="124"/>
      <x:c r="Y55"/>
      <x:c r="Z55"/>
      <x:c r="AA55" s="116" t="str">
        <x:v>Net unit weight calculated from 01 kg/m x 0.3048. Order-level RFQ minimum: USD 100. Retail basis: DHH SAE 100R12 4-spiral analog; analog/direct per-ft price; observed 2026-08-15; https://www.discounthydraulichose.com/sae-100r12-hydraulic-hose.html</x:v>
      </x:c>
      <x:c r="AB55" s="161" t="str">
        <x:v>Eligible</x:v>
      </x:c>
      <x:c r="AC55" s="161" t="str">
        <x:v>Pending</x:v>
      </x:c>
      <x:c r="AD55" t="str">
        <x:v>Length x Pieces</x:v>
      </x:c>
      <x:c r="AE55" s="145" t="n">
        <x:v>1</x:v>
      </x:c>
      <x:c r="AF55" s="145" t="n">
        <x:v>1</x:v>
      </x:c>
      <x:c r="AG55" s="145" t="n">
        <x:v>25</x:v>
      </x:c>
      <x:c r="AH55" s="145" t="n">
        <x:v>50</x:v>
      </x:c>
      <x:c r="AI55" s="145" t="n">
        <x:v>100</x:v>
      </x:c>
      <x:c r="AJ55" t="str">
        <x:v>Quote Review</x:v>
      </x:c>
    </x:row>
    <x:row r="56" ht="30" customHeight="1">
      <x:c r="A56" s="138" t="str">
        <x:v>Draft</x:v>
      </x:c>
      <x:c r="B56" s="138" t="str">
        <x:v>Hose Variant</x:v>
      </x:c>
      <x:c r="C56" s="138" t="str">
        <x:v>EN4SP_006</x:v>
      </x:c>
      <x:c r="D56" s="138" t="str">
        <x:v>EN4SP_006</x:v>
      </x:c>
      <x:c r="E56" s="138" t="str">
        <x:v>FT</x:v>
      </x:c>
      <x:c r="F56" s="139"/>
      <x:c r="G56" s="141" t="n">
        <x:v>1</x:v>
      </x:c>
      <x:c r="H56" s="141" t="n">
        <x:v>1</x:v>
      </x:c>
      <x:c r="I56" s="143" t="n">
        <x:v>0.6157</x:v>
      </x:c>
      <x:c r="J56" s="141" t="n">
        <x:v>10</x:v>
      </x:c>
      <x:c r="K56" s="138" t="str">
        <x:v>China</x:v>
      </x:c>
      <x:c r="L56" t="str">
        <x:v>USD</x:v>
      </x:c>
      <x:c r="M56" s="126"/>
      <x:c r="N56"/>
      <x:c r="O56"/>
      <x:c r="P56" s="145"/>
      <x:c r="Q56" s="126"/>
      <x:c r="R56" s="149" t="n">
        <x:v>12.24</x:v>
      </x:c>
      <x:c r="S56" s="145"/>
      <x:c r="T56" s="145"/>
      <x:c r="U56" s="124"/>
      <x:c r="V56" s="124"/>
      <x:c r="W56" s="124"/>
      <x:c r="X56" s="124"/>
      <x:c r="Y56"/>
      <x:c r="Z56"/>
      <x:c r="AA56" s="116" t="str">
        <x:v>Net unit weight calculated from 01 kg/m x 0.3048. Order-level RFQ minimum: USD 100. Retail basis: DHH SAE 100R12 4-spiral analog; analog/direct per-ft price; observed 2026-08-15; https://www.discounthydraulichose.com/sae-100r12-hydraulic-hose.html</x:v>
      </x:c>
      <x:c r="AB56" s="161" t="str">
        <x:v>Eligible</x:v>
      </x:c>
      <x:c r="AC56" s="161" t="str">
        <x:v>Pending</x:v>
      </x:c>
      <x:c r="AD56" t="str">
        <x:v>Length x Pieces</x:v>
      </x:c>
      <x:c r="AE56" s="145" t="n">
        <x:v>1</x:v>
      </x:c>
      <x:c r="AF56" s="145" t="n">
        <x:v>1</x:v>
      </x:c>
      <x:c r="AG56" s="145" t="n">
        <x:v>25</x:v>
      </x:c>
      <x:c r="AH56" s="145" t="n">
        <x:v>50</x:v>
      </x:c>
      <x:c r="AI56" s="145" t="n">
        <x:v>100</x:v>
      </x:c>
      <x:c r="AJ56" t="str">
        <x:v>Quote Review</x:v>
      </x:c>
    </x:row>
    <x:row r="57" ht="30" customHeight="1">
      <x:c r="A57" s="138" t="str">
        <x:v>Draft</x:v>
      </x:c>
      <x:c r="B57" s="138" t="str">
        <x:v>Hose Variant</x:v>
      </x:c>
      <x:c r="C57" s="138" t="str">
        <x:v>EN4SP_007</x:v>
      </x:c>
      <x:c r="D57" s="138" t="str">
        <x:v>EN4SP_007</x:v>
      </x:c>
      <x:c r="E57" s="138" t="str">
        <x:v>FT</x:v>
      </x:c>
      <x:c r="F57" s="139"/>
      <x:c r="G57" s="141" t="n">
        <x:v>1</x:v>
      </x:c>
      <x:c r="H57" s="141" t="n">
        <x:v>1</x:v>
      </x:c>
      <x:c r="I57" s="143" t="n">
        <x:v>0.9144</x:v>
      </x:c>
      <x:c r="J57" s="141" t="n">
        <x:v>10</x:v>
      </x:c>
      <x:c r="K57" s="138" t="str">
        <x:v>China</x:v>
      </x:c>
      <x:c r="L57" t="str">
        <x:v>USD</x:v>
      </x:c>
      <x:c r="M57" s="126"/>
      <x:c r="N57"/>
      <x:c r="O57"/>
      <x:c r="P57" s="145"/>
      <x:c r="Q57" s="126"/>
      <x:c r="R57" s="149" t="n">
        <x:v>23.76</x:v>
      </x:c>
      <x:c r="S57" s="145"/>
      <x:c r="T57" s="145"/>
      <x:c r="U57" s="124"/>
      <x:c r="V57" s="124"/>
      <x:c r="W57" s="124"/>
      <x:c r="X57" s="124"/>
      <x:c r="Y57"/>
      <x:c r="Z57"/>
      <x:c r="AA57" s="116" t="str">
        <x:v>Net unit weight calculated from 01 kg/m x 0.3048. Order-level RFQ minimum: USD 100. Retail basis: DHH SAE 100R12 4-spiral analog; analog/direct per-ft price; observed 2026-08-15; https://www.discounthydraulichose.com/sae-100r12-hydraulic-hose.html</x:v>
      </x:c>
      <x:c r="AB57" s="161" t="str">
        <x:v>Eligible</x:v>
      </x:c>
      <x:c r="AC57" s="161" t="str">
        <x:v>Pending</x:v>
      </x:c>
      <x:c r="AD57" t="str">
        <x:v>Length x Pieces</x:v>
      </x:c>
      <x:c r="AE57" s="145" t="n">
        <x:v>1</x:v>
      </x:c>
      <x:c r="AF57" s="145" t="n">
        <x:v>1</x:v>
      </x:c>
      <x:c r="AG57" s="145" t="n">
        <x:v>25</x:v>
      </x:c>
      <x:c r="AH57" s="145" t="n">
        <x:v>50</x:v>
      </x:c>
      <x:c r="AI57" s="145" t="n">
        <x:v>100</x:v>
      </x:c>
      <x:c r="AJ57" t="str">
        <x:v>Quote Review</x:v>
      </x:c>
    </x:row>
    <x:row r="58" ht="30" customHeight="1">
      <x:c r="A58" s="138" t="str">
        <x:v>Draft</x:v>
      </x:c>
      <x:c r="B58" s="138" t="str">
        <x:v>Hose Variant</x:v>
      </x:c>
      <x:c r="C58" s="138" t="str">
        <x:v>EN4SP_008</x:v>
      </x:c>
      <x:c r="D58" s="138" t="str">
        <x:v>EN4SP_008</x:v>
      </x:c>
      <x:c r="E58" s="138" t="str">
        <x:v>FT</x:v>
      </x:c>
      <x:c r="F58" s="139"/>
      <x:c r="G58" s="141" t="n">
        <x:v>1</x:v>
      </x:c>
      <x:c r="H58" s="141" t="n">
        <x:v>1</x:v>
      </x:c>
      <x:c r="I58" s="143" t="n">
        <x:v>1.082</x:v>
      </x:c>
      <x:c r="J58" s="141" t="n">
        <x:v>10</x:v>
      </x:c>
      <x:c r="K58" s="138" t="str">
        <x:v>China</x:v>
      </x:c>
      <x:c r="L58" t="str">
        <x:v>USD</x:v>
      </x:c>
      <x:c r="M58" s="126"/>
      <x:c r="N58"/>
      <x:c r="O58"/>
      <x:c r="P58" s="145"/>
      <x:c r="Q58" s="126"/>
      <x:c r="R58" s="149" t="n">
        <x:v>28.44</x:v>
      </x:c>
      <x:c r="S58" s="145"/>
      <x:c r="T58" s="145"/>
      <x:c r="U58" s="124"/>
      <x:c r="V58" s="124"/>
      <x:c r="W58" s="124"/>
      <x:c r="X58" s="124"/>
      <x:c r="Y58"/>
      <x:c r="Z58"/>
      <x:c r="AA58" s="116" t="str">
        <x:v>Net unit weight calculated from 01 kg/m x 0.3048. Order-level RFQ minimum: USD 100. Retail basis: DHH SAE 100R12 4-spiral analog; analog/direct per-ft price; observed 2026-08-15; https://www.discounthydraulichose.com/sae-100r12-hydraulic-hose.html</x:v>
      </x:c>
      <x:c r="AB58" s="161" t="str">
        <x:v>Eligible</x:v>
      </x:c>
      <x:c r="AC58" s="161" t="str">
        <x:v>Pending</x:v>
      </x:c>
      <x:c r="AD58" t="str">
        <x:v>Length x Pieces</x:v>
      </x:c>
      <x:c r="AE58" s="145" t="n">
        <x:v>1</x:v>
      </x:c>
      <x:c r="AF58" s="145" t="n">
        <x:v>1</x:v>
      </x:c>
      <x:c r="AG58" s="145" t="n">
        <x:v>25</x:v>
      </x:c>
      <x:c r="AH58" s="145" t="n">
        <x:v>50</x:v>
      </x:c>
      <x:c r="AI58" s="145" t="n">
        <x:v>100</x:v>
      </x:c>
      <x:c r="AJ58" t="str">
        <x:v>Quote Review</x:v>
      </x:c>
    </x:row>
    <x:row r="59" ht="30" customHeight="1">
      <x:c r="A59" s="138" t="str">
        <x:v>Draft</x:v>
      </x:c>
      <x:c r="B59" s="138" t="str">
        <x:v>Hose Variant</x:v>
      </x:c>
      <x:c r="C59" s="138" t="str">
        <x:v>EN4SP_009</x:v>
      </x:c>
      <x:c r="D59" s="138" t="str">
        <x:v>EN4SP_009</x:v>
      </x:c>
      <x:c r="E59" s="138" t="str">
        <x:v>FT</x:v>
      </x:c>
      <x:c r="F59" s="139"/>
      <x:c r="G59" s="141" t="n">
        <x:v>1</x:v>
      </x:c>
      <x:c r="H59" s="141" t="n">
        <x:v>1</x:v>
      </x:c>
      <x:c r="I59" s="143" t="n">
        <x:v>1.4813</x:v>
      </x:c>
      <x:c r="J59" s="141" t="n">
        <x:v>10</x:v>
      </x:c>
      <x:c r="K59" s="138" t="str">
        <x:v>China</x:v>
      </x:c>
      <x:c r="L59" t="str">
        <x:v>USD</x:v>
      </x:c>
      <x:c r="M59" s="126"/>
      <x:c r="N59"/>
      <x:c r="O59"/>
      <x:c r="P59" s="145"/>
      <x:c r="Q59" s="126"/>
      <x:c r="R59" s="149" t="n">
        <x:v>42.84</x:v>
      </x:c>
      <x:c r="S59" s="145"/>
      <x:c r="T59" s="145"/>
      <x:c r="U59" s="124"/>
      <x:c r="V59" s="124"/>
      <x:c r="W59" s="124"/>
      <x:c r="X59" s="124"/>
      <x:c r="Y59"/>
      <x:c r="Z59"/>
      <x:c r="AA59" s="116" t="str">
        <x:v>Net unit weight calculated from 01 kg/m x 0.3048. Order-level RFQ minimum: USD 100. Retail basis: DHH SAE 100R12 4-spiral analog; analog/direct per-ft price; observed 2026-08-15; https://www.discounthydraulichose.com/sae-100r12-hydraulic-hose.html</x:v>
      </x:c>
      <x:c r="AB59" s="161" t="str">
        <x:v>Eligible</x:v>
      </x:c>
      <x:c r="AC59" s="161" t="str">
        <x:v>Pending</x:v>
      </x:c>
      <x:c r="AD59" t="str">
        <x:v>Length x Pieces</x:v>
      </x:c>
      <x:c r="AE59" s="145" t="n">
        <x:v>1</x:v>
      </x:c>
      <x:c r="AF59" s="145" t="n">
        <x:v>1</x:v>
      </x:c>
      <x:c r="AG59" s="145" t="n">
        <x:v>25</x:v>
      </x:c>
      <x:c r="AH59" s="145" t="n">
        <x:v>50</x:v>
      </x:c>
      <x:c r="AI59" s="145" t="n">
        <x:v>100</x:v>
      </x:c>
      <x:c r="AJ59" t="str">
        <x:v>Quote Review</x:v>
      </x:c>
    </x:row>
    <x:row r="60" ht="30" customHeight="1">
      <x:c r="A60" s="138" t="str">
        <x:v>Draft</x:v>
      </x:c>
      <x:c r="B60" s="138" t="str">
        <x:v>Hose Variant</x:v>
      </x:c>
      <x:c r="C60" s="138" t="str">
        <x:v>EN4SH_001</x:v>
      </x:c>
      <x:c r="D60" s="138" t="str">
        <x:v>EN4SH_001</x:v>
      </x:c>
      <x:c r="E60" s="138" t="str">
        <x:v>FT</x:v>
      </x:c>
      <x:c r="F60" s="139"/>
      <x:c r="G60" s="141" t="n">
        <x:v>1</x:v>
      </x:c>
      <x:c r="H60" s="141" t="n">
        <x:v>1</x:v>
      </x:c>
      <x:c r="I60" s="143" t="n">
        <x:v>0.378</x:v>
      </x:c>
      <x:c r="J60" s="141" t="n">
        <x:v>10</x:v>
      </x:c>
      <x:c r="K60" s="138" t="str">
        <x:v>China</x:v>
      </x:c>
      <x:c r="L60" t="str">
        <x:v>USD</x:v>
      </x:c>
      <x:c r="M60" s="126"/>
      <x:c r="N60"/>
      <x:c r="O60"/>
      <x:c r="P60" s="145"/>
      <x:c r="Q60" s="126"/>
      <x:c r="R60" s="149" t="n">
        <x:v>11.58</x:v>
      </x:c>
      <x:c r="S60" s="145"/>
      <x:c r="T60" s="145"/>
      <x:c r="U60" s="124"/>
      <x:c r="V60" s="124"/>
      <x:c r="W60" s="124"/>
      <x:c r="X60" s="124"/>
      <x:c r="Y60"/>
      <x:c r="Z60"/>
      <x:c r="AA60" s="116" t="str">
        <x:v>Net unit weight calculated from 01 kg/m x 0.3048. Order-level RFQ minimum: USD 100. Retail basis: DHH EN 856 4SH; extrapolated per-ft price; observed 2026-08-15; https://www.discounthydraulichose.com/en-856-4sh-hydraulic-hose.html</x:v>
      </x:c>
      <x:c r="AB60" s="161" t="str">
        <x:v>Eligible</x:v>
      </x:c>
      <x:c r="AC60" s="161" t="str">
        <x:v>Pending</x:v>
      </x:c>
      <x:c r="AD60" t="str">
        <x:v>Length x Pieces</x:v>
      </x:c>
      <x:c r="AE60" s="145" t="n">
        <x:v>1</x:v>
      </x:c>
      <x:c r="AF60" s="145" t="n">
        <x:v>1</x:v>
      </x:c>
      <x:c r="AG60" s="145" t="n">
        <x:v>25</x:v>
      </x:c>
      <x:c r="AH60" s="145" t="n">
        <x:v>50</x:v>
      </x:c>
      <x:c r="AI60" s="145" t="n">
        <x:v>100</x:v>
      </x:c>
      <x:c r="AJ60" t="str">
        <x:v>Quote Review</x:v>
      </x:c>
    </x:row>
    <x:row r="61" ht="30" customHeight="1">
      <x:c r="A61" s="138" t="str">
        <x:v>Draft</x:v>
      </x:c>
      <x:c r="B61" s="138" t="str">
        <x:v>Hose Variant</x:v>
      </x:c>
      <x:c r="C61" s="138" t="str">
        <x:v>EN4SH_002</x:v>
      </x:c>
      <x:c r="D61" s="138" t="str">
        <x:v>EN4SH_002</x:v>
      </x:c>
      <x:c r="E61" s="138" t="str">
        <x:v>FT</x:v>
      </x:c>
      <x:c r="F61" s="139"/>
      <x:c r="G61" s="141" t="n">
        <x:v>1</x:v>
      </x:c>
      <x:c r="H61" s="141" t="n">
        <x:v>1</x:v>
      </x:c>
      <x:c r="I61" s="143" t="n">
        <x:v>0.5182</x:v>
      </x:c>
      <x:c r="J61" s="141" t="n">
        <x:v>10</x:v>
      </x:c>
      <x:c r="K61" s="138" t="str">
        <x:v>China</x:v>
      </x:c>
      <x:c r="L61" t="str">
        <x:v>USD</x:v>
      </x:c>
      <x:c r="M61" s="126"/>
      <x:c r="N61"/>
      <x:c r="O61"/>
      <x:c r="P61" s="145"/>
      <x:c r="Q61" s="126"/>
      <x:c r="R61" s="149" t="n">
        <x:v>14.16</x:v>
      </x:c>
      <x:c r="S61" s="145"/>
      <x:c r="T61" s="145"/>
      <x:c r="U61" s="124"/>
      <x:c r="V61" s="124"/>
      <x:c r="W61" s="124"/>
      <x:c r="X61" s="124"/>
      <x:c r="Y61"/>
      <x:c r="Z61"/>
      <x:c r="AA61" s="116" t="str">
        <x:v>Net unit weight calculated from 01 kg/m x 0.3048. Order-level RFQ minimum: USD 100. Retail basis: DHH EN 856 4SH; direct per-ft price; observed 2026-08-15; https://www.discounthydraulichose.com/en-856-4sh-hydraulic-hose.html</x:v>
      </x:c>
      <x:c r="AB61" s="161" t="str">
        <x:v>Eligible</x:v>
      </x:c>
      <x:c r="AC61" s="161" t="str">
        <x:v>Pending</x:v>
      </x:c>
      <x:c r="AD61" t="str">
        <x:v>Length x Pieces</x:v>
      </x:c>
      <x:c r="AE61" s="145" t="n">
        <x:v>1</x:v>
      </x:c>
      <x:c r="AF61" s="145" t="n">
        <x:v>1</x:v>
      </x:c>
      <x:c r="AG61" s="145" t="n">
        <x:v>25</x:v>
      </x:c>
      <x:c r="AH61" s="145" t="n">
        <x:v>50</x:v>
      </x:c>
      <x:c r="AI61" s="145" t="n">
        <x:v>100</x:v>
      </x:c>
      <x:c r="AJ61" t="str">
        <x:v>Quote Review</x:v>
      </x:c>
    </x:row>
    <x:row r="62" ht="30" customHeight="1">
      <x:c r="A62" s="138" t="str">
        <x:v>Draft</x:v>
      </x:c>
      <x:c r="B62" s="138" t="str">
        <x:v>Hose Variant</x:v>
      </x:c>
      <x:c r="C62" s="138" t="str">
        <x:v>EN4SH_003</x:v>
      </x:c>
      <x:c r="D62" s="138" t="str">
        <x:v>EN4SH_003</x:v>
      </x:c>
      <x:c r="E62" s="138" t="str">
        <x:v>FT</x:v>
      </x:c>
      <x:c r="F62" s="139"/>
      <x:c r="G62" s="141" t="n">
        <x:v>1</x:v>
      </x:c>
      <x:c r="H62" s="141" t="n">
        <x:v>1</x:v>
      </x:c>
      <x:c r="I62" s="143" t="n">
        <x:v>0.762</x:v>
      </x:c>
      <x:c r="J62" s="141" t="n">
        <x:v>10</x:v>
      </x:c>
      <x:c r="K62" s="138" t="str">
        <x:v>China</x:v>
      </x:c>
      <x:c r="L62" t="str">
        <x:v>USD</x:v>
      </x:c>
      <x:c r="M62" s="126"/>
      <x:c r="N62"/>
      <x:c r="O62"/>
      <x:c r="P62" s="145"/>
      <x:c r="Q62" s="126"/>
      <x:c r="R62" s="149" t="n">
        <x:v>19.44</x:v>
      </x:c>
      <x:c r="S62" s="145"/>
      <x:c r="T62" s="145"/>
      <x:c r="U62" s="124"/>
      <x:c r="V62" s="124"/>
      <x:c r="W62" s="124"/>
      <x:c r="X62" s="124"/>
      <x:c r="Y62"/>
      <x:c r="Z62"/>
      <x:c r="AA62" s="116" t="str">
        <x:v>Net unit weight calculated from 01 kg/m x 0.3048. Order-level RFQ minimum: USD 100. Retail basis: DHH EN 856 4SH; direct per-ft price; observed 2026-08-15; https://www.discounthydraulichose.com/en-856-4sh-hydraulic-hose.html</x:v>
      </x:c>
      <x:c r="AB62" s="161" t="str">
        <x:v>Eligible</x:v>
      </x:c>
      <x:c r="AC62" s="161" t="str">
        <x:v>Pending</x:v>
      </x:c>
      <x:c r="AD62" t="str">
        <x:v>Length x Pieces</x:v>
      </x:c>
      <x:c r="AE62" s="145" t="n">
        <x:v>1</x:v>
      </x:c>
      <x:c r="AF62" s="145" t="n">
        <x:v>1</x:v>
      </x:c>
      <x:c r="AG62" s="145" t="n">
        <x:v>25</x:v>
      </x:c>
      <x:c r="AH62" s="145" t="n">
        <x:v>50</x:v>
      </x:c>
      <x:c r="AI62" s="145" t="n">
        <x:v>100</x:v>
      </x:c>
      <x:c r="AJ62" t="str">
        <x:v>Quote Review</x:v>
      </x:c>
    </x:row>
    <x:row r="63" ht="30" customHeight="1">
      <x:c r="A63" s="138" t="str">
        <x:v>Draft</x:v>
      </x:c>
      <x:c r="B63" s="138" t="str">
        <x:v>Hose Variant</x:v>
      </x:c>
      <x:c r="C63" s="138" t="str">
        <x:v>EN4SH_004</x:v>
      </x:c>
      <x:c r="D63" s="138" t="str">
        <x:v>EN4SH_004</x:v>
      </x:c>
      <x:c r="E63" s="138" t="str">
        <x:v>FT</x:v>
      </x:c>
      <x:c r="F63" s="139"/>
      <x:c r="G63" s="141" t="n">
        <x:v>1</x:v>
      </x:c>
      <x:c r="H63" s="141" t="n">
        <x:v>1</x:v>
      </x:c>
      <x:c r="I63" s="143" t="n">
        <x:v>0.9144</x:v>
      </x:c>
      <x:c r="J63" s="141" t="n">
        <x:v>10</x:v>
      </x:c>
      <x:c r="K63" s="138" t="str">
        <x:v>China</x:v>
      </x:c>
      <x:c r="L63" t="str">
        <x:v>USD</x:v>
      </x:c>
      <x:c r="M63" s="126"/>
      <x:c r="N63"/>
      <x:c r="O63"/>
      <x:c r="P63" s="145"/>
      <x:c r="Q63" s="126"/>
      <x:c r="R63" s="149" t="n">
        <x:v>30.36</x:v>
      </x:c>
      <x:c r="S63" s="145"/>
      <x:c r="T63" s="145"/>
      <x:c r="U63" s="124"/>
      <x:c r="V63" s="124"/>
      <x:c r="W63" s="124"/>
      <x:c r="X63" s="124"/>
      <x:c r="Y63"/>
      <x:c r="Z63"/>
      <x:c r="AA63" s="116" t="str">
        <x:v>Net unit weight calculated from 01 kg/m x 0.3048. Order-level RFQ minimum: USD 100. Retail basis: DHH EN 856 4SH; direct per-ft price; observed 2026-08-15; https://www.discounthydraulichose.com/en-856-4sh-hydraulic-hose.html</x:v>
      </x:c>
      <x:c r="AB63" s="161" t="str">
        <x:v>Eligible</x:v>
      </x:c>
      <x:c r="AC63" s="161" t="str">
        <x:v>Pending</x:v>
      </x:c>
      <x:c r="AD63" t="str">
        <x:v>Length x Pieces</x:v>
      </x:c>
      <x:c r="AE63" s="145" t="n">
        <x:v>1</x:v>
      </x:c>
      <x:c r="AF63" s="145" t="n">
        <x:v>1</x:v>
      </x:c>
      <x:c r="AG63" s="145" t="n">
        <x:v>25</x:v>
      </x:c>
      <x:c r="AH63" s="145" t="n">
        <x:v>50</x:v>
      </x:c>
      <x:c r="AI63" s="145" t="n">
        <x:v>100</x:v>
      </x:c>
      <x:c r="AJ63" t="str">
        <x:v>Quote Review</x:v>
      </x:c>
    </x:row>
    <x:row r="64" ht="30" customHeight="1">
      <x:c r="A64" s="138" t="str">
        <x:v>Draft</x:v>
      </x:c>
      <x:c r="B64" s="138" t="str">
        <x:v>Hose Variant</x:v>
      </x:c>
      <x:c r="C64" s="138" t="str">
        <x:v>EN4SH_005</x:v>
      </x:c>
      <x:c r="D64" s="138" t="str">
        <x:v>EN4SH_005</x:v>
      </x:c>
      <x:c r="E64" s="138" t="str">
        <x:v>FT</x:v>
      </x:c>
      <x:c r="F64" s="139"/>
      <x:c r="G64" s="141" t="n">
        <x:v>1</x:v>
      </x:c>
      <x:c r="H64" s="141" t="n">
        <x:v>1</x:v>
      </x:c>
      <x:c r="I64" s="143" t="n">
        <x:v>1.0973</x:v>
      </x:c>
      <x:c r="J64" s="141" t="n">
        <x:v>10</x:v>
      </x:c>
      <x:c r="K64" s="138" t="str">
        <x:v>China</x:v>
      </x:c>
      <x:c r="L64" t="str">
        <x:v>USD</x:v>
      </x:c>
      <x:c r="M64" s="126"/>
      <x:c r="N64"/>
      <x:c r="O64"/>
      <x:c r="P64" s="145"/>
      <x:c r="Q64" s="126"/>
      <x:c r="R64" s="149" t="n">
        <x:v>37.32</x:v>
      </x:c>
      <x:c r="S64" s="145"/>
      <x:c r="T64" s="145"/>
      <x:c r="U64" s="124"/>
      <x:c r="V64" s="124"/>
      <x:c r="W64" s="124"/>
      <x:c r="X64" s="124"/>
      <x:c r="Y64"/>
      <x:c r="Z64"/>
      <x:c r="AA64" s="116" t="str">
        <x:v>Net unit weight calculated from 01 kg/m x 0.3048. Order-level RFQ minimum: USD 100. Retail basis: DHH EN 856 4SH; direct per-ft price; observed 2026-08-15; https://www.discounthydraulichose.com/en-856-4sh-hydraulic-hose.html</x:v>
      </x:c>
      <x:c r="AB64" s="161" t="str">
        <x:v>Eligible</x:v>
      </x:c>
      <x:c r="AC64" s="161" t="str">
        <x:v>Pending</x:v>
      </x:c>
      <x:c r="AD64" t="str">
        <x:v>Length x Pieces</x:v>
      </x:c>
      <x:c r="AE64" s="145" t="n">
        <x:v>1</x:v>
      </x:c>
      <x:c r="AF64" s="145" t="n">
        <x:v>1</x:v>
      </x:c>
      <x:c r="AG64" s="145" t="n">
        <x:v>25</x:v>
      </x:c>
      <x:c r="AH64" s="145" t="n">
        <x:v>50</x:v>
      </x:c>
      <x:c r="AI64" s="145" t="n">
        <x:v>100</x:v>
      </x:c>
      <x:c r="AJ64" t="str">
        <x:v>Quote Review</x:v>
      </x:c>
    </x:row>
    <x:row r="65" ht="30" customHeight="1">
      <x:c r="A65" s="138" t="str">
        <x:v>Draft</x:v>
      </x:c>
      <x:c r="B65" s="138" t="str">
        <x:v>Hose Variant</x:v>
      </x:c>
      <x:c r="C65" s="138" t="str">
        <x:v>EN4SH_006</x:v>
      </x:c>
      <x:c r="D65" s="138" t="str">
        <x:v>EN4SH_006</x:v>
      </x:c>
      <x:c r="E65" s="138" t="str">
        <x:v>FT</x:v>
      </x:c>
      <x:c r="F65" s="139"/>
      <x:c r="G65" s="141" t="n">
        <x:v>1</x:v>
      </x:c>
      <x:c r="H65" s="141" t="n">
        <x:v>1</x:v>
      </x:c>
      <x:c r="I65" s="143" t="n">
        <x:v>1.524</x:v>
      </x:c>
      <x:c r="J65" s="141" t="n">
        <x:v>10</x:v>
      </x:c>
      <x:c r="K65" s="138" t="str">
        <x:v>China</x:v>
      </x:c>
      <x:c r="L65" t="str">
        <x:v>USD</x:v>
      </x:c>
      <x:c r="M65" s="126"/>
      <x:c r="N65"/>
      <x:c r="O65"/>
      <x:c r="P65" s="145"/>
      <x:c r="Q65" s="126"/>
      <x:c r="R65" s="149" t="n">
        <x:v>51.24</x:v>
      </x:c>
      <x:c r="S65" s="145"/>
      <x:c r="T65" s="145"/>
      <x:c r="U65" s="124"/>
      <x:c r="V65" s="124"/>
      <x:c r="W65" s="124"/>
      <x:c r="X65" s="124"/>
      <x:c r="Y65"/>
      <x:c r="Z65"/>
      <x:c r="AA65" s="116" t="str">
        <x:v>Net unit weight calculated from 01 kg/m x 0.3048. Order-level RFQ minimum: USD 100. Retail basis: DHH EN 856 4SH; direct per-ft price; observed 2026-08-15; https://www.discounthydraulichose.com/en-856-4sh-hydraulic-hose.html</x:v>
      </x:c>
      <x:c r="AB65" s="161" t="str">
        <x:v>Eligible</x:v>
      </x:c>
      <x:c r="AC65" s="161" t="str">
        <x:v>Pending</x:v>
      </x:c>
      <x:c r="AD65" t="str">
        <x:v>Length x Pieces</x:v>
      </x:c>
      <x:c r="AE65" s="145" t="n">
        <x:v>1</x:v>
      </x:c>
      <x:c r="AF65" s="145" t="n">
        <x:v>1</x:v>
      </x:c>
      <x:c r="AG65" s="145" t="n">
        <x:v>25</x:v>
      </x:c>
      <x:c r="AH65" s="145" t="n">
        <x:v>50</x:v>
      </x:c>
      <x:c r="AI65" s="145" t="n">
        <x:v>100</x:v>
      </x:c>
      <x:c r="AJ65" t="str">
        <x:v>Quote Review</x:v>
      </x:c>
    </x:row>
    <x:row r="66" ht="30" customHeight="1">
      <x:c r="A66" s="138" t="str">
        <x:v>Draft</x:v>
      </x:c>
      <x:c r="B66" s="138" t="str">
        <x:v>Hose End</x:v>
      </x:c>
      <x:c r="C66" s="138" t="str">
        <x:v>BSPP_F_SW_04_04</x:v>
      </x:c>
      <x:c r="D66" s="138" t="str">
        <x:v>BSPP_F_SW_04_04</x:v>
      </x:c>
      <x:c r="E66" s="138" t="str">
        <x:v>EA</x:v>
      </x:c>
      <x:c r="F66" s="139"/>
      <x:c r="G66" s="141" t="n">
        <x:v>1</x:v>
      </x:c>
      <x:c r="H66" s="141" t="n">
        <x:v>1</x:v>
      </x:c>
      <x:c r="I66" s="143"/>
      <x:c r="J66" s="141" t="n">
        <x:v>10</x:v>
      </x:c>
      <x:c r="K66" s="138" t="str">
        <x:v>China</x:v>
      </x:c>
      <x:c r="L66" t="str">
        <x:v>USD</x:v>
      </x:c>
      <x:c r="M66" s="126"/>
      <x:c r="N66"/>
      <x:c r="O66"/>
      <x:c r="P66" s="145"/>
      <x:c r="Q66" s="126"/>
      <x:c r="R66" s="149" t="n">
        <x:v>29.03</x:v>
      </x:c>
      <x:c r="S66" s="145"/>
      <x:c r="T66" s="145"/>
      <x:c r="U66" s="124"/>
      <x:c r="V66" s="124"/>
      <x:c r="W66" s="124"/>
      <x:c r="X66" s="124"/>
      <x:c r="Y66"/>
      <x:c r="Z66"/>
      <x:c r="AA66" s="116" t="str">
        <x:v>Net unit weight missing in 02. Order-level RFQ minimum: USD 100. Retail source: DHH exact FBSPX-04-04W; direct each price; observed 2026-08-15; https://www.discounthydraulichose.com/FBSPX-04-04W.html</x:v>
      </x:c>
      <x:c r="AB66" s="161" t="str">
        <x:v>Eligible</x:v>
      </x:c>
      <x:c r="AC66" s="161" t="str">
        <x:v>Pending</x:v>
      </x:c>
      <x:c r="AD66" t="str">
        <x:v>Units</x:v>
      </x:c>
      <x:c r="AE66" s="145"/>
      <x:c r="AF66" s="145"/>
      <x:c r="AG66" s="145"/>
      <x:c r="AH66" s="145"/>
      <x:c r="AI66" s="145"/>
      <x:c r="AJ66"/>
    </x:row>
    <x:row r="67" ht="30" customHeight="1">
      <x:c r="A67" s="138" t="str">
        <x:v>Draft</x:v>
      </x:c>
      <x:c r="B67" s="138" t="str">
        <x:v>Hose End</x:v>
      </x:c>
      <x:c r="C67" s="138" t="str">
        <x:v>BSPP_F_SW_06_04</x:v>
      </x:c>
      <x:c r="D67" s="138" t="str">
        <x:v>BSPP_F_SW_06_04</x:v>
      </x:c>
      <x:c r="E67" s="138" t="str">
        <x:v>EA</x:v>
      </x:c>
      <x:c r="F67" s="139"/>
      <x:c r="G67" s="141" t="n">
        <x:v>1</x:v>
      </x:c>
      <x:c r="H67" s="141" t="n">
        <x:v>1</x:v>
      </x:c>
      <x:c r="I67" s="143"/>
      <x:c r="J67" s="141" t="n">
        <x:v>10</x:v>
      </x:c>
      <x:c r="K67" s="138" t="str">
        <x:v>China</x:v>
      </x:c>
      <x:c r="L67" t="str">
        <x:v>USD</x:v>
      </x:c>
      <x:c r="M67" s="126"/>
      <x:c r="N67"/>
      <x:c r="O67"/>
      <x:c r="P67" s="145"/>
      <x:c r="Q67" s="126"/>
      <x:c r="R67" s="149" t="n">
        <x:v>23.39</x:v>
      </x:c>
      <x:c r="S67" s="145"/>
      <x:c r="T67" s="145"/>
      <x:c r="U67" s="124"/>
      <x:c r="V67" s="124"/>
      <x:c r="W67" s="124"/>
      <x:c r="X67" s="124"/>
      <x:c r="Y67"/>
      <x:c r="Z67"/>
      <x:c r="AA67" s="116" t="str">
        <x:v>Net unit weight missing in 02. Order-level RFQ minimum: USD 100. Retail source: DHH exact FBSPX-04-06W; direct each price; observed 2026-08-15; https://www.discounthydraulichose.com/FBSPX-04-06W.html</x:v>
      </x:c>
      <x:c r="AB67" s="161" t="str">
        <x:v>Eligible</x:v>
      </x:c>
      <x:c r="AC67" s="161" t="str">
        <x:v>Pending</x:v>
      </x:c>
      <x:c r="AD67" t="str">
        <x:v>Units</x:v>
      </x:c>
      <x:c r="AE67" s="145"/>
      <x:c r="AF67" s="145"/>
      <x:c r="AG67" s="145"/>
      <x:c r="AH67" s="145"/>
      <x:c r="AI67" s="145"/>
      <x:c r="AJ67"/>
    </x:row>
    <x:row r="68" ht="30" customHeight="1">
      <x:c r="A68" s="138" t="str">
        <x:v>Draft</x:v>
      </x:c>
      <x:c r="B68" s="138" t="str">
        <x:v>Hose End</x:v>
      </x:c>
      <x:c r="C68" s="138" t="str">
        <x:v>BSPP_F_SW_06_06</x:v>
      </x:c>
      <x:c r="D68" s="138" t="str">
        <x:v>BSPP_F_SW_06_06</x:v>
      </x:c>
      <x:c r="E68" s="138" t="str">
        <x:v>EA</x:v>
      </x:c>
      <x:c r="F68" s="139"/>
      <x:c r="G68" s="141" t="n">
        <x:v>1</x:v>
      </x:c>
      <x:c r="H68" s="141" t="n">
        <x:v>1</x:v>
      </x:c>
      <x:c r="I68" s="143"/>
      <x:c r="J68" s="141" t="n">
        <x:v>10</x:v>
      </x:c>
      <x:c r="K68" s="138" t="str">
        <x:v>China</x:v>
      </x:c>
      <x:c r="L68" t="str">
        <x:v>USD</x:v>
      </x:c>
      <x:c r="M68" s="126"/>
      <x:c r="N68"/>
      <x:c r="O68"/>
      <x:c r="P68" s="145"/>
      <x:c r="Q68" s="126"/>
      <x:c r="R68" s="149" t="n">
        <x:v>13.35</x:v>
      </x:c>
      <x:c r="S68" s="145"/>
      <x:c r="T68" s="145"/>
      <x:c r="U68" s="124"/>
      <x:c r="V68" s="124"/>
      <x:c r="W68" s="124"/>
      <x:c r="X68" s="124"/>
      <x:c r="Y68"/>
      <x:c r="Z68"/>
      <x:c r="AA68" s="116" t="str">
        <x:v>Net unit weight missing in 02. Order-level RFQ minimum: USD 100. Retail source: DHH exact FBSPX-06-06W; direct each price; observed 2026-08-15; https://www.discounthydraulichose.com/FBSPX-06-06W.html</x:v>
      </x:c>
      <x:c r="AB68" s="161" t="str">
        <x:v>Eligible</x:v>
      </x:c>
      <x:c r="AC68" s="161" t="str">
        <x:v>Pending</x:v>
      </x:c>
      <x:c r="AD68" t="str">
        <x:v>Units</x:v>
      </x:c>
      <x:c r="AE68" s="145"/>
      <x:c r="AF68" s="145"/>
      <x:c r="AG68" s="145"/>
      <x:c r="AH68" s="145"/>
      <x:c r="AI68" s="145"/>
      <x:c r="AJ68"/>
    </x:row>
    <x:row r="69" ht="30" customHeight="1">
      <x:c r="A69" s="138" t="str">
        <x:v>Draft</x:v>
      </x:c>
      <x:c r="B69" s="138" t="str">
        <x:v>Hose End</x:v>
      </x:c>
      <x:c r="C69" s="138" t="str">
        <x:v>BSPP_F_SW_08_06</x:v>
      </x:c>
      <x:c r="D69" s="138" t="str">
        <x:v>BSPP_F_SW_08_06</x:v>
      </x:c>
      <x:c r="E69" s="138" t="str">
        <x:v>EA</x:v>
      </x:c>
      <x:c r="F69" s="139"/>
      <x:c r="G69" s="141" t="n">
        <x:v>1</x:v>
      </x:c>
      <x:c r="H69" s="141" t="n">
        <x:v>1</x:v>
      </x:c>
      <x:c r="I69" s="143"/>
      <x:c r="J69" s="141" t="n">
        <x:v>10</x:v>
      </x:c>
      <x:c r="K69" s="138" t="str">
        <x:v>China</x:v>
      </x:c>
      <x:c r="L69" t="str">
        <x:v>USD</x:v>
      </x:c>
      <x:c r="M69" s="126"/>
      <x:c r="N69"/>
      <x:c r="O69"/>
      <x:c r="P69" s="145"/>
      <x:c r="Q69" s="126"/>
      <x:c r="R69" s="149" t="n">
        <x:v>17.85</x:v>
      </x:c>
      <x:c r="S69" s="145"/>
      <x:c r="T69" s="145"/>
      <x:c r="U69" s="124"/>
      <x:c r="V69" s="124"/>
      <x:c r="W69" s="124"/>
      <x:c r="X69" s="124"/>
      <x:c r="Y69"/>
      <x:c r="Z69"/>
      <x:c r="AA69" s="116" t="str">
        <x:v>Net unit weight missing in 02. Order-level RFQ minimum: USD 100. Retail source: DHH exact FBSPX-06-08W; direct each price; observed 2026-08-15; https://www.discounthydraulichose.com/FBSPX-06-08W.html</x:v>
      </x:c>
      <x:c r="AB69" s="161" t="str">
        <x:v>Eligible</x:v>
      </x:c>
      <x:c r="AC69" s="161" t="str">
        <x:v>Pending</x:v>
      </x:c>
      <x:c r="AD69" t="str">
        <x:v>Units</x:v>
      </x:c>
      <x:c r="AE69" s="145"/>
      <x:c r="AF69" s="145"/>
      <x:c r="AG69" s="145"/>
      <x:c r="AH69" s="145"/>
      <x:c r="AI69" s="145"/>
      <x:c r="AJ69"/>
    </x:row>
    <x:row r="70" ht="30" customHeight="1">
      <x:c r="A70" s="138" t="str">
        <x:v>Draft</x:v>
      </x:c>
      <x:c r="B70" s="138" t="str">
        <x:v>Hose End</x:v>
      </x:c>
      <x:c r="C70" s="138" t="str">
        <x:v>BSPP_F_SW_08_08</x:v>
      </x:c>
      <x:c r="D70" s="138" t="str">
        <x:v>BSPP_F_SW_08_08</x:v>
      </x:c>
      <x:c r="E70" s="138" t="str">
        <x:v>EA</x:v>
      </x:c>
      <x:c r="F70" s="139"/>
      <x:c r="G70" s="141" t="n">
        <x:v>1</x:v>
      </x:c>
      <x:c r="H70" s="141" t="n">
        <x:v>1</x:v>
      </x:c>
      <x:c r="I70" s="143"/>
      <x:c r="J70" s="141" t="n">
        <x:v>10</x:v>
      </x:c>
      <x:c r="K70" s="138" t="str">
        <x:v>China</x:v>
      </x:c>
      <x:c r="L70" t="str">
        <x:v>USD</x:v>
      </x:c>
      <x:c r="M70" s="126"/>
      <x:c r="N70"/>
      <x:c r="O70"/>
      <x:c r="P70" s="145"/>
      <x:c r="Q70" s="126"/>
      <x:c r="R70" s="149" t="n">
        <x:v>11.76</x:v>
      </x:c>
      <x:c r="S70" s="145"/>
      <x:c r="T70" s="145"/>
      <x:c r="U70" s="124"/>
      <x:c r="V70" s="124"/>
      <x:c r="W70" s="124"/>
      <x:c r="X70" s="124"/>
      <x:c r="Y70"/>
      <x:c r="Z70"/>
      <x:c r="AA70" s="116" t="str">
        <x:v>Net unit weight missing in 02. Order-level RFQ minimum: USD 100. Retail source: DHH exact FBSPX-08-08W; direct each price; observed 2026-08-15; https://www.discounthydraulichose.com/FBSPX-08-08W.html</x:v>
      </x:c>
      <x:c r="AB70" s="161" t="str">
        <x:v>Eligible</x:v>
      </x:c>
      <x:c r="AC70" s="161" t="str">
        <x:v>Pending</x:v>
      </x:c>
      <x:c r="AD70" t="str">
        <x:v>Units</x:v>
      </x:c>
      <x:c r="AE70" s="145"/>
      <x:c r="AF70" s="145"/>
      <x:c r="AG70" s="145"/>
      <x:c r="AH70" s="145"/>
      <x:c r="AI70" s="145"/>
      <x:c r="AJ70"/>
    </x:row>
    <x:row r="71" ht="30" customHeight="1">
      <x:c r="A71" s="138" t="str">
        <x:v>Draft</x:v>
      </x:c>
      <x:c r="B71" s="138" t="str">
        <x:v>Hose End</x:v>
      </x:c>
      <x:c r="C71" s="138" t="str">
        <x:v>BSPP_F_SW_10_08</x:v>
      </x:c>
      <x:c r="D71" s="138" t="str">
        <x:v>BSPP_F_SW_10_08</x:v>
      </x:c>
      <x:c r="E71" s="138" t="str">
        <x:v>EA</x:v>
      </x:c>
      <x:c r="F71" s="139"/>
      <x:c r="G71" s="141" t="n">
        <x:v>1</x:v>
      </x:c>
      <x:c r="H71" s="141" t="n">
        <x:v>1</x:v>
      </x:c>
      <x:c r="I71" s="143"/>
      <x:c r="J71" s="141" t="n">
        <x:v>10</x:v>
      </x:c>
      <x:c r="K71" s="138" t="str">
        <x:v>China</x:v>
      </x:c>
      <x:c r="L71" t="str">
        <x:v>USD</x:v>
      </x:c>
      <x:c r="M71" s="126"/>
      <x:c r="N71"/>
      <x:c r="O71"/>
      <x:c r="P71" s="145"/>
      <x:c r="Q71" s="126"/>
      <x:c r="R71" s="149" t="n">
        <x:v>32.99</x:v>
      </x:c>
      <x:c r="S71" s="145"/>
      <x:c r="T71" s="145"/>
      <x:c r="U71" s="124"/>
      <x:c r="V71" s="124"/>
      <x:c r="W71" s="124"/>
      <x:c r="X71" s="124"/>
      <x:c r="Y71"/>
      <x:c r="Z71"/>
      <x:c r="AA71" s="116" t="str">
        <x:v>Net unit weight missing in 02. Order-level RFQ minimum: USD 100. Retail source: DHH exact FBSPX-08-10W; direct each price; observed 2026-08-15; https://www.discounthydraulichose.com/FBSPX-08-10W.html</x:v>
      </x:c>
      <x:c r="AB71" s="161" t="str">
        <x:v>Eligible</x:v>
      </x:c>
      <x:c r="AC71" s="161" t="str">
        <x:v>Pending</x:v>
      </x:c>
      <x:c r="AD71" t="str">
        <x:v>Units</x:v>
      </x:c>
      <x:c r="AE71" s="145"/>
      <x:c r="AF71" s="145"/>
      <x:c r="AG71" s="145"/>
      <x:c r="AH71" s="145"/>
      <x:c r="AI71" s="145"/>
      <x:c r="AJ71"/>
    </x:row>
    <x:row r="72" ht="30" customHeight="1">
      <x:c r="A72" s="138" t="str">
        <x:v>Draft</x:v>
      </x:c>
      <x:c r="B72" s="138" t="str">
        <x:v>Hose End</x:v>
      </x:c>
      <x:c r="C72" s="138" t="str">
        <x:v>BSPP_F_SW_10_10</x:v>
      </x:c>
      <x:c r="D72" s="138" t="str">
        <x:v>BSPP_F_SW_10_10</x:v>
      </x:c>
      <x:c r="E72" s="138" t="str">
        <x:v>EA</x:v>
      </x:c>
      <x:c r="F72" s="139"/>
      <x:c r="G72" s="141" t="n">
        <x:v>1</x:v>
      </x:c>
      <x:c r="H72" s="141" t="n">
        <x:v>1</x:v>
      </x:c>
      <x:c r="I72" s="143"/>
      <x:c r="J72" s="141" t="n">
        <x:v>10</x:v>
      </x:c>
      <x:c r="K72" s="138" t="str">
        <x:v>China</x:v>
      </x:c>
      <x:c r="L72" t="str">
        <x:v>USD</x:v>
      </x:c>
      <x:c r="M72" s="126"/>
      <x:c r="N72"/>
      <x:c r="O72"/>
      <x:c r="P72" s="145"/>
      <x:c r="Q72" s="126"/>
      <x:c r="R72" s="149" t="n">
        <x:v>17.85</x:v>
      </x:c>
      <x:c r="S72" s="145"/>
      <x:c r="T72" s="145"/>
      <x:c r="U72" s="124"/>
      <x:c r="V72" s="124"/>
      <x:c r="W72" s="124"/>
      <x:c r="X72" s="124"/>
      <x:c r="Y72"/>
      <x:c r="Z72"/>
      <x:c r="AA72" s="116" t="str">
        <x:v>Net unit weight missing in 02. Order-level RFQ minimum: USD 100. Retail source: DHH exact FBSPX-10-10W; direct each price; observed 2026-08-15; https://www.discounthydraulichose.com/FBSPX-10-10W.html</x:v>
      </x:c>
      <x:c r="AB72" s="161" t="str">
        <x:v>Eligible</x:v>
      </x:c>
      <x:c r="AC72" s="161" t="str">
        <x:v>Pending</x:v>
      </x:c>
      <x:c r="AD72" t="str">
        <x:v>Units</x:v>
      </x:c>
      <x:c r="AE72" s="145"/>
      <x:c r="AF72" s="145"/>
      <x:c r="AG72" s="145"/>
      <x:c r="AH72" s="145"/>
      <x:c r="AI72" s="145"/>
      <x:c r="AJ72"/>
    </x:row>
    <x:row r="73" ht="30" customHeight="1">
      <x:c r="A73" s="138" t="str">
        <x:v>Draft</x:v>
      </x:c>
      <x:c r="B73" s="138" t="str">
        <x:v>Hose End</x:v>
      </x:c>
      <x:c r="C73" s="138" t="str">
        <x:v>BSPP_F_SW_12_12</x:v>
      </x:c>
      <x:c r="D73" s="138" t="str">
        <x:v>BSPP_F_SW_12_12</x:v>
      </x:c>
      <x:c r="E73" s="138" t="str">
        <x:v>EA</x:v>
      </x:c>
      <x:c r="F73" s="139"/>
      <x:c r="G73" s="141" t="n">
        <x:v>1</x:v>
      </x:c>
      <x:c r="H73" s="141" t="n">
        <x:v>1</x:v>
      </x:c>
      <x:c r="I73" s="143"/>
      <x:c r="J73" s="141" t="n">
        <x:v>10</x:v>
      </x:c>
      <x:c r="K73" s="138" t="str">
        <x:v>China</x:v>
      </x:c>
      <x:c r="L73" t="str">
        <x:v>USD</x:v>
      </x:c>
      <x:c r="M73" s="126"/>
      <x:c r="N73"/>
      <x:c r="O73"/>
      <x:c r="P73" s="145"/>
      <x:c r="Q73" s="126"/>
      <x:c r="R73" s="149" t="n">
        <x:v>22.69</x:v>
      </x:c>
      <x:c r="S73" s="145"/>
      <x:c r="T73" s="145"/>
      <x:c r="U73" s="124"/>
      <x:c r="V73" s="124"/>
      <x:c r="W73" s="124"/>
      <x:c r="X73" s="124"/>
      <x:c r="Y73"/>
      <x:c r="Z73"/>
      <x:c r="AA73" s="116" t="str">
        <x:v>Net unit weight missing in 02. Order-level RFQ minimum: USD 100. Retail source: DHH exact FBSPX-12-12W; direct each price; observed 2026-08-15; https://www.discounthydraulichose.com/FBSPX-12-12W.html</x:v>
      </x:c>
      <x:c r="AB73" s="161" t="str">
        <x:v>Eligible</x:v>
      </x:c>
      <x:c r="AC73" s="161" t="str">
        <x:v>Pending</x:v>
      </x:c>
      <x:c r="AD73" t="str">
        <x:v>Units</x:v>
      </x:c>
      <x:c r="AE73" s="145"/>
      <x:c r="AF73" s="145"/>
      <x:c r="AG73" s="145"/>
      <x:c r="AH73" s="145"/>
      <x:c r="AI73" s="145"/>
      <x:c r="AJ73"/>
    </x:row>
    <x:row r="74" ht="30" customHeight="1">
      <x:c r="A74" s="138" t="str">
        <x:v>Draft</x:v>
      </x:c>
      <x:c r="B74" s="138" t="str">
        <x:v>Hose End</x:v>
      </x:c>
      <x:c r="C74" s="138" t="str">
        <x:v>BSPP_F_SW_16_16</x:v>
      </x:c>
      <x:c r="D74" s="138" t="str">
        <x:v>BSPP_F_SW_16_16</x:v>
      </x:c>
      <x:c r="E74" s="138" t="str">
        <x:v>EA</x:v>
      </x:c>
      <x:c r="F74" s="139"/>
      <x:c r="G74" s="141" t="n">
        <x:v>1</x:v>
      </x:c>
      <x:c r="H74" s="141" t="n">
        <x:v>1</x:v>
      </x:c>
      <x:c r="I74" s="143"/>
      <x:c r="J74" s="141" t="n">
        <x:v>10</x:v>
      </x:c>
      <x:c r="K74" s="138" t="str">
        <x:v>China</x:v>
      </x:c>
      <x:c r="L74" t="str">
        <x:v>USD</x:v>
      </x:c>
      <x:c r="M74" s="126"/>
      <x:c r="N74"/>
      <x:c r="O74"/>
      <x:c r="P74" s="145"/>
      <x:c r="Q74" s="126"/>
      <x:c r="R74" s="149" t="n">
        <x:v>22.69</x:v>
      </x:c>
      <x:c r="S74" s="145"/>
      <x:c r="T74" s="145"/>
      <x:c r="U74" s="124"/>
      <x:c r="V74" s="124"/>
      <x:c r="W74" s="124"/>
      <x:c r="X74" s="124"/>
      <x:c r="Y74"/>
      <x:c r="Z74"/>
      <x:c r="AA74" s="116" t="str">
        <x:v>Net unit weight missing in 02. Order-level RFQ minimum: USD 100. Retail source: DHH exact FBSPX-16-16W; direct each price; observed 2026-08-15; https://www.discounthydraulichose.com/FBSPX-16-16W.html</x:v>
      </x:c>
      <x:c r="AB74" s="161" t="str">
        <x:v>Eligible</x:v>
      </x:c>
      <x:c r="AC74" s="161" t="str">
        <x:v>Pending</x:v>
      </x:c>
      <x:c r="AD74" t="str">
        <x:v>Units</x:v>
      </x:c>
      <x:c r="AE74" s="145"/>
      <x:c r="AF74" s="145"/>
      <x:c r="AG74" s="145"/>
      <x:c r="AH74" s="145"/>
      <x:c r="AI74" s="145"/>
      <x:c r="AJ74"/>
    </x:row>
    <x:row r="75" ht="30" customHeight="1">
      <x:c r="A75" s="138" t="str">
        <x:v>Draft</x:v>
      </x:c>
      <x:c r="B75" s="138" t="str">
        <x:v>Hose End</x:v>
      </x:c>
      <x:c r="C75" s="138" t="str">
        <x:v>BSPP_M_FX_04_04</x:v>
      </x:c>
      <x:c r="D75" s="138" t="str">
        <x:v>BSPP_M_FX_04_04</x:v>
      </x:c>
      <x:c r="E75" s="138" t="str">
        <x:v>EA</x:v>
      </x:c>
      <x:c r="F75" s="139"/>
      <x:c r="G75" s="141" t="n">
        <x:v>1</x:v>
      </x:c>
      <x:c r="H75" s="141" t="n">
        <x:v>1</x:v>
      </x:c>
      <x:c r="I75" s="143"/>
      <x:c r="J75" s="141" t="n">
        <x:v>10</x:v>
      </x:c>
      <x:c r="K75" s="138" t="str">
        <x:v>China</x:v>
      </x:c>
      <x:c r="L75" t="str">
        <x:v>USD</x:v>
      </x:c>
      <x:c r="M75" s="126"/>
      <x:c r="N75"/>
      <x:c r="O75"/>
      <x:c r="P75" s="145"/>
      <x:c r="Q75" s="126"/>
      <x:c r="R75" s="149" t="n">
        <x:v>21.01</x:v>
      </x:c>
      <x:c r="S75" s="145"/>
      <x:c r="T75" s="145"/>
      <x:c r="U75" s="124"/>
      <x:c r="V75" s="124"/>
      <x:c r="W75" s="124"/>
      <x:c r="X75" s="124"/>
      <x:c r="Y75"/>
      <x:c r="Z75"/>
      <x:c r="AA75" s="116" t="str">
        <x:v>Net unit weight missing in 02. Order-level RFQ minimum: USD 100. Retail source: DHH exact MBSPP-04-04W; direct each price; observed 2026-08-15; https://www.discounthydraulichose.com/MBSPP-04-04W.html</x:v>
      </x:c>
      <x:c r="AB75" s="161" t="str">
        <x:v>Eligible</x:v>
      </x:c>
      <x:c r="AC75" s="161" t="str">
        <x:v>Pending</x:v>
      </x:c>
      <x:c r="AD75" t="str">
        <x:v>Units</x:v>
      </x:c>
      <x:c r="AE75" s="145"/>
      <x:c r="AF75" s="145"/>
      <x:c r="AG75" s="145"/>
      <x:c r="AH75" s="145"/>
      <x:c r="AI75" s="145"/>
      <x:c r="AJ75"/>
    </x:row>
    <x:row r="76" ht="30" customHeight="1">
      <x:c r="A76" s="138" t="str">
        <x:v>Draft</x:v>
      </x:c>
      <x:c r="B76" s="138" t="str">
        <x:v>Hose End</x:v>
      </x:c>
      <x:c r="C76" s="138" t="str">
        <x:v>BSPP_M_FX_06_04</x:v>
      </x:c>
      <x:c r="D76" s="138" t="str">
        <x:v>BSPP_M_FX_06_04</x:v>
      </x:c>
      <x:c r="E76" s="138" t="str">
        <x:v>EA</x:v>
      </x:c>
      <x:c r="F76" s="139"/>
      <x:c r="G76" s="141" t="n">
        <x:v>1</x:v>
      </x:c>
      <x:c r="H76" s="141" t="n">
        <x:v>1</x:v>
      </x:c>
      <x:c r="I76" s="143"/>
      <x:c r="J76" s="141" t="n">
        <x:v>10</x:v>
      </x:c>
      <x:c r="K76" s="138" t="str">
        <x:v>China</x:v>
      </x:c>
      <x:c r="L76" t="str">
        <x:v>USD</x:v>
      </x:c>
      <x:c r="M76" s="126"/>
      <x:c r="N76"/>
      <x:c r="O76"/>
      <x:c r="P76" s="145"/>
      <x:c r="Q76" s="126"/>
      <x:c r="R76" s="149" t="n">
        <x:v>27.3</x:v>
      </x:c>
      <x:c r="S76" s="145"/>
      <x:c r="T76" s="145"/>
      <x:c r="U76" s="124"/>
      <x:c r="V76" s="124"/>
      <x:c r="W76" s="124"/>
      <x:c r="X76" s="124"/>
      <x:c r="Y76"/>
      <x:c r="Z76"/>
      <x:c r="AA76" s="116" t="str">
        <x:v>Net unit weight missing in 02. Order-level RFQ minimum: USD 100. Retail source: DHH exact MBSPP-04-06W; direct each price; observed 2026-08-15; https://www.discounthydraulichose.com/MBSPP-04-06W.html</x:v>
      </x:c>
      <x:c r="AB76" s="161" t="str">
        <x:v>Eligible</x:v>
      </x:c>
      <x:c r="AC76" s="161" t="str">
        <x:v>Pending</x:v>
      </x:c>
      <x:c r="AD76" t="str">
        <x:v>Units</x:v>
      </x:c>
      <x:c r="AE76" s="145"/>
      <x:c r="AF76" s="145"/>
      <x:c r="AG76" s="145"/>
      <x:c r="AH76" s="145"/>
      <x:c r="AI76" s="145"/>
      <x:c r="AJ76"/>
    </x:row>
    <x:row r="77" ht="30" customHeight="1">
      <x:c r="A77" s="138" t="str">
        <x:v>Draft</x:v>
      </x:c>
      <x:c r="B77" s="138" t="str">
        <x:v>Hose End</x:v>
      </x:c>
      <x:c r="C77" s="138" t="str">
        <x:v>BSPP_M_FX_06_06</x:v>
      </x:c>
      <x:c r="D77" s="138" t="str">
        <x:v>BSPP_M_FX_06_06</x:v>
      </x:c>
      <x:c r="E77" s="138" t="str">
        <x:v>EA</x:v>
      </x:c>
      <x:c r="F77" s="139"/>
      <x:c r="G77" s="141" t="n">
        <x:v>1</x:v>
      </x:c>
      <x:c r="H77" s="141" t="n">
        <x:v>1</x:v>
      </x:c>
      <x:c r="I77" s="143"/>
      <x:c r="J77" s="141" t="n">
        <x:v>10</x:v>
      </x:c>
      <x:c r="K77" s="138" t="str">
        <x:v>China</x:v>
      </x:c>
      <x:c r="L77" t="str">
        <x:v>USD</x:v>
      </x:c>
      <x:c r="M77" s="126"/>
      <x:c r="N77"/>
      <x:c r="O77"/>
      <x:c r="P77" s="145"/>
      <x:c r="Q77" s="126"/>
      <x:c r="R77" s="149" t="n">
        <x:v>17.33</x:v>
      </x:c>
      <x:c r="S77" s="145"/>
      <x:c r="T77" s="145"/>
      <x:c r="U77" s="124"/>
      <x:c r="V77" s="124"/>
      <x:c r="W77" s="124"/>
      <x:c r="X77" s="124"/>
      <x:c r="Y77"/>
      <x:c r="Z77"/>
      <x:c r="AA77" s="116" t="str">
        <x:v>Net unit weight missing in 02. Order-level RFQ minimum: USD 100. Retail source: DHH exact MBSPP-06-06W; direct each price; observed 2026-08-15; https://www.discounthydraulichose.com/MBSPP-06-06W.html</x:v>
      </x:c>
      <x:c r="AB77" s="161" t="str">
        <x:v>Eligible</x:v>
      </x:c>
      <x:c r="AC77" s="161" t="str">
        <x:v>Pending</x:v>
      </x:c>
      <x:c r="AD77" t="str">
        <x:v>Units</x:v>
      </x:c>
      <x:c r="AE77" s="145"/>
      <x:c r="AF77" s="145"/>
      <x:c r="AG77" s="145"/>
      <x:c r="AH77" s="145"/>
      <x:c r="AI77" s="145"/>
      <x:c r="AJ77"/>
    </x:row>
    <x:row r="78" ht="30" customHeight="1">
      <x:c r="A78" s="138" t="str">
        <x:v>Draft</x:v>
      </x:c>
      <x:c r="B78" s="138" t="str">
        <x:v>Hose End</x:v>
      </x:c>
      <x:c r="C78" s="138" t="str">
        <x:v>BSPP_M_FX_08_06</x:v>
      </x:c>
      <x:c r="D78" s="138" t="str">
        <x:v>BSPP_M_FX_08_06</x:v>
      </x:c>
      <x:c r="E78" s="138" t="str">
        <x:v>EA</x:v>
      </x:c>
      <x:c r="F78" s="139"/>
      <x:c r="G78" s="141" t="n">
        <x:v>1</x:v>
      </x:c>
      <x:c r="H78" s="141" t="n">
        <x:v>1</x:v>
      </x:c>
      <x:c r="I78" s="143"/>
      <x:c r="J78" s="141" t="n">
        <x:v>10</x:v>
      </x:c>
      <x:c r="K78" s="138" t="str">
        <x:v>China</x:v>
      </x:c>
      <x:c r="L78" t="str">
        <x:v>USD</x:v>
      </x:c>
      <x:c r="M78" s="126"/>
      <x:c r="N78"/>
      <x:c r="O78"/>
      <x:c r="P78" s="145"/>
      <x:c r="Q78" s="126"/>
      <x:c r="R78" s="149" t="n">
        <x:v>48.96</x:v>
      </x:c>
      <x:c r="S78" s="145"/>
      <x:c r="T78" s="145"/>
      <x:c r="U78" s="124"/>
      <x:c r="V78" s="124"/>
      <x:c r="W78" s="124"/>
      <x:c r="X78" s="124"/>
      <x:c r="Y78"/>
      <x:c r="Z78"/>
      <x:c r="AA78" s="116" t="str">
        <x:v>Net unit weight missing in 02. Order-level RFQ minimum: USD 100. Retail source: DHH exact MBSPP-06-08W; direct each price; observed 2026-08-15; https://www.discounthydraulichose.com/MBSPP-06-08W.html</x:v>
      </x:c>
      <x:c r="AB78" s="161" t="str">
        <x:v>Eligible</x:v>
      </x:c>
      <x:c r="AC78" s="161" t="str">
        <x:v>Pending</x:v>
      </x:c>
      <x:c r="AD78" t="str">
        <x:v>Units</x:v>
      </x:c>
      <x:c r="AE78" s="145"/>
      <x:c r="AF78" s="145"/>
      <x:c r="AG78" s="145"/>
      <x:c r="AH78" s="145"/>
      <x:c r="AI78" s="145"/>
      <x:c r="AJ78"/>
    </x:row>
    <x:row r="79" ht="30" customHeight="1">
      <x:c r="A79" s="138" t="str">
        <x:v>Draft</x:v>
      </x:c>
      <x:c r="B79" s="138" t="str">
        <x:v>Hose End</x:v>
      </x:c>
      <x:c r="C79" s="138" t="str">
        <x:v>BSPP_M_FX_08_08</x:v>
      </x:c>
      <x:c r="D79" s="138" t="str">
        <x:v>BSPP_M_FX_08_08</x:v>
      </x:c>
      <x:c r="E79" s="138" t="str">
        <x:v>EA</x:v>
      </x:c>
      <x:c r="F79" s="139"/>
      <x:c r="G79" s="141" t="n">
        <x:v>1</x:v>
      </x:c>
      <x:c r="H79" s="141" t="n">
        <x:v>1</x:v>
      </x:c>
      <x:c r="I79" s="143"/>
      <x:c r="J79" s="141" t="n">
        <x:v>10</x:v>
      </x:c>
      <x:c r="K79" s="138" t="str">
        <x:v>China</x:v>
      </x:c>
      <x:c r="L79" t="str">
        <x:v>USD</x:v>
      </x:c>
      <x:c r="M79" s="126"/>
      <x:c r="N79"/>
      <x:c r="O79"/>
      <x:c r="P79" s="145"/>
      <x:c r="Q79" s="126"/>
      <x:c r="R79" s="149" t="n">
        <x:v>19.66</x:v>
      </x:c>
      <x:c r="S79" s="145"/>
      <x:c r="T79" s="145"/>
      <x:c r="U79" s="124"/>
      <x:c r="V79" s="124"/>
      <x:c r="W79" s="124"/>
      <x:c r="X79" s="124"/>
      <x:c r="Y79"/>
      <x:c r="Z79"/>
      <x:c r="AA79" s="116" t="str">
        <x:v>Net unit weight missing in 02. Order-level RFQ minimum: USD 100. Retail source: DHH exact MBSPP-08-08W; direct each price; observed 2026-08-15; https://www.discounthydraulichose.com/MBSPP-08-08W.html</x:v>
      </x:c>
      <x:c r="AB79" s="161" t="str">
        <x:v>Eligible</x:v>
      </x:c>
      <x:c r="AC79" s="161" t="str">
        <x:v>Pending</x:v>
      </x:c>
      <x:c r="AD79" t="str">
        <x:v>Units</x:v>
      </x:c>
      <x:c r="AE79" s="145"/>
      <x:c r="AF79" s="145"/>
      <x:c r="AG79" s="145"/>
      <x:c r="AH79" s="145"/>
      <x:c r="AI79" s="145"/>
      <x:c r="AJ79"/>
    </x:row>
    <x:row r="80" ht="30" customHeight="1">
      <x:c r="A80" s="138" t="str">
        <x:v>Draft</x:v>
      </x:c>
      <x:c r="B80" s="138" t="str">
        <x:v>Hose End</x:v>
      </x:c>
      <x:c r="C80" s="138" t="str">
        <x:v>BSPP_M_FX_10_08</x:v>
      </x:c>
      <x:c r="D80" s="138" t="str">
        <x:v>BSPP_M_FX_10_08</x:v>
      </x:c>
      <x:c r="E80" s="138" t="str">
        <x:v>EA</x:v>
      </x:c>
      <x:c r="F80" s="139"/>
      <x:c r="G80" s="141" t="n">
        <x:v>1</x:v>
      </x:c>
      <x:c r="H80" s="141" t="n">
        <x:v>1</x:v>
      </x:c>
      <x:c r="I80" s="143"/>
      <x:c r="J80" s="141" t="n">
        <x:v>10</x:v>
      </x:c>
      <x:c r="K80" s="138" t="str">
        <x:v>China</x:v>
      </x:c>
      <x:c r="L80" t="str">
        <x:v>USD</x:v>
      </x:c>
      <x:c r="M80" s="126"/>
      <x:c r="N80"/>
      <x:c r="O80"/>
      <x:c r="P80" s="145"/>
      <x:c r="Q80" s="126"/>
      <x:c r="R80" s="149" t="n">
        <x:v>31.41</x:v>
      </x:c>
      <x:c r="S80" s="145"/>
      <x:c r="T80" s="145"/>
      <x:c r="U80" s="124"/>
      <x:c r="V80" s="124"/>
      <x:c r="W80" s="124"/>
      <x:c r="X80" s="124"/>
      <x:c r="Y80"/>
      <x:c r="Z80"/>
      <x:c r="AA80" s="116" t="str">
        <x:v>Net unit weight missing in 02. Order-level RFQ minimum: USD 100. Retail source: DHH exact MBSPP-08-10W; direct each price; observed 2026-08-15; https://www.discounthydraulichose.com/MBSPP-08-10W.html</x:v>
      </x:c>
      <x:c r="AB80" s="161" t="str">
        <x:v>Eligible</x:v>
      </x:c>
      <x:c r="AC80" s="161" t="str">
        <x:v>Pending</x:v>
      </x:c>
      <x:c r="AD80" t="str">
        <x:v>Units</x:v>
      </x:c>
      <x:c r="AE80" s="145"/>
      <x:c r="AF80" s="145"/>
      <x:c r="AG80" s="145"/>
      <x:c r="AH80" s="145"/>
      <x:c r="AI80" s="145"/>
      <x:c r="AJ80"/>
    </x:row>
    <x:row r="81" ht="30" customHeight="1">
      <x:c r="A81" s="138" t="str">
        <x:v>Draft</x:v>
      </x:c>
      <x:c r="B81" s="138" t="str">
        <x:v>Hose End</x:v>
      </x:c>
      <x:c r="C81" s="138" t="str">
        <x:v>BSPP_M_FX_12_12</x:v>
      </x:c>
      <x:c r="D81" s="138" t="str">
        <x:v>BSPP_M_FX_12_12</x:v>
      </x:c>
      <x:c r="E81" s="138" t="str">
        <x:v>EA</x:v>
      </x:c>
      <x:c r="F81" s="139"/>
      <x:c r="G81" s="141" t="n">
        <x:v>1</x:v>
      </x:c>
      <x:c r="H81" s="141" t="n">
        <x:v>1</x:v>
      </x:c>
      <x:c r="I81" s="143"/>
      <x:c r="J81" s="141" t="n">
        <x:v>10</x:v>
      </x:c>
      <x:c r="K81" s="138" t="str">
        <x:v>China</x:v>
      </x:c>
      <x:c r="L81" t="str">
        <x:v>USD</x:v>
      </x:c>
      <x:c r="M81" s="126"/>
      <x:c r="N81"/>
      <x:c r="O81"/>
      <x:c r="P81" s="145"/>
      <x:c r="Q81" s="126"/>
      <x:c r="R81" s="149" t="n">
        <x:v>54.68</x:v>
      </x:c>
      <x:c r="S81" s="145"/>
      <x:c r="T81" s="145"/>
      <x:c r="U81" s="124"/>
      <x:c r="V81" s="124"/>
      <x:c r="W81" s="124"/>
      <x:c r="X81" s="124"/>
      <x:c r="Y81"/>
      <x:c r="Z81"/>
      <x:c r="AA81" s="116" t="str">
        <x:v>Net unit weight missing in 02. Order-level RFQ minimum: USD 100. Retail source: DHH exact MBSPP-12-12W; direct each price; observed 2026-08-15; https://www.discounthydraulichose.com/MBSPP-12-12W.html</x:v>
      </x:c>
      <x:c r="AB81" s="161" t="str">
        <x:v>Eligible</x:v>
      </x:c>
      <x:c r="AC81" s="161" t="str">
        <x:v>Pending</x:v>
      </x:c>
      <x:c r="AD81" t="str">
        <x:v>Units</x:v>
      </x:c>
      <x:c r="AE81" s="145"/>
      <x:c r="AF81" s="145"/>
      <x:c r="AG81" s="145"/>
      <x:c r="AH81" s="145"/>
      <x:c r="AI81" s="145"/>
      <x:c r="AJ81"/>
    </x:row>
    <x:row r="82" ht="30" customHeight="1">
      <x:c r="A82" s="138" t="str">
        <x:v>Draft</x:v>
      </x:c>
      <x:c r="B82" s="138" t="str">
        <x:v>Hose End</x:v>
      </x:c>
      <x:c r="C82" s="138" t="str">
        <x:v>BSPP45_F_SW_04_04</x:v>
      </x:c>
      <x:c r="D82" s="138" t="str">
        <x:v>BSPP45_F_SW_04_04</x:v>
      </x:c>
      <x:c r="E82" s="138" t="str">
        <x:v>EA</x:v>
      </x:c>
      <x:c r="F82" s="139"/>
      <x:c r="G82" s="141" t="n">
        <x:v>1</x:v>
      </x:c>
      <x:c r="H82" s="141" t="n">
        <x:v>1</x:v>
      </x:c>
      <x:c r="I82" s="143"/>
      <x:c r="J82" s="141" t="n">
        <x:v>10</x:v>
      </x:c>
      <x:c r="K82" s="138" t="str">
        <x:v>China</x:v>
      </x:c>
      <x:c r="L82" t="str">
        <x:v>USD</x:v>
      </x:c>
      <x:c r="M82" s="126"/>
      <x:c r="N82"/>
      <x:c r="O82"/>
      <x:c r="P82" s="145"/>
      <x:c r="Q82" s="126"/>
      <x:c r="R82" s="149" t="n">
        <x:v>21.99</x:v>
      </x:c>
      <x:c r="S82" s="145"/>
      <x:c r="T82" s="145"/>
      <x:c r="U82" s="124"/>
      <x:c r="V82" s="124"/>
      <x:c r="W82" s="124"/>
      <x:c r="X82" s="124"/>
      <x:c r="Y82"/>
      <x:c r="Z82"/>
      <x:c r="AA82" s="116" t="str">
        <x:v>Net unit weight missing in 02. Order-level RFQ minimum: USD 100. Retail source: DHH exact FBSPX45-04-04W; direct each price; observed 2026-08-15; https://www.discounthydraulichose.com/FBSPX45-04-04W.html</x:v>
      </x:c>
      <x:c r="AB82" s="161" t="str">
        <x:v>Eligible</x:v>
      </x:c>
      <x:c r="AC82" s="161" t="str">
        <x:v>Pending</x:v>
      </x:c>
      <x:c r="AD82" t="str">
        <x:v>Units</x:v>
      </x:c>
      <x:c r="AE82" s="145"/>
      <x:c r="AF82" s="145"/>
      <x:c r="AG82" s="145"/>
      <x:c r="AH82" s="145"/>
      <x:c r="AI82" s="145"/>
      <x:c r="AJ82"/>
    </x:row>
    <x:row r="83" ht="30" customHeight="1">
      <x:c r="A83" s="138" t="str">
        <x:v>Draft</x:v>
      </x:c>
      <x:c r="B83" s="138" t="str">
        <x:v>Hose End</x:v>
      </x:c>
      <x:c r="C83" s="138" t="str">
        <x:v>BSPP45_F_SW_06_06</x:v>
      </x:c>
      <x:c r="D83" s="138" t="str">
        <x:v>BSPP45_F_SW_06_06</x:v>
      </x:c>
      <x:c r="E83" s="138" t="str">
        <x:v>EA</x:v>
      </x:c>
      <x:c r="F83" s="139"/>
      <x:c r="G83" s="141" t="n">
        <x:v>1</x:v>
      </x:c>
      <x:c r="H83" s="141" t="n">
        <x:v>1</x:v>
      </x:c>
      <x:c r="I83" s="143"/>
      <x:c r="J83" s="141" t="n">
        <x:v>10</x:v>
      </x:c>
      <x:c r="K83" s="138" t="str">
        <x:v>China</x:v>
      </x:c>
      <x:c r="L83" t="str">
        <x:v>USD</x:v>
      </x:c>
      <x:c r="M83" s="126"/>
      <x:c r="N83"/>
      <x:c r="O83"/>
      <x:c r="P83" s="145"/>
      <x:c r="Q83" s="126"/>
      <x:c r="R83" s="149" t="n">
        <x:v>20.98</x:v>
      </x:c>
      <x:c r="S83" s="145"/>
      <x:c r="T83" s="145"/>
      <x:c r="U83" s="124"/>
      <x:c r="V83" s="124"/>
      <x:c r="W83" s="124"/>
      <x:c r="X83" s="124"/>
      <x:c r="Y83"/>
      <x:c r="Z83"/>
      <x:c r="AA83" s="116" t="str">
        <x:v>Net unit weight missing in 02. Order-level RFQ minimum: USD 100. Retail source: DHH exact FBSPX45-06-06W; direct each price; observed 2026-08-15; https://www.discounthydraulichose.com/FBSPX45-06-06W.html</x:v>
      </x:c>
      <x:c r="AB83" s="161" t="str">
        <x:v>Eligible</x:v>
      </x:c>
      <x:c r="AC83" s="161" t="str">
        <x:v>Pending</x:v>
      </x:c>
      <x:c r="AD83" t="str">
        <x:v>Units</x:v>
      </x:c>
      <x:c r="AE83" s="145"/>
      <x:c r="AF83" s="145"/>
      <x:c r="AG83" s="145"/>
      <x:c r="AH83" s="145"/>
      <x:c r="AI83" s="145"/>
      <x:c r="AJ83"/>
    </x:row>
    <x:row r="84" ht="30" customHeight="1">
      <x:c r="A84" s="138" t="str">
        <x:v>Draft</x:v>
      </x:c>
      <x:c r="B84" s="138" t="str">
        <x:v>Hose End</x:v>
      </x:c>
      <x:c r="C84" s="138" t="str">
        <x:v>BSPP45_F_SW_08_08</x:v>
      </x:c>
      <x:c r="D84" s="138" t="str">
        <x:v>BSPP45_F_SW_08_08</x:v>
      </x:c>
      <x:c r="E84" s="138" t="str">
        <x:v>EA</x:v>
      </x:c>
      <x:c r="F84" s="139"/>
      <x:c r="G84" s="141" t="n">
        <x:v>1</x:v>
      </x:c>
      <x:c r="H84" s="141" t="n">
        <x:v>1</x:v>
      </x:c>
      <x:c r="I84" s="143"/>
      <x:c r="J84" s="141" t="n">
        <x:v>10</x:v>
      </x:c>
      <x:c r="K84" s="138" t="str">
        <x:v>China</x:v>
      </x:c>
      <x:c r="L84" t="str">
        <x:v>USD</x:v>
      </x:c>
      <x:c r="M84" s="126"/>
      <x:c r="N84"/>
      <x:c r="O84"/>
      <x:c r="P84" s="145"/>
      <x:c r="Q84" s="126"/>
      <x:c r="R84" s="149" t="n">
        <x:v>23.51</x:v>
      </x:c>
      <x:c r="S84" s="145"/>
      <x:c r="T84" s="145"/>
      <x:c r="U84" s="124"/>
      <x:c r="V84" s="124"/>
      <x:c r="W84" s="124"/>
      <x:c r="X84" s="124"/>
      <x:c r="Y84"/>
      <x:c r="Z84"/>
      <x:c r="AA84" s="116" t="str">
        <x:v>Net unit weight missing in 02. Order-level RFQ minimum: USD 100. Retail source: DHH exact FBSPX45-08-08W; direct each price; observed 2026-08-15; https://www.discounthydraulichose.com/FBSPX45-08-08W.html</x:v>
      </x:c>
      <x:c r="AB84" s="161" t="str">
        <x:v>Eligible</x:v>
      </x:c>
      <x:c r="AC84" s="161" t="str">
        <x:v>Pending</x:v>
      </x:c>
      <x:c r="AD84" t="str">
        <x:v>Units</x:v>
      </x:c>
      <x:c r="AE84" s="145"/>
      <x:c r="AF84" s="145"/>
      <x:c r="AG84" s="145"/>
      <x:c r="AH84" s="145"/>
      <x:c r="AI84" s="145"/>
      <x:c r="AJ84"/>
    </x:row>
    <x:row r="85" ht="30" customHeight="1">
      <x:c r="A85" s="138" t="str">
        <x:v>Draft</x:v>
      </x:c>
      <x:c r="B85" s="138" t="str">
        <x:v>Hose End</x:v>
      </x:c>
      <x:c r="C85" s="138" t="str">
        <x:v>BSPP45_F_SW_10_10</x:v>
      </x:c>
      <x:c r="D85" s="138" t="str">
        <x:v>BSPP45_F_SW_10_10</x:v>
      </x:c>
      <x:c r="E85" s="138" t="str">
        <x:v>EA</x:v>
      </x:c>
      <x:c r="F85" s="139"/>
      <x:c r="G85" s="141" t="n">
        <x:v>1</x:v>
      </x:c>
      <x:c r="H85" s="141" t="n">
        <x:v>1</x:v>
      </x:c>
      <x:c r="I85" s="143"/>
      <x:c r="J85" s="141" t="n">
        <x:v>10</x:v>
      </x:c>
      <x:c r="K85" s="138" t="str">
        <x:v>China</x:v>
      </x:c>
      <x:c r="L85" t="str">
        <x:v>USD</x:v>
      </x:c>
      <x:c r="M85" s="126"/>
      <x:c r="N85"/>
      <x:c r="O85"/>
      <x:c r="P85" s="145"/>
      <x:c r="Q85" s="126"/>
      <x:c r="R85" s="149" t="n">
        <x:v>42.5</x:v>
      </x:c>
      <x:c r="S85" s="145"/>
      <x:c r="T85" s="145"/>
      <x:c r="U85" s="124"/>
      <x:c r="V85" s="124"/>
      <x:c r="W85" s="124"/>
      <x:c r="X85" s="124"/>
      <x:c r="Y85"/>
      <x:c r="Z85"/>
      <x:c r="AA85" s="116" t="str">
        <x:v>Net unit weight missing in 02. Order-level RFQ minimum: USD 100. Retail source: DHH exact FBSPX45-10-10W; direct each price; observed 2026-08-15; https://www.discounthydraulichose.com/FBSPX45-10-10W.html</x:v>
      </x:c>
      <x:c r="AB85" s="161" t="str">
        <x:v>Eligible</x:v>
      </x:c>
      <x:c r="AC85" s="161" t="str">
        <x:v>Pending</x:v>
      </x:c>
      <x:c r="AD85" t="str">
        <x:v>Units</x:v>
      </x:c>
      <x:c r="AE85" s="145"/>
      <x:c r="AF85" s="145"/>
      <x:c r="AG85" s="145"/>
      <x:c r="AH85" s="145"/>
      <x:c r="AI85" s="145"/>
      <x:c r="AJ85"/>
    </x:row>
    <x:row r="86" ht="30" customHeight="1">
      <x:c r="A86" s="138" t="str">
        <x:v>Draft</x:v>
      </x:c>
      <x:c r="B86" s="138" t="str">
        <x:v>Hose End</x:v>
      </x:c>
      <x:c r="C86" s="138" t="str">
        <x:v>BSPP45_F_SW_12_12</x:v>
      </x:c>
      <x:c r="D86" s="138" t="str">
        <x:v>BSPP45_F_SW_12_12</x:v>
      </x:c>
      <x:c r="E86" s="138" t="str">
        <x:v>EA</x:v>
      </x:c>
      <x:c r="F86" s="139"/>
      <x:c r="G86" s="141" t="n">
        <x:v>1</x:v>
      </x:c>
      <x:c r="H86" s="141" t="n">
        <x:v>1</x:v>
      </x:c>
      <x:c r="I86" s="143"/>
      <x:c r="J86" s="141" t="n">
        <x:v>10</x:v>
      </x:c>
      <x:c r="K86" s="138" t="str">
        <x:v>China</x:v>
      </x:c>
      <x:c r="L86" t="str">
        <x:v>USD</x:v>
      </x:c>
      <x:c r="M86" s="126"/>
      <x:c r="N86"/>
      <x:c r="O86"/>
      <x:c r="P86" s="145"/>
      <x:c r="Q86" s="126"/>
      <x:c r="R86" s="149" t="n">
        <x:v>38.88</x:v>
      </x:c>
      <x:c r="S86" s="145"/>
      <x:c r="T86" s="145"/>
      <x:c r="U86" s="124"/>
      <x:c r="V86" s="124"/>
      <x:c r="W86" s="124"/>
      <x:c r="X86" s="124"/>
      <x:c r="Y86"/>
      <x:c r="Z86"/>
      <x:c r="AA86" s="116" t="str">
        <x:v>Net unit weight missing in 02. Order-level RFQ minimum: USD 100. Retail source: DHH exact FBSPX45-12-12W; direct each price; observed 2026-08-15; https://www.discounthydraulichose.com/FBSPX45-12-12W.html</x:v>
      </x:c>
      <x:c r="AB86" s="161" t="str">
        <x:v>Eligible</x:v>
      </x:c>
      <x:c r="AC86" s="161" t="str">
        <x:v>Pending</x:v>
      </x:c>
      <x:c r="AD86" t="str">
        <x:v>Units</x:v>
      </x:c>
      <x:c r="AE86" s="145"/>
      <x:c r="AF86" s="145"/>
      <x:c r="AG86" s="145"/>
      <x:c r="AH86" s="145"/>
      <x:c r="AI86" s="145"/>
      <x:c r="AJ86"/>
    </x:row>
    <x:row r="87" ht="30" customHeight="1">
      <x:c r="A87" s="138" t="str">
        <x:v>Draft</x:v>
      </x:c>
      <x:c r="B87" s="138" t="str">
        <x:v>Hose End</x:v>
      </x:c>
      <x:c r="C87" s="138" t="str">
        <x:v>BSPP45_F_SW_16_16</x:v>
      </x:c>
      <x:c r="D87" s="138" t="str">
        <x:v>BSPP45_F_SW_16_16</x:v>
      </x:c>
      <x:c r="E87" s="138" t="str">
        <x:v>EA</x:v>
      </x:c>
      <x:c r="F87" s="139"/>
      <x:c r="G87" s="141" t="n">
        <x:v>1</x:v>
      </x:c>
      <x:c r="H87" s="141" t="n">
        <x:v>1</x:v>
      </x:c>
      <x:c r="I87" s="143"/>
      <x:c r="J87" s="141" t="n">
        <x:v>10</x:v>
      </x:c>
      <x:c r="K87" s="138" t="str">
        <x:v>China</x:v>
      </x:c>
      <x:c r="L87" t="str">
        <x:v>USD</x:v>
      </x:c>
      <x:c r="M87" s="126"/>
      <x:c r="N87"/>
      <x:c r="O87"/>
      <x:c r="P87" s="145"/>
      <x:c r="Q87" s="126"/>
      <x:c r="R87" s="149" t="n">
        <x:v>58.22</x:v>
      </x:c>
      <x:c r="S87" s="145"/>
      <x:c r="T87" s="145"/>
      <x:c r="U87" s="124"/>
      <x:c r="V87" s="124"/>
      <x:c r="W87" s="124"/>
      <x:c r="X87" s="124"/>
      <x:c r="Y87"/>
      <x:c r="Z87"/>
      <x:c r="AA87" s="116" t="str">
        <x:v>Net unit weight missing in 02. Order-level RFQ minimum: USD 100. Retail source: DHH exact FBSPX45-16-16W; direct each price; observed 2026-08-15; https://www.discounthydraulichose.com/FBSPX45-16-16W.html</x:v>
      </x:c>
      <x:c r="AB87" s="161" t="str">
        <x:v>Eligible</x:v>
      </x:c>
      <x:c r="AC87" s="161" t="str">
        <x:v>Pending</x:v>
      </x:c>
      <x:c r="AD87" t="str">
        <x:v>Units</x:v>
      </x:c>
      <x:c r="AE87" s="145"/>
      <x:c r="AF87" s="145"/>
      <x:c r="AG87" s="145"/>
      <x:c r="AH87" s="145"/>
      <x:c r="AI87" s="145"/>
      <x:c r="AJ87"/>
    </x:row>
    <x:row r="88" ht="30" customHeight="1">
      <x:c r="A88" s="138" t="str">
        <x:v>Draft</x:v>
      </x:c>
      <x:c r="B88" s="138" t="str">
        <x:v>Hose End</x:v>
      </x:c>
      <x:c r="C88" s="138" t="str">
        <x:v>BSPP90_F_SW_04_04</x:v>
      </x:c>
      <x:c r="D88" s="138" t="str">
        <x:v>BSPP90_F_SW_04_04</x:v>
      </x:c>
      <x:c r="E88" s="138" t="str">
        <x:v>EA</x:v>
      </x:c>
      <x:c r="F88" s="139"/>
      <x:c r="G88" s="141" t="n">
        <x:v>1</x:v>
      </x:c>
      <x:c r="H88" s="141" t="n">
        <x:v>1</x:v>
      </x:c>
      <x:c r="I88" s="143"/>
      <x:c r="J88" s="141" t="n">
        <x:v>10</x:v>
      </x:c>
      <x:c r="K88" s="138" t="str">
        <x:v>China</x:v>
      </x:c>
      <x:c r="L88" t="str">
        <x:v>USD</x:v>
      </x:c>
      <x:c r="M88" s="126"/>
      <x:c r="N88"/>
      <x:c r="O88"/>
      <x:c r="P88" s="145"/>
      <x:c r="Q88" s="126"/>
      <x:c r="R88" s="149" t="n">
        <x:v>22.15</x:v>
      </x:c>
      <x:c r="S88" s="145"/>
      <x:c r="T88" s="145"/>
      <x:c r="U88" s="124"/>
      <x:c r="V88" s="124"/>
      <x:c r="W88" s="124"/>
      <x:c r="X88" s="124"/>
      <x:c r="Y88"/>
      <x:c r="Z88"/>
      <x:c r="AA88" s="116" t="str">
        <x:v>Net unit weight missing in 02. Order-level RFQ minimum: USD 100. Retail source: DHH exact FBSPX90-04-04W; direct each price; observed 2026-08-15; https://www.discounthydraulichose.com/FBSPX90-04-04W.html</x:v>
      </x:c>
      <x:c r="AB88" s="161" t="str">
        <x:v>Eligible</x:v>
      </x:c>
      <x:c r="AC88" s="161" t="str">
        <x:v>Pending</x:v>
      </x:c>
      <x:c r="AD88" t="str">
        <x:v>Units</x:v>
      </x:c>
      <x:c r="AE88" s="145"/>
      <x:c r="AF88" s="145"/>
      <x:c r="AG88" s="145"/>
      <x:c r="AH88" s="145"/>
      <x:c r="AI88" s="145"/>
      <x:c r="AJ88"/>
    </x:row>
    <x:row r="89" ht="30" customHeight="1">
      <x:c r="A89" s="138" t="str">
        <x:v>Draft</x:v>
      </x:c>
      <x:c r="B89" s="138" t="str">
        <x:v>Hose End</x:v>
      </x:c>
      <x:c r="C89" s="138" t="str">
        <x:v>BSPP90_F_SW_06_04</x:v>
      </x:c>
      <x:c r="D89" s="138" t="str">
        <x:v>BSPP90_F_SW_06_04</x:v>
      </x:c>
      <x:c r="E89" s="138" t="str">
        <x:v>EA</x:v>
      </x:c>
      <x:c r="F89" s="139"/>
      <x:c r="G89" s="141" t="n">
        <x:v>1</x:v>
      </x:c>
      <x:c r="H89" s="141" t="n">
        <x:v>1</x:v>
      </x:c>
      <x:c r="I89" s="143"/>
      <x:c r="J89" s="141" t="n">
        <x:v>10</x:v>
      </x:c>
      <x:c r="K89" s="138" t="str">
        <x:v>China</x:v>
      </x:c>
      <x:c r="L89" t="str">
        <x:v>USD</x:v>
      </x:c>
      <x:c r="M89" s="126"/>
      <x:c r="N89"/>
      <x:c r="O89"/>
      <x:c r="P89" s="145"/>
      <x:c r="Q89" s="126"/>
      <x:c r="R89" s="149" t="n">
        <x:v>20.71</x:v>
      </x:c>
      <x:c r="S89" s="145"/>
      <x:c r="T89" s="145"/>
      <x:c r="U89" s="124"/>
      <x:c r="V89" s="124"/>
      <x:c r="W89" s="124"/>
      <x:c r="X89" s="124"/>
      <x:c r="Y89"/>
      <x:c r="Z89"/>
      <x:c r="AA89" s="116" t="str">
        <x:v>Net unit weight missing in 02. Order-level RFQ minimum: USD 100. Retail source: DHH exact FBSPX90-04-06W; direct each price; observed 2026-08-15; https://www.discounthydraulichose.com/FBSPX90-04-06W.html</x:v>
      </x:c>
      <x:c r="AB89" s="161" t="str">
        <x:v>Eligible</x:v>
      </x:c>
      <x:c r="AC89" s="161" t="str">
        <x:v>Pending</x:v>
      </x:c>
      <x:c r="AD89" t="str">
        <x:v>Units</x:v>
      </x:c>
      <x:c r="AE89" s="145"/>
      <x:c r="AF89" s="145"/>
      <x:c r="AG89" s="145"/>
      <x:c r="AH89" s="145"/>
      <x:c r="AI89" s="145"/>
      <x:c r="AJ89"/>
    </x:row>
    <x:row r="90" ht="30" customHeight="1">
      <x:c r="A90" s="138" t="str">
        <x:v>Draft</x:v>
      </x:c>
      <x:c r="B90" s="138" t="str">
        <x:v>Hose End</x:v>
      </x:c>
      <x:c r="C90" s="138" t="str">
        <x:v>BSPP90_F_SW_06_06</x:v>
      </x:c>
      <x:c r="D90" s="138" t="str">
        <x:v>BSPP90_F_SW_06_06</x:v>
      </x:c>
      <x:c r="E90" s="138" t="str">
        <x:v>EA</x:v>
      </x:c>
      <x:c r="F90" s="139"/>
      <x:c r="G90" s="141" t="n">
        <x:v>1</x:v>
      </x:c>
      <x:c r="H90" s="141" t="n">
        <x:v>1</x:v>
      </x:c>
      <x:c r="I90" s="143"/>
      <x:c r="J90" s="141" t="n">
        <x:v>10</x:v>
      </x:c>
      <x:c r="K90" s="138" t="str">
        <x:v>China</x:v>
      </x:c>
      <x:c r="L90" t="str">
        <x:v>USD</x:v>
      </x:c>
      <x:c r="M90" s="126"/>
      <x:c r="N90"/>
      <x:c r="O90"/>
      <x:c r="P90" s="145"/>
      <x:c r="Q90" s="126"/>
      <x:c r="R90" s="149" t="n">
        <x:v>23.71</x:v>
      </x:c>
      <x:c r="S90" s="145"/>
      <x:c r="T90" s="145"/>
      <x:c r="U90" s="124"/>
      <x:c r="V90" s="124"/>
      <x:c r="W90" s="124"/>
      <x:c r="X90" s="124"/>
      <x:c r="Y90"/>
      <x:c r="Z90"/>
      <x:c r="AA90" s="116" t="str">
        <x:v>Net unit weight missing in 02. Order-level RFQ minimum: USD 100. Retail source: DHH exact FBSPX90-06-06W; direct each price; observed 2026-08-15; https://www.discounthydraulichose.com/FBSPX90-06-06W.html</x:v>
      </x:c>
      <x:c r="AB90" s="161" t="str">
        <x:v>Eligible</x:v>
      </x:c>
      <x:c r="AC90" s="161" t="str">
        <x:v>Pending</x:v>
      </x:c>
      <x:c r="AD90" t="str">
        <x:v>Units</x:v>
      </x:c>
      <x:c r="AE90" s="145"/>
      <x:c r="AF90" s="145"/>
      <x:c r="AG90" s="145"/>
      <x:c r="AH90" s="145"/>
      <x:c r="AI90" s="145"/>
      <x:c r="AJ90"/>
    </x:row>
    <x:row r="91" ht="30" customHeight="1">
      <x:c r="A91" s="138" t="str">
        <x:v>Draft</x:v>
      </x:c>
      <x:c r="B91" s="138" t="str">
        <x:v>Hose End</x:v>
      </x:c>
      <x:c r="C91" s="138" t="str">
        <x:v>BSPP90_F_SW_08_06</x:v>
      </x:c>
      <x:c r="D91" s="138" t="str">
        <x:v>BSPP90_F_SW_08_06</x:v>
      </x:c>
      <x:c r="E91" s="138" t="str">
        <x:v>EA</x:v>
      </x:c>
      <x:c r="F91" s="139"/>
      <x:c r="G91" s="141" t="n">
        <x:v>1</x:v>
      </x:c>
      <x:c r="H91" s="141" t="n">
        <x:v>1</x:v>
      </x:c>
      <x:c r="I91" s="143"/>
      <x:c r="J91" s="141" t="n">
        <x:v>10</x:v>
      </x:c>
      <x:c r="K91" s="138" t="str">
        <x:v>China</x:v>
      </x:c>
      <x:c r="L91" t="str">
        <x:v>USD</x:v>
      </x:c>
      <x:c r="M91" s="126"/>
      <x:c r="N91"/>
      <x:c r="O91"/>
      <x:c r="P91" s="145"/>
      <x:c r="Q91" s="126"/>
      <x:c r="R91" s="149" t="n">
        <x:v>26.04</x:v>
      </x:c>
      <x:c r="S91" s="145"/>
      <x:c r="T91" s="145"/>
      <x:c r="U91" s="124"/>
      <x:c r="V91" s="124"/>
      <x:c r="W91" s="124"/>
      <x:c r="X91" s="124"/>
      <x:c r="Y91"/>
      <x:c r="Z91"/>
      <x:c r="AA91" s="116" t="str">
        <x:v>Net unit weight missing in 02. Order-level RFQ minimum: USD 100. Retail source: DHH exact FBSPX90-06-08W; direct each price; observed 2026-08-15; https://www.discounthydraulichose.com/FBSPX90-06-08W.html</x:v>
      </x:c>
      <x:c r="AB91" s="161" t="str">
        <x:v>Eligible</x:v>
      </x:c>
      <x:c r="AC91" s="161" t="str">
        <x:v>Pending</x:v>
      </x:c>
      <x:c r="AD91" t="str">
        <x:v>Units</x:v>
      </x:c>
      <x:c r="AE91" s="145"/>
      <x:c r="AF91" s="145"/>
      <x:c r="AG91" s="145"/>
      <x:c r="AH91" s="145"/>
      <x:c r="AI91" s="145"/>
      <x:c r="AJ91"/>
    </x:row>
    <x:row r="92" ht="30" customHeight="1">
      <x:c r="A92" s="138" t="str">
        <x:v>Draft</x:v>
      </x:c>
      <x:c r="B92" s="138" t="str">
        <x:v>Hose End</x:v>
      </x:c>
      <x:c r="C92" s="138" t="str">
        <x:v>BSPP90_F_SW_08_08</x:v>
      </x:c>
      <x:c r="D92" s="138" t="str">
        <x:v>BSPP90_F_SW_08_08</x:v>
      </x:c>
      <x:c r="E92" s="138" t="str">
        <x:v>EA</x:v>
      </x:c>
      <x:c r="F92" s="139"/>
      <x:c r="G92" s="141" t="n">
        <x:v>1</x:v>
      </x:c>
      <x:c r="H92" s="141" t="n">
        <x:v>1</x:v>
      </x:c>
      <x:c r="I92" s="143"/>
      <x:c r="J92" s="141" t="n">
        <x:v>10</x:v>
      </x:c>
      <x:c r="K92" s="138" t="str">
        <x:v>China</x:v>
      </x:c>
      <x:c r="L92" t="str">
        <x:v>USD</x:v>
      </x:c>
      <x:c r="M92" s="126"/>
      <x:c r="N92"/>
      <x:c r="O92"/>
      <x:c r="P92" s="145"/>
      <x:c r="Q92" s="126"/>
      <x:c r="R92" s="149" t="n">
        <x:v>24.41</x:v>
      </x:c>
      <x:c r="S92" s="145"/>
      <x:c r="T92" s="145"/>
      <x:c r="U92" s="124"/>
      <x:c r="V92" s="124"/>
      <x:c r="W92" s="124"/>
      <x:c r="X92" s="124"/>
      <x:c r="Y92"/>
      <x:c r="Z92"/>
      <x:c r="AA92" s="116" t="str">
        <x:v>Net unit weight missing in 02. Order-level RFQ minimum: USD 100. Retail source: DHH exact FBSPX90-08-08W; direct each price; observed 2026-08-15; https://www.discounthydraulichose.com/FBSPX90-08-08W.html</x:v>
      </x:c>
      <x:c r="AB92" s="161" t="str">
        <x:v>Eligible</x:v>
      </x:c>
      <x:c r="AC92" s="161" t="str">
        <x:v>Pending</x:v>
      </x:c>
      <x:c r="AD92" t="str">
        <x:v>Units</x:v>
      </x:c>
      <x:c r="AE92" s="145"/>
      <x:c r="AF92" s="145"/>
      <x:c r="AG92" s="145"/>
      <x:c r="AH92" s="145"/>
      <x:c r="AI92" s="145"/>
      <x:c r="AJ92"/>
    </x:row>
    <x:row r="93" ht="30" customHeight="1">
      <x:c r="A93" s="138" t="str">
        <x:v>Draft</x:v>
      </x:c>
      <x:c r="B93" s="138" t="str">
        <x:v>Hose End</x:v>
      </x:c>
      <x:c r="C93" s="138" t="str">
        <x:v>BSPP90_F_SW_10_10</x:v>
      </x:c>
      <x:c r="D93" s="138" t="str">
        <x:v>BSPP90_F_SW_10_10</x:v>
      </x:c>
      <x:c r="E93" s="138" t="str">
        <x:v>EA</x:v>
      </x:c>
      <x:c r="F93" s="139"/>
      <x:c r="G93" s="141" t="n">
        <x:v>1</x:v>
      </x:c>
      <x:c r="H93" s="141" t="n">
        <x:v>1</x:v>
      </x:c>
      <x:c r="I93" s="143"/>
      <x:c r="J93" s="141" t="n">
        <x:v>10</x:v>
      </x:c>
      <x:c r="K93" s="138" t="str">
        <x:v>China</x:v>
      </x:c>
      <x:c r="L93" t="str">
        <x:v>USD</x:v>
      </x:c>
      <x:c r="M93" s="126"/>
      <x:c r="N93"/>
      <x:c r="O93"/>
      <x:c r="P93" s="145"/>
      <x:c r="Q93" s="126"/>
      <x:c r="R93" s="149" t="n">
        <x:v>34.78</x:v>
      </x:c>
      <x:c r="S93" s="145"/>
      <x:c r="T93" s="145"/>
      <x:c r="U93" s="124"/>
      <x:c r="V93" s="124"/>
      <x:c r="W93" s="124"/>
      <x:c r="X93" s="124"/>
      <x:c r="Y93"/>
      <x:c r="Z93"/>
      <x:c r="AA93" s="116" t="str">
        <x:v>Net unit weight missing in 02. Order-level RFQ minimum: USD 100. Retail source: DHH exact FBSPX90-10-10W; direct each price; observed 2026-08-15; https://www.discounthydraulichose.com/FBSPX90-10-10W.html</x:v>
      </x:c>
      <x:c r="AB93" s="161" t="str">
        <x:v>Eligible</x:v>
      </x:c>
      <x:c r="AC93" s="161" t="str">
        <x:v>Pending</x:v>
      </x:c>
      <x:c r="AD93" t="str">
        <x:v>Units</x:v>
      </x:c>
      <x:c r="AE93" s="145"/>
      <x:c r="AF93" s="145"/>
      <x:c r="AG93" s="145"/>
      <x:c r="AH93" s="145"/>
      <x:c r="AI93" s="145"/>
      <x:c r="AJ93"/>
    </x:row>
    <x:row r="94" ht="30" customHeight="1">
      <x:c r="A94" s="138" t="str">
        <x:v>Draft</x:v>
      </x:c>
      <x:c r="B94" s="138" t="str">
        <x:v>Hose End</x:v>
      </x:c>
      <x:c r="C94" s="138" t="str">
        <x:v>BSPP90_F_SW_12_12</x:v>
      </x:c>
      <x:c r="D94" s="138" t="str">
        <x:v>BSPP90_F_SW_12_12</x:v>
      </x:c>
      <x:c r="E94" s="138" t="str">
        <x:v>EA</x:v>
      </x:c>
      <x:c r="F94" s="139"/>
      <x:c r="G94" s="141" t="n">
        <x:v>1</x:v>
      </x:c>
      <x:c r="H94" s="141" t="n">
        <x:v>1</x:v>
      </x:c>
      <x:c r="I94" s="143"/>
      <x:c r="J94" s="141" t="n">
        <x:v>10</x:v>
      </x:c>
      <x:c r="K94" s="138" t="str">
        <x:v>China</x:v>
      </x:c>
      <x:c r="L94" t="str">
        <x:v>USD</x:v>
      </x:c>
      <x:c r="M94" s="126"/>
      <x:c r="N94"/>
      <x:c r="O94"/>
      <x:c r="P94" s="145"/>
      <x:c r="Q94" s="126"/>
      <x:c r="R94" s="149" t="n">
        <x:v>40.98</x:v>
      </x:c>
      <x:c r="S94" s="145"/>
      <x:c r="T94" s="145"/>
      <x:c r="U94" s="124"/>
      <x:c r="V94" s="124"/>
      <x:c r="W94" s="124"/>
      <x:c r="X94" s="124"/>
      <x:c r="Y94"/>
      <x:c r="Z94"/>
      <x:c r="AA94" s="116" t="str">
        <x:v>Net unit weight missing in 02. Order-level RFQ minimum: USD 100. Retail source: DHH exact FBSPX90-12-12W; direct each price; observed 2026-08-15; https://www.discounthydraulichose.com/FBSPX90-12-12W.html</x:v>
      </x:c>
      <x:c r="AB94" s="161" t="str">
        <x:v>Eligible</x:v>
      </x:c>
      <x:c r="AC94" s="161" t="str">
        <x:v>Pending</x:v>
      </x:c>
      <x:c r="AD94" t="str">
        <x:v>Units</x:v>
      </x:c>
      <x:c r="AE94" s="145"/>
      <x:c r="AF94" s="145"/>
      <x:c r="AG94" s="145"/>
      <x:c r="AH94" s="145"/>
      <x:c r="AI94" s="145"/>
      <x:c r="AJ94"/>
    </x:row>
    <x:row r="95" ht="30" customHeight="1">
      <x:c r="A95" s="138" t="str">
        <x:v>Draft</x:v>
      </x:c>
      <x:c r="B95" s="138" t="str">
        <x:v>Hose End</x:v>
      </x:c>
      <x:c r="C95" s="138" t="str">
        <x:v>BSPP90_F_SW_16_16</x:v>
      </x:c>
      <x:c r="D95" s="138" t="str">
        <x:v>BSPP90_F_SW_16_16</x:v>
      </x:c>
      <x:c r="E95" s="138" t="str">
        <x:v>EA</x:v>
      </x:c>
      <x:c r="F95" s="139"/>
      <x:c r="G95" s="141" t="n">
        <x:v>1</x:v>
      </x:c>
      <x:c r="H95" s="141" t="n">
        <x:v>1</x:v>
      </x:c>
      <x:c r="I95" s="143"/>
      <x:c r="J95" s="141" t="n">
        <x:v>10</x:v>
      </x:c>
      <x:c r="K95" s="138" t="str">
        <x:v>China</x:v>
      </x:c>
      <x:c r="L95" t="str">
        <x:v>USD</x:v>
      </x:c>
      <x:c r="M95" s="126"/>
      <x:c r="N95"/>
      <x:c r="O95"/>
      <x:c r="P95" s="145"/>
      <x:c r="Q95" s="126"/>
      <x:c r="R95" s="149" t="n">
        <x:v>57.98</x:v>
      </x:c>
      <x:c r="S95" s="145"/>
      <x:c r="T95" s="145"/>
      <x:c r="U95" s="124"/>
      <x:c r="V95" s="124"/>
      <x:c r="W95" s="124"/>
      <x:c r="X95" s="124"/>
      <x:c r="Y95"/>
      <x:c r="Z95"/>
      <x:c r="AA95" s="116" t="str">
        <x:v>Net unit weight missing in 02. Order-level RFQ minimum: USD 100. Retail source: DHH exact FBSPX90-16-16W; direct each price; observed 2026-08-15; https://www.discounthydraulichose.com/FBSPX90-16-16W.html</x:v>
      </x:c>
      <x:c r="AB95" s="161" t="str">
        <x:v>Eligible</x:v>
      </x:c>
      <x:c r="AC95" s="161" t="str">
        <x:v>Pending</x:v>
      </x:c>
      <x:c r="AD95" t="str">
        <x:v>Units</x:v>
      </x:c>
      <x:c r="AE95" s="145"/>
      <x:c r="AF95" s="145"/>
      <x:c r="AG95" s="145"/>
      <x:c r="AH95" s="145"/>
      <x:c r="AI95" s="145"/>
      <x:c r="AJ95"/>
    </x:row>
    <x:row r="96" ht="30" customHeight="1">
      <x:c r="A96" s="138" t="str">
        <x:v>Draft</x:v>
      </x:c>
      <x:c r="B96" s="138" t="str">
        <x:v>Hose End</x:v>
      </x:c>
      <x:c r="C96" s="138" t="str">
        <x:v>BSPT_M_FX_02_04</x:v>
      </x:c>
      <x:c r="D96" s="138" t="str">
        <x:v>BSPT_M_FX_02_04</x:v>
      </x:c>
      <x:c r="E96" s="138" t="str">
        <x:v>EA</x:v>
      </x:c>
      <x:c r="F96" s="139"/>
      <x:c r="G96" s="141" t="n">
        <x:v>1</x:v>
      </x:c>
      <x:c r="H96" s="141" t="n">
        <x:v>1</x:v>
      </x:c>
      <x:c r="I96" s="143"/>
      <x:c r="J96" s="141" t="n">
        <x:v>10</x:v>
      </x:c>
      <x:c r="K96" s="138" t="str">
        <x:v>China</x:v>
      </x:c>
      <x:c r="L96" t="str">
        <x:v>USD</x:v>
      </x:c>
      <x:c r="M96" s="126"/>
      <x:c r="N96"/>
      <x:c r="O96"/>
      <x:c r="P96" s="145"/>
      <x:c r="Q96" s="126"/>
      <x:c r="R96" s="149" t="n">
        <x:v>31.33</x:v>
      </x:c>
      <x:c r="S96" s="145"/>
      <x:c r="T96" s="145"/>
      <x:c r="U96" s="124"/>
      <x:c r="V96" s="124"/>
      <x:c r="W96" s="124"/>
      <x:c r="X96" s="124"/>
      <x:c r="Y96"/>
      <x:c r="Z96"/>
      <x:c r="AA96" s="116" t="str">
        <x:v>Net unit weight missing in 02. Order-level RFQ minimum: USD 100. Retail source: DHH exact MBSPT-04-02; direct each price; observed 2026-08-15; https://www.discounthydraulichose.com/MBSPT-04-02.html</x:v>
      </x:c>
      <x:c r="AB96" s="161" t="str">
        <x:v>Eligible</x:v>
      </x:c>
      <x:c r="AC96" s="161" t="str">
        <x:v>Pending</x:v>
      </x:c>
      <x:c r="AD96" t="str">
        <x:v>Units</x:v>
      </x:c>
      <x:c r="AE96" s="145"/>
      <x:c r="AF96" s="145"/>
      <x:c r="AG96" s="145"/>
      <x:c r="AH96" s="145"/>
      <x:c r="AI96" s="145"/>
      <x:c r="AJ96"/>
    </x:row>
    <x:row r="97" ht="30" customHeight="1">
      <x:c r="A97" s="138" t="str">
        <x:v>Draft</x:v>
      </x:c>
      <x:c r="B97" s="138" t="str">
        <x:v>Hose End</x:v>
      </x:c>
      <x:c r="C97" s="138" t="str">
        <x:v>BSPT_M_FX_04_04</x:v>
      </x:c>
      <x:c r="D97" s="138" t="str">
        <x:v>BSPT_M_FX_04_04</x:v>
      </x:c>
      <x:c r="E97" s="138" t="str">
        <x:v>EA</x:v>
      </x:c>
      <x:c r="F97" s="139"/>
      <x:c r="G97" s="141" t="n">
        <x:v>1</x:v>
      </x:c>
      <x:c r="H97" s="141" t="n">
        <x:v>1</x:v>
      </x:c>
      <x:c r="I97" s="143"/>
      <x:c r="J97" s="141" t="n">
        <x:v>10</x:v>
      </x:c>
      <x:c r="K97" s="138" t="str">
        <x:v>China</x:v>
      </x:c>
      <x:c r="L97" t="str">
        <x:v>USD</x:v>
      </x:c>
      <x:c r="M97" s="126"/>
      <x:c r="N97"/>
      <x:c r="O97"/>
      <x:c r="P97" s="145"/>
      <x:c r="Q97" s="126"/>
      <x:c r="R97" s="149" t="n">
        <x:v>12.34</x:v>
      </x:c>
      <x:c r="S97" s="145"/>
      <x:c r="T97" s="145"/>
      <x:c r="U97" s="124"/>
      <x:c r="V97" s="124"/>
      <x:c r="W97" s="124"/>
      <x:c r="X97" s="124"/>
      <x:c r="Y97"/>
      <x:c r="Z97"/>
      <x:c r="AA97" s="116" t="str">
        <x:v>Net unit weight missing in 02. Order-level RFQ minimum: USD 100. Retail source: DHH exact MBSPT-04-04; direct each price; observed 2026-08-15; https://www.discounthydraulichose.com/MBSPT-04-04.html</x:v>
      </x:c>
      <x:c r="AB97" s="161" t="str">
        <x:v>Eligible</x:v>
      </x:c>
      <x:c r="AC97" s="161" t="str">
        <x:v>Pending</x:v>
      </x:c>
      <x:c r="AD97" t="str">
        <x:v>Units</x:v>
      </x:c>
      <x:c r="AE97" s="145"/>
      <x:c r="AF97" s="145"/>
      <x:c r="AG97" s="145"/>
      <x:c r="AH97" s="145"/>
      <x:c r="AI97" s="145"/>
      <x:c r="AJ97"/>
    </x:row>
    <x:row r="98" ht="30" customHeight="1">
      <x:c r="A98" s="138" t="str">
        <x:v>Draft</x:v>
      </x:c>
      <x:c r="B98" s="138" t="str">
        <x:v>Hose End</x:v>
      </x:c>
      <x:c r="C98" s="138" t="str">
        <x:v>BSPT_M_FX_06_04</x:v>
      </x:c>
      <x:c r="D98" s="138" t="str">
        <x:v>BSPT_M_FX_06_04</x:v>
      </x:c>
      <x:c r="E98" s="138" t="str">
        <x:v>EA</x:v>
      </x:c>
      <x:c r="F98" s="139"/>
      <x:c r="G98" s="141" t="n">
        <x:v>1</x:v>
      </x:c>
      <x:c r="H98" s="141" t="n">
        <x:v>1</x:v>
      </x:c>
      <x:c r="I98" s="143"/>
      <x:c r="J98" s="141" t="n">
        <x:v>10</x:v>
      </x:c>
      <x:c r="K98" s="138" t="str">
        <x:v>China</x:v>
      </x:c>
      <x:c r="L98" t="str">
        <x:v>USD</x:v>
      </x:c>
      <x:c r="M98" s="126"/>
      <x:c r="N98"/>
      <x:c r="O98"/>
      <x:c r="P98" s="145"/>
      <x:c r="Q98" s="126"/>
      <x:c r="R98" s="149" t="n">
        <x:v>19.19</x:v>
      </x:c>
      <x:c r="S98" s="145"/>
      <x:c r="T98" s="145"/>
      <x:c r="U98" s="124"/>
      <x:c r="V98" s="124"/>
      <x:c r="W98" s="124"/>
      <x:c r="X98" s="124"/>
      <x:c r="Y98"/>
      <x:c r="Z98"/>
      <x:c r="AA98" s="116" t="str">
        <x:v>Net unit weight missing in 02. Order-level RFQ minimum: USD 100. Retail source: DHH exact MBSPT-04-06; direct each price; observed 2026-08-15; https://www.discounthydraulichose.com/MBSPT-04-06.html</x:v>
      </x:c>
      <x:c r="AB98" s="161" t="str">
        <x:v>Eligible</x:v>
      </x:c>
      <x:c r="AC98" s="161" t="str">
        <x:v>Pending</x:v>
      </x:c>
      <x:c r="AD98" t="str">
        <x:v>Units</x:v>
      </x:c>
      <x:c r="AE98" s="145"/>
      <x:c r="AF98" s="145"/>
      <x:c r="AG98" s="145"/>
      <x:c r="AH98" s="145"/>
      <x:c r="AI98" s="145"/>
      <x:c r="AJ98"/>
    </x:row>
    <x:row r="99" ht="30" customHeight="1">
      <x:c r="A99" s="138" t="str">
        <x:v>Draft</x:v>
      </x:c>
      <x:c r="B99" s="138" t="str">
        <x:v>Hose End</x:v>
      </x:c>
      <x:c r="C99" s="138" t="str">
        <x:v>BSPT_M_FX_06_06</x:v>
      </x:c>
      <x:c r="D99" s="138" t="str">
        <x:v>BSPT_M_FX_06_06</x:v>
      </x:c>
      <x:c r="E99" s="138" t="str">
        <x:v>EA</x:v>
      </x:c>
      <x:c r="F99" s="139"/>
      <x:c r="G99" s="141" t="n">
        <x:v>1</x:v>
      </x:c>
      <x:c r="H99" s="141" t="n">
        <x:v>1</x:v>
      </x:c>
      <x:c r="I99" s="143"/>
      <x:c r="J99" s="141" t="n">
        <x:v>10</x:v>
      </x:c>
      <x:c r="K99" s="138" t="str">
        <x:v>China</x:v>
      </x:c>
      <x:c r="L99" t="str">
        <x:v>USD</x:v>
      </x:c>
      <x:c r="M99" s="126"/>
      <x:c r="N99"/>
      <x:c r="O99"/>
      <x:c r="P99" s="145"/>
      <x:c r="Q99" s="126"/>
      <x:c r="R99" s="149" t="n">
        <x:v>7.33</x:v>
      </x:c>
      <x:c r="S99" s="145"/>
      <x:c r="T99" s="145"/>
      <x:c r="U99" s="124"/>
      <x:c r="V99" s="124"/>
      <x:c r="W99" s="124"/>
      <x:c r="X99" s="124"/>
      <x:c r="Y99"/>
      <x:c r="Z99"/>
      <x:c r="AA99" s="116" t="str">
        <x:v>Net unit weight missing in 02. Order-level RFQ minimum: USD 100. Retail source: DHH exact MBSPT-06-06; direct each price; observed 2026-08-15; https://www.discounthydraulichose.com/MBSPT-06-06.html</x:v>
      </x:c>
      <x:c r="AB99" s="161" t="str">
        <x:v>Eligible</x:v>
      </x:c>
      <x:c r="AC99" s="161" t="str">
        <x:v>Pending</x:v>
      </x:c>
      <x:c r="AD99" t="str">
        <x:v>Units</x:v>
      </x:c>
      <x:c r="AE99" s="145"/>
      <x:c r="AF99" s="145"/>
      <x:c r="AG99" s="145"/>
      <x:c r="AH99" s="145"/>
      <x:c r="AI99" s="145"/>
      <x:c r="AJ99"/>
    </x:row>
    <x:row r="100" ht="30" customHeight="1">
      <x:c r="A100" s="138" t="str">
        <x:v>Draft</x:v>
      </x:c>
      <x:c r="B100" s="138" t="str">
        <x:v>Hose End</x:v>
      </x:c>
      <x:c r="C100" s="138" t="str">
        <x:v>BSPT_M_FX_06_08</x:v>
      </x:c>
      <x:c r="D100" s="138" t="str">
        <x:v>BSPT_M_FX_06_08</x:v>
      </x:c>
      <x:c r="E100" s="138" t="str">
        <x:v>EA</x:v>
      </x:c>
      <x:c r="F100" s="139"/>
      <x:c r="G100" s="141" t="n">
        <x:v>1</x:v>
      </x:c>
      <x:c r="H100" s="141" t="n">
        <x:v>1</x:v>
      </x:c>
      <x:c r="I100" s="143"/>
      <x:c r="J100" s="141" t="n">
        <x:v>10</x:v>
      </x:c>
      <x:c r="K100" s="138" t="str">
        <x:v>China</x:v>
      </x:c>
      <x:c r="L100" t="str">
        <x:v>USD</x:v>
      </x:c>
      <x:c r="M100" s="126"/>
      <x:c r="N100"/>
      <x:c r="O100"/>
      <x:c r="P100" s="145"/>
      <x:c r="Q100" s="126"/>
      <x:c r="R100" s="149" t="n">
        <x:v>22.13</x:v>
      </x:c>
      <x:c r="S100" s="145"/>
      <x:c r="T100" s="145"/>
      <x:c r="U100" s="124"/>
      <x:c r="V100" s="124"/>
      <x:c r="W100" s="124"/>
      <x:c r="X100" s="124"/>
      <x:c r="Y100"/>
      <x:c r="Z100"/>
      <x:c r="AA100" s="116" t="str">
        <x:v>Net unit weight missing in 02. Order-level RFQ minimum: USD 100. Retail source: DHH exact MBSPT-08-06; direct each price; observed 2026-08-15; https://www.discounthydraulichose.com/MBSPT-08-06.html</x:v>
      </x:c>
      <x:c r="AB100" s="161" t="str">
        <x:v>Eligible</x:v>
      </x:c>
      <x:c r="AC100" s="161" t="str">
        <x:v>Pending</x:v>
      </x:c>
      <x:c r="AD100" t="str">
        <x:v>Units</x:v>
      </x:c>
      <x:c r="AE100" s="145"/>
      <x:c r="AF100" s="145"/>
      <x:c r="AG100" s="145"/>
      <x:c r="AH100" s="145"/>
      <x:c r="AI100" s="145"/>
      <x:c r="AJ100"/>
    </x:row>
    <x:row r="101" ht="30" customHeight="1">
      <x:c r="A101" s="138" t="str">
        <x:v>Draft</x:v>
      </x:c>
      <x:c r="B101" s="138" t="str">
        <x:v>Hose End</x:v>
      </x:c>
      <x:c r="C101" s="138" t="str">
        <x:v>BSPT_M_FX_08_06</x:v>
      </x:c>
      <x:c r="D101" s="138" t="str">
        <x:v>BSPT_M_FX_08_06</x:v>
      </x:c>
      <x:c r="E101" s="138" t="str">
        <x:v>EA</x:v>
      </x:c>
      <x:c r="F101" s="139"/>
      <x:c r="G101" s="141" t="n">
        <x:v>1</x:v>
      </x:c>
      <x:c r="H101" s="141" t="n">
        <x:v>1</x:v>
      </x:c>
      <x:c r="I101" s="143"/>
      <x:c r="J101" s="141" t="n">
        <x:v>10</x:v>
      </x:c>
      <x:c r="K101" s="138" t="str">
        <x:v>China</x:v>
      </x:c>
      <x:c r="L101" t="str">
        <x:v>USD</x:v>
      </x:c>
      <x:c r="M101" s="126"/>
      <x:c r="N101"/>
      <x:c r="O101"/>
      <x:c r="P101" s="145"/>
      <x:c r="Q101" s="126"/>
      <x:c r="R101" s="149" t="n">
        <x:v>21.22</x:v>
      </x:c>
      <x:c r="S101" s="145"/>
      <x:c r="T101" s="145"/>
      <x:c r="U101" s="124"/>
      <x:c r="V101" s="124"/>
      <x:c r="W101" s="124"/>
      <x:c r="X101" s="124"/>
      <x:c r="Y101"/>
      <x:c r="Z101"/>
      <x:c r="AA101" s="116" t="str">
        <x:v>Net unit weight missing in 02. Order-level RFQ minimum: USD 100. Retail source: DHH exact MBSPT-06-08; direct each price; observed 2026-08-15; https://www.discounthydraulichose.com/MBSPT-06-08.html</x:v>
      </x:c>
      <x:c r="AB101" s="161" t="str">
        <x:v>Eligible</x:v>
      </x:c>
      <x:c r="AC101" s="161" t="str">
        <x:v>Pending</x:v>
      </x:c>
      <x:c r="AD101" t="str">
        <x:v>Units</x:v>
      </x:c>
      <x:c r="AE101" s="145"/>
      <x:c r="AF101" s="145"/>
      <x:c r="AG101" s="145"/>
      <x:c r="AH101" s="145"/>
      <x:c r="AI101" s="145"/>
      <x:c r="AJ101"/>
    </x:row>
    <x:row r="102" ht="30" customHeight="1">
      <x:c r="A102" s="138" t="str">
        <x:v>Draft</x:v>
      </x:c>
      <x:c r="B102" s="138" t="str">
        <x:v>Hose End</x:v>
      </x:c>
      <x:c r="C102" s="138" t="str">
        <x:v>BSPT_M_FX_08_08</x:v>
      </x:c>
      <x:c r="D102" s="138" t="str">
        <x:v>BSPT_M_FX_08_08</x:v>
      </x:c>
      <x:c r="E102" s="138" t="str">
        <x:v>EA</x:v>
      </x:c>
      <x:c r="F102" s="139"/>
      <x:c r="G102" s="141" t="n">
        <x:v>1</x:v>
      </x:c>
      <x:c r="H102" s="141" t="n">
        <x:v>1</x:v>
      </x:c>
      <x:c r="I102" s="143"/>
      <x:c r="J102" s="141" t="n">
        <x:v>10</x:v>
      </x:c>
      <x:c r="K102" s="138" t="str">
        <x:v>China</x:v>
      </x:c>
      <x:c r="L102" t="str">
        <x:v>USD</x:v>
      </x:c>
      <x:c r="M102" s="126"/>
      <x:c r="N102"/>
      <x:c r="O102"/>
      <x:c r="P102" s="145"/>
      <x:c r="Q102" s="126"/>
      <x:c r="R102" s="149" t="n">
        <x:v>8.35</x:v>
      </x:c>
      <x:c r="S102" s="145"/>
      <x:c r="T102" s="145"/>
      <x:c r="U102" s="124"/>
      <x:c r="V102" s="124"/>
      <x:c r="W102" s="124"/>
      <x:c r="X102" s="124"/>
      <x:c r="Y102"/>
      <x:c r="Z102"/>
      <x:c r="AA102" s="116" t="str">
        <x:v>Net unit weight missing in 02. Order-level RFQ minimum: USD 100. Retail source: DHH exact MBSPT-08-08; direct each price; observed 2026-08-15; https://www.discounthydraulichose.com/MBSPT-08-08.html</x:v>
      </x:c>
      <x:c r="AB102" s="161" t="str">
        <x:v>Eligible</x:v>
      </x:c>
      <x:c r="AC102" s="161" t="str">
        <x:v>Pending</x:v>
      </x:c>
      <x:c r="AD102" t="str">
        <x:v>Units</x:v>
      </x:c>
      <x:c r="AE102" s="145"/>
      <x:c r="AF102" s="145"/>
      <x:c r="AG102" s="145"/>
      <x:c r="AH102" s="145"/>
      <x:c r="AI102" s="145"/>
      <x:c r="AJ102"/>
    </x:row>
    <x:row r="103" ht="30" customHeight="1">
      <x:c r="A103" s="138" t="str">
        <x:v>Draft</x:v>
      </x:c>
      <x:c r="B103" s="138" t="str">
        <x:v>Hose End</x:v>
      </x:c>
      <x:c r="C103" s="138" t="str">
        <x:v>BSPT_M_FX_12_12</x:v>
      </x:c>
      <x:c r="D103" s="138" t="str">
        <x:v>BSPT_M_FX_12_12</x:v>
      </x:c>
      <x:c r="E103" s="138" t="str">
        <x:v>EA</x:v>
      </x:c>
      <x:c r="F103" s="139"/>
      <x:c r="G103" s="141" t="n">
        <x:v>1</x:v>
      </x:c>
      <x:c r="H103" s="141" t="n">
        <x:v>1</x:v>
      </x:c>
      <x:c r="I103" s="143"/>
      <x:c r="J103" s="141" t="n">
        <x:v>10</x:v>
      </x:c>
      <x:c r="K103" s="138" t="str">
        <x:v>China</x:v>
      </x:c>
      <x:c r="L103" t="str">
        <x:v>USD</x:v>
      </x:c>
      <x:c r="M103" s="126"/>
      <x:c r="N103"/>
      <x:c r="O103"/>
      <x:c r="P103" s="145"/>
      <x:c r="Q103" s="126"/>
      <x:c r="R103" s="149" t="n">
        <x:v>11.43</x:v>
      </x:c>
      <x:c r="S103" s="145"/>
      <x:c r="T103" s="145"/>
      <x:c r="U103" s="124"/>
      <x:c r="V103" s="124"/>
      <x:c r="W103" s="124"/>
      <x:c r="X103" s="124"/>
      <x:c r="Y103"/>
      <x:c r="Z103"/>
      <x:c r="AA103" s="116" t="str">
        <x:v>Net unit weight missing in 02. Order-level RFQ minimum: USD 100. Retail source: DHH exact MBSPT-12-12; direct each price; observed 2026-08-15; https://www.discounthydraulichose.com/MBSPT-12-12.html</x:v>
      </x:c>
      <x:c r="AB103" s="161" t="str">
        <x:v>Eligible</x:v>
      </x:c>
      <x:c r="AC103" s="161" t="str">
        <x:v>Pending</x:v>
      </x:c>
      <x:c r="AD103" t="str">
        <x:v>Units</x:v>
      </x:c>
      <x:c r="AE103" s="145"/>
      <x:c r="AF103" s="145"/>
      <x:c r="AG103" s="145"/>
      <x:c r="AH103" s="145"/>
      <x:c r="AI103" s="145"/>
      <x:c r="AJ103"/>
    </x:row>
    <x:row r="104" ht="30" customHeight="1">
      <x:c r="A104" s="138" t="str">
        <x:v>Draft</x:v>
      </x:c>
      <x:c r="B104" s="138" t="str">
        <x:v>Hose End</x:v>
      </x:c>
      <x:c r="C104" s="138" t="str">
        <x:v>BSPT_M_FX_16_16</x:v>
      </x:c>
      <x:c r="D104" s="138" t="str">
        <x:v>BSPT_M_FX_16_16</x:v>
      </x:c>
      <x:c r="E104" s="138" t="str">
        <x:v>EA</x:v>
      </x:c>
      <x:c r="F104" s="139"/>
      <x:c r="G104" s="141" t="n">
        <x:v>1</x:v>
      </x:c>
      <x:c r="H104" s="141" t="n">
        <x:v>1</x:v>
      </x:c>
      <x:c r="I104" s="143"/>
      <x:c r="J104" s="141" t="n">
        <x:v>10</x:v>
      </x:c>
      <x:c r="K104" s="138" t="str">
        <x:v>China</x:v>
      </x:c>
      <x:c r="L104" t="str">
        <x:v>USD</x:v>
      </x:c>
      <x:c r="M104" s="126"/>
      <x:c r="N104"/>
      <x:c r="O104"/>
      <x:c r="P104" s="145"/>
      <x:c r="Q104" s="126"/>
      <x:c r="R104" s="149" t="n">
        <x:v>17.18</x:v>
      </x:c>
      <x:c r="S104" s="145"/>
      <x:c r="T104" s="145"/>
      <x:c r="U104" s="124"/>
      <x:c r="V104" s="124"/>
      <x:c r="W104" s="124"/>
      <x:c r="X104" s="124"/>
      <x:c r="Y104"/>
      <x:c r="Z104"/>
      <x:c r="AA104" s="116" t="str">
        <x:v>Net unit weight missing in 02. Order-level RFQ minimum: USD 100. Retail source: DHH exact MBSPT-16-16; direct each price; observed 2026-08-15; https://www.discounthydraulichose.com/MBSPT-16-16.html</x:v>
      </x:c>
      <x:c r="AB104" s="161" t="str">
        <x:v>Eligible</x:v>
      </x:c>
      <x:c r="AC104" s="161" t="str">
        <x:v>Pending</x:v>
      </x:c>
      <x:c r="AD104" t="str">
        <x:v>Units</x:v>
      </x:c>
      <x:c r="AE104" s="145"/>
      <x:c r="AF104" s="145"/>
      <x:c r="AG104" s="145"/>
      <x:c r="AH104" s="145"/>
      <x:c r="AI104" s="145"/>
      <x:c r="AJ104"/>
    </x:row>
    <x:row r="105" ht="30" customHeight="1">
      <x:c r="A105" s="138" t="str">
        <x:v>Draft</x:v>
      </x:c>
      <x:c r="B105" s="138" t="str">
        <x:v>Hose End</x:v>
      </x:c>
      <x:c r="C105" s="138" t="str">
        <x:v>JIC_F_SW_04_04</x:v>
      </x:c>
      <x:c r="D105" s="138" t="str">
        <x:v>JIC_F_SW_04_04</x:v>
      </x:c>
      <x:c r="E105" s="138" t="str">
        <x:v>EA</x:v>
      </x:c>
      <x:c r="F105" s="139"/>
      <x:c r="G105" s="141" t="n">
        <x:v>1</x:v>
      </x:c>
      <x:c r="H105" s="141" t="n">
        <x:v>1</x:v>
      </x:c>
      <x:c r="I105" s="143"/>
      <x:c r="J105" s="141" t="n">
        <x:v>10</x:v>
      </x:c>
      <x:c r="K105" s="138" t="str">
        <x:v>China</x:v>
      </x:c>
      <x:c r="L105" t="str">
        <x:v>USD</x:v>
      </x:c>
      <x:c r="M105" s="126"/>
      <x:c r="N105"/>
      <x:c r="O105"/>
      <x:c r="P105" s="145"/>
      <x:c r="Q105" s="126"/>
      <x:c r="R105" s="149" t="n">
        <x:v>6.64</x:v>
      </x:c>
      <x:c r="S105" s="145"/>
      <x:c r="T105" s="145"/>
      <x:c r="U105" s="124"/>
      <x:c r="V105" s="124"/>
      <x:c r="W105" s="124"/>
      <x:c r="X105" s="124"/>
      <x:c r="Y105"/>
      <x:c r="Z105"/>
      <x:c r="AA105" s="116" t="str">
        <x:v>Net unit weight missing in 02. Order-level RFQ minimum: USD 100. Retail source: DHH exact FJX-04-04W; direct each price; observed 2026-08-15; https://www.discounthydraulichose.com/FJX-04-04W.html</x:v>
      </x:c>
      <x:c r="AB105" s="161" t="str">
        <x:v>Eligible</x:v>
      </x:c>
      <x:c r="AC105" s="161" t="str">
        <x:v>Pending</x:v>
      </x:c>
      <x:c r="AD105" t="str">
        <x:v>Units</x:v>
      </x:c>
      <x:c r="AE105" s="145"/>
      <x:c r="AF105" s="145"/>
      <x:c r="AG105" s="145"/>
      <x:c r="AH105" s="145"/>
      <x:c r="AI105" s="145"/>
      <x:c r="AJ105"/>
    </x:row>
    <x:row r="106" ht="30" customHeight="1">
      <x:c r="A106" s="138" t="str">
        <x:v>Draft</x:v>
      </x:c>
      <x:c r="B106" s="138" t="str">
        <x:v>Hose End</x:v>
      </x:c>
      <x:c r="C106" s="138" t="str">
        <x:v>JIC_F_SW_04_06</x:v>
      </x:c>
      <x:c r="D106" s="138" t="str">
        <x:v>JIC_F_SW_04_06</x:v>
      </x:c>
      <x:c r="E106" s="138" t="str">
        <x:v>EA</x:v>
      </x:c>
      <x:c r="F106" s="139"/>
      <x:c r="G106" s="141" t="n">
        <x:v>1</x:v>
      </x:c>
      <x:c r="H106" s="141" t="n">
        <x:v>1</x:v>
      </x:c>
      <x:c r="I106" s="143"/>
      <x:c r="J106" s="141" t="n">
        <x:v>10</x:v>
      </x:c>
      <x:c r="K106" s="138" t="str">
        <x:v>China</x:v>
      </x:c>
      <x:c r="L106" t="str">
        <x:v>USD</x:v>
      </x:c>
      <x:c r="M106" s="126"/>
      <x:c r="N106"/>
      <x:c r="O106"/>
      <x:c r="P106" s="145"/>
      <x:c r="Q106" s="126"/>
      <x:c r="R106" s="149" t="n">
        <x:v>22.32</x:v>
      </x:c>
      <x:c r="S106" s="145"/>
      <x:c r="T106" s="145"/>
      <x:c r="U106" s="124"/>
      <x:c r="V106" s="124"/>
      <x:c r="W106" s="124"/>
      <x:c r="X106" s="124"/>
      <x:c r="Y106"/>
      <x:c r="Z106"/>
      <x:c r="AA106" s="116" t="str">
        <x:v>Net unit weight missing in 02. Order-level RFQ minimum: USD 100. Retail source: DHH exact FJX-06-04W; direct each price; observed 2026-08-15; https://www.discounthydraulichose.com/FJX-06-04W.html</x:v>
      </x:c>
      <x:c r="AB106" s="161" t="str">
        <x:v>Eligible</x:v>
      </x:c>
      <x:c r="AC106" s="161" t="str">
        <x:v>Pending</x:v>
      </x:c>
      <x:c r="AD106" t="str">
        <x:v>Units</x:v>
      </x:c>
      <x:c r="AE106" s="145"/>
      <x:c r="AF106" s="145"/>
      <x:c r="AG106" s="145"/>
      <x:c r="AH106" s="145"/>
      <x:c r="AI106" s="145"/>
      <x:c r="AJ106"/>
    </x:row>
    <x:row r="107" ht="30" customHeight="1">
      <x:c r="A107" s="138" t="str">
        <x:v>Draft</x:v>
      </x:c>
      <x:c r="B107" s="138" t="str">
        <x:v>Hose End</x:v>
      </x:c>
      <x:c r="C107" s="138" t="str">
        <x:v>JIC_F_SW_05_04</x:v>
      </x:c>
      <x:c r="D107" s="138" t="str">
        <x:v>JIC_F_SW_05_04</x:v>
      </x:c>
      <x:c r="E107" s="138" t="str">
        <x:v>EA</x:v>
      </x:c>
      <x:c r="F107" s="139"/>
      <x:c r="G107" s="141" t="n">
        <x:v>1</x:v>
      </x:c>
      <x:c r="H107" s="141" t="n">
        <x:v>1</x:v>
      </x:c>
      <x:c r="I107" s="143"/>
      <x:c r="J107" s="141" t="n">
        <x:v>10</x:v>
      </x:c>
      <x:c r="K107" s="138" t="str">
        <x:v>China</x:v>
      </x:c>
      <x:c r="L107" t="str">
        <x:v>USD</x:v>
      </x:c>
      <x:c r="M107" s="126"/>
      <x:c r="N107"/>
      <x:c r="O107"/>
      <x:c r="P107" s="145"/>
      <x:c r="Q107" s="126"/>
      <x:c r="R107" s="149" t="n">
        <x:v>6.8</x:v>
      </x:c>
      <x:c r="S107" s="145"/>
      <x:c r="T107" s="145"/>
      <x:c r="U107" s="124"/>
      <x:c r="V107" s="124"/>
      <x:c r="W107" s="124"/>
      <x:c r="X107" s="124"/>
      <x:c r="Y107"/>
      <x:c r="Z107"/>
      <x:c r="AA107" s="116" t="str">
        <x:v>Net unit weight missing in 02. Order-level RFQ minimum: USD 100. Retail source: DHH exact FJX-04-05W; direct each price; observed 2026-08-15; https://www.discounthydraulichose.com/FJX-04-05W.html</x:v>
      </x:c>
      <x:c r="AB107" s="161" t="str">
        <x:v>Eligible</x:v>
      </x:c>
      <x:c r="AC107" s="161" t="str">
        <x:v>Pending</x:v>
      </x:c>
      <x:c r="AD107" t="str">
        <x:v>Units</x:v>
      </x:c>
      <x:c r="AE107" s="145"/>
      <x:c r="AF107" s="145"/>
      <x:c r="AG107" s="145"/>
      <x:c r="AH107" s="145"/>
      <x:c r="AI107" s="145"/>
      <x:c r="AJ107"/>
    </x:row>
    <x:row r="108" ht="30" customHeight="1">
      <x:c r="A108" s="138" t="str">
        <x:v>Draft</x:v>
      </x:c>
      <x:c r="B108" s="138" t="str">
        <x:v>Hose End</x:v>
      </x:c>
      <x:c r="C108" s="138" t="str">
        <x:v>JIC_F_SW_05_06</x:v>
      </x:c>
      <x:c r="D108" s="138" t="str">
        <x:v>JIC_F_SW_05_06</x:v>
      </x:c>
      <x:c r="E108" s="138" t="str">
        <x:v>EA</x:v>
      </x:c>
      <x:c r="F108" s="139"/>
      <x:c r="G108" s="141" t="n">
        <x:v>1</x:v>
      </x:c>
      <x:c r="H108" s="141" t="n">
        <x:v>1</x:v>
      </x:c>
      <x:c r="I108" s="143"/>
      <x:c r="J108" s="141" t="n">
        <x:v>10</x:v>
      </x:c>
      <x:c r="K108" s="138" t="str">
        <x:v>China</x:v>
      </x:c>
      <x:c r="L108" t="str">
        <x:v>USD</x:v>
      </x:c>
      <x:c r="M108" s="126"/>
      <x:c r="N108"/>
      <x:c r="O108"/>
      <x:c r="P108" s="145"/>
      <x:c r="Q108" s="126"/>
      <x:c r="R108" s="149" t="n">
        <x:v>17.97</x:v>
      </x:c>
      <x:c r="S108" s="145"/>
      <x:c r="T108" s="145"/>
      <x:c r="U108" s="124"/>
      <x:c r="V108" s="124"/>
      <x:c r="W108" s="124"/>
      <x:c r="X108" s="124"/>
      <x:c r="Y108"/>
      <x:c r="Z108"/>
      <x:c r="AA108" s="116" t="str">
        <x:v>Net unit weight missing in 02. Order-level RFQ minimum: USD 100. Retail source: DHH exact FJX-06-05W; direct each price; observed 2026-08-15; https://www.discounthydraulichose.com/FJX-06-05W.html</x:v>
      </x:c>
      <x:c r="AB108" s="161" t="str">
        <x:v>Eligible</x:v>
      </x:c>
      <x:c r="AC108" s="161" t="str">
        <x:v>Pending</x:v>
      </x:c>
      <x:c r="AD108" t="str">
        <x:v>Units</x:v>
      </x:c>
      <x:c r="AE108" s="145"/>
      <x:c r="AF108" s="145"/>
      <x:c r="AG108" s="145"/>
      <x:c r="AH108" s="145"/>
      <x:c r="AI108" s="145"/>
      <x:c r="AJ108"/>
    </x:row>
    <x:row r="109" ht="30" customHeight="1">
      <x:c r="A109" s="138" t="str">
        <x:v>Draft</x:v>
      </x:c>
      <x:c r="B109" s="138" t="str">
        <x:v>Hose End</x:v>
      </x:c>
      <x:c r="C109" s="138" t="str">
        <x:v>JIC_F_SW_06_04</x:v>
      </x:c>
      <x:c r="D109" s="138" t="str">
        <x:v>JIC_F_SW_06_04</x:v>
      </x:c>
      <x:c r="E109" s="138" t="str">
        <x:v>EA</x:v>
      </x:c>
      <x:c r="F109" s="139"/>
      <x:c r="G109" s="141" t="n">
        <x:v>1</x:v>
      </x:c>
      <x:c r="H109" s="141" t="n">
        <x:v>1</x:v>
      </x:c>
      <x:c r="I109" s="143"/>
      <x:c r="J109" s="141" t="n">
        <x:v>10</x:v>
      </x:c>
      <x:c r="K109" s="138" t="str">
        <x:v>China</x:v>
      </x:c>
      <x:c r="L109" t="str">
        <x:v>USD</x:v>
      </x:c>
      <x:c r="M109" s="126"/>
      <x:c r="N109"/>
      <x:c r="O109"/>
      <x:c r="P109" s="145"/>
      <x:c r="Q109" s="126"/>
      <x:c r="R109" s="149" t="n">
        <x:v>6.64</x:v>
      </x:c>
      <x:c r="S109" s="145"/>
      <x:c r="T109" s="145"/>
      <x:c r="U109" s="124"/>
      <x:c r="V109" s="124"/>
      <x:c r="W109" s="124"/>
      <x:c r="X109" s="124"/>
      <x:c r="Y109"/>
      <x:c r="Z109"/>
      <x:c r="AA109" s="116" t="str">
        <x:v>Net unit weight missing in 02. Order-level RFQ minimum: USD 100. Retail source: DHH exact FJX-04-06W; direct each price; observed 2026-08-15; https://www.discounthydraulichose.com/FJX-04-06W.html</x:v>
      </x:c>
      <x:c r="AB109" s="161" t="str">
        <x:v>Eligible</x:v>
      </x:c>
      <x:c r="AC109" s="161" t="str">
        <x:v>Pending</x:v>
      </x:c>
      <x:c r="AD109" t="str">
        <x:v>Units</x:v>
      </x:c>
      <x:c r="AE109" s="145"/>
      <x:c r="AF109" s="145"/>
      <x:c r="AG109" s="145"/>
      <x:c r="AH109" s="145"/>
      <x:c r="AI109" s="145"/>
      <x:c r="AJ109"/>
    </x:row>
    <x:row r="110" ht="30" customHeight="1">
      <x:c r="A110" s="138" t="str">
        <x:v>Draft</x:v>
      </x:c>
      <x:c r="B110" s="138" t="str">
        <x:v>Hose End</x:v>
      </x:c>
      <x:c r="C110" s="138" t="str">
        <x:v>JIC_F_SW_06_06</x:v>
      </x:c>
      <x:c r="D110" s="138" t="str">
        <x:v>JIC_F_SW_06_06</x:v>
      </x:c>
      <x:c r="E110" s="138" t="str">
        <x:v>EA</x:v>
      </x:c>
      <x:c r="F110" s="139"/>
      <x:c r="G110" s="141" t="n">
        <x:v>1</x:v>
      </x:c>
      <x:c r="H110" s="141" t="n">
        <x:v>1</x:v>
      </x:c>
      <x:c r="I110" s="143"/>
      <x:c r="J110" s="141" t="n">
        <x:v>10</x:v>
      </x:c>
      <x:c r="K110" s="138" t="str">
        <x:v>China</x:v>
      </x:c>
      <x:c r="L110" t="str">
        <x:v>USD</x:v>
      </x:c>
      <x:c r="M110" s="126"/>
      <x:c r="N110"/>
      <x:c r="O110"/>
      <x:c r="P110" s="145"/>
      <x:c r="Q110" s="126"/>
      <x:c r="R110" s="149" t="n">
        <x:v>8.12</x:v>
      </x:c>
      <x:c r="S110" s="145"/>
      <x:c r="T110" s="145"/>
      <x:c r="U110" s="124"/>
      <x:c r="V110" s="124"/>
      <x:c r="W110" s="124"/>
      <x:c r="X110" s="124"/>
      <x:c r="Y110"/>
      <x:c r="Z110"/>
      <x:c r="AA110" s="116" t="str">
        <x:v>Net unit weight missing in 02. Order-level RFQ minimum: USD 100. Retail source: DHH exact FJX-06-06W; direct each price; observed 2026-08-15; https://www.discounthydraulichose.com/FJX-06-06W.html</x:v>
      </x:c>
      <x:c r="AB110" s="161" t="str">
        <x:v>Eligible</x:v>
      </x:c>
      <x:c r="AC110" s="161" t="str">
        <x:v>Pending</x:v>
      </x:c>
      <x:c r="AD110" t="str">
        <x:v>Units</x:v>
      </x:c>
      <x:c r="AE110" s="145"/>
      <x:c r="AF110" s="145"/>
      <x:c r="AG110" s="145"/>
      <x:c r="AH110" s="145"/>
      <x:c r="AI110" s="145"/>
      <x:c r="AJ110"/>
    </x:row>
    <x:row r="111" ht="30" customHeight="1">
      <x:c r="A111" s="138" t="str">
        <x:v>Draft</x:v>
      </x:c>
      <x:c r="B111" s="138" t="str">
        <x:v>Hose End</x:v>
      </x:c>
      <x:c r="C111" s="138" t="str">
        <x:v>JIC_F_SW_06_08</x:v>
      </x:c>
      <x:c r="D111" s="138" t="str">
        <x:v>JIC_F_SW_06_08</x:v>
      </x:c>
      <x:c r="E111" s="138" t="str">
        <x:v>EA</x:v>
      </x:c>
      <x:c r="F111" s="139"/>
      <x:c r="G111" s="141" t="n">
        <x:v>1</x:v>
      </x:c>
      <x:c r="H111" s="141" t="n">
        <x:v>1</x:v>
      </x:c>
      <x:c r="I111" s="143"/>
      <x:c r="J111" s="141" t="n">
        <x:v>10</x:v>
      </x:c>
      <x:c r="K111" s="138" t="str">
        <x:v>China</x:v>
      </x:c>
      <x:c r="L111" t="str">
        <x:v>USD</x:v>
      </x:c>
      <x:c r="M111" s="126"/>
      <x:c r="N111"/>
      <x:c r="O111"/>
      <x:c r="P111" s="145"/>
      <x:c r="Q111" s="126"/>
      <x:c r="R111" s="149" t="n">
        <x:v>11.42</x:v>
      </x:c>
      <x:c r="S111" s="145"/>
      <x:c r="T111" s="145"/>
      <x:c r="U111" s="124"/>
      <x:c r="V111" s="124"/>
      <x:c r="W111" s="124"/>
      <x:c r="X111" s="124"/>
      <x:c r="Y111"/>
      <x:c r="Z111"/>
      <x:c r="AA111" s="116" t="str">
        <x:v>Net unit weight missing in 02. Order-level RFQ minimum: USD 100. Retail source: DHH exact FJX-08-06W; direct each price; observed 2026-08-15; https://www.discounthydraulichose.com/FJX-08-06W.html</x:v>
      </x:c>
      <x:c r="AB111" s="161" t="str">
        <x:v>Eligible</x:v>
      </x:c>
      <x:c r="AC111" s="161" t="str">
        <x:v>Pending</x:v>
      </x:c>
      <x:c r="AD111" t="str">
        <x:v>Units</x:v>
      </x:c>
      <x:c r="AE111" s="145"/>
      <x:c r="AF111" s="145"/>
      <x:c r="AG111" s="145"/>
      <x:c r="AH111" s="145"/>
      <x:c r="AI111" s="145"/>
      <x:c r="AJ111"/>
    </x:row>
    <x:row r="112" ht="30" customHeight="1">
      <x:c r="A112" s="138" t="str">
        <x:v>Draft</x:v>
      </x:c>
      <x:c r="B112" s="138" t="str">
        <x:v>Hose End</x:v>
      </x:c>
      <x:c r="C112" s="138" t="str">
        <x:v>JIC_F_SW_08_06</x:v>
      </x:c>
      <x:c r="D112" s="138" t="str">
        <x:v>JIC_F_SW_08_06</x:v>
      </x:c>
      <x:c r="E112" s="138" t="str">
        <x:v>EA</x:v>
      </x:c>
      <x:c r="F112" s="139"/>
      <x:c r="G112" s="141" t="n">
        <x:v>1</x:v>
      </x:c>
      <x:c r="H112" s="141" t="n">
        <x:v>1</x:v>
      </x:c>
      <x:c r="I112" s="143"/>
      <x:c r="J112" s="141" t="n">
        <x:v>10</x:v>
      </x:c>
      <x:c r="K112" s="138" t="str">
        <x:v>China</x:v>
      </x:c>
      <x:c r="L112" t="str">
        <x:v>USD</x:v>
      </x:c>
      <x:c r="M112" s="126"/>
      <x:c r="N112"/>
      <x:c r="O112"/>
      <x:c r="P112" s="145"/>
      <x:c r="Q112" s="126"/>
      <x:c r="R112" s="149" t="n">
        <x:v>9.16</x:v>
      </x:c>
      <x:c r="S112" s="145"/>
      <x:c r="T112" s="145"/>
      <x:c r="U112" s="124"/>
      <x:c r="V112" s="124"/>
      <x:c r="W112" s="124"/>
      <x:c r="X112" s="124"/>
      <x:c r="Y112"/>
      <x:c r="Z112"/>
      <x:c r="AA112" s="116" t="str">
        <x:v>Net unit weight missing in 02. Order-level RFQ minimum: USD 100. Retail source: DHH exact FJX-06-08W; direct each price; observed 2026-08-15; https://www.discounthydraulichose.com/FJX-06-08W.html</x:v>
      </x:c>
      <x:c r="AB112" s="161" t="str">
        <x:v>Eligible</x:v>
      </x:c>
      <x:c r="AC112" s="161" t="str">
        <x:v>Pending</x:v>
      </x:c>
      <x:c r="AD112" t="str">
        <x:v>Units</x:v>
      </x:c>
      <x:c r="AE112" s="145"/>
      <x:c r="AF112" s="145"/>
      <x:c r="AG112" s="145"/>
      <x:c r="AH112" s="145"/>
      <x:c r="AI112" s="145"/>
      <x:c r="AJ112"/>
    </x:row>
    <x:row r="113" ht="30" customHeight="1">
      <x:c r="A113" s="138" t="str">
        <x:v>Draft</x:v>
      </x:c>
      <x:c r="B113" s="138" t="str">
        <x:v>Hose End</x:v>
      </x:c>
      <x:c r="C113" s="138" t="str">
        <x:v>JIC_F_SW_08_08</x:v>
      </x:c>
      <x:c r="D113" s="138" t="str">
        <x:v>JIC_F_SW_08_08</x:v>
      </x:c>
      <x:c r="E113" s="138" t="str">
        <x:v>EA</x:v>
      </x:c>
      <x:c r="F113" s="139"/>
      <x:c r="G113" s="141" t="n">
        <x:v>1</x:v>
      </x:c>
      <x:c r="H113" s="141" t="n">
        <x:v>1</x:v>
      </x:c>
      <x:c r="I113" s="143"/>
      <x:c r="J113" s="141" t="n">
        <x:v>10</x:v>
      </x:c>
      <x:c r="K113" s="138" t="str">
        <x:v>China</x:v>
      </x:c>
      <x:c r="L113" t="str">
        <x:v>USD</x:v>
      </x:c>
      <x:c r="M113" s="126"/>
      <x:c r="N113"/>
      <x:c r="O113"/>
      <x:c r="P113" s="145"/>
      <x:c r="Q113" s="126"/>
      <x:c r="R113" s="149" t="n">
        <x:v>10.02</x:v>
      </x:c>
      <x:c r="S113" s="145"/>
      <x:c r="T113" s="145"/>
      <x:c r="U113" s="124"/>
      <x:c r="V113" s="124"/>
      <x:c r="W113" s="124"/>
      <x:c r="X113" s="124"/>
      <x:c r="Y113"/>
      <x:c r="Z113"/>
      <x:c r="AA113" s="116" t="str">
        <x:v>Net unit weight missing in 02. Order-level RFQ minimum: USD 100. Retail source: DHH exact FJX-08-08W; direct each price; observed 2026-08-15; https://www.discounthydraulichose.com/FJX-08-08W.html</x:v>
      </x:c>
      <x:c r="AB113" s="161" t="str">
        <x:v>Eligible</x:v>
      </x:c>
      <x:c r="AC113" s="161" t="str">
        <x:v>Pending</x:v>
      </x:c>
      <x:c r="AD113" t="str">
        <x:v>Units</x:v>
      </x:c>
      <x:c r="AE113" s="145"/>
      <x:c r="AF113" s="145"/>
      <x:c r="AG113" s="145"/>
      <x:c r="AH113" s="145"/>
      <x:c r="AI113" s="145"/>
      <x:c r="AJ113"/>
    </x:row>
    <x:row r="114" ht="30" customHeight="1">
      <x:c r="A114" s="138" t="str">
        <x:v>Draft</x:v>
      </x:c>
      <x:c r="B114" s="138" t="str">
        <x:v>Hose End</x:v>
      </x:c>
      <x:c r="C114" s="138" t="str">
        <x:v>JIC_F_SW_08_10</x:v>
      </x:c>
      <x:c r="D114" s="138" t="str">
        <x:v>JIC_F_SW_08_10</x:v>
      </x:c>
      <x:c r="E114" s="138" t="str">
        <x:v>EA</x:v>
      </x:c>
      <x:c r="F114" s="139"/>
      <x:c r="G114" s="141" t="n">
        <x:v>1</x:v>
      </x:c>
      <x:c r="H114" s="141" t="n">
        <x:v>1</x:v>
      </x:c>
      <x:c r="I114" s="143"/>
      <x:c r="J114" s="141" t="n">
        <x:v>10</x:v>
      </x:c>
      <x:c r="K114" s="138" t="str">
        <x:v>China</x:v>
      </x:c>
      <x:c r="L114" t="str">
        <x:v>USD</x:v>
      </x:c>
      <x:c r="M114" s="126"/>
      <x:c r="N114"/>
      <x:c r="O114"/>
      <x:c r="P114" s="145"/>
      <x:c r="Q114" s="126"/>
      <x:c r="R114" s="149" t="n">
        <x:v>28.72</x:v>
      </x:c>
      <x:c r="S114" s="145"/>
      <x:c r="T114" s="145"/>
      <x:c r="U114" s="124"/>
      <x:c r="V114" s="124"/>
      <x:c r="W114" s="124"/>
      <x:c r="X114" s="124"/>
      <x:c r="Y114"/>
      <x:c r="Z114"/>
      <x:c r="AA114" s="116" t="str">
        <x:v>Net unit weight missing in 02. Order-level RFQ minimum: USD 100. Retail source: DHH exact FJX-10-08W; direct each price; observed 2026-08-15; https://www.discounthydraulichose.com/FJX-10-08W.html</x:v>
      </x:c>
      <x:c r="AB114" s="161" t="str">
        <x:v>Eligible</x:v>
      </x:c>
      <x:c r="AC114" s="161" t="str">
        <x:v>Pending</x:v>
      </x:c>
      <x:c r="AD114" t="str">
        <x:v>Units</x:v>
      </x:c>
      <x:c r="AE114" s="145"/>
      <x:c r="AF114" s="145"/>
      <x:c r="AG114" s="145"/>
      <x:c r="AH114" s="145"/>
      <x:c r="AI114" s="145"/>
      <x:c r="AJ114"/>
    </x:row>
    <x:row r="115" ht="30" customHeight="1">
      <x:c r="A115" s="138" t="str">
        <x:v>Draft</x:v>
      </x:c>
      <x:c r="B115" s="138" t="str">
        <x:v>Hose End</x:v>
      </x:c>
      <x:c r="C115" s="138" t="str">
        <x:v>JIC_F_SW_08_12</x:v>
      </x:c>
      <x:c r="D115" s="138" t="str">
        <x:v>JIC_F_SW_08_12</x:v>
      </x:c>
      <x:c r="E115" s="138" t="str">
        <x:v>EA</x:v>
      </x:c>
      <x:c r="F115" s="139"/>
      <x:c r="G115" s="141" t="n">
        <x:v>1</x:v>
      </x:c>
      <x:c r="H115" s="141" t="n">
        <x:v>1</x:v>
      </x:c>
      <x:c r="I115" s="143"/>
      <x:c r="J115" s="141" t="n">
        <x:v>10</x:v>
      </x:c>
      <x:c r="K115" s="138" t="str">
        <x:v>China</x:v>
      </x:c>
      <x:c r="L115" t="str">
        <x:v>USD</x:v>
      </x:c>
      <x:c r="M115" s="126"/>
      <x:c r="N115"/>
      <x:c r="O115"/>
      <x:c r="P115" s="145"/>
      <x:c r="Q115" s="126"/>
      <x:c r="R115" s="149" t="n">
        <x:v>31.33</x:v>
      </x:c>
      <x:c r="S115" s="145"/>
      <x:c r="T115" s="145"/>
      <x:c r="U115" s="124"/>
      <x:c r="V115" s="124"/>
      <x:c r="W115" s="124"/>
      <x:c r="X115" s="124"/>
      <x:c r="Y115"/>
      <x:c r="Z115"/>
      <x:c r="AA115" s="116" t="str">
        <x:v>Net unit weight missing in 02. Order-level RFQ minimum: USD 100. Retail source: DHH exact FJX-12-08W; direct each price; observed 2026-08-15; https://www.discounthydraulichose.com/FJX-12-08W.html</x:v>
      </x:c>
      <x:c r="AB115" s="161" t="str">
        <x:v>Eligible</x:v>
      </x:c>
      <x:c r="AC115" s="161" t="str">
        <x:v>Pending</x:v>
      </x:c>
      <x:c r="AD115" t="str">
        <x:v>Units</x:v>
      </x:c>
      <x:c r="AE115" s="145"/>
      <x:c r="AF115" s="145"/>
      <x:c r="AG115" s="145"/>
      <x:c r="AH115" s="145"/>
      <x:c r="AI115" s="145"/>
      <x:c r="AJ115"/>
    </x:row>
    <x:row r="116" ht="30" customHeight="1">
      <x:c r="A116" s="138" t="str">
        <x:v>Draft</x:v>
      </x:c>
      <x:c r="B116" s="138" t="str">
        <x:v>Hose End</x:v>
      </x:c>
      <x:c r="C116" s="138" t="str">
        <x:v>JIC_F_SW_10_06</x:v>
      </x:c>
      <x:c r="D116" s="138" t="str">
        <x:v>JIC_F_SW_10_06</x:v>
      </x:c>
      <x:c r="E116" s="138" t="str">
        <x:v>EA</x:v>
      </x:c>
      <x:c r="F116" s="139"/>
      <x:c r="G116" s="141" t="n">
        <x:v>1</x:v>
      </x:c>
      <x:c r="H116" s="141" t="n">
        <x:v>1</x:v>
      </x:c>
      <x:c r="I116" s="143"/>
      <x:c r="J116" s="141" t="n">
        <x:v>10</x:v>
      </x:c>
      <x:c r="K116" s="138" t="str">
        <x:v>China</x:v>
      </x:c>
      <x:c r="L116" t="str">
        <x:v>USD</x:v>
      </x:c>
      <x:c r="M116" s="126"/>
      <x:c r="N116"/>
      <x:c r="O116"/>
      <x:c r="P116" s="145"/>
      <x:c r="Q116" s="126"/>
      <x:c r="R116" s="149" t="n">
        <x:v>11.87</x:v>
      </x:c>
      <x:c r="S116" s="145"/>
      <x:c r="T116" s="145"/>
      <x:c r="U116" s="124"/>
      <x:c r="V116" s="124"/>
      <x:c r="W116" s="124"/>
      <x:c r="X116" s="124"/>
      <x:c r="Y116"/>
      <x:c r="Z116"/>
      <x:c r="AA116" s="116" t="str">
        <x:v>Net unit weight missing in 02. Order-level RFQ minimum: USD 100. Retail source: DHH exact FJX-06-10W; direct each price; observed 2026-08-15; https://www.discounthydraulichose.com/FJX-06-10W.html</x:v>
      </x:c>
      <x:c r="AB116" s="161" t="str">
        <x:v>Eligible</x:v>
      </x:c>
      <x:c r="AC116" s="161" t="str">
        <x:v>Pending</x:v>
      </x:c>
      <x:c r="AD116" t="str">
        <x:v>Units</x:v>
      </x:c>
      <x:c r="AE116" s="145"/>
      <x:c r="AF116" s="145"/>
      <x:c r="AG116" s="145"/>
      <x:c r="AH116" s="145"/>
      <x:c r="AI116" s="145"/>
      <x:c r="AJ116"/>
    </x:row>
    <x:row r="117" ht="30" customHeight="1">
      <x:c r="A117" s="138" t="str">
        <x:v>Draft</x:v>
      </x:c>
      <x:c r="B117" s="138" t="str">
        <x:v>Hose End</x:v>
      </x:c>
      <x:c r="C117" s="138" t="str">
        <x:v>JIC_F_SW_10_08</x:v>
      </x:c>
      <x:c r="D117" s="138" t="str">
        <x:v>JIC_F_SW_10_08</x:v>
      </x:c>
      <x:c r="E117" s="138" t="str">
        <x:v>EA</x:v>
      </x:c>
      <x:c r="F117" s="139"/>
      <x:c r="G117" s="141" t="n">
        <x:v>1</x:v>
      </x:c>
      <x:c r="H117" s="141" t="n">
        <x:v>1</x:v>
      </x:c>
      <x:c r="I117" s="143"/>
      <x:c r="J117" s="141" t="n">
        <x:v>10</x:v>
      </x:c>
      <x:c r="K117" s="138" t="str">
        <x:v>China</x:v>
      </x:c>
      <x:c r="L117" t="str">
        <x:v>USD</x:v>
      </x:c>
      <x:c r="M117" s="126"/>
      <x:c r="N117"/>
      <x:c r="O117"/>
      <x:c r="P117" s="145"/>
      <x:c r="Q117" s="126"/>
      <x:c r="R117" s="149" t="n">
        <x:v>15.01</x:v>
      </x:c>
      <x:c r="S117" s="145"/>
      <x:c r="T117" s="145"/>
      <x:c r="U117" s="124"/>
      <x:c r="V117" s="124"/>
      <x:c r="W117" s="124"/>
      <x:c r="X117" s="124"/>
      <x:c r="Y117"/>
      <x:c r="Z117"/>
      <x:c r="AA117" s="116" t="str">
        <x:v>Net unit weight missing in 02. Order-level RFQ minimum: USD 100. Retail source: DHH exact FJX-08-10W; direct each price; observed 2026-08-15; https://www.discounthydraulichose.com/FJX-08-10W.html</x:v>
      </x:c>
      <x:c r="AB117" s="161" t="str">
        <x:v>Eligible</x:v>
      </x:c>
      <x:c r="AC117" s="161" t="str">
        <x:v>Pending</x:v>
      </x:c>
      <x:c r="AD117" t="str">
        <x:v>Units</x:v>
      </x:c>
      <x:c r="AE117" s="145"/>
      <x:c r="AF117" s="145"/>
      <x:c r="AG117" s="145"/>
      <x:c r="AH117" s="145"/>
      <x:c r="AI117" s="145"/>
      <x:c r="AJ117"/>
    </x:row>
    <x:row r="118" ht="30" customHeight="1">
      <x:c r="A118" s="138" t="str">
        <x:v>Draft</x:v>
      </x:c>
      <x:c r="B118" s="138" t="str">
        <x:v>Hose End</x:v>
      </x:c>
      <x:c r="C118" s="138" t="str">
        <x:v>JIC_F_SW_10_10</x:v>
      </x:c>
      <x:c r="D118" s="138" t="str">
        <x:v>JIC_F_SW_10_10</x:v>
      </x:c>
      <x:c r="E118" s="138" t="str">
        <x:v>EA</x:v>
      </x:c>
      <x:c r="F118" s="139"/>
      <x:c r="G118" s="141" t="n">
        <x:v>1</x:v>
      </x:c>
      <x:c r="H118" s="141" t="n">
        <x:v>1</x:v>
      </x:c>
      <x:c r="I118" s="143"/>
      <x:c r="J118" s="141" t="n">
        <x:v>10</x:v>
      </x:c>
      <x:c r="K118" s="138" t="str">
        <x:v>China</x:v>
      </x:c>
      <x:c r="L118" t="str">
        <x:v>USD</x:v>
      </x:c>
      <x:c r="M118" s="126"/>
      <x:c r="N118"/>
      <x:c r="O118"/>
      <x:c r="P118" s="145"/>
      <x:c r="Q118" s="126"/>
      <x:c r="R118" s="149" t="n">
        <x:v>12.96</x:v>
      </x:c>
      <x:c r="S118" s="145"/>
      <x:c r="T118" s="145"/>
      <x:c r="U118" s="124"/>
      <x:c r="V118" s="124"/>
      <x:c r="W118" s="124"/>
      <x:c r="X118" s="124"/>
      <x:c r="Y118"/>
      <x:c r="Z118"/>
      <x:c r="AA118" s="116" t="str">
        <x:v>Net unit weight missing in 02. Order-level RFQ minimum: USD 100. Retail source: DHH exact FJX-10-10W; direct each price; observed 2026-08-15; https://www.discounthydraulichose.com/FJX-10-10W.html</x:v>
      </x:c>
      <x:c r="AB118" s="161" t="str">
        <x:v>Eligible</x:v>
      </x:c>
      <x:c r="AC118" s="161" t="str">
        <x:v>Pending</x:v>
      </x:c>
      <x:c r="AD118" t="str">
        <x:v>Units</x:v>
      </x:c>
      <x:c r="AE118" s="145"/>
      <x:c r="AF118" s="145"/>
      <x:c r="AG118" s="145"/>
      <x:c r="AH118" s="145"/>
      <x:c r="AI118" s="145"/>
      <x:c r="AJ118"/>
    </x:row>
    <x:row r="119" ht="30" customHeight="1">
      <x:c r="A119" s="138" t="str">
        <x:v>Draft</x:v>
      </x:c>
      <x:c r="B119" s="138" t="str">
        <x:v>Hose End</x:v>
      </x:c>
      <x:c r="C119" s="138" t="str">
        <x:v>JIC_F_SW_10_12</x:v>
      </x:c>
      <x:c r="D119" s="138" t="str">
        <x:v>JIC_F_SW_10_12</x:v>
      </x:c>
      <x:c r="E119" s="138" t="str">
        <x:v>EA</x:v>
      </x:c>
      <x:c r="F119" s="139"/>
      <x:c r="G119" s="141" t="n">
        <x:v>1</x:v>
      </x:c>
      <x:c r="H119" s="141" t="n">
        <x:v>1</x:v>
      </x:c>
      <x:c r="I119" s="143"/>
      <x:c r="J119" s="141" t="n">
        <x:v>10</x:v>
      </x:c>
      <x:c r="K119" s="138" t="str">
        <x:v>China</x:v>
      </x:c>
      <x:c r="L119" t="str">
        <x:v>USD</x:v>
      </x:c>
      <x:c r="M119" s="126"/>
      <x:c r="N119"/>
      <x:c r="O119"/>
      <x:c r="P119" s="145"/>
      <x:c r="Q119" s="126"/>
      <x:c r="R119" s="149" t="n">
        <x:v>20.26</x:v>
      </x:c>
      <x:c r="S119" s="145"/>
      <x:c r="T119" s="145"/>
      <x:c r="U119" s="124"/>
      <x:c r="V119" s="124"/>
      <x:c r="W119" s="124"/>
      <x:c r="X119" s="124"/>
      <x:c r="Y119"/>
      <x:c r="Z119"/>
      <x:c r="AA119" s="116" t="str">
        <x:v>Net unit weight missing in 02. Order-level RFQ minimum: USD 100. Retail source: DHH exact FJX-12-10W; direct each price; observed 2026-08-15; https://www.discounthydraulichose.com/FJX-12-10W.html</x:v>
      </x:c>
      <x:c r="AB119" s="161" t="str">
        <x:v>Eligible</x:v>
      </x:c>
      <x:c r="AC119" s="161" t="str">
        <x:v>Pending</x:v>
      </x:c>
      <x:c r="AD119" t="str">
        <x:v>Units</x:v>
      </x:c>
      <x:c r="AE119" s="145"/>
      <x:c r="AF119" s="145"/>
      <x:c r="AG119" s="145"/>
      <x:c r="AH119" s="145"/>
      <x:c r="AI119" s="145"/>
      <x:c r="AJ119"/>
    </x:row>
    <x:row r="120" ht="30" customHeight="1">
      <x:c r="A120" s="138" t="str">
        <x:v>Draft</x:v>
      </x:c>
      <x:c r="B120" s="138" t="str">
        <x:v>Hose End</x:v>
      </x:c>
      <x:c r="C120" s="138" t="str">
        <x:v>JIC_F_SW_12_08</x:v>
      </x:c>
      <x:c r="D120" s="138" t="str">
        <x:v>JIC_F_SW_12_08</x:v>
      </x:c>
      <x:c r="E120" s="138" t="str">
        <x:v>EA</x:v>
      </x:c>
      <x:c r="F120" s="139"/>
      <x:c r="G120" s="141" t="n">
        <x:v>1</x:v>
      </x:c>
      <x:c r="H120" s="141" t="n">
        <x:v>1</x:v>
      </x:c>
      <x:c r="I120" s="143"/>
      <x:c r="J120" s="141" t="n">
        <x:v>10</x:v>
      </x:c>
      <x:c r="K120" s="138" t="str">
        <x:v>China</x:v>
      </x:c>
      <x:c r="L120" t="str">
        <x:v>USD</x:v>
      </x:c>
      <x:c r="M120" s="126"/>
      <x:c r="N120"/>
      <x:c r="O120"/>
      <x:c r="P120" s="145"/>
      <x:c r="Q120" s="126"/>
      <x:c r="R120" s="149" t="n">
        <x:v>19.5</x:v>
      </x:c>
      <x:c r="S120" s="145"/>
      <x:c r="T120" s="145"/>
      <x:c r="U120" s="124"/>
      <x:c r="V120" s="124"/>
      <x:c r="W120" s="124"/>
      <x:c r="X120" s="124"/>
      <x:c r="Y120"/>
      <x:c r="Z120"/>
      <x:c r="AA120" s="116" t="str">
        <x:v>Net unit weight missing in 02. Order-level RFQ minimum: USD 100. Retail source: DHH exact FJX-08-12W; direct each price; observed 2026-08-15; https://www.discounthydraulichose.com/FJX-08-12W.html</x:v>
      </x:c>
      <x:c r="AB120" s="161" t="str">
        <x:v>Eligible</x:v>
      </x:c>
      <x:c r="AC120" s="161" t="str">
        <x:v>Pending</x:v>
      </x:c>
      <x:c r="AD120" t="str">
        <x:v>Units</x:v>
      </x:c>
      <x:c r="AE120" s="145"/>
      <x:c r="AF120" s="145"/>
      <x:c r="AG120" s="145"/>
      <x:c r="AH120" s="145"/>
      <x:c r="AI120" s="145"/>
      <x:c r="AJ120"/>
    </x:row>
    <x:row r="121" ht="30" customHeight="1">
      <x:c r="A121" s="138" t="str">
        <x:v>Draft</x:v>
      </x:c>
      <x:c r="B121" s="138" t="str">
        <x:v>Hose End</x:v>
      </x:c>
      <x:c r="C121" s="138" t="str">
        <x:v>JIC_F_SW_12_10</x:v>
      </x:c>
      <x:c r="D121" s="138" t="str">
        <x:v>JIC_F_SW_12_10</x:v>
      </x:c>
      <x:c r="E121" s="138" t="str">
        <x:v>EA</x:v>
      </x:c>
      <x:c r="F121" s="139"/>
      <x:c r="G121" s="141" t="n">
        <x:v>1</x:v>
      </x:c>
      <x:c r="H121" s="141" t="n">
        <x:v>1</x:v>
      </x:c>
      <x:c r="I121" s="143"/>
      <x:c r="J121" s="141" t="n">
        <x:v>10</x:v>
      </x:c>
      <x:c r="K121" s="138" t="str">
        <x:v>China</x:v>
      </x:c>
      <x:c r="L121" t="str">
        <x:v>USD</x:v>
      </x:c>
      <x:c r="M121" s="126"/>
      <x:c r="N121"/>
      <x:c r="O121"/>
      <x:c r="P121" s="145"/>
      <x:c r="Q121" s="126"/>
      <x:c r="R121" s="149" t="n">
        <x:v>20.27</x:v>
      </x:c>
      <x:c r="S121" s="145"/>
      <x:c r="T121" s="145"/>
      <x:c r="U121" s="124"/>
      <x:c r="V121" s="124"/>
      <x:c r="W121" s="124"/>
      <x:c r="X121" s="124"/>
      <x:c r="Y121"/>
      <x:c r="Z121"/>
      <x:c r="AA121" s="116" t="str">
        <x:v>Net unit weight missing in 02. Order-level RFQ minimum: USD 100. Retail source: DHH exact FJX-10-12W; direct each price; observed 2026-08-15; https://www.discounthydraulichose.com/FJX-10-12W.html</x:v>
      </x:c>
      <x:c r="AB121" s="161" t="str">
        <x:v>Eligible</x:v>
      </x:c>
      <x:c r="AC121" s="161" t="str">
        <x:v>Pending</x:v>
      </x:c>
      <x:c r="AD121" t="str">
        <x:v>Units</x:v>
      </x:c>
      <x:c r="AE121" s="145"/>
      <x:c r="AF121" s="145"/>
      <x:c r="AG121" s="145"/>
      <x:c r="AH121" s="145"/>
      <x:c r="AI121" s="145"/>
      <x:c r="AJ121"/>
    </x:row>
    <x:row r="122" ht="30" customHeight="1">
      <x:c r="A122" s="138" t="str">
        <x:v>Draft</x:v>
      </x:c>
      <x:c r="B122" s="138" t="str">
        <x:v>Hose End</x:v>
      </x:c>
      <x:c r="C122" s="138" t="str">
        <x:v>JIC_F_SW_12_12</x:v>
      </x:c>
      <x:c r="D122" s="138" t="str">
        <x:v>JIC_F_SW_12_12</x:v>
      </x:c>
      <x:c r="E122" s="138" t="str">
        <x:v>EA</x:v>
      </x:c>
      <x:c r="F122" s="139"/>
      <x:c r="G122" s="141" t="n">
        <x:v>1</x:v>
      </x:c>
      <x:c r="H122" s="141" t="n">
        <x:v>1</x:v>
      </x:c>
      <x:c r="I122" s="143"/>
      <x:c r="J122" s="141" t="n">
        <x:v>10</x:v>
      </x:c>
      <x:c r="K122" s="138" t="str">
        <x:v>China</x:v>
      </x:c>
      <x:c r="L122" t="str">
        <x:v>USD</x:v>
      </x:c>
      <x:c r="M122" s="126"/>
      <x:c r="N122"/>
      <x:c r="O122"/>
      <x:c r="P122" s="145"/>
      <x:c r="Q122" s="126"/>
      <x:c r="R122" s="149" t="n">
        <x:v>16.51</x:v>
      </x:c>
      <x:c r="S122" s="145"/>
      <x:c r="T122" s="145"/>
      <x:c r="U122" s="124"/>
      <x:c r="V122" s="124"/>
      <x:c r="W122" s="124"/>
      <x:c r="X122" s="124"/>
      <x:c r="Y122"/>
      <x:c r="Z122"/>
      <x:c r="AA122" s="116" t="str">
        <x:v>Net unit weight missing in 02. Order-level RFQ minimum: USD 100. Retail source: DHH exact FJX-12-12W; direct each price; observed 2026-08-15; https://www.discounthydraulichose.com/FJX-12-12W.html</x:v>
      </x:c>
      <x:c r="AB122" s="161" t="str">
        <x:v>Eligible</x:v>
      </x:c>
      <x:c r="AC122" s="161" t="str">
        <x:v>Pending</x:v>
      </x:c>
      <x:c r="AD122" t="str">
        <x:v>Units</x:v>
      </x:c>
      <x:c r="AE122" s="145"/>
      <x:c r="AF122" s="145"/>
      <x:c r="AG122" s="145"/>
      <x:c r="AH122" s="145"/>
      <x:c r="AI122" s="145"/>
      <x:c r="AJ122"/>
    </x:row>
    <x:row r="123" ht="30" customHeight="1">
      <x:c r="A123" s="138" t="str">
        <x:v>Draft</x:v>
      </x:c>
      <x:c r="B123" s="138" t="str">
        <x:v>Hose End</x:v>
      </x:c>
      <x:c r="C123" s="138" t="str">
        <x:v>JIC_F_SW_12_16</x:v>
      </x:c>
      <x:c r="D123" s="138" t="str">
        <x:v>JIC_F_SW_12_16</x:v>
      </x:c>
      <x:c r="E123" s="138" t="str">
        <x:v>EA</x:v>
      </x:c>
      <x:c r="F123" s="139"/>
      <x:c r="G123" s="141" t="n">
        <x:v>1</x:v>
      </x:c>
      <x:c r="H123" s="141" t="n">
        <x:v>1</x:v>
      </x:c>
      <x:c r="I123" s="143"/>
      <x:c r="J123" s="141" t="n">
        <x:v>10</x:v>
      </x:c>
      <x:c r="K123" s="138" t="str">
        <x:v>China</x:v>
      </x:c>
      <x:c r="L123" t="str">
        <x:v>USD</x:v>
      </x:c>
      <x:c r="M123" s="126"/>
      <x:c r="N123"/>
      <x:c r="O123"/>
      <x:c r="P123" s="145"/>
      <x:c r="Q123" s="126"/>
      <x:c r="R123" s="149" t="n">
        <x:v>44.41</x:v>
      </x:c>
      <x:c r="S123" s="145"/>
      <x:c r="T123" s="145"/>
      <x:c r="U123" s="124"/>
      <x:c r="V123" s="124"/>
      <x:c r="W123" s="124"/>
      <x:c r="X123" s="124"/>
      <x:c r="Y123"/>
      <x:c r="Z123"/>
      <x:c r="AA123" s="116" t="str">
        <x:v>Net unit weight missing in 02. Order-level RFQ minimum: USD 100. Retail source: DHH exact FJX-16-12W; direct each price; observed 2026-08-15; https://www.discounthydraulichose.com/FJX-16-12W.html</x:v>
      </x:c>
      <x:c r="AB123" s="161" t="str">
        <x:v>Eligible</x:v>
      </x:c>
      <x:c r="AC123" s="161" t="str">
        <x:v>Pending</x:v>
      </x:c>
      <x:c r="AD123" t="str">
        <x:v>Units</x:v>
      </x:c>
      <x:c r="AE123" s="145"/>
      <x:c r="AF123" s="145"/>
      <x:c r="AG123" s="145"/>
      <x:c r="AH123" s="145"/>
      <x:c r="AI123" s="145"/>
      <x:c r="AJ123"/>
    </x:row>
    <x:row r="124" ht="30" customHeight="1">
      <x:c r="A124" s="138" t="str">
        <x:v>Draft</x:v>
      </x:c>
      <x:c r="B124" s="138" t="str">
        <x:v>Hose End</x:v>
      </x:c>
      <x:c r="C124" s="138" t="str">
        <x:v>JIC_F_SW_14_12</x:v>
      </x:c>
      <x:c r="D124" s="138" t="str">
        <x:v>JIC_F_SW_14_12</x:v>
      </x:c>
      <x:c r="E124" s="138" t="str">
        <x:v>EA</x:v>
      </x:c>
      <x:c r="F124" s="139"/>
      <x:c r="G124" s="141" t="n">
        <x:v>1</x:v>
      </x:c>
      <x:c r="H124" s="141" t="n">
        <x:v>1</x:v>
      </x:c>
      <x:c r="I124" s="143"/>
      <x:c r="J124" s="141" t="n">
        <x:v>10</x:v>
      </x:c>
      <x:c r="K124" s="138" t="str">
        <x:v>China</x:v>
      </x:c>
      <x:c r="L124" t="str">
        <x:v>USD</x:v>
      </x:c>
      <x:c r="M124" s="126"/>
      <x:c r="N124"/>
      <x:c r="O124"/>
      <x:c r="P124" s="145"/>
      <x:c r="Q124" s="126"/>
      <x:c r="R124" s="149" t="n">
        <x:v>28.61</x:v>
      </x:c>
      <x:c r="S124" s="145"/>
      <x:c r="T124" s="145"/>
      <x:c r="U124" s="124"/>
      <x:c r="V124" s="124"/>
      <x:c r="W124" s="124"/>
      <x:c r="X124" s="124"/>
      <x:c r="Y124"/>
      <x:c r="Z124"/>
      <x:c r="AA124" s="116" t="str">
        <x:v>Net unit weight missing in 02. Order-level RFQ minimum: USD 100. Retail source: DHH exact FJX-12-14W; direct each price; observed 2026-08-15; https://www.discounthydraulichose.com/FJX-12-14W.html</x:v>
      </x:c>
      <x:c r="AB124" s="161" t="str">
        <x:v>Eligible</x:v>
      </x:c>
      <x:c r="AC124" s="161" t="str">
        <x:v>Pending</x:v>
      </x:c>
      <x:c r="AD124" t="str">
        <x:v>Units</x:v>
      </x:c>
      <x:c r="AE124" s="145"/>
      <x:c r="AF124" s="145"/>
      <x:c r="AG124" s="145"/>
      <x:c r="AH124" s="145"/>
      <x:c r="AI124" s="145"/>
      <x:c r="AJ124"/>
    </x:row>
    <x:row r="125" ht="30" customHeight="1">
      <x:c r="A125" s="138" t="str">
        <x:v>Draft</x:v>
      </x:c>
      <x:c r="B125" s="138" t="str">
        <x:v>Hose End</x:v>
      </x:c>
      <x:c r="C125" s="138" t="str">
        <x:v>JIC_F_SW_16_12</x:v>
      </x:c>
      <x:c r="D125" s="138" t="str">
        <x:v>JIC_F_SW_16_12</x:v>
      </x:c>
      <x:c r="E125" s="138" t="str">
        <x:v>EA</x:v>
      </x:c>
      <x:c r="F125" s="139"/>
      <x:c r="G125" s="141" t="n">
        <x:v>1</x:v>
      </x:c>
      <x:c r="H125" s="141" t="n">
        <x:v>1</x:v>
      </x:c>
      <x:c r="I125" s="143"/>
      <x:c r="J125" s="141" t="n">
        <x:v>10</x:v>
      </x:c>
      <x:c r="K125" s="138" t="str">
        <x:v>China</x:v>
      </x:c>
      <x:c r="L125" t="str">
        <x:v>USD</x:v>
      </x:c>
      <x:c r="M125" s="126"/>
      <x:c r="N125"/>
      <x:c r="O125"/>
      <x:c r="P125" s="145"/>
      <x:c r="Q125" s="126"/>
      <x:c r="R125" s="149" t="n">
        <x:v>23.31</x:v>
      </x:c>
      <x:c r="S125" s="145"/>
      <x:c r="T125" s="145"/>
      <x:c r="U125" s="124"/>
      <x:c r="V125" s="124"/>
      <x:c r="W125" s="124"/>
      <x:c r="X125" s="124"/>
      <x:c r="Y125"/>
      <x:c r="Z125"/>
      <x:c r="AA125" s="116" t="str">
        <x:v>Net unit weight missing in 02. Order-level RFQ minimum: USD 100. Retail source: DHH exact FJX-12-16W; direct each price; observed 2026-08-15; https://www.discounthydraulichose.com/FJX-12-16W.html</x:v>
      </x:c>
      <x:c r="AB125" s="161" t="str">
        <x:v>Eligible</x:v>
      </x:c>
      <x:c r="AC125" s="161" t="str">
        <x:v>Pending</x:v>
      </x:c>
      <x:c r="AD125" t="str">
        <x:v>Units</x:v>
      </x:c>
      <x:c r="AE125" s="145"/>
      <x:c r="AF125" s="145"/>
      <x:c r="AG125" s="145"/>
      <x:c r="AH125" s="145"/>
      <x:c r="AI125" s="145"/>
      <x:c r="AJ125"/>
    </x:row>
    <x:row r="126" ht="30" customHeight="1">
      <x:c r="A126" s="138" t="str">
        <x:v>Draft</x:v>
      </x:c>
      <x:c r="B126" s="138" t="str">
        <x:v>Hose End</x:v>
      </x:c>
      <x:c r="C126" s="138" t="str">
        <x:v>JIC_F_SW_16_16</x:v>
      </x:c>
      <x:c r="D126" s="138" t="str">
        <x:v>JIC_F_SW_16_16</x:v>
      </x:c>
      <x:c r="E126" s="138" t="str">
        <x:v>EA</x:v>
      </x:c>
      <x:c r="F126" s="139"/>
      <x:c r="G126" s="141" t="n">
        <x:v>1</x:v>
      </x:c>
      <x:c r="H126" s="141" t="n">
        <x:v>1</x:v>
      </x:c>
      <x:c r="I126" s="143"/>
      <x:c r="J126" s="141" t="n">
        <x:v>10</x:v>
      </x:c>
      <x:c r="K126" s="138" t="str">
        <x:v>China</x:v>
      </x:c>
      <x:c r="L126" t="str">
        <x:v>USD</x:v>
      </x:c>
      <x:c r="M126" s="126"/>
      <x:c r="N126"/>
      <x:c r="O126"/>
      <x:c r="P126" s="145"/>
      <x:c r="Q126" s="126"/>
      <x:c r="R126" s="149" t="n">
        <x:v>29.81</x:v>
      </x:c>
      <x:c r="S126" s="145"/>
      <x:c r="T126" s="145"/>
      <x:c r="U126" s="124"/>
      <x:c r="V126" s="124"/>
      <x:c r="W126" s="124"/>
      <x:c r="X126" s="124"/>
      <x:c r="Y126"/>
      <x:c r="Z126"/>
      <x:c r="AA126" s="116" t="str">
        <x:v>Net unit weight missing in 02. Order-level RFQ minimum: USD 100. Retail source: DHH exact FJX-16-16W; direct each price; observed 2026-08-15; https://www.discounthydraulichose.com/FJX-16-16W.html</x:v>
      </x:c>
      <x:c r="AB126" s="161" t="str">
        <x:v>Eligible</x:v>
      </x:c>
      <x:c r="AC126" s="161" t="str">
        <x:v>Pending</x:v>
      </x:c>
      <x:c r="AD126" t="str">
        <x:v>Units</x:v>
      </x:c>
      <x:c r="AE126" s="145"/>
      <x:c r="AF126" s="145"/>
      <x:c r="AG126" s="145"/>
      <x:c r="AH126" s="145"/>
      <x:c r="AI126" s="145"/>
      <x:c r="AJ126"/>
    </x:row>
    <x:row r="127" ht="30" customHeight="1">
      <x:c r="A127" s="138" t="str">
        <x:v>Draft</x:v>
      </x:c>
      <x:c r="B127" s="138" t="str">
        <x:v>Hose End</x:v>
      </x:c>
      <x:c r="C127" s="138" t="str">
        <x:v>JIC_F_SW_20_16</x:v>
      </x:c>
      <x:c r="D127" s="138" t="str">
        <x:v>JIC_F_SW_20_16</x:v>
      </x:c>
      <x:c r="E127" s="138" t="str">
        <x:v>EA</x:v>
      </x:c>
      <x:c r="F127" s="139"/>
      <x:c r="G127" s="141" t="n">
        <x:v>1</x:v>
      </x:c>
      <x:c r="H127" s="141" t="n">
        <x:v>1</x:v>
      </x:c>
      <x:c r="I127" s="143"/>
      <x:c r="J127" s="141" t="n">
        <x:v>10</x:v>
      </x:c>
      <x:c r="K127" s="138" t="str">
        <x:v>China</x:v>
      </x:c>
      <x:c r="L127" t="str">
        <x:v>USD</x:v>
      </x:c>
      <x:c r="M127" s="126"/>
      <x:c r="N127"/>
      <x:c r="O127"/>
      <x:c r="P127" s="145"/>
      <x:c r="Q127" s="126"/>
      <x:c r="R127" s="149" t="n">
        <x:v>48.19</x:v>
      </x:c>
      <x:c r="S127" s="145"/>
      <x:c r="T127" s="145"/>
      <x:c r="U127" s="124"/>
      <x:c r="V127" s="124"/>
      <x:c r="W127" s="124"/>
      <x:c r="X127" s="124"/>
      <x:c r="Y127"/>
      <x:c r="Z127"/>
      <x:c r="AA127" s="116" t="str">
        <x:v>Net unit weight missing in 02. Order-level RFQ minimum: USD 100. Retail source: DHH exact FJX-16-20W; direct each price; observed 2026-08-15; https://www.discounthydraulichose.com/FJX-16-20W.html</x:v>
      </x:c>
      <x:c r="AB127" s="161" t="str">
        <x:v>Eligible</x:v>
      </x:c>
      <x:c r="AC127" s="161" t="str">
        <x:v>Pending</x:v>
      </x:c>
      <x:c r="AD127" t="str">
        <x:v>Units</x:v>
      </x:c>
      <x:c r="AE127" s="145"/>
      <x:c r="AF127" s="145"/>
      <x:c r="AG127" s="145"/>
      <x:c r="AH127" s="145"/>
      <x:c r="AI127" s="145"/>
      <x:c r="AJ127"/>
    </x:row>
    <x:row r="128" ht="30" customHeight="1">
      <x:c r="A128" s="138" t="str">
        <x:v>Draft</x:v>
      </x:c>
      <x:c r="B128" s="138" t="str">
        <x:v>Hose End</x:v>
      </x:c>
      <x:c r="C128" s="138" t="str">
        <x:v>JIC_M_FX_04_04</x:v>
      </x:c>
      <x:c r="D128" s="138" t="str">
        <x:v>JIC_M_FX_04_04</x:v>
      </x:c>
      <x:c r="E128" s="138" t="str">
        <x:v>EA</x:v>
      </x:c>
      <x:c r="F128" s="139"/>
      <x:c r="G128" s="141" t="n">
        <x:v>1</x:v>
      </x:c>
      <x:c r="H128" s="141" t="n">
        <x:v>1</x:v>
      </x:c>
      <x:c r="I128" s="143"/>
      <x:c r="J128" s="141" t="n">
        <x:v>10</x:v>
      </x:c>
      <x:c r="K128" s="138" t="str">
        <x:v>China</x:v>
      </x:c>
      <x:c r="L128" t="str">
        <x:v>USD</x:v>
      </x:c>
      <x:c r="M128" s="126"/>
      <x:c r="N128"/>
      <x:c r="O128"/>
      <x:c r="P128" s="145"/>
      <x:c r="Q128" s="126"/>
      <x:c r="R128" s="149" t="n">
        <x:v>7.26</x:v>
      </x:c>
      <x:c r="S128" s="145"/>
      <x:c r="T128" s="145"/>
      <x:c r="U128" s="124"/>
      <x:c r="V128" s="124"/>
      <x:c r="W128" s="124"/>
      <x:c r="X128" s="124"/>
      <x:c r="Y128"/>
      <x:c r="Z128"/>
      <x:c r="AA128" s="116" t="str">
        <x:v>Net unit weight missing in 02. Order-level RFQ minimum: USD 100. Retail source: DHH exact MJ-04-04W; direct each price; observed 2026-08-15; https://www.discounthydraulichose.com/MJ-04-04W.html</x:v>
      </x:c>
      <x:c r="AB128" s="161" t="str">
        <x:v>Eligible</x:v>
      </x:c>
      <x:c r="AC128" s="161" t="str">
        <x:v>Pending</x:v>
      </x:c>
      <x:c r="AD128" t="str">
        <x:v>Units</x:v>
      </x:c>
      <x:c r="AE128" s="145"/>
      <x:c r="AF128" s="145"/>
      <x:c r="AG128" s="145"/>
      <x:c r="AH128" s="145"/>
      <x:c r="AI128" s="145"/>
      <x:c r="AJ128"/>
    </x:row>
    <x:row r="129" ht="30" customHeight="1">
      <x:c r="A129" s="138" t="str">
        <x:v>Draft</x:v>
      </x:c>
      <x:c r="B129" s="138" t="str">
        <x:v>Hose End</x:v>
      </x:c>
      <x:c r="C129" s="138" t="str">
        <x:v>JIC_M_FX_05_04</x:v>
      </x:c>
      <x:c r="D129" s="138" t="str">
        <x:v>JIC_M_FX_05_04</x:v>
      </x:c>
      <x:c r="E129" s="138" t="str">
        <x:v>EA</x:v>
      </x:c>
      <x:c r="F129" s="139"/>
      <x:c r="G129" s="141" t="n">
        <x:v>1</x:v>
      </x:c>
      <x:c r="H129" s="141" t="n">
        <x:v>1</x:v>
      </x:c>
      <x:c r="I129" s="143"/>
      <x:c r="J129" s="141" t="n">
        <x:v>10</x:v>
      </x:c>
      <x:c r="K129" s="138" t="str">
        <x:v>China</x:v>
      </x:c>
      <x:c r="L129" t="str">
        <x:v>USD</x:v>
      </x:c>
      <x:c r="M129" s="126"/>
      <x:c r="N129"/>
      <x:c r="O129"/>
      <x:c r="P129" s="145"/>
      <x:c r="Q129" s="126"/>
      <x:c r="R129" s="149" t="n">
        <x:v>7.43</x:v>
      </x:c>
      <x:c r="S129" s="145"/>
      <x:c r="T129" s="145"/>
      <x:c r="U129" s="124"/>
      <x:c r="V129" s="124"/>
      <x:c r="W129" s="124"/>
      <x:c r="X129" s="124"/>
      <x:c r="Y129"/>
      <x:c r="Z129"/>
      <x:c r="AA129" s="116" t="str">
        <x:v>Net unit weight missing in 02. Order-level RFQ minimum: USD 100. Retail source: DHH exact MJ-04-05W; direct each price; observed 2026-08-15; https://www.discounthydraulichose.com/MJ-04-05W.html</x:v>
      </x:c>
      <x:c r="AB129" s="161" t="str">
        <x:v>Eligible</x:v>
      </x:c>
      <x:c r="AC129" s="161" t="str">
        <x:v>Pending</x:v>
      </x:c>
      <x:c r="AD129" t="str">
        <x:v>Units</x:v>
      </x:c>
      <x:c r="AE129" s="145"/>
      <x:c r="AF129" s="145"/>
      <x:c r="AG129" s="145"/>
      <x:c r="AH129" s="145"/>
      <x:c r="AI129" s="145"/>
      <x:c r="AJ129"/>
    </x:row>
    <x:row r="130" ht="30" customHeight="1">
      <x:c r="A130" s="138" t="str">
        <x:v>Draft</x:v>
      </x:c>
      <x:c r="B130" s="138" t="str">
        <x:v>Hose End</x:v>
      </x:c>
      <x:c r="C130" s="138" t="str">
        <x:v>JIC_M_FX_05_06</x:v>
      </x:c>
      <x:c r="D130" s="138" t="str">
        <x:v>JIC_M_FX_05_06</x:v>
      </x:c>
      <x:c r="E130" s="138" t="str">
        <x:v>EA</x:v>
      </x:c>
      <x:c r="F130" s="139"/>
      <x:c r="G130" s="141" t="n">
        <x:v>1</x:v>
      </x:c>
      <x:c r="H130" s="141" t="n">
        <x:v>1</x:v>
      </x:c>
      <x:c r="I130" s="143"/>
      <x:c r="J130" s="141" t="n">
        <x:v>10</x:v>
      </x:c>
      <x:c r="K130" s="138" t="str">
        <x:v>China</x:v>
      </x:c>
      <x:c r="L130" t="str">
        <x:v>USD</x:v>
      </x:c>
      <x:c r="M130" s="126"/>
      <x:c r="N130"/>
      <x:c r="O130"/>
      <x:c r="P130" s="145"/>
      <x:c r="Q130" s="126"/>
      <x:c r="R130" s="149" t="n">
        <x:v>15.82</x:v>
      </x:c>
      <x:c r="S130" s="145"/>
      <x:c r="T130" s="145"/>
      <x:c r="U130" s="124"/>
      <x:c r="V130" s="124"/>
      <x:c r="W130" s="124"/>
      <x:c r="X130" s="124"/>
      <x:c r="Y130"/>
      <x:c r="Z130"/>
      <x:c r="AA130" s="116" t="str">
        <x:v>Net unit weight missing in 02. Order-level RFQ minimum: USD 100. Retail source: DHH exact MJ-06-05W; direct each price; observed 2026-08-15; https://www.discounthydraulichose.com/MJ-06-05W.html</x:v>
      </x:c>
      <x:c r="AB130" s="161" t="str">
        <x:v>Eligible</x:v>
      </x:c>
      <x:c r="AC130" s="161" t="str">
        <x:v>Pending</x:v>
      </x:c>
      <x:c r="AD130" t="str">
        <x:v>Units</x:v>
      </x:c>
      <x:c r="AE130" s="145"/>
      <x:c r="AF130" s="145"/>
      <x:c r="AG130" s="145"/>
      <x:c r="AH130" s="145"/>
      <x:c r="AI130" s="145"/>
      <x:c r="AJ130"/>
    </x:row>
    <x:row r="131" ht="30" customHeight="1">
      <x:c r="A131" s="138" t="str">
        <x:v>Draft</x:v>
      </x:c>
      <x:c r="B131" s="138" t="str">
        <x:v>Hose End</x:v>
      </x:c>
      <x:c r="C131" s="138" t="str">
        <x:v>JIC_M_FX_06_04</x:v>
      </x:c>
      <x:c r="D131" s="138" t="str">
        <x:v>JIC_M_FX_06_04</x:v>
      </x:c>
      <x:c r="E131" s="138" t="str">
        <x:v>EA</x:v>
      </x:c>
      <x:c r="F131" s="139"/>
      <x:c r="G131" s="141" t="n">
        <x:v>1</x:v>
      </x:c>
      <x:c r="H131" s="141" t="n">
        <x:v>1</x:v>
      </x:c>
      <x:c r="I131" s="143"/>
      <x:c r="J131" s="141" t="n">
        <x:v>10</x:v>
      </x:c>
      <x:c r="K131" s="138" t="str">
        <x:v>China</x:v>
      </x:c>
      <x:c r="L131" t="str">
        <x:v>USD</x:v>
      </x:c>
      <x:c r="M131" s="126"/>
      <x:c r="N131"/>
      <x:c r="O131"/>
      <x:c r="P131" s="145"/>
      <x:c r="Q131" s="126"/>
      <x:c r="R131" s="149" t="n">
        <x:v>8.09</x:v>
      </x:c>
      <x:c r="S131" s="145"/>
      <x:c r="T131" s="145"/>
      <x:c r="U131" s="124"/>
      <x:c r="V131" s="124"/>
      <x:c r="W131" s="124"/>
      <x:c r="X131" s="124"/>
      <x:c r="Y131"/>
      <x:c r="Z131"/>
      <x:c r="AA131" s="116" t="str">
        <x:v>Net unit weight missing in 02. Order-level RFQ minimum: USD 100. Retail source: DHH exact MJ-04-06W; direct each price; observed 2026-08-15; https://www.discounthydraulichose.com/MJ-04-06W.html</x:v>
      </x:c>
      <x:c r="AB131" s="161" t="str">
        <x:v>Eligible</x:v>
      </x:c>
      <x:c r="AC131" s="161" t="str">
        <x:v>Pending</x:v>
      </x:c>
      <x:c r="AD131" t="str">
        <x:v>Units</x:v>
      </x:c>
      <x:c r="AE131" s="145"/>
      <x:c r="AF131" s="145"/>
      <x:c r="AG131" s="145"/>
      <x:c r="AH131" s="145"/>
      <x:c r="AI131" s="145"/>
      <x:c r="AJ131"/>
    </x:row>
    <x:row r="132" ht="30" customHeight="1">
      <x:c r="A132" s="138" t="str">
        <x:v>Draft</x:v>
      </x:c>
      <x:c r="B132" s="138" t="str">
        <x:v>Hose End</x:v>
      </x:c>
      <x:c r="C132" s="138" t="str">
        <x:v>JIC_M_FX_06_06</x:v>
      </x:c>
      <x:c r="D132" s="138" t="str">
        <x:v>JIC_M_FX_06_06</x:v>
      </x:c>
      <x:c r="E132" s="138" t="str">
        <x:v>EA</x:v>
      </x:c>
      <x:c r="F132" s="139"/>
      <x:c r="G132" s="141" t="n">
        <x:v>1</x:v>
      </x:c>
      <x:c r="H132" s="141" t="n">
        <x:v>1</x:v>
      </x:c>
      <x:c r="I132" s="143"/>
      <x:c r="J132" s="141" t="n">
        <x:v>10</x:v>
      </x:c>
      <x:c r="K132" s="138" t="str">
        <x:v>China</x:v>
      </x:c>
      <x:c r="L132" t="str">
        <x:v>USD</x:v>
      </x:c>
      <x:c r="M132" s="126"/>
      <x:c r="N132"/>
      <x:c r="O132"/>
      <x:c r="P132" s="145"/>
      <x:c r="Q132" s="126"/>
      <x:c r="R132" s="149" t="n">
        <x:v>8.05</x:v>
      </x:c>
      <x:c r="S132" s="145"/>
      <x:c r="T132" s="145"/>
      <x:c r="U132" s="124"/>
      <x:c r="V132" s="124"/>
      <x:c r="W132" s="124"/>
      <x:c r="X132" s="124"/>
      <x:c r="Y132"/>
      <x:c r="Z132"/>
      <x:c r="AA132" s="116" t="str">
        <x:v>Net unit weight missing in 02. Order-level RFQ minimum: USD 100. Retail source: DHH exact MJ-06-06W; direct each price; observed 2026-08-15; https://www.discounthydraulichose.com/MJ-06-06W.html</x:v>
      </x:c>
      <x:c r="AB132" s="161" t="str">
        <x:v>Eligible</x:v>
      </x:c>
      <x:c r="AC132" s="161" t="str">
        <x:v>Pending</x:v>
      </x:c>
      <x:c r="AD132" t="str">
        <x:v>Units</x:v>
      </x:c>
      <x:c r="AE132" s="145"/>
      <x:c r="AF132" s="145"/>
      <x:c r="AG132" s="145"/>
      <x:c r="AH132" s="145"/>
      <x:c r="AI132" s="145"/>
      <x:c r="AJ132"/>
    </x:row>
    <x:row r="133" ht="30" customHeight="1">
      <x:c r="A133" s="138" t="str">
        <x:v>Draft</x:v>
      </x:c>
      <x:c r="B133" s="138" t="str">
        <x:v>Hose End</x:v>
      </x:c>
      <x:c r="C133" s="138" t="str">
        <x:v>JIC_M_FX_06_08</x:v>
      </x:c>
      <x:c r="D133" s="138" t="str">
        <x:v>JIC_M_FX_06_08</x:v>
      </x:c>
      <x:c r="E133" s="138" t="str">
        <x:v>EA</x:v>
      </x:c>
      <x:c r="F133" s="139"/>
      <x:c r="G133" s="141" t="n">
        <x:v>1</x:v>
      </x:c>
      <x:c r="H133" s="141" t="n">
        <x:v>1</x:v>
      </x:c>
      <x:c r="I133" s="143"/>
      <x:c r="J133" s="141" t="n">
        <x:v>10</x:v>
      </x:c>
      <x:c r="K133" s="138" t="str">
        <x:v>China</x:v>
      </x:c>
      <x:c r="L133" t="str">
        <x:v>USD</x:v>
      </x:c>
      <x:c r="M133" s="126"/>
      <x:c r="N133"/>
      <x:c r="O133"/>
      <x:c r="P133" s="145"/>
      <x:c r="Q133" s="126"/>
      <x:c r="R133" s="149" t="n">
        <x:v>24.71</x:v>
      </x:c>
      <x:c r="S133" s="145"/>
      <x:c r="T133" s="145"/>
      <x:c r="U133" s="124"/>
      <x:c r="V133" s="124"/>
      <x:c r="W133" s="124"/>
      <x:c r="X133" s="124"/>
      <x:c r="Y133"/>
      <x:c r="Z133"/>
      <x:c r="AA133" s="116" t="str">
        <x:v>Net unit weight missing in 02. Order-level RFQ minimum: USD 100. Retail source: DHH exact MJ-08-06W; direct each price; observed 2026-08-15; https://www.discounthydraulichose.com/MJ-08-06W.html</x:v>
      </x:c>
      <x:c r="AB133" s="161" t="str">
        <x:v>Eligible</x:v>
      </x:c>
      <x:c r="AC133" s="161" t="str">
        <x:v>Pending</x:v>
      </x:c>
      <x:c r="AD133" t="str">
        <x:v>Units</x:v>
      </x:c>
      <x:c r="AE133" s="145"/>
      <x:c r="AF133" s="145"/>
      <x:c r="AG133" s="145"/>
      <x:c r="AH133" s="145"/>
      <x:c r="AI133" s="145"/>
      <x:c r="AJ133"/>
    </x:row>
    <x:row r="134" ht="30" customHeight="1">
      <x:c r="A134" s="138" t="str">
        <x:v>Draft</x:v>
      </x:c>
      <x:c r="B134" s="138" t="str">
        <x:v>Hose End</x:v>
      </x:c>
      <x:c r="C134" s="138" t="str">
        <x:v>JIC_M_FX_08_06</x:v>
      </x:c>
      <x:c r="D134" s="138" t="str">
        <x:v>JIC_M_FX_08_06</x:v>
      </x:c>
      <x:c r="E134" s="138" t="str">
        <x:v>EA</x:v>
      </x:c>
      <x:c r="F134" s="139"/>
      <x:c r="G134" s="141" t="n">
        <x:v>1</x:v>
      </x:c>
      <x:c r="H134" s="141" t="n">
        <x:v>1</x:v>
      </x:c>
      <x:c r="I134" s="143"/>
      <x:c r="J134" s="141" t="n">
        <x:v>10</x:v>
      </x:c>
      <x:c r="K134" s="138" t="str">
        <x:v>China</x:v>
      </x:c>
      <x:c r="L134" t="str">
        <x:v>USD</x:v>
      </x:c>
      <x:c r="M134" s="126"/>
      <x:c r="N134"/>
      <x:c r="O134"/>
      <x:c r="P134" s="145"/>
      <x:c r="Q134" s="126"/>
      <x:c r="R134" s="149" t="n">
        <x:v>8.24</x:v>
      </x:c>
      <x:c r="S134" s="145"/>
      <x:c r="T134" s="145"/>
      <x:c r="U134" s="124"/>
      <x:c r="V134" s="124"/>
      <x:c r="W134" s="124"/>
      <x:c r="X134" s="124"/>
      <x:c r="Y134"/>
      <x:c r="Z134"/>
      <x:c r="AA134" s="116" t="str">
        <x:v>Net unit weight missing in 02. Order-level RFQ minimum: USD 100. Retail source: DHH exact MJ-06-08W; direct each price; observed 2026-08-15; https://www.discounthydraulichose.com/MJ-06-08W.html</x:v>
      </x:c>
      <x:c r="AB134" s="161" t="str">
        <x:v>Eligible</x:v>
      </x:c>
      <x:c r="AC134" s="161" t="str">
        <x:v>Pending</x:v>
      </x:c>
      <x:c r="AD134" t="str">
        <x:v>Units</x:v>
      </x:c>
      <x:c r="AE134" s="145"/>
      <x:c r="AF134" s="145"/>
      <x:c r="AG134" s="145"/>
      <x:c r="AH134" s="145"/>
      <x:c r="AI134" s="145"/>
      <x:c r="AJ134"/>
    </x:row>
    <x:row r="135" ht="30" customHeight="1">
      <x:c r="A135" s="138" t="str">
        <x:v>Draft</x:v>
      </x:c>
      <x:c r="B135" s="138" t="str">
        <x:v>Hose End</x:v>
      </x:c>
      <x:c r="C135" s="138" t="str">
        <x:v>JIC_M_FX_08_08</x:v>
      </x:c>
      <x:c r="D135" s="138" t="str">
        <x:v>JIC_M_FX_08_08</x:v>
      </x:c>
      <x:c r="E135" s="138" t="str">
        <x:v>EA</x:v>
      </x:c>
      <x:c r="F135" s="139"/>
      <x:c r="G135" s="141" t="n">
        <x:v>1</x:v>
      </x:c>
      <x:c r="H135" s="141" t="n">
        <x:v>1</x:v>
      </x:c>
      <x:c r="I135" s="143"/>
      <x:c r="J135" s="141" t="n">
        <x:v>10</x:v>
      </x:c>
      <x:c r="K135" s="138" t="str">
        <x:v>China</x:v>
      </x:c>
      <x:c r="L135" t="str">
        <x:v>USD</x:v>
      </x:c>
      <x:c r="M135" s="126"/>
      <x:c r="N135"/>
      <x:c r="O135"/>
      <x:c r="P135" s="145"/>
      <x:c r="Q135" s="126"/>
      <x:c r="R135" s="149" t="n">
        <x:v>9.57</x:v>
      </x:c>
      <x:c r="S135" s="145"/>
      <x:c r="T135" s="145"/>
      <x:c r="U135" s="124"/>
      <x:c r="V135" s="124"/>
      <x:c r="W135" s="124"/>
      <x:c r="X135" s="124"/>
      <x:c r="Y135"/>
      <x:c r="Z135"/>
      <x:c r="AA135" s="116" t="str">
        <x:v>Net unit weight missing in 02. Order-level RFQ minimum: USD 100. Retail source: DHH exact MJ-08-08W; direct each price; observed 2026-08-15; https://www.discounthydraulichose.com/MJ-08-08W.html</x:v>
      </x:c>
      <x:c r="AB135" s="161" t="str">
        <x:v>Eligible</x:v>
      </x:c>
      <x:c r="AC135" s="161" t="str">
        <x:v>Pending</x:v>
      </x:c>
      <x:c r="AD135" t="str">
        <x:v>Units</x:v>
      </x:c>
      <x:c r="AE135" s="145"/>
      <x:c r="AF135" s="145"/>
      <x:c r="AG135" s="145"/>
      <x:c r="AH135" s="145"/>
      <x:c r="AI135" s="145"/>
      <x:c r="AJ135"/>
    </x:row>
    <x:row r="136" ht="30" customHeight="1">
      <x:c r="A136" s="138" t="str">
        <x:v>Draft</x:v>
      </x:c>
      <x:c r="B136" s="138" t="str">
        <x:v>Hose End</x:v>
      </x:c>
      <x:c r="C136" s="138" t="str">
        <x:v>JIC_M_FX_10_06</x:v>
      </x:c>
      <x:c r="D136" s="138" t="str">
        <x:v>JIC_M_FX_10_06</x:v>
      </x:c>
      <x:c r="E136" s="138" t="str">
        <x:v>EA</x:v>
      </x:c>
      <x:c r="F136" s="139"/>
      <x:c r="G136" s="141" t="n">
        <x:v>1</x:v>
      </x:c>
      <x:c r="H136" s="141" t="n">
        <x:v>1</x:v>
      </x:c>
      <x:c r="I136" s="143"/>
      <x:c r="J136" s="141" t="n">
        <x:v>10</x:v>
      </x:c>
      <x:c r="K136" s="138" t="str">
        <x:v>China</x:v>
      </x:c>
      <x:c r="L136" t="str">
        <x:v>USD</x:v>
      </x:c>
      <x:c r="M136" s="126"/>
      <x:c r="N136"/>
      <x:c r="O136"/>
      <x:c r="P136" s="145"/>
      <x:c r="Q136" s="126"/>
      <x:c r="R136" s="149" t="n">
        <x:v>18.53</x:v>
      </x:c>
      <x:c r="S136" s="145"/>
      <x:c r="T136" s="145"/>
      <x:c r="U136" s="124"/>
      <x:c r="V136" s="124"/>
      <x:c r="W136" s="124"/>
      <x:c r="X136" s="124"/>
      <x:c r="Y136"/>
      <x:c r="Z136"/>
      <x:c r="AA136" s="116" t="str">
        <x:v>Net unit weight missing in 02. Order-level RFQ minimum: USD 100. Retail source: DHH exact MJ-06-10W; direct each price; observed 2026-08-15; https://www.discounthydraulichose.com/MJ-06-10W.html</x:v>
      </x:c>
      <x:c r="AB136" s="161" t="str">
        <x:v>Eligible</x:v>
      </x:c>
      <x:c r="AC136" s="161" t="str">
        <x:v>Pending</x:v>
      </x:c>
      <x:c r="AD136" t="str">
        <x:v>Units</x:v>
      </x:c>
      <x:c r="AE136" s="145"/>
      <x:c r="AF136" s="145"/>
      <x:c r="AG136" s="145"/>
      <x:c r="AH136" s="145"/>
      <x:c r="AI136" s="145"/>
      <x:c r="AJ136"/>
    </x:row>
    <x:row r="137" ht="30" customHeight="1">
      <x:c r="A137" s="138" t="str">
        <x:v>Draft</x:v>
      </x:c>
      <x:c r="B137" s="138" t="str">
        <x:v>Hose End</x:v>
      </x:c>
      <x:c r="C137" s="138" t="str">
        <x:v>JIC_M_FX_10_08</x:v>
      </x:c>
      <x:c r="D137" s="138" t="str">
        <x:v>JIC_M_FX_10_08</x:v>
      </x:c>
      <x:c r="E137" s="138" t="str">
        <x:v>EA</x:v>
      </x:c>
      <x:c r="F137" s="139"/>
      <x:c r="G137" s="141" t="n">
        <x:v>1</x:v>
      </x:c>
      <x:c r="H137" s="141" t="n">
        <x:v>1</x:v>
      </x:c>
      <x:c r="I137" s="143"/>
      <x:c r="J137" s="141" t="n">
        <x:v>10</x:v>
      </x:c>
      <x:c r="K137" s="138" t="str">
        <x:v>China</x:v>
      </x:c>
      <x:c r="L137" t="str">
        <x:v>USD</x:v>
      </x:c>
      <x:c r="M137" s="126"/>
      <x:c r="N137"/>
      <x:c r="O137"/>
      <x:c r="P137" s="145"/>
      <x:c r="Q137" s="126"/>
      <x:c r="R137" s="149" t="n">
        <x:v>12.97</x:v>
      </x:c>
      <x:c r="S137" s="145"/>
      <x:c r="T137" s="145"/>
      <x:c r="U137" s="124"/>
      <x:c r="V137" s="124"/>
      <x:c r="W137" s="124"/>
      <x:c r="X137" s="124"/>
      <x:c r="Y137"/>
      <x:c r="Z137"/>
      <x:c r="AA137" s="116" t="str">
        <x:v>Net unit weight missing in 02. Order-level RFQ minimum: USD 100. Retail source: DHH exact MJ-08-10W; direct each price; observed 2026-08-15; https://www.discounthydraulichose.com/MJ-08-10W.html</x:v>
      </x:c>
      <x:c r="AB137" s="161" t="str">
        <x:v>Eligible</x:v>
      </x:c>
      <x:c r="AC137" s="161" t="str">
        <x:v>Pending</x:v>
      </x:c>
      <x:c r="AD137" t="str">
        <x:v>Units</x:v>
      </x:c>
      <x:c r="AE137" s="145"/>
      <x:c r="AF137" s="145"/>
      <x:c r="AG137" s="145"/>
      <x:c r="AH137" s="145"/>
      <x:c r="AI137" s="145"/>
      <x:c r="AJ137"/>
    </x:row>
    <x:row r="138" ht="30" customHeight="1">
      <x:c r="A138" s="138" t="str">
        <x:v>Draft</x:v>
      </x:c>
      <x:c r="B138" s="138" t="str">
        <x:v>Hose End</x:v>
      </x:c>
      <x:c r="C138" s="138" t="str">
        <x:v>JIC_M_FX_10_10</x:v>
      </x:c>
      <x:c r="D138" s="138" t="str">
        <x:v>JIC_M_FX_10_10</x:v>
      </x:c>
      <x:c r="E138" s="138" t="str">
        <x:v>EA</x:v>
      </x:c>
      <x:c r="F138" s="139"/>
      <x:c r="G138" s="141" t="n">
        <x:v>1</x:v>
      </x:c>
      <x:c r="H138" s="141" t="n">
        <x:v>1</x:v>
      </x:c>
      <x:c r="I138" s="143"/>
      <x:c r="J138" s="141" t="n">
        <x:v>10</x:v>
      </x:c>
      <x:c r="K138" s="138" t="str">
        <x:v>China</x:v>
      </x:c>
      <x:c r="L138" t="str">
        <x:v>USD</x:v>
      </x:c>
      <x:c r="M138" s="126"/>
      <x:c r="N138"/>
      <x:c r="O138"/>
      <x:c r="P138" s="145"/>
      <x:c r="Q138" s="126"/>
      <x:c r="R138" s="149" t="n">
        <x:v>14.73</x:v>
      </x:c>
      <x:c r="S138" s="145"/>
      <x:c r="T138" s="145"/>
      <x:c r="U138" s="124"/>
      <x:c r="V138" s="124"/>
      <x:c r="W138" s="124"/>
      <x:c r="X138" s="124"/>
      <x:c r="Y138"/>
      <x:c r="Z138"/>
      <x:c r="AA138" s="116" t="str">
        <x:v>Net unit weight missing in 02. Order-level RFQ minimum: USD 100. Retail source: DHH exact MJ-10-10W; direct each price; observed 2026-08-15; https://www.discounthydraulichose.com/MJ-10-10W.html</x:v>
      </x:c>
      <x:c r="AB138" s="161" t="str">
        <x:v>Eligible</x:v>
      </x:c>
      <x:c r="AC138" s="161" t="str">
        <x:v>Pending</x:v>
      </x:c>
      <x:c r="AD138" t="str">
        <x:v>Units</x:v>
      </x:c>
      <x:c r="AE138" s="145"/>
      <x:c r="AF138" s="145"/>
      <x:c r="AG138" s="145"/>
      <x:c r="AH138" s="145"/>
      <x:c r="AI138" s="145"/>
      <x:c r="AJ138"/>
    </x:row>
    <x:row r="139" ht="30" customHeight="1">
      <x:c r="A139" s="138" t="str">
        <x:v>Draft</x:v>
      </x:c>
      <x:c r="B139" s="138" t="str">
        <x:v>Hose End</x:v>
      </x:c>
      <x:c r="C139" s="138" t="str">
        <x:v>JIC_M_FX_12_08</x:v>
      </x:c>
      <x:c r="D139" s="138" t="str">
        <x:v>JIC_M_FX_12_08</x:v>
      </x:c>
      <x:c r="E139" s="138" t="str">
        <x:v>EA</x:v>
      </x:c>
      <x:c r="F139" s="139"/>
      <x:c r="G139" s="141" t="n">
        <x:v>1</x:v>
      </x:c>
      <x:c r="H139" s="141" t="n">
        <x:v>1</x:v>
      </x:c>
      <x:c r="I139" s="143"/>
      <x:c r="J139" s="141" t="n">
        <x:v>10</x:v>
      </x:c>
      <x:c r="K139" s="138" t="str">
        <x:v>China</x:v>
      </x:c>
      <x:c r="L139" t="str">
        <x:v>USD</x:v>
      </x:c>
      <x:c r="M139" s="126"/>
      <x:c r="N139"/>
      <x:c r="O139"/>
      <x:c r="P139" s="145"/>
      <x:c r="Q139" s="126"/>
      <x:c r="R139" s="149" t="n">
        <x:v>21.49</x:v>
      </x:c>
      <x:c r="S139" s="145"/>
      <x:c r="T139" s="145"/>
      <x:c r="U139" s="124"/>
      <x:c r="V139" s="124"/>
      <x:c r="W139" s="124"/>
      <x:c r="X139" s="124"/>
      <x:c r="Y139"/>
      <x:c r="Z139"/>
      <x:c r="AA139" s="116" t="str">
        <x:v>Net unit weight missing in 02. Order-level RFQ minimum: USD 100. Retail source: DHH exact MJ-08-12W; direct each price; observed 2026-08-15; https://www.discounthydraulichose.com/MJ-08-12W.html</x:v>
      </x:c>
      <x:c r="AB139" s="161" t="str">
        <x:v>Eligible</x:v>
      </x:c>
      <x:c r="AC139" s="161" t="str">
        <x:v>Pending</x:v>
      </x:c>
      <x:c r="AD139" t="str">
        <x:v>Units</x:v>
      </x:c>
      <x:c r="AE139" s="145"/>
      <x:c r="AF139" s="145"/>
      <x:c r="AG139" s="145"/>
      <x:c r="AH139" s="145"/>
      <x:c r="AI139" s="145"/>
      <x:c r="AJ139"/>
    </x:row>
    <x:row r="140" ht="30" customHeight="1">
      <x:c r="A140" s="138" t="str">
        <x:v>Draft</x:v>
      </x:c>
      <x:c r="B140" s="138" t="str">
        <x:v>Hose End</x:v>
      </x:c>
      <x:c r="C140" s="138" t="str">
        <x:v>JIC_M_FX_12_12</x:v>
      </x:c>
      <x:c r="D140" s="138" t="str">
        <x:v>JIC_M_FX_12_12</x:v>
      </x:c>
      <x:c r="E140" s="138" t="str">
        <x:v>EA</x:v>
      </x:c>
      <x:c r="F140" s="139"/>
      <x:c r="G140" s="141" t="n">
        <x:v>1</x:v>
      </x:c>
      <x:c r="H140" s="141" t="n">
        <x:v>1</x:v>
      </x:c>
      <x:c r="I140" s="143"/>
      <x:c r="J140" s="141" t="n">
        <x:v>10</x:v>
      </x:c>
      <x:c r="K140" s="138" t="str">
        <x:v>China</x:v>
      </x:c>
      <x:c r="L140" t="str">
        <x:v>USD</x:v>
      </x:c>
      <x:c r="M140" s="126"/>
      <x:c r="N140"/>
      <x:c r="O140"/>
      <x:c r="P140" s="145"/>
      <x:c r="Q140" s="126"/>
      <x:c r="R140" s="149" t="n">
        <x:v>14.22</x:v>
      </x:c>
      <x:c r="S140" s="145"/>
      <x:c r="T140" s="145"/>
      <x:c r="U140" s="124"/>
      <x:c r="V140" s="124"/>
      <x:c r="W140" s="124"/>
      <x:c r="X140" s="124"/>
      <x:c r="Y140"/>
      <x:c r="Z140"/>
      <x:c r="AA140" s="116" t="str">
        <x:v>Net unit weight missing in 02. Order-level RFQ minimum: USD 100. Retail source: DHH exact MJ-12-12W; direct each price; observed 2026-08-15; https://www.discounthydraulichose.com/MJ-12-12W.html</x:v>
      </x:c>
      <x:c r="AB140" s="161" t="str">
        <x:v>Eligible</x:v>
      </x:c>
      <x:c r="AC140" s="161" t="str">
        <x:v>Pending</x:v>
      </x:c>
      <x:c r="AD140" t="str">
        <x:v>Units</x:v>
      </x:c>
      <x:c r="AE140" s="145"/>
      <x:c r="AF140" s="145"/>
      <x:c r="AG140" s="145"/>
      <x:c r="AH140" s="145"/>
      <x:c r="AI140" s="145"/>
      <x:c r="AJ140"/>
    </x:row>
    <x:row r="141" ht="30" customHeight="1">
      <x:c r="A141" s="138" t="str">
        <x:v>Draft</x:v>
      </x:c>
      <x:c r="B141" s="138" t="str">
        <x:v>Hose End</x:v>
      </x:c>
      <x:c r="C141" s="138" t="str">
        <x:v>JIC_M_FX_14_12</x:v>
      </x:c>
      <x:c r="D141" s="138" t="str">
        <x:v>JIC_M_FX_14_12</x:v>
      </x:c>
      <x:c r="E141" s="138" t="str">
        <x:v>EA</x:v>
      </x:c>
      <x:c r="F141" s="139"/>
      <x:c r="G141" s="141" t="n">
        <x:v>1</x:v>
      </x:c>
      <x:c r="H141" s="141" t="n">
        <x:v>1</x:v>
      </x:c>
      <x:c r="I141" s="143"/>
      <x:c r="J141" s="141" t="n">
        <x:v>10</x:v>
      </x:c>
      <x:c r="K141" s="138" t="str">
        <x:v>China</x:v>
      </x:c>
      <x:c r="L141" t="str">
        <x:v>USD</x:v>
      </x:c>
      <x:c r="M141" s="126"/>
      <x:c r="N141"/>
      <x:c r="O141"/>
      <x:c r="P141" s="145"/>
      <x:c r="Q141" s="126"/>
      <x:c r="R141" s="149" t="n">
        <x:v>22.44</x:v>
      </x:c>
      <x:c r="S141" s="145"/>
      <x:c r="T141" s="145"/>
      <x:c r="U141" s="124"/>
      <x:c r="V141" s="124"/>
      <x:c r="W141" s="124"/>
      <x:c r="X141" s="124"/>
      <x:c r="Y141"/>
      <x:c r="Z141"/>
      <x:c r="AA141" s="116" t="str">
        <x:v>Net unit weight missing in 02. Order-level RFQ minimum: USD 100. Retail source: DHH exact MJ-12-14W; direct each price; observed 2026-08-15; https://www.discounthydraulichose.com/MJ-12-14W.html</x:v>
      </x:c>
      <x:c r="AB141" s="161" t="str">
        <x:v>Eligible</x:v>
      </x:c>
      <x:c r="AC141" s="161" t="str">
        <x:v>Pending</x:v>
      </x:c>
      <x:c r="AD141" t="str">
        <x:v>Units</x:v>
      </x:c>
      <x:c r="AE141" s="145"/>
      <x:c r="AF141" s="145"/>
      <x:c r="AG141" s="145"/>
      <x:c r="AH141" s="145"/>
      <x:c r="AI141" s="145"/>
      <x:c r="AJ141"/>
    </x:row>
    <x:row r="142" ht="30" customHeight="1">
      <x:c r="A142" s="138" t="str">
        <x:v>Draft</x:v>
      </x:c>
      <x:c r="B142" s="138" t="str">
        <x:v>Hose End</x:v>
      </x:c>
      <x:c r="C142" s="138" t="str">
        <x:v>JIC_M_FX_16_12</x:v>
      </x:c>
      <x:c r="D142" s="138" t="str">
        <x:v>JIC_M_FX_16_12</x:v>
      </x:c>
      <x:c r="E142" s="138" t="str">
        <x:v>EA</x:v>
      </x:c>
      <x:c r="F142" s="139"/>
      <x:c r="G142" s="141" t="n">
        <x:v>1</x:v>
      </x:c>
      <x:c r="H142" s="141" t="n">
        <x:v>1</x:v>
      </x:c>
      <x:c r="I142" s="143"/>
      <x:c r="J142" s="141" t="n">
        <x:v>10</x:v>
      </x:c>
      <x:c r="K142" s="138" t="str">
        <x:v>China</x:v>
      </x:c>
      <x:c r="L142" t="str">
        <x:v>USD</x:v>
      </x:c>
      <x:c r="M142" s="126"/>
      <x:c r="N142"/>
      <x:c r="O142"/>
      <x:c r="P142" s="145"/>
      <x:c r="Q142" s="126"/>
      <x:c r="R142" s="149" t="n">
        <x:v>20.62</x:v>
      </x:c>
      <x:c r="S142" s="145"/>
      <x:c r="T142" s="145"/>
      <x:c r="U142" s="124"/>
      <x:c r="V142" s="124"/>
      <x:c r="W142" s="124"/>
      <x:c r="X142" s="124"/>
      <x:c r="Y142"/>
      <x:c r="Z142"/>
      <x:c r="AA142" s="116" t="str">
        <x:v>Net unit weight missing in 02. Order-level RFQ minimum: USD 100. Retail source: DHH exact MJ-12-16W; direct each price; observed 2026-08-15; https://www.discounthydraulichose.com/MJ-12-16W.html</x:v>
      </x:c>
      <x:c r="AB142" s="161" t="str">
        <x:v>Eligible</x:v>
      </x:c>
      <x:c r="AC142" s="161" t="str">
        <x:v>Pending</x:v>
      </x:c>
      <x:c r="AD142" t="str">
        <x:v>Units</x:v>
      </x:c>
      <x:c r="AE142" s="145"/>
      <x:c r="AF142" s="145"/>
      <x:c r="AG142" s="145"/>
      <x:c r="AH142" s="145"/>
      <x:c r="AI142" s="145"/>
      <x:c r="AJ142"/>
    </x:row>
    <x:row r="143" ht="30" customHeight="1">
      <x:c r="A143" s="138" t="str">
        <x:v>Draft</x:v>
      </x:c>
      <x:c r="B143" s="138" t="str">
        <x:v>Hose End</x:v>
      </x:c>
      <x:c r="C143" s="138" t="str">
        <x:v>JIC_M_FX_16_16</x:v>
      </x:c>
      <x:c r="D143" s="138" t="str">
        <x:v>JIC_M_FX_16_16</x:v>
      </x:c>
      <x:c r="E143" s="138" t="str">
        <x:v>EA</x:v>
      </x:c>
      <x:c r="F143" s="139"/>
      <x:c r="G143" s="141" t="n">
        <x:v>1</x:v>
      </x:c>
      <x:c r="H143" s="141" t="n">
        <x:v>1</x:v>
      </x:c>
      <x:c r="I143" s="143"/>
      <x:c r="J143" s="141" t="n">
        <x:v>10</x:v>
      </x:c>
      <x:c r="K143" s="138" t="str">
        <x:v>China</x:v>
      </x:c>
      <x:c r="L143" t="str">
        <x:v>USD</x:v>
      </x:c>
      <x:c r="M143" s="126"/>
      <x:c r="N143"/>
      <x:c r="O143"/>
      <x:c r="P143" s="145"/>
      <x:c r="Q143" s="126"/>
      <x:c r="R143" s="149" t="n">
        <x:v>26.58</x:v>
      </x:c>
      <x:c r="S143" s="145"/>
      <x:c r="T143" s="145"/>
      <x:c r="U143" s="124"/>
      <x:c r="V143" s="124"/>
      <x:c r="W143" s="124"/>
      <x:c r="X143" s="124"/>
      <x:c r="Y143"/>
      <x:c r="Z143"/>
      <x:c r="AA143" s="116" t="str">
        <x:v>Net unit weight missing in 02. Order-level RFQ minimum: USD 100. Retail source: DHH exact MJ-16-16W; direct each price; observed 2026-08-15; https://www.discounthydraulichose.com/MJ-16-16W.html</x:v>
      </x:c>
      <x:c r="AB143" s="161" t="str">
        <x:v>Eligible</x:v>
      </x:c>
      <x:c r="AC143" s="161" t="str">
        <x:v>Pending</x:v>
      </x:c>
      <x:c r="AD143" t="str">
        <x:v>Units</x:v>
      </x:c>
      <x:c r="AE143" s="145"/>
      <x:c r="AF143" s="145"/>
      <x:c r="AG143" s="145"/>
      <x:c r="AH143" s="145"/>
      <x:c r="AI143" s="145"/>
      <x:c r="AJ143"/>
    </x:row>
    <x:row r="144" ht="30" customHeight="1">
      <x:c r="A144" s="138" t="str">
        <x:v>Draft</x:v>
      </x:c>
      <x:c r="B144" s="138" t="str">
        <x:v>Hose End</x:v>
      </x:c>
      <x:c r="C144" s="138" t="str">
        <x:v>JIC_M_FX_20_16</x:v>
      </x:c>
      <x:c r="D144" s="138" t="str">
        <x:v>JIC_M_FX_20_16</x:v>
      </x:c>
      <x:c r="E144" s="138" t="str">
        <x:v>EA</x:v>
      </x:c>
      <x:c r="F144" s="139"/>
      <x:c r="G144" s="141" t="n">
        <x:v>1</x:v>
      </x:c>
      <x:c r="H144" s="141" t="n">
        <x:v>1</x:v>
      </x:c>
      <x:c r="I144" s="143"/>
      <x:c r="J144" s="141" t="n">
        <x:v>10</x:v>
      </x:c>
      <x:c r="K144" s="138" t="str">
        <x:v>China</x:v>
      </x:c>
      <x:c r="L144" t="str">
        <x:v>USD</x:v>
      </x:c>
      <x:c r="M144" s="126"/>
      <x:c r="N144"/>
      <x:c r="O144"/>
      <x:c r="P144" s="145"/>
      <x:c r="Q144" s="126"/>
      <x:c r="R144" s="149" t="n">
        <x:v>37.18</x:v>
      </x:c>
      <x:c r="S144" s="145"/>
      <x:c r="T144" s="145"/>
      <x:c r="U144" s="124"/>
      <x:c r="V144" s="124"/>
      <x:c r="W144" s="124"/>
      <x:c r="X144" s="124"/>
      <x:c r="Y144"/>
      <x:c r="Z144"/>
      <x:c r="AA144" s="116" t="str">
        <x:v>Net unit weight missing in 02. Order-level RFQ minimum: USD 100. Retail source: DHH exact MJ-16-20W; direct each price; observed 2026-08-15; https://www.discounthydraulichose.com/MJ-16-20W.html</x:v>
      </x:c>
      <x:c r="AB144" s="161" t="str">
        <x:v>Eligible</x:v>
      </x:c>
      <x:c r="AC144" s="161" t="str">
        <x:v>Pending</x:v>
      </x:c>
      <x:c r="AD144" t="str">
        <x:v>Units</x:v>
      </x:c>
      <x:c r="AE144" s="145"/>
      <x:c r="AF144" s="145"/>
      <x:c r="AG144" s="145"/>
      <x:c r="AH144" s="145"/>
      <x:c r="AI144" s="145"/>
      <x:c r="AJ144"/>
    </x:row>
    <x:row r="145" ht="30" customHeight="1">
      <x:c r="A145" s="138" t="str">
        <x:v>Draft</x:v>
      </x:c>
      <x:c r="B145" s="138" t="str">
        <x:v>Hose End</x:v>
      </x:c>
      <x:c r="C145" s="138" t="str">
        <x:v>JIC45_F_SW_04_04</x:v>
      </x:c>
      <x:c r="D145" s="138" t="str">
        <x:v>JIC45_F_SW_04_04</x:v>
      </x:c>
      <x:c r="E145" s="138" t="str">
        <x:v>EA</x:v>
      </x:c>
      <x:c r="F145" s="139"/>
      <x:c r="G145" s="141" t="n">
        <x:v>1</x:v>
      </x:c>
      <x:c r="H145" s="141" t="n">
        <x:v>1</x:v>
      </x:c>
      <x:c r="I145" s="143"/>
      <x:c r="J145" s="141" t="n">
        <x:v>10</x:v>
      </x:c>
      <x:c r="K145" s="138" t="str">
        <x:v>China</x:v>
      </x:c>
      <x:c r="L145" t="str">
        <x:v>USD</x:v>
      </x:c>
      <x:c r="M145" s="126"/>
      <x:c r="N145"/>
      <x:c r="O145"/>
      <x:c r="P145" s="145"/>
      <x:c r="Q145" s="126"/>
      <x:c r="R145" s="149" t="n">
        <x:v>12.35</x:v>
      </x:c>
      <x:c r="S145" s="145"/>
      <x:c r="T145" s="145"/>
      <x:c r="U145" s="124"/>
      <x:c r="V145" s="124"/>
      <x:c r="W145" s="124"/>
      <x:c r="X145" s="124"/>
      <x:c r="Y145"/>
      <x:c r="Z145"/>
      <x:c r="AA145" s="116" t="str">
        <x:v>Net unit weight missing in 02. Order-level RFQ minimum: USD 100. Retail source: DHH exact FJX45-04-04W; direct each price; observed 2026-08-15; https://www.discounthydraulichose.com/FJX45-04-04W.html</x:v>
      </x:c>
      <x:c r="AB145" s="161" t="str">
        <x:v>Eligible</x:v>
      </x:c>
      <x:c r="AC145" s="161" t="str">
        <x:v>Pending</x:v>
      </x:c>
      <x:c r="AD145" t="str">
        <x:v>Units</x:v>
      </x:c>
      <x:c r="AE145" s="145"/>
      <x:c r="AF145" s="145"/>
      <x:c r="AG145" s="145"/>
      <x:c r="AH145" s="145"/>
      <x:c r="AI145" s="145"/>
      <x:c r="AJ145"/>
    </x:row>
    <x:row r="146" ht="30" customHeight="1">
      <x:c r="A146" s="138" t="str">
        <x:v>Draft</x:v>
      </x:c>
      <x:c r="B146" s="138" t="str">
        <x:v>Hose End</x:v>
      </x:c>
      <x:c r="C146" s="138" t="str">
        <x:v>JIC45_F_SW_06_04</x:v>
      </x:c>
      <x:c r="D146" s="138" t="str">
        <x:v>JIC45_F_SW_06_04</x:v>
      </x:c>
      <x:c r="E146" s="138" t="str">
        <x:v>EA</x:v>
      </x:c>
      <x:c r="F146" s="139"/>
      <x:c r="G146" s="141" t="n">
        <x:v>1</x:v>
      </x:c>
      <x:c r="H146" s="141" t="n">
        <x:v>1</x:v>
      </x:c>
      <x:c r="I146" s="143"/>
      <x:c r="J146" s="141" t="n">
        <x:v>10</x:v>
      </x:c>
      <x:c r="K146" s="138" t="str">
        <x:v>China</x:v>
      </x:c>
      <x:c r="L146" t="str">
        <x:v>USD</x:v>
      </x:c>
      <x:c r="M146" s="126"/>
      <x:c r="N146"/>
      <x:c r="O146"/>
      <x:c r="P146" s="145"/>
      <x:c r="Q146" s="126"/>
      <x:c r="R146" s="149" t="n">
        <x:v>12.72</x:v>
      </x:c>
      <x:c r="S146" s="145"/>
      <x:c r="T146" s="145"/>
      <x:c r="U146" s="124"/>
      <x:c r="V146" s="124"/>
      <x:c r="W146" s="124"/>
      <x:c r="X146" s="124"/>
      <x:c r="Y146"/>
      <x:c r="Z146"/>
      <x:c r="AA146" s="116" t="str">
        <x:v>Net unit weight missing in 02. Order-level RFQ minimum: USD 100. Retail source: DHH exact FJX45-04-06W; direct each price; observed 2026-08-15; https://www.discounthydraulichose.com/FJX45-04-06W.html</x:v>
      </x:c>
      <x:c r="AB146" s="161" t="str">
        <x:v>Eligible</x:v>
      </x:c>
      <x:c r="AC146" s="161" t="str">
        <x:v>Pending</x:v>
      </x:c>
      <x:c r="AD146" t="str">
        <x:v>Units</x:v>
      </x:c>
      <x:c r="AE146" s="145"/>
      <x:c r="AF146" s="145"/>
      <x:c r="AG146" s="145"/>
      <x:c r="AH146" s="145"/>
      <x:c r="AI146" s="145"/>
      <x:c r="AJ146"/>
    </x:row>
    <x:row r="147" ht="30" customHeight="1">
      <x:c r="A147" s="138" t="str">
        <x:v>Draft</x:v>
      </x:c>
      <x:c r="B147" s="138" t="str">
        <x:v>Hose End</x:v>
      </x:c>
      <x:c r="C147" s="138" t="str">
        <x:v>JIC45_F_SW_06_06</x:v>
      </x:c>
      <x:c r="D147" s="138" t="str">
        <x:v>JIC45_F_SW_06_06</x:v>
      </x:c>
      <x:c r="E147" s="138" t="str">
        <x:v>EA</x:v>
      </x:c>
      <x:c r="F147" s="139"/>
      <x:c r="G147" s="141" t="n">
        <x:v>1</x:v>
      </x:c>
      <x:c r="H147" s="141" t="n">
        <x:v>1</x:v>
      </x:c>
      <x:c r="I147" s="143"/>
      <x:c r="J147" s="141" t="n">
        <x:v>10</x:v>
      </x:c>
      <x:c r="K147" s="138" t="str">
        <x:v>China</x:v>
      </x:c>
      <x:c r="L147" t="str">
        <x:v>USD</x:v>
      </x:c>
      <x:c r="M147" s="126"/>
      <x:c r="N147"/>
      <x:c r="O147"/>
      <x:c r="P147" s="145"/>
      <x:c r="Q147" s="126"/>
      <x:c r="R147" s="149" t="n">
        <x:v>18.9</x:v>
      </x:c>
      <x:c r="S147" s="145"/>
      <x:c r="T147" s="145"/>
      <x:c r="U147" s="124"/>
      <x:c r="V147" s="124"/>
      <x:c r="W147" s="124"/>
      <x:c r="X147" s="124"/>
      <x:c r="Y147"/>
      <x:c r="Z147"/>
      <x:c r="AA147" s="116" t="str">
        <x:v>Net unit weight missing in 02. Order-level RFQ minimum: USD 100. Retail source: DHH exact FJX45-06-06W; direct each price; observed 2026-08-15; https://www.discounthydraulichose.com/FJX45-06-06W.html</x:v>
      </x:c>
      <x:c r="AB147" s="161" t="str">
        <x:v>Eligible</x:v>
      </x:c>
      <x:c r="AC147" s="161" t="str">
        <x:v>Pending</x:v>
      </x:c>
      <x:c r="AD147" t="str">
        <x:v>Units</x:v>
      </x:c>
      <x:c r="AE147" s="145"/>
      <x:c r="AF147" s="145"/>
      <x:c r="AG147" s="145"/>
      <x:c r="AH147" s="145"/>
      <x:c r="AI147" s="145"/>
      <x:c r="AJ147"/>
    </x:row>
    <x:row r="148" ht="30" customHeight="1">
      <x:c r="A148" s="138" t="str">
        <x:v>Draft</x:v>
      </x:c>
      <x:c r="B148" s="138" t="str">
        <x:v>Hose End</x:v>
      </x:c>
      <x:c r="C148" s="138" t="str">
        <x:v>JIC45_F_SW_08_06</x:v>
      </x:c>
      <x:c r="D148" s="138" t="str">
        <x:v>JIC45_F_SW_08_06</x:v>
      </x:c>
      <x:c r="E148" s="138" t="str">
        <x:v>EA</x:v>
      </x:c>
      <x:c r="F148" s="139"/>
      <x:c r="G148" s="141" t="n">
        <x:v>1</x:v>
      </x:c>
      <x:c r="H148" s="141" t="n">
        <x:v>1</x:v>
      </x:c>
      <x:c r="I148" s="143"/>
      <x:c r="J148" s="141" t="n">
        <x:v>10</x:v>
      </x:c>
      <x:c r="K148" s="138" t="str">
        <x:v>China</x:v>
      </x:c>
      <x:c r="L148" t="str">
        <x:v>USD</x:v>
      </x:c>
      <x:c r="M148" s="126"/>
      <x:c r="N148"/>
      <x:c r="O148"/>
      <x:c r="P148" s="145"/>
      <x:c r="Q148" s="126"/>
      <x:c r="R148" s="149" t="n">
        <x:v>20.03</x:v>
      </x:c>
      <x:c r="S148" s="145"/>
      <x:c r="T148" s="145"/>
      <x:c r="U148" s="124"/>
      <x:c r="V148" s="124"/>
      <x:c r="W148" s="124"/>
      <x:c r="X148" s="124"/>
      <x:c r="Y148"/>
      <x:c r="Z148"/>
      <x:c r="AA148" s="116" t="str">
        <x:v>Net unit weight missing in 02. Order-level RFQ minimum: USD 100. Retail source: DHH exact FJX45-06-08W; direct each price; observed 2026-08-15; https://www.discounthydraulichose.com/FJX45-06-08W.html</x:v>
      </x:c>
      <x:c r="AB148" s="161" t="str">
        <x:v>Eligible</x:v>
      </x:c>
      <x:c r="AC148" s="161" t="str">
        <x:v>Pending</x:v>
      </x:c>
      <x:c r="AD148" t="str">
        <x:v>Units</x:v>
      </x:c>
      <x:c r="AE148" s="145"/>
      <x:c r="AF148" s="145"/>
      <x:c r="AG148" s="145"/>
      <x:c r="AH148" s="145"/>
      <x:c r="AI148" s="145"/>
      <x:c r="AJ148"/>
    </x:row>
    <x:row r="149" ht="30" customHeight="1">
      <x:c r="A149" s="138" t="str">
        <x:v>Draft</x:v>
      </x:c>
      <x:c r="B149" s="138" t="str">
        <x:v>Hose End</x:v>
      </x:c>
      <x:c r="C149" s="138" t="str">
        <x:v>JIC45_F_SW_08_08</x:v>
      </x:c>
      <x:c r="D149" s="138" t="str">
        <x:v>JIC45_F_SW_08_08</x:v>
      </x:c>
      <x:c r="E149" s="138" t="str">
        <x:v>EA</x:v>
      </x:c>
      <x:c r="F149" s="139"/>
      <x:c r="G149" s="141" t="n">
        <x:v>1</x:v>
      </x:c>
      <x:c r="H149" s="141" t="n">
        <x:v>1</x:v>
      </x:c>
      <x:c r="I149" s="143"/>
      <x:c r="J149" s="141" t="n">
        <x:v>10</x:v>
      </x:c>
      <x:c r="K149" s="138" t="str">
        <x:v>China</x:v>
      </x:c>
      <x:c r="L149" t="str">
        <x:v>USD</x:v>
      </x:c>
      <x:c r="M149" s="126"/>
      <x:c r="N149"/>
      <x:c r="O149"/>
      <x:c r="P149" s="145"/>
      <x:c r="Q149" s="126"/>
      <x:c r="R149" s="149" t="n">
        <x:v>20.34</x:v>
      </x:c>
      <x:c r="S149" s="145"/>
      <x:c r="T149" s="145"/>
      <x:c r="U149" s="124"/>
      <x:c r="V149" s="124"/>
      <x:c r="W149" s="124"/>
      <x:c r="X149" s="124"/>
      <x:c r="Y149"/>
      <x:c r="Z149"/>
      <x:c r="AA149" s="116" t="str">
        <x:v>Net unit weight missing in 02. Order-level RFQ minimum: USD 100. Retail source: DHH exact FJX45-08-08W; direct each price; observed 2026-08-15; https://www.discounthydraulichose.com/FJX45-08-08W.html</x:v>
      </x:c>
      <x:c r="AB149" s="161" t="str">
        <x:v>Eligible</x:v>
      </x:c>
      <x:c r="AC149" s="161" t="str">
        <x:v>Pending</x:v>
      </x:c>
      <x:c r="AD149" t="str">
        <x:v>Units</x:v>
      </x:c>
      <x:c r="AE149" s="145"/>
      <x:c r="AF149" s="145"/>
      <x:c r="AG149" s="145"/>
      <x:c r="AH149" s="145"/>
      <x:c r="AI149" s="145"/>
      <x:c r="AJ149"/>
    </x:row>
    <x:row r="150" ht="30" customHeight="1">
      <x:c r="A150" s="138" t="str">
        <x:v>Draft</x:v>
      </x:c>
      <x:c r="B150" s="138" t="str">
        <x:v>Hose End</x:v>
      </x:c>
      <x:c r="C150" s="138" t="str">
        <x:v>JIC45_F_SW_10_08</x:v>
      </x:c>
      <x:c r="D150" s="138" t="str">
        <x:v>JIC45_F_SW_10_08</x:v>
      </x:c>
      <x:c r="E150" s="138" t="str">
        <x:v>EA</x:v>
      </x:c>
      <x:c r="F150" s="139"/>
      <x:c r="G150" s="141" t="n">
        <x:v>1</x:v>
      </x:c>
      <x:c r="H150" s="141" t="n">
        <x:v>1</x:v>
      </x:c>
      <x:c r="I150" s="143"/>
      <x:c r="J150" s="141" t="n">
        <x:v>10</x:v>
      </x:c>
      <x:c r="K150" s="138" t="str">
        <x:v>China</x:v>
      </x:c>
      <x:c r="L150" t="str">
        <x:v>USD</x:v>
      </x:c>
      <x:c r="M150" s="126"/>
      <x:c r="N150"/>
      <x:c r="O150"/>
      <x:c r="P150" s="145"/>
      <x:c r="Q150" s="126"/>
      <x:c r="R150" s="149" t="n">
        <x:v>31.42</x:v>
      </x:c>
      <x:c r="S150" s="145"/>
      <x:c r="T150" s="145"/>
      <x:c r="U150" s="124"/>
      <x:c r="V150" s="124"/>
      <x:c r="W150" s="124"/>
      <x:c r="X150" s="124"/>
      <x:c r="Y150"/>
      <x:c r="Z150"/>
      <x:c r="AA150" s="116" t="str">
        <x:v>Net unit weight missing in 02. Order-level RFQ minimum: USD 100. Retail source: DHH exact FJX45-08-10W; direct each price; observed 2026-08-15; https://www.discounthydraulichose.com/FJX45-08-10W.html</x:v>
      </x:c>
      <x:c r="AB150" s="161" t="str">
        <x:v>Eligible</x:v>
      </x:c>
      <x:c r="AC150" s="161" t="str">
        <x:v>Pending</x:v>
      </x:c>
      <x:c r="AD150" t="str">
        <x:v>Units</x:v>
      </x:c>
      <x:c r="AE150" s="145"/>
      <x:c r="AF150" s="145"/>
      <x:c r="AG150" s="145"/>
      <x:c r="AH150" s="145"/>
      <x:c r="AI150" s="145"/>
      <x:c r="AJ150"/>
    </x:row>
    <x:row r="151" ht="30" customHeight="1">
      <x:c r="A151" s="138" t="str">
        <x:v>Draft</x:v>
      </x:c>
      <x:c r="B151" s="138" t="str">
        <x:v>Hose End</x:v>
      </x:c>
      <x:c r="C151" s="138" t="str">
        <x:v>JIC45_F_SW_10_10</x:v>
      </x:c>
      <x:c r="D151" s="138" t="str">
        <x:v>JIC45_F_SW_10_10</x:v>
      </x:c>
      <x:c r="E151" s="138" t="str">
        <x:v>EA</x:v>
      </x:c>
      <x:c r="F151" s="139"/>
      <x:c r="G151" s="141" t="n">
        <x:v>1</x:v>
      </x:c>
      <x:c r="H151" s="141" t="n">
        <x:v>1</x:v>
      </x:c>
      <x:c r="I151" s="143"/>
      <x:c r="J151" s="141" t="n">
        <x:v>10</x:v>
      </x:c>
      <x:c r="K151" s="138" t="str">
        <x:v>China</x:v>
      </x:c>
      <x:c r="L151" t="str">
        <x:v>USD</x:v>
      </x:c>
      <x:c r="M151" s="126"/>
      <x:c r="N151"/>
      <x:c r="O151"/>
      <x:c r="P151" s="145"/>
      <x:c r="Q151" s="126"/>
      <x:c r="R151" s="149" t="n">
        <x:v>22.73</x:v>
      </x:c>
      <x:c r="S151" s="145"/>
      <x:c r="T151" s="145"/>
      <x:c r="U151" s="124"/>
      <x:c r="V151" s="124"/>
      <x:c r="W151" s="124"/>
      <x:c r="X151" s="124"/>
      <x:c r="Y151"/>
      <x:c r="Z151"/>
      <x:c r="AA151" s="116" t="str">
        <x:v>Net unit weight missing in 02. Order-level RFQ minimum: USD 100. Retail source: DHH exact FJX45-10-10W; direct each price; observed 2026-08-15; https://www.discounthydraulichose.com/FJX45-10-10W.html</x:v>
      </x:c>
      <x:c r="AB151" s="161" t="str">
        <x:v>Eligible</x:v>
      </x:c>
      <x:c r="AC151" s="161" t="str">
        <x:v>Pending</x:v>
      </x:c>
      <x:c r="AD151" t="str">
        <x:v>Units</x:v>
      </x:c>
      <x:c r="AE151" s="145"/>
      <x:c r="AF151" s="145"/>
      <x:c r="AG151" s="145"/>
      <x:c r="AH151" s="145"/>
      <x:c r="AI151" s="145"/>
      <x:c r="AJ151"/>
    </x:row>
    <x:row r="152" ht="30" customHeight="1">
      <x:c r="A152" s="138" t="str">
        <x:v>Draft</x:v>
      </x:c>
      <x:c r="B152" s="138" t="str">
        <x:v>Hose End</x:v>
      </x:c>
      <x:c r="C152" s="138" t="str">
        <x:v>JIC45_F_SW_12_10</x:v>
      </x:c>
      <x:c r="D152" s="138" t="str">
        <x:v>JIC45_F_SW_12_10</x:v>
      </x:c>
      <x:c r="E152" s="138" t="str">
        <x:v>EA</x:v>
      </x:c>
      <x:c r="F152" s="139"/>
      <x:c r="G152" s="141" t="n">
        <x:v>1</x:v>
      </x:c>
      <x:c r="H152" s="141" t="n">
        <x:v>1</x:v>
      </x:c>
      <x:c r="I152" s="143"/>
      <x:c r="J152" s="141" t="n">
        <x:v>10</x:v>
      </x:c>
      <x:c r="K152" s="138" t="str">
        <x:v>China</x:v>
      </x:c>
      <x:c r="L152" t="str">
        <x:v>USD</x:v>
      </x:c>
      <x:c r="M152" s="126"/>
      <x:c r="N152"/>
      <x:c r="O152"/>
      <x:c r="P152" s="145"/>
      <x:c r="Q152" s="126"/>
      <x:c r="R152" s="149" t="n">
        <x:v>39.75</x:v>
      </x:c>
      <x:c r="S152" s="145"/>
      <x:c r="T152" s="145"/>
      <x:c r="U152" s="124"/>
      <x:c r="V152" s="124"/>
      <x:c r="W152" s="124"/>
      <x:c r="X152" s="124"/>
      <x:c r="Y152"/>
      <x:c r="Z152"/>
      <x:c r="AA152" s="116" t="str">
        <x:v>Net unit weight missing in 02. Order-level RFQ minimum: USD 100. Retail source: DHH exact FJX45-10-12W; direct each price; observed 2026-08-15; https://www.discounthydraulichose.com/FJX45-10-12W.html</x:v>
      </x:c>
      <x:c r="AB152" s="161" t="str">
        <x:v>Eligible</x:v>
      </x:c>
      <x:c r="AC152" s="161" t="str">
        <x:v>Pending</x:v>
      </x:c>
      <x:c r="AD152" t="str">
        <x:v>Units</x:v>
      </x:c>
      <x:c r="AE152" s="145"/>
      <x:c r="AF152" s="145"/>
      <x:c r="AG152" s="145"/>
      <x:c r="AH152" s="145"/>
      <x:c r="AI152" s="145"/>
      <x:c r="AJ152"/>
    </x:row>
    <x:row r="153" ht="30" customHeight="1">
      <x:c r="A153" s="138" t="str">
        <x:v>Draft</x:v>
      </x:c>
      <x:c r="B153" s="138" t="str">
        <x:v>Hose End</x:v>
      </x:c>
      <x:c r="C153" s="138" t="str">
        <x:v>JIC45_F_SW_12_12</x:v>
      </x:c>
      <x:c r="D153" s="138" t="str">
        <x:v>JIC45_F_SW_12_12</x:v>
      </x:c>
      <x:c r="E153" s="138" t="str">
        <x:v>EA</x:v>
      </x:c>
      <x:c r="F153" s="139"/>
      <x:c r="G153" s="141" t="n">
        <x:v>1</x:v>
      </x:c>
      <x:c r="H153" s="141" t="n">
        <x:v>1</x:v>
      </x:c>
      <x:c r="I153" s="143"/>
      <x:c r="J153" s="141" t="n">
        <x:v>10</x:v>
      </x:c>
      <x:c r="K153" s="138" t="str">
        <x:v>China</x:v>
      </x:c>
      <x:c r="L153" t="str">
        <x:v>USD</x:v>
      </x:c>
      <x:c r="M153" s="126"/>
      <x:c r="N153"/>
      <x:c r="O153"/>
      <x:c r="P153" s="145"/>
      <x:c r="Q153" s="126"/>
      <x:c r="R153" s="149" t="n">
        <x:v>39.88</x:v>
      </x:c>
      <x:c r="S153" s="145"/>
      <x:c r="T153" s="145"/>
      <x:c r="U153" s="124"/>
      <x:c r="V153" s="124"/>
      <x:c r="W153" s="124"/>
      <x:c r="X153" s="124"/>
      <x:c r="Y153"/>
      <x:c r="Z153"/>
      <x:c r="AA153" s="116" t="str">
        <x:v>Net unit weight missing in 02. Order-level RFQ minimum: USD 100. Retail source: DHH exact FJX45-12-12W; direct each price; observed 2026-08-15; https://www.discounthydraulichose.com/FJX45-12-12W.html</x:v>
      </x:c>
      <x:c r="AB153" s="161" t="str">
        <x:v>Eligible</x:v>
      </x:c>
      <x:c r="AC153" s="161" t="str">
        <x:v>Pending</x:v>
      </x:c>
      <x:c r="AD153" t="str">
        <x:v>Units</x:v>
      </x:c>
      <x:c r="AE153" s="145"/>
      <x:c r="AF153" s="145"/>
      <x:c r="AG153" s="145"/>
      <x:c r="AH153" s="145"/>
      <x:c r="AI153" s="145"/>
      <x:c r="AJ153"/>
    </x:row>
    <x:row r="154" ht="30" customHeight="1">
      <x:c r="A154" s="138" t="str">
        <x:v>Draft</x:v>
      </x:c>
      <x:c r="B154" s="138" t="str">
        <x:v>Hose End</x:v>
      </x:c>
      <x:c r="C154" s="138" t="str">
        <x:v>JIC45_F_SW_16_12</x:v>
      </x:c>
      <x:c r="D154" s="138" t="str">
        <x:v>JIC45_F_SW_16_12</x:v>
      </x:c>
      <x:c r="E154" s="138" t="str">
        <x:v>EA</x:v>
      </x:c>
      <x:c r="F154" s="139"/>
      <x:c r="G154" s="141" t="n">
        <x:v>1</x:v>
      </x:c>
      <x:c r="H154" s="141" t="n">
        <x:v>1</x:v>
      </x:c>
      <x:c r="I154" s="143"/>
      <x:c r="J154" s="141" t="n">
        <x:v>10</x:v>
      </x:c>
      <x:c r="K154" s="138" t="str">
        <x:v>China</x:v>
      </x:c>
      <x:c r="L154" t="str">
        <x:v>USD</x:v>
      </x:c>
      <x:c r="M154" s="126"/>
      <x:c r="N154"/>
      <x:c r="O154"/>
      <x:c r="P154" s="145"/>
      <x:c r="Q154" s="126"/>
      <x:c r="R154" s="149" t="n">
        <x:v>63.89</x:v>
      </x:c>
      <x:c r="S154" s="145"/>
      <x:c r="T154" s="145"/>
      <x:c r="U154" s="124"/>
      <x:c r="V154" s="124"/>
      <x:c r="W154" s="124"/>
      <x:c r="X154" s="124"/>
      <x:c r="Y154"/>
      <x:c r="Z154"/>
      <x:c r="AA154" s="116" t="str">
        <x:v>Net unit weight missing in 02. Order-level RFQ minimum: USD 100. Retail source: DHH exact FJX45-12-16W; direct each price; observed 2026-08-15; https://www.discounthydraulichose.com/FJX45-12-16W.html</x:v>
      </x:c>
      <x:c r="AB154" s="161" t="str">
        <x:v>Eligible</x:v>
      </x:c>
      <x:c r="AC154" s="161" t="str">
        <x:v>Pending</x:v>
      </x:c>
      <x:c r="AD154" t="str">
        <x:v>Units</x:v>
      </x:c>
      <x:c r="AE154" s="145"/>
      <x:c r="AF154" s="145"/>
      <x:c r="AG154" s="145"/>
      <x:c r="AH154" s="145"/>
      <x:c r="AI154" s="145"/>
      <x:c r="AJ154"/>
    </x:row>
    <x:row r="155" ht="30" customHeight="1">
      <x:c r="A155" s="138" t="str">
        <x:v>Draft</x:v>
      </x:c>
      <x:c r="B155" s="138" t="str">
        <x:v>Hose End</x:v>
      </x:c>
      <x:c r="C155" s="138" t="str">
        <x:v>JIC45_F_SW_16_16</x:v>
      </x:c>
      <x:c r="D155" s="138" t="str">
        <x:v>JIC45_F_SW_16_16</x:v>
      </x:c>
      <x:c r="E155" s="138" t="str">
        <x:v>EA</x:v>
      </x:c>
      <x:c r="F155" s="139"/>
      <x:c r="G155" s="141" t="n">
        <x:v>1</x:v>
      </x:c>
      <x:c r="H155" s="141" t="n">
        <x:v>1</x:v>
      </x:c>
      <x:c r="I155" s="143"/>
      <x:c r="J155" s="141" t="n">
        <x:v>10</x:v>
      </x:c>
      <x:c r="K155" s="138" t="str">
        <x:v>China</x:v>
      </x:c>
      <x:c r="L155" t="str">
        <x:v>USD</x:v>
      </x:c>
      <x:c r="M155" s="126"/>
      <x:c r="N155"/>
      <x:c r="O155"/>
      <x:c r="P155" s="145"/>
      <x:c r="Q155" s="126"/>
      <x:c r="R155" s="149" t="n">
        <x:v>70.09</x:v>
      </x:c>
      <x:c r="S155" s="145"/>
      <x:c r="T155" s="145"/>
      <x:c r="U155" s="124"/>
      <x:c r="V155" s="124"/>
      <x:c r="W155" s="124"/>
      <x:c r="X155" s="124"/>
      <x:c r="Y155"/>
      <x:c r="Z155"/>
      <x:c r="AA155" s="116" t="str">
        <x:v>Net unit weight missing in 02. Order-level RFQ minimum: USD 100. Retail source: DHH exact FJX45-16-16W; direct each price; observed 2026-08-15; https://www.discounthydraulichose.com/FJX45-16-16W.html</x:v>
      </x:c>
      <x:c r="AB155" s="161" t="str">
        <x:v>Eligible</x:v>
      </x:c>
      <x:c r="AC155" s="161" t="str">
        <x:v>Pending</x:v>
      </x:c>
      <x:c r="AD155" t="str">
        <x:v>Units</x:v>
      </x:c>
      <x:c r="AE155" s="145"/>
      <x:c r="AF155" s="145"/>
      <x:c r="AG155" s="145"/>
      <x:c r="AH155" s="145"/>
      <x:c r="AI155" s="145"/>
      <x:c r="AJ155"/>
    </x:row>
    <x:row r="156" ht="30" customHeight="1">
      <x:c r="A156" s="138" t="str">
        <x:v>Draft</x:v>
      </x:c>
      <x:c r="B156" s="138" t="str">
        <x:v>Hose End</x:v>
      </x:c>
      <x:c r="C156" s="138" t="str">
        <x:v>JIC45_F_SW_20_16</x:v>
      </x:c>
      <x:c r="D156" s="138" t="str">
        <x:v>JIC45_F_SW_20_16</x:v>
      </x:c>
      <x:c r="E156" s="138" t="str">
        <x:v>EA</x:v>
      </x:c>
      <x:c r="F156" s="139"/>
      <x:c r="G156" s="141" t="n">
        <x:v>1</x:v>
      </x:c>
      <x:c r="H156" s="141" t="n">
        <x:v>1</x:v>
      </x:c>
      <x:c r="I156" s="143"/>
      <x:c r="J156" s="141" t="n">
        <x:v>10</x:v>
      </x:c>
      <x:c r="K156" s="138" t="str">
        <x:v>China</x:v>
      </x:c>
      <x:c r="L156" t="str">
        <x:v>USD</x:v>
      </x:c>
      <x:c r="M156" s="126"/>
      <x:c r="N156"/>
      <x:c r="O156"/>
      <x:c r="P156" s="145"/>
      <x:c r="Q156" s="126"/>
      <x:c r="R156" s="149" t="n">
        <x:v>72.64</x:v>
      </x:c>
      <x:c r="S156" s="145"/>
      <x:c r="T156" s="145"/>
      <x:c r="U156" s="124"/>
      <x:c r="V156" s="124"/>
      <x:c r="W156" s="124"/>
      <x:c r="X156" s="124"/>
      <x:c r="Y156"/>
      <x:c r="Z156"/>
      <x:c r="AA156" s="116" t="str">
        <x:v>Net unit weight missing in 02. Order-level RFQ minimum: USD 100. Retail source: DHH exact FJX45-16-20W; direct each price; observed 2026-08-15; https://www.discounthydraulichose.com/FJX45-16-20W.html</x:v>
      </x:c>
      <x:c r="AB156" s="161" t="str">
        <x:v>Eligible</x:v>
      </x:c>
      <x:c r="AC156" s="161" t="str">
        <x:v>Pending</x:v>
      </x:c>
      <x:c r="AD156" t="str">
        <x:v>Units</x:v>
      </x:c>
      <x:c r="AE156" s="145"/>
      <x:c r="AF156" s="145"/>
      <x:c r="AG156" s="145"/>
      <x:c r="AH156" s="145"/>
      <x:c r="AI156" s="145"/>
      <x:c r="AJ156"/>
    </x:row>
    <x:row r="157" ht="30" customHeight="1">
      <x:c r="A157" s="138" t="str">
        <x:v>Draft</x:v>
      </x:c>
      <x:c r="B157" s="138" t="str">
        <x:v>Hose End</x:v>
      </x:c>
      <x:c r="C157" s="138" t="str">
        <x:v>JIC90_F_SW_04_04</x:v>
      </x:c>
      <x:c r="D157" s="138" t="str">
        <x:v>JIC90_F_SW_04_04</x:v>
      </x:c>
      <x:c r="E157" s="138" t="str">
        <x:v>EA</x:v>
      </x:c>
      <x:c r="F157" s="139"/>
      <x:c r="G157" s="141" t="n">
        <x:v>1</x:v>
      </x:c>
      <x:c r="H157" s="141" t="n">
        <x:v>1</x:v>
      </x:c>
      <x:c r="I157" s="143"/>
      <x:c r="J157" s="141" t="n">
        <x:v>10</x:v>
      </x:c>
      <x:c r="K157" s="138" t="str">
        <x:v>China</x:v>
      </x:c>
      <x:c r="L157" t="str">
        <x:v>USD</x:v>
      </x:c>
      <x:c r="M157" s="126"/>
      <x:c r="N157"/>
      <x:c r="O157"/>
      <x:c r="P157" s="145"/>
      <x:c r="Q157" s="126"/>
      <x:c r="R157" s="149" t="n">
        <x:v>11.03</x:v>
      </x:c>
      <x:c r="S157" s="145"/>
      <x:c r="T157" s="145"/>
      <x:c r="U157" s="124"/>
      <x:c r="V157" s="124"/>
      <x:c r="W157" s="124"/>
      <x:c r="X157" s="124"/>
      <x:c r="Y157"/>
      <x:c r="Z157"/>
      <x:c r="AA157" s="116" t="str">
        <x:v>Net unit weight missing in 02. Order-level RFQ minimum: USD 100. Retail source: DHH exact FJX90-04-04W; direct each price; observed 2026-08-15; https://www.discounthydraulichose.com/FJX90-04-04W.html</x:v>
      </x:c>
      <x:c r="AB157" s="161" t="str">
        <x:v>Eligible</x:v>
      </x:c>
      <x:c r="AC157" s="161" t="str">
        <x:v>Pending</x:v>
      </x:c>
      <x:c r="AD157" t="str">
        <x:v>Units</x:v>
      </x:c>
      <x:c r="AE157" s="145"/>
      <x:c r="AF157" s="145"/>
      <x:c r="AG157" s="145"/>
      <x:c r="AH157" s="145"/>
      <x:c r="AI157" s="145"/>
      <x:c r="AJ157"/>
    </x:row>
    <x:row r="158" ht="30" customHeight="1">
      <x:c r="A158" s="138" t="str">
        <x:v>Draft</x:v>
      </x:c>
      <x:c r="B158" s="138" t="str">
        <x:v>Hose End</x:v>
      </x:c>
      <x:c r="C158" s="138" t="str">
        <x:v>JIC90_F_SW_04_06</x:v>
      </x:c>
      <x:c r="D158" s="138" t="str">
        <x:v>JIC90_F_SW_04_06</x:v>
      </x:c>
      <x:c r="E158" s="138" t="str">
        <x:v>EA</x:v>
      </x:c>
      <x:c r="F158" s="139"/>
      <x:c r="G158" s="141" t="n">
        <x:v>1</x:v>
      </x:c>
      <x:c r="H158" s="141" t="n">
        <x:v>1</x:v>
      </x:c>
      <x:c r="I158" s="143"/>
      <x:c r="J158" s="141" t="n">
        <x:v>10</x:v>
      </x:c>
      <x:c r="K158" s="138" t="str">
        <x:v>China</x:v>
      </x:c>
      <x:c r="L158" t="str">
        <x:v>USD</x:v>
      </x:c>
      <x:c r="M158" s="126"/>
      <x:c r="N158"/>
      <x:c r="O158"/>
      <x:c r="P158" s="145"/>
      <x:c r="Q158" s="126"/>
      <x:c r="R158" s="149" t="n">
        <x:v>19.82</x:v>
      </x:c>
      <x:c r="S158" s="145"/>
      <x:c r="T158" s="145"/>
      <x:c r="U158" s="124"/>
      <x:c r="V158" s="124"/>
      <x:c r="W158" s="124"/>
      <x:c r="X158" s="124"/>
      <x:c r="Y158"/>
      <x:c r="Z158"/>
      <x:c r="AA158" s="116" t="str">
        <x:v>Net unit weight missing in 02. Order-level RFQ minimum: USD 100. Retail source: DHH exact FJX90-06-04W; direct each price; observed 2026-08-15; https://www.discounthydraulichose.com/FJX90-06-04W.html</x:v>
      </x:c>
      <x:c r="AB158" s="161" t="str">
        <x:v>Eligible</x:v>
      </x:c>
      <x:c r="AC158" s="161" t="str">
        <x:v>Pending</x:v>
      </x:c>
      <x:c r="AD158" t="str">
        <x:v>Units</x:v>
      </x:c>
      <x:c r="AE158" s="145"/>
      <x:c r="AF158" s="145"/>
      <x:c r="AG158" s="145"/>
      <x:c r="AH158" s="145"/>
      <x:c r="AI158" s="145"/>
      <x:c r="AJ158"/>
    </x:row>
    <x:row r="159" ht="30" customHeight="1">
      <x:c r="A159" s="138" t="str">
        <x:v>Draft</x:v>
      </x:c>
      <x:c r="B159" s="138" t="str">
        <x:v>Hose End</x:v>
      </x:c>
      <x:c r="C159" s="138" t="str">
        <x:v>JIC90_F_SW_05_04</x:v>
      </x:c>
      <x:c r="D159" s="138" t="str">
        <x:v>JIC90_F_SW_05_04</x:v>
      </x:c>
      <x:c r="E159" s="138" t="str">
        <x:v>EA</x:v>
      </x:c>
      <x:c r="F159" s="139"/>
      <x:c r="G159" s="141" t="n">
        <x:v>1</x:v>
      </x:c>
      <x:c r="H159" s="141" t="n">
        <x:v>1</x:v>
      </x:c>
      <x:c r="I159" s="143"/>
      <x:c r="J159" s="141" t="n">
        <x:v>10</x:v>
      </x:c>
      <x:c r="K159" s="138" t="str">
        <x:v>China</x:v>
      </x:c>
      <x:c r="L159" t="str">
        <x:v>USD</x:v>
      </x:c>
      <x:c r="M159" s="126"/>
      <x:c r="N159"/>
      <x:c r="O159"/>
      <x:c r="P159" s="145"/>
      <x:c r="Q159" s="126"/>
      <x:c r="R159" s="149" t="n">
        <x:v>14.54</x:v>
      </x:c>
      <x:c r="S159" s="145"/>
      <x:c r="T159" s="145"/>
      <x:c r="U159" s="124"/>
      <x:c r="V159" s="124"/>
      <x:c r="W159" s="124"/>
      <x:c r="X159" s="124"/>
      <x:c r="Y159"/>
      <x:c r="Z159"/>
      <x:c r="AA159" s="116" t="str">
        <x:v>Net unit weight missing in 02. Order-level RFQ minimum: USD 100. Retail source: DHH exact FJX90-04-05W; direct each price; observed 2026-08-15; https://www.discounthydraulichose.com/FJX90-04-05W.html</x:v>
      </x:c>
      <x:c r="AB159" s="161" t="str">
        <x:v>Eligible</x:v>
      </x:c>
      <x:c r="AC159" s="161" t="str">
        <x:v>Pending</x:v>
      </x:c>
      <x:c r="AD159" t="str">
        <x:v>Units</x:v>
      </x:c>
      <x:c r="AE159" s="145"/>
      <x:c r="AF159" s="145"/>
      <x:c r="AG159" s="145"/>
      <x:c r="AH159" s="145"/>
      <x:c r="AI159" s="145"/>
      <x:c r="AJ159"/>
    </x:row>
    <x:row r="160" ht="30" customHeight="1">
      <x:c r="A160" s="138" t="str">
        <x:v>Draft</x:v>
      </x:c>
      <x:c r="B160" s="138" t="str">
        <x:v>Hose End</x:v>
      </x:c>
      <x:c r="C160" s="138" t="str">
        <x:v>JIC90_F_SW_06_04</x:v>
      </x:c>
      <x:c r="D160" s="138" t="str">
        <x:v>JIC90_F_SW_06_04</x:v>
      </x:c>
      <x:c r="E160" s="138" t="str">
        <x:v>EA</x:v>
      </x:c>
      <x:c r="F160" s="139"/>
      <x:c r="G160" s="141" t="n">
        <x:v>1</x:v>
      </x:c>
      <x:c r="H160" s="141" t="n">
        <x:v>1</x:v>
      </x:c>
      <x:c r="I160" s="143"/>
      <x:c r="J160" s="141" t="n">
        <x:v>10</x:v>
      </x:c>
      <x:c r="K160" s="138" t="str">
        <x:v>China</x:v>
      </x:c>
      <x:c r="L160" t="str">
        <x:v>USD</x:v>
      </x:c>
      <x:c r="M160" s="126"/>
      <x:c r="N160"/>
      <x:c r="O160"/>
      <x:c r="P160" s="145"/>
      <x:c r="Q160" s="126"/>
      <x:c r="R160" s="149" t="n">
        <x:v>18.14</x:v>
      </x:c>
      <x:c r="S160" s="145"/>
      <x:c r="T160" s="145"/>
      <x:c r="U160" s="124"/>
      <x:c r="V160" s="124"/>
      <x:c r="W160" s="124"/>
      <x:c r="X160" s="124"/>
      <x:c r="Y160"/>
      <x:c r="Z160"/>
      <x:c r="AA160" s="116" t="str">
        <x:v>Net unit weight missing in 02. Order-level RFQ minimum: USD 100. Retail source: DHH exact FJX90-04-06W; direct each price; observed 2026-08-15; https://www.discounthydraulichose.com/FJX90-04-06W.html</x:v>
      </x:c>
      <x:c r="AB160" s="161" t="str">
        <x:v>Eligible</x:v>
      </x:c>
      <x:c r="AC160" s="161" t="str">
        <x:v>Pending</x:v>
      </x:c>
      <x:c r="AD160" t="str">
        <x:v>Units</x:v>
      </x:c>
      <x:c r="AE160" s="145"/>
      <x:c r="AF160" s="145"/>
      <x:c r="AG160" s="145"/>
      <x:c r="AH160" s="145"/>
      <x:c r="AI160" s="145"/>
      <x:c r="AJ160"/>
    </x:row>
    <x:row r="161" ht="30" customHeight="1">
      <x:c r="A161" s="138" t="str">
        <x:v>Draft</x:v>
      </x:c>
      <x:c r="B161" s="138" t="str">
        <x:v>Hose End</x:v>
      </x:c>
      <x:c r="C161" s="138" t="str">
        <x:v>JIC90_F_SW_06_06</x:v>
      </x:c>
      <x:c r="D161" s="138" t="str">
        <x:v>JIC90_F_SW_06_06</x:v>
      </x:c>
      <x:c r="E161" s="138" t="str">
        <x:v>EA</x:v>
      </x:c>
      <x:c r="F161" s="139"/>
      <x:c r="G161" s="141" t="n">
        <x:v>1</x:v>
      </x:c>
      <x:c r="H161" s="141" t="n">
        <x:v>1</x:v>
      </x:c>
      <x:c r="I161" s="143"/>
      <x:c r="J161" s="141" t="n">
        <x:v>10</x:v>
      </x:c>
      <x:c r="K161" s="138" t="str">
        <x:v>China</x:v>
      </x:c>
      <x:c r="L161" t="str">
        <x:v>USD</x:v>
      </x:c>
      <x:c r="M161" s="126"/>
      <x:c r="N161"/>
      <x:c r="O161"/>
      <x:c r="P161" s="145"/>
      <x:c r="Q161" s="126"/>
      <x:c r="R161" s="149" t="n">
        <x:v>17.98</x:v>
      </x:c>
      <x:c r="S161" s="145"/>
      <x:c r="T161" s="145"/>
      <x:c r="U161" s="124"/>
      <x:c r="V161" s="124"/>
      <x:c r="W161" s="124"/>
      <x:c r="X161" s="124"/>
      <x:c r="Y161"/>
      <x:c r="Z161"/>
      <x:c r="AA161" s="116" t="str">
        <x:v>Net unit weight missing in 02. Order-level RFQ minimum: USD 100. Retail source: DHH exact FJX90-06-06W; direct each price; observed 2026-08-15; https://www.discounthydraulichose.com/FJX90-06-06W.html</x:v>
      </x:c>
      <x:c r="AB161" s="161" t="str">
        <x:v>Eligible</x:v>
      </x:c>
      <x:c r="AC161" s="161" t="str">
        <x:v>Pending</x:v>
      </x:c>
      <x:c r="AD161" t="str">
        <x:v>Units</x:v>
      </x:c>
      <x:c r="AE161" s="145"/>
      <x:c r="AF161" s="145"/>
      <x:c r="AG161" s="145"/>
      <x:c r="AH161" s="145"/>
      <x:c r="AI161" s="145"/>
      <x:c r="AJ161"/>
    </x:row>
    <x:row r="162" ht="30" customHeight="1">
      <x:c r="A162" s="138" t="str">
        <x:v>Draft</x:v>
      </x:c>
      <x:c r="B162" s="138" t="str">
        <x:v>Hose End</x:v>
      </x:c>
      <x:c r="C162" s="138" t="str">
        <x:v>JIC90_F_SW_06_08</x:v>
      </x:c>
      <x:c r="D162" s="138" t="str">
        <x:v>JIC90_F_SW_06_08</x:v>
      </x:c>
      <x:c r="E162" s="138" t="str">
        <x:v>EA</x:v>
      </x:c>
      <x:c r="F162" s="139"/>
      <x:c r="G162" s="141" t="n">
        <x:v>1</x:v>
      </x:c>
      <x:c r="H162" s="141" t="n">
        <x:v>1</x:v>
      </x:c>
      <x:c r="I162" s="143"/>
      <x:c r="J162" s="141" t="n">
        <x:v>10</x:v>
      </x:c>
      <x:c r="K162" s="138" t="str">
        <x:v>China</x:v>
      </x:c>
      <x:c r="L162" t="str">
        <x:v>USD</x:v>
      </x:c>
      <x:c r="M162" s="126"/>
      <x:c r="N162"/>
      <x:c r="O162"/>
      <x:c r="P162" s="145"/>
      <x:c r="Q162" s="126"/>
      <x:c r="R162" s="149" t="n">
        <x:v>24.7</x:v>
      </x:c>
      <x:c r="S162" s="145"/>
      <x:c r="T162" s="145"/>
      <x:c r="U162" s="124"/>
      <x:c r="V162" s="124"/>
      <x:c r="W162" s="124"/>
      <x:c r="X162" s="124"/>
      <x:c r="Y162"/>
      <x:c r="Z162"/>
      <x:c r="AA162" s="116" t="str">
        <x:v>Net unit weight missing in 02. Order-level RFQ minimum: USD 100. Retail source: DHH exact FJX90-08-06W; direct each price; observed 2026-08-15; https://www.discounthydraulichose.com/FJX90-08-06W.html</x:v>
      </x:c>
      <x:c r="AB162" s="161" t="str">
        <x:v>Eligible</x:v>
      </x:c>
      <x:c r="AC162" s="161" t="str">
        <x:v>Pending</x:v>
      </x:c>
      <x:c r="AD162" t="str">
        <x:v>Units</x:v>
      </x:c>
      <x:c r="AE162" s="145"/>
      <x:c r="AF162" s="145"/>
      <x:c r="AG162" s="145"/>
      <x:c r="AH162" s="145"/>
      <x:c r="AI162" s="145"/>
      <x:c r="AJ162"/>
    </x:row>
    <x:row r="163" ht="30" customHeight="1">
      <x:c r="A163" s="138" t="str">
        <x:v>Draft</x:v>
      </x:c>
      <x:c r="B163" s="138" t="str">
        <x:v>Hose End</x:v>
      </x:c>
      <x:c r="C163" s="138" t="str">
        <x:v>JIC90_F_SW_08_06</x:v>
      </x:c>
      <x:c r="D163" s="138" t="str">
        <x:v>JIC90_F_SW_08_06</x:v>
      </x:c>
      <x:c r="E163" s="138" t="str">
        <x:v>EA</x:v>
      </x:c>
      <x:c r="F163" s="139"/>
      <x:c r="G163" s="141" t="n">
        <x:v>1</x:v>
      </x:c>
      <x:c r="H163" s="141" t="n">
        <x:v>1</x:v>
      </x:c>
      <x:c r="I163" s="143"/>
      <x:c r="J163" s="141" t="n">
        <x:v>10</x:v>
      </x:c>
      <x:c r="K163" s="138" t="str">
        <x:v>China</x:v>
      </x:c>
      <x:c r="L163" t="str">
        <x:v>USD</x:v>
      </x:c>
      <x:c r="M163" s="126"/>
      <x:c r="N163"/>
      <x:c r="O163"/>
      <x:c r="P163" s="145"/>
      <x:c r="Q163" s="126"/>
      <x:c r="R163" s="149" t="n">
        <x:v>15.36</x:v>
      </x:c>
      <x:c r="S163" s="145"/>
      <x:c r="T163" s="145"/>
      <x:c r="U163" s="124"/>
      <x:c r="V163" s="124"/>
      <x:c r="W163" s="124"/>
      <x:c r="X163" s="124"/>
      <x:c r="Y163"/>
      <x:c r="Z163"/>
      <x:c r="AA163" s="116" t="str">
        <x:v>Net unit weight missing in 02. Order-level RFQ minimum: USD 100. Retail source: DHH exact FJX90-06-08W; direct each price; observed 2026-08-15; https://www.discounthydraulichose.com/FJX90-06-08W.html</x:v>
      </x:c>
      <x:c r="AB163" s="161" t="str">
        <x:v>Eligible</x:v>
      </x:c>
      <x:c r="AC163" s="161" t="str">
        <x:v>Pending</x:v>
      </x:c>
      <x:c r="AD163" t="str">
        <x:v>Units</x:v>
      </x:c>
      <x:c r="AE163" s="145"/>
      <x:c r="AF163" s="145"/>
      <x:c r="AG163" s="145"/>
      <x:c r="AH163" s="145"/>
      <x:c r="AI163" s="145"/>
      <x:c r="AJ163"/>
    </x:row>
    <x:row r="164" ht="30" customHeight="1">
      <x:c r="A164" s="138" t="str">
        <x:v>Draft</x:v>
      </x:c>
      <x:c r="B164" s="138" t="str">
        <x:v>Hose End</x:v>
      </x:c>
      <x:c r="C164" s="138" t="str">
        <x:v>JIC90_F_SW_08_08</x:v>
      </x:c>
      <x:c r="D164" s="138" t="str">
        <x:v>JIC90_F_SW_08_08</x:v>
      </x:c>
      <x:c r="E164" s="138" t="str">
        <x:v>EA</x:v>
      </x:c>
      <x:c r="F164" s="139"/>
      <x:c r="G164" s="141" t="n">
        <x:v>1</x:v>
      </x:c>
      <x:c r="H164" s="141" t="n">
        <x:v>1</x:v>
      </x:c>
      <x:c r="I164" s="143"/>
      <x:c r="J164" s="141" t="n">
        <x:v>10</x:v>
      </x:c>
      <x:c r="K164" s="138" t="str">
        <x:v>China</x:v>
      </x:c>
      <x:c r="L164" t="str">
        <x:v>USD</x:v>
      </x:c>
      <x:c r="M164" s="126"/>
      <x:c r="N164"/>
      <x:c r="O164"/>
      <x:c r="P164" s="145"/>
      <x:c r="Q164" s="126"/>
      <x:c r="R164" s="149" t="n">
        <x:v>23.33</x:v>
      </x:c>
      <x:c r="S164" s="145"/>
      <x:c r="T164" s="145"/>
      <x:c r="U164" s="124"/>
      <x:c r="V164" s="124"/>
      <x:c r="W164" s="124"/>
      <x:c r="X164" s="124"/>
      <x:c r="Y164"/>
      <x:c r="Z164"/>
      <x:c r="AA164" s="116" t="str">
        <x:v>Net unit weight missing in 02. Order-level RFQ minimum: USD 100. Retail source: DHH exact FJX90-08-08W; direct each price; observed 2026-08-15; https://www.discounthydraulichose.com/FJX90-08-08W.html</x:v>
      </x:c>
      <x:c r="AB164" s="161" t="str">
        <x:v>Eligible</x:v>
      </x:c>
      <x:c r="AC164" s="161" t="str">
        <x:v>Pending</x:v>
      </x:c>
      <x:c r="AD164" t="str">
        <x:v>Units</x:v>
      </x:c>
      <x:c r="AE164" s="145"/>
      <x:c r="AF164" s="145"/>
      <x:c r="AG164" s="145"/>
      <x:c r="AH164" s="145"/>
      <x:c r="AI164" s="145"/>
      <x:c r="AJ164"/>
    </x:row>
    <x:row r="165" ht="30" customHeight="1">
      <x:c r="A165" s="138" t="str">
        <x:v>Draft</x:v>
      </x:c>
      <x:c r="B165" s="138" t="str">
        <x:v>Hose End</x:v>
      </x:c>
      <x:c r="C165" s="138" t="str">
        <x:v>JIC90_F_SW_10_08</x:v>
      </x:c>
      <x:c r="D165" s="138" t="str">
        <x:v>JIC90_F_SW_10_08</x:v>
      </x:c>
      <x:c r="E165" s="138" t="str">
        <x:v>EA</x:v>
      </x:c>
      <x:c r="F165" s="139"/>
      <x:c r="G165" s="141" t="n">
        <x:v>1</x:v>
      </x:c>
      <x:c r="H165" s="141" t="n">
        <x:v>1</x:v>
      </x:c>
      <x:c r="I165" s="143"/>
      <x:c r="J165" s="141" t="n">
        <x:v>10</x:v>
      </x:c>
      <x:c r="K165" s="138" t="str">
        <x:v>China</x:v>
      </x:c>
      <x:c r="L165" t="str">
        <x:v>USD</x:v>
      </x:c>
      <x:c r="M165" s="126"/>
      <x:c r="N165"/>
      <x:c r="O165"/>
      <x:c r="P165" s="145"/>
      <x:c r="Q165" s="126"/>
      <x:c r="R165" s="149" t="n">
        <x:v>26.62</x:v>
      </x:c>
      <x:c r="S165" s="145"/>
      <x:c r="T165" s="145"/>
      <x:c r="U165" s="124"/>
      <x:c r="V165" s="124"/>
      <x:c r="W165" s="124"/>
      <x:c r="X165" s="124"/>
      <x:c r="Y165"/>
      <x:c r="Z165"/>
      <x:c r="AA165" s="116" t="str">
        <x:v>Net unit weight missing in 02. Order-level RFQ minimum: USD 100. Retail source: DHH exact FJX90-08-10W; direct each price; observed 2026-08-15; https://www.discounthydraulichose.com/FJX90-08-10W.html</x:v>
      </x:c>
      <x:c r="AB165" s="161" t="str">
        <x:v>Eligible</x:v>
      </x:c>
      <x:c r="AC165" s="161" t="str">
        <x:v>Pending</x:v>
      </x:c>
      <x:c r="AD165" t="str">
        <x:v>Units</x:v>
      </x:c>
      <x:c r="AE165" s="145"/>
      <x:c r="AF165" s="145"/>
      <x:c r="AG165" s="145"/>
      <x:c r="AH165" s="145"/>
      <x:c r="AI165" s="145"/>
      <x:c r="AJ165"/>
    </x:row>
    <x:row r="166" ht="30" customHeight="1">
      <x:c r="A166" s="138" t="str">
        <x:v>Draft</x:v>
      </x:c>
      <x:c r="B166" s="138" t="str">
        <x:v>Hose End</x:v>
      </x:c>
      <x:c r="C166" s="138" t="str">
        <x:v>JIC90_F_SW_10_10</x:v>
      </x:c>
      <x:c r="D166" s="138" t="str">
        <x:v>JIC90_F_SW_10_10</x:v>
      </x:c>
      <x:c r="E166" s="138" t="str">
        <x:v>EA</x:v>
      </x:c>
      <x:c r="F166" s="139"/>
      <x:c r="G166" s="141" t="n">
        <x:v>1</x:v>
      </x:c>
      <x:c r="H166" s="141" t="n">
        <x:v>1</x:v>
      </x:c>
      <x:c r="I166" s="143"/>
      <x:c r="J166" s="141" t="n">
        <x:v>10</x:v>
      </x:c>
      <x:c r="K166" s="138" t="str">
        <x:v>China</x:v>
      </x:c>
      <x:c r="L166" t="str">
        <x:v>USD</x:v>
      </x:c>
      <x:c r="M166" s="126"/>
      <x:c r="N166"/>
      <x:c r="O166"/>
      <x:c r="P166" s="145"/>
      <x:c r="Q166" s="126"/>
      <x:c r="R166" s="149" t="n">
        <x:v>22.36</x:v>
      </x:c>
      <x:c r="S166" s="145"/>
      <x:c r="T166" s="145"/>
      <x:c r="U166" s="124"/>
      <x:c r="V166" s="124"/>
      <x:c r="W166" s="124"/>
      <x:c r="X166" s="124"/>
      <x:c r="Y166"/>
      <x:c r="Z166"/>
      <x:c r="AA166" s="116" t="str">
        <x:v>Net unit weight missing in 02. Order-level RFQ minimum: USD 100. Retail source: DHH exact FJX90-10-10W; direct each price; observed 2026-08-15; https://www.discounthydraulichose.com/FJX90-10-10W.html</x:v>
      </x:c>
      <x:c r="AB166" s="161" t="str">
        <x:v>Eligible</x:v>
      </x:c>
      <x:c r="AC166" s="161" t="str">
        <x:v>Pending</x:v>
      </x:c>
      <x:c r="AD166" t="str">
        <x:v>Units</x:v>
      </x:c>
      <x:c r="AE166" s="145"/>
      <x:c r="AF166" s="145"/>
      <x:c r="AG166" s="145"/>
      <x:c r="AH166" s="145"/>
      <x:c r="AI166" s="145"/>
      <x:c r="AJ166"/>
    </x:row>
    <x:row r="167" ht="30" customHeight="1">
      <x:c r="A167" s="138" t="str">
        <x:v>Draft</x:v>
      </x:c>
      <x:c r="B167" s="138" t="str">
        <x:v>Hose End</x:v>
      </x:c>
      <x:c r="C167" s="138" t="str">
        <x:v>JIC90_F_SW_12_08</x:v>
      </x:c>
      <x:c r="D167" s="138" t="str">
        <x:v>JIC90_F_SW_12_08</x:v>
      </x:c>
      <x:c r="E167" s="138" t="str">
        <x:v>EA</x:v>
      </x:c>
      <x:c r="F167" s="139"/>
      <x:c r="G167" s="141" t="n">
        <x:v>1</x:v>
      </x:c>
      <x:c r="H167" s="141" t="n">
        <x:v>1</x:v>
      </x:c>
      <x:c r="I167" s="143"/>
      <x:c r="J167" s="141" t="n">
        <x:v>10</x:v>
      </x:c>
      <x:c r="K167" s="138" t="str">
        <x:v>China</x:v>
      </x:c>
      <x:c r="L167" t="str">
        <x:v>USD</x:v>
      </x:c>
      <x:c r="M167" s="126"/>
      <x:c r="N167"/>
      <x:c r="O167"/>
      <x:c r="P167" s="145"/>
      <x:c r="Q167" s="126"/>
      <x:c r="R167" s="149" t="n">
        <x:v>39.7</x:v>
      </x:c>
      <x:c r="S167" s="145"/>
      <x:c r="T167" s="145"/>
      <x:c r="U167" s="124"/>
      <x:c r="V167" s="124"/>
      <x:c r="W167" s="124"/>
      <x:c r="X167" s="124"/>
      <x:c r="Y167"/>
      <x:c r="Z167"/>
      <x:c r="AA167" s="116" t="str">
        <x:v>Net unit weight missing in 02. Order-level RFQ minimum: USD 100. Retail source: DHH exact FJX90-08-12W; direct each price; observed 2026-08-15; https://www.discounthydraulichose.com/FJX90-08-12W.html</x:v>
      </x:c>
      <x:c r="AB167" s="161" t="str">
        <x:v>Eligible</x:v>
      </x:c>
      <x:c r="AC167" s="161" t="str">
        <x:v>Pending</x:v>
      </x:c>
      <x:c r="AD167" t="str">
        <x:v>Units</x:v>
      </x:c>
      <x:c r="AE167" s="145"/>
      <x:c r="AF167" s="145"/>
      <x:c r="AG167" s="145"/>
      <x:c r="AH167" s="145"/>
      <x:c r="AI167" s="145"/>
      <x:c r="AJ167"/>
    </x:row>
    <x:row r="168" ht="30" customHeight="1">
      <x:c r="A168" s="138" t="str">
        <x:v>Draft</x:v>
      </x:c>
      <x:c r="B168" s="138" t="str">
        <x:v>Hose End</x:v>
      </x:c>
      <x:c r="C168" s="138" t="str">
        <x:v>JIC90_F_SW_12_10</x:v>
      </x:c>
      <x:c r="D168" s="138" t="str">
        <x:v>JIC90_F_SW_12_10</x:v>
      </x:c>
      <x:c r="E168" s="138" t="str">
        <x:v>EA</x:v>
      </x:c>
      <x:c r="F168" s="139"/>
      <x:c r="G168" s="141" t="n">
        <x:v>1</x:v>
      </x:c>
      <x:c r="H168" s="141" t="n">
        <x:v>1</x:v>
      </x:c>
      <x:c r="I168" s="143"/>
      <x:c r="J168" s="141" t="n">
        <x:v>10</x:v>
      </x:c>
      <x:c r="K168" s="138" t="str">
        <x:v>China</x:v>
      </x:c>
      <x:c r="L168" t="str">
        <x:v>USD</x:v>
      </x:c>
      <x:c r="M168" s="126"/>
      <x:c r="N168"/>
      <x:c r="O168"/>
      <x:c r="P168" s="145"/>
      <x:c r="Q168" s="126"/>
      <x:c r="R168" s="149" t="n">
        <x:v>31.11</x:v>
      </x:c>
      <x:c r="S168" s="145"/>
      <x:c r="T168" s="145"/>
      <x:c r="U168" s="124"/>
      <x:c r="V168" s="124"/>
      <x:c r="W168" s="124"/>
      <x:c r="X168" s="124"/>
      <x:c r="Y168"/>
      <x:c r="Z168"/>
      <x:c r="AA168" s="116" t="str">
        <x:v>Net unit weight missing in 02. Order-level RFQ minimum: USD 100. Retail source: DHH exact FJX90-10-12W; direct each price; observed 2026-08-15; https://www.discounthydraulichose.com/FJX90-10-12W.html</x:v>
      </x:c>
      <x:c r="AB168" s="161" t="str">
        <x:v>Eligible</x:v>
      </x:c>
      <x:c r="AC168" s="161" t="str">
        <x:v>Pending</x:v>
      </x:c>
      <x:c r="AD168" t="str">
        <x:v>Units</x:v>
      </x:c>
      <x:c r="AE168" s="145"/>
      <x:c r="AF168" s="145"/>
      <x:c r="AG168" s="145"/>
      <x:c r="AH168" s="145"/>
      <x:c r="AI168" s="145"/>
      <x:c r="AJ168"/>
    </x:row>
    <x:row r="169" ht="30" customHeight="1">
      <x:c r="A169" s="138" t="str">
        <x:v>Draft</x:v>
      </x:c>
      <x:c r="B169" s="138" t="str">
        <x:v>Hose End</x:v>
      </x:c>
      <x:c r="C169" s="138" t="str">
        <x:v>JIC90_F_SW_12_12</x:v>
      </x:c>
      <x:c r="D169" s="138" t="str">
        <x:v>JIC90_F_SW_12_12</x:v>
      </x:c>
      <x:c r="E169" s="138" t="str">
        <x:v>EA</x:v>
      </x:c>
      <x:c r="F169" s="139"/>
      <x:c r="G169" s="141" t="n">
        <x:v>1</x:v>
      </x:c>
      <x:c r="H169" s="141" t="n">
        <x:v>1</x:v>
      </x:c>
      <x:c r="I169" s="143"/>
      <x:c r="J169" s="141" t="n">
        <x:v>10</x:v>
      </x:c>
      <x:c r="K169" s="138" t="str">
        <x:v>China</x:v>
      </x:c>
      <x:c r="L169" t="str">
        <x:v>USD</x:v>
      </x:c>
      <x:c r="M169" s="126"/>
      <x:c r="N169"/>
      <x:c r="O169"/>
      <x:c r="P169" s="145"/>
      <x:c r="Q169" s="126"/>
      <x:c r="R169" s="149" t="n">
        <x:v>40.84</x:v>
      </x:c>
      <x:c r="S169" s="145"/>
      <x:c r="T169" s="145"/>
      <x:c r="U169" s="124"/>
      <x:c r="V169" s="124"/>
      <x:c r="W169" s="124"/>
      <x:c r="X169" s="124"/>
      <x:c r="Y169"/>
      <x:c r="Z169"/>
      <x:c r="AA169" s="116" t="str">
        <x:v>Net unit weight missing in 02. Order-level RFQ minimum: USD 100. Retail source: DHH exact FJX90-12-12W; direct each price; observed 2026-08-15; https://www.discounthydraulichose.com/FJX90-12-12W.html</x:v>
      </x:c>
      <x:c r="AB169" s="161" t="str">
        <x:v>Eligible</x:v>
      </x:c>
      <x:c r="AC169" s="161" t="str">
        <x:v>Pending</x:v>
      </x:c>
      <x:c r="AD169" t="str">
        <x:v>Units</x:v>
      </x:c>
      <x:c r="AE169" s="145"/>
      <x:c r="AF169" s="145"/>
      <x:c r="AG169" s="145"/>
      <x:c r="AH169" s="145"/>
      <x:c r="AI169" s="145"/>
      <x:c r="AJ169"/>
    </x:row>
    <x:row r="170" ht="30" customHeight="1">
      <x:c r="A170" s="138" t="str">
        <x:v>Draft</x:v>
      </x:c>
      <x:c r="B170" s="138" t="str">
        <x:v>Hose End</x:v>
      </x:c>
      <x:c r="C170" s="138" t="str">
        <x:v>JIC90_F_SW_16_12</x:v>
      </x:c>
      <x:c r="D170" s="138" t="str">
        <x:v>JIC90_F_SW_16_12</x:v>
      </x:c>
      <x:c r="E170" s="138" t="str">
        <x:v>EA</x:v>
      </x:c>
      <x:c r="F170" s="139"/>
      <x:c r="G170" s="141" t="n">
        <x:v>1</x:v>
      </x:c>
      <x:c r="H170" s="141" t="n">
        <x:v>1</x:v>
      </x:c>
      <x:c r="I170" s="143"/>
      <x:c r="J170" s="141" t="n">
        <x:v>10</x:v>
      </x:c>
      <x:c r="K170" s="138" t="str">
        <x:v>China</x:v>
      </x:c>
      <x:c r="L170" t="str">
        <x:v>USD</x:v>
      </x:c>
      <x:c r="M170" s="126"/>
      <x:c r="N170"/>
      <x:c r="O170"/>
      <x:c r="P170" s="145"/>
      <x:c r="Q170" s="126"/>
      <x:c r="R170" s="149" t="n">
        <x:v>63.89</x:v>
      </x:c>
      <x:c r="S170" s="145"/>
      <x:c r="T170" s="145"/>
      <x:c r="U170" s="124"/>
      <x:c r="V170" s="124"/>
      <x:c r="W170" s="124"/>
      <x:c r="X170" s="124"/>
      <x:c r="Y170"/>
      <x:c r="Z170"/>
      <x:c r="AA170" s="116" t="str">
        <x:v>Net unit weight missing in 02. Order-level RFQ minimum: USD 100. Retail source: DHH exact FJX90-12-16W; direct each price; observed 2026-08-15; https://www.discounthydraulichose.com/FJX90-12-16W.html</x:v>
      </x:c>
      <x:c r="AB170" s="161" t="str">
        <x:v>Eligible</x:v>
      </x:c>
      <x:c r="AC170" s="161" t="str">
        <x:v>Pending</x:v>
      </x:c>
      <x:c r="AD170" t="str">
        <x:v>Units</x:v>
      </x:c>
      <x:c r="AE170" s="145"/>
      <x:c r="AF170" s="145"/>
      <x:c r="AG170" s="145"/>
      <x:c r="AH170" s="145"/>
      <x:c r="AI170" s="145"/>
      <x:c r="AJ170"/>
    </x:row>
    <x:row r="171" ht="30" customHeight="1">
      <x:c r="A171" s="138" t="str">
        <x:v>Draft</x:v>
      </x:c>
      <x:c r="B171" s="138" t="str">
        <x:v>Hose End</x:v>
      </x:c>
      <x:c r="C171" s="138" t="str">
        <x:v>JIC90_F_SW_16_16</x:v>
      </x:c>
      <x:c r="D171" s="138" t="str">
        <x:v>JIC90_F_SW_16_16</x:v>
      </x:c>
      <x:c r="E171" s="138" t="str">
        <x:v>EA</x:v>
      </x:c>
      <x:c r="F171" s="139"/>
      <x:c r="G171" s="141" t="n">
        <x:v>1</x:v>
      </x:c>
      <x:c r="H171" s="141" t="n">
        <x:v>1</x:v>
      </x:c>
      <x:c r="I171" s="143"/>
      <x:c r="J171" s="141" t="n">
        <x:v>10</x:v>
      </x:c>
      <x:c r="K171" s="138" t="str">
        <x:v>China</x:v>
      </x:c>
      <x:c r="L171" t="str">
        <x:v>USD</x:v>
      </x:c>
      <x:c r="M171" s="126"/>
      <x:c r="N171"/>
      <x:c r="O171"/>
      <x:c r="P171" s="145"/>
      <x:c r="Q171" s="126"/>
      <x:c r="R171" s="149" t="n">
        <x:v>54.64</x:v>
      </x:c>
      <x:c r="S171" s="145"/>
      <x:c r="T171" s="145"/>
      <x:c r="U171" s="124"/>
      <x:c r="V171" s="124"/>
      <x:c r="W171" s="124"/>
      <x:c r="X171" s="124"/>
      <x:c r="Y171"/>
      <x:c r="Z171"/>
      <x:c r="AA171" s="116" t="str">
        <x:v>Net unit weight missing in 02. Order-level RFQ minimum: USD 100. Retail source: DHH exact FJX90-16-16W; direct each price; observed 2026-08-15; https://www.discounthydraulichose.com/FJX90-16-16W.html</x:v>
      </x:c>
      <x:c r="AB171" s="161" t="str">
        <x:v>Eligible</x:v>
      </x:c>
      <x:c r="AC171" s="161" t="str">
        <x:v>Pending</x:v>
      </x:c>
      <x:c r="AD171" t="str">
        <x:v>Units</x:v>
      </x:c>
      <x:c r="AE171" s="145"/>
      <x:c r="AF171" s="145"/>
      <x:c r="AG171" s="145"/>
      <x:c r="AH171" s="145"/>
      <x:c r="AI171" s="145"/>
      <x:c r="AJ171"/>
    </x:row>
    <x:row r="172" ht="30" customHeight="1">
      <x:c r="A172" s="138" t="str">
        <x:v>Draft</x:v>
      </x:c>
      <x:c r="B172" s="138" t="str">
        <x:v>Hose End</x:v>
      </x:c>
      <x:c r="C172" s="138" t="str">
        <x:v>JIC90_F_SW_20_16</x:v>
      </x:c>
      <x:c r="D172" s="138" t="str">
        <x:v>JIC90_F_SW_20_16</x:v>
      </x:c>
      <x:c r="E172" s="138" t="str">
        <x:v>EA</x:v>
      </x:c>
      <x:c r="F172" s="139"/>
      <x:c r="G172" s="141" t="n">
        <x:v>1</x:v>
      </x:c>
      <x:c r="H172" s="141" t="n">
        <x:v>1</x:v>
      </x:c>
      <x:c r="I172" s="143"/>
      <x:c r="J172" s="141" t="n">
        <x:v>10</x:v>
      </x:c>
      <x:c r="K172" s="138" t="str">
        <x:v>China</x:v>
      </x:c>
      <x:c r="L172" t="str">
        <x:v>USD</x:v>
      </x:c>
      <x:c r="M172" s="126"/>
      <x:c r="N172"/>
      <x:c r="O172"/>
      <x:c r="P172" s="145"/>
      <x:c r="Q172" s="126"/>
      <x:c r="R172" s="149" t="n">
        <x:v>75.84</x:v>
      </x:c>
      <x:c r="S172" s="145"/>
      <x:c r="T172" s="145"/>
      <x:c r="U172" s="124"/>
      <x:c r="V172" s="124"/>
      <x:c r="W172" s="124"/>
      <x:c r="X172" s="124"/>
      <x:c r="Y172"/>
      <x:c r="Z172"/>
      <x:c r="AA172" s="116" t="str">
        <x:v>Net unit weight missing in 02. Order-level RFQ minimum: USD 100. Retail source: DHH exact FJX90-16-20W; direct each price; observed 2026-08-15; https://www.discounthydraulichose.com/FJX90-16-20W.html</x:v>
      </x:c>
      <x:c r="AB172" s="161" t="str">
        <x:v>Eligible</x:v>
      </x:c>
      <x:c r="AC172" s="161" t="str">
        <x:v>Pending</x:v>
      </x:c>
      <x:c r="AD172" t="str">
        <x:v>Units</x:v>
      </x:c>
      <x:c r="AE172" s="145"/>
      <x:c r="AF172" s="145"/>
      <x:c r="AG172" s="145"/>
      <x:c r="AH172" s="145"/>
      <x:c r="AI172" s="145"/>
      <x:c r="AJ172"/>
    </x:row>
    <x:row r="173" ht="30" customHeight="1">
      <x:c r="A173" s="138" t="str">
        <x:v>Draft</x:v>
      </x:c>
      <x:c r="B173" s="138" t="str">
        <x:v>Hose End</x:v>
      </x:c>
      <x:c r="C173" s="138" t="str">
        <x:v>NPT_F_FX_02_04</x:v>
      </x:c>
      <x:c r="D173" s="138" t="str">
        <x:v>NPT_F_FX_02_04</x:v>
      </x:c>
      <x:c r="E173" s="138" t="str">
        <x:v>EA</x:v>
      </x:c>
      <x:c r="F173" s="139"/>
      <x:c r="G173" s="141" t="n">
        <x:v>1</x:v>
      </x:c>
      <x:c r="H173" s="141" t="n">
        <x:v>1</x:v>
      </x:c>
      <x:c r="I173" s="143"/>
      <x:c r="J173" s="141" t="n">
        <x:v>10</x:v>
      </x:c>
      <x:c r="K173" s="138" t="str">
        <x:v>China</x:v>
      </x:c>
      <x:c r="L173" t="str">
        <x:v>USD</x:v>
      </x:c>
      <x:c r="M173" s="126"/>
      <x:c r="N173"/>
      <x:c r="O173"/>
      <x:c r="P173" s="145"/>
      <x:c r="Q173" s="126"/>
      <x:c r="R173" s="149" t="n">
        <x:v>13.37</x:v>
      </x:c>
      <x:c r="S173" s="145"/>
      <x:c r="T173" s="145"/>
      <x:c r="U173" s="124"/>
      <x:c r="V173" s="124"/>
      <x:c r="W173" s="124"/>
      <x:c r="X173" s="124"/>
      <x:c r="Y173"/>
      <x:c r="Z173"/>
      <x:c r="AA173" s="116" t="str">
        <x:v>Net unit weight missing in 02. Order-level RFQ minimum: USD 100. Retail source: DHH exact FP-04-02W; direct each price; observed 2026-08-15; https://www.discounthydraulichose.com/FP-04-02W.html</x:v>
      </x:c>
      <x:c r="AB173" s="161" t="str">
        <x:v>Eligible</x:v>
      </x:c>
      <x:c r="AC173" s="161" t="str">
        <x:v>Pending</x:v>
      </x:c>
      <x:c r="AD173" t="str">
        <x:v>Units</x:v>
      </x:c>
      <x:c r="AE173" s="145"/>
      <x:c r="AF173" s="145"/>
      <x:c r="AG173" s="145"/>
      <x:c r="AH173" s="145"/>
      <x:c r="AI173" s="145"/>
      <x:c r="AJ173"/>
    </x:row>
    <x:row r="174" ht="30" customHeight="1">
      <x:c r="A174" s="138" t="str">
        <x:v>Draft</x:v>
      </x:c>
      <x:c r="B174" s="138" t="str">
        <x:v>Hose End</x:v>
      </x:c>
      <x:c r="C174" s="138" t="str">
        <x:v>NPT_F_FX_04_04</x:v>
      </x:c>
      <x:c r="D174" s="138" t="str">
        <x:v>NPT_F_FX_04_04</x:v>
      </x:c>
      <x:c r="E174" s="138" t="str">
        <x:v>EA</x:v>
      </x:c>
      <x:c r="F174" s="139"/>
      <x:c r="G174" s="141" t="n">
        <x:v>1</x:v>
      </x:c>
      <x:c r="H174" s="141" t="n">
        <x:v>1</x:v>
      </x:c>
      <x:c r="I174" s="143"/>
      <x:c r="J174" s="141" t="n">
        <x:v>10</x:v>
      </x:c>
      <x:c r="K174" s="138" t="str">
        <x:v>China</x:v>
      </x:c>
      <x:c r="L174" t="str">
        <x:v>USD</x:v>
      </x:c>
      <x:c r="M174" s="126"/>
      <x:c r="N174"/>
      <x:c r="O174"/>
      <x:c r="P174" s="145"/>
      <x:c r="Q174" s="126"/>
      <x:c r="R174" s="149" t="n">
        <x:v>6.28</x:v>
      </x:c>
      <x:c r="S174" s="145"/>
      <x:c r="T174" s="145"/>
      <x:c r="U174" s="124"/>
      <x:c r="V174" s="124"/>
      <x:c r="W174" s="124"/>
      <x:c r="X174" s="124"/>
      <x:c r="Y174"/>
      <x:c r="Z174"/>
      <x:c r="AA174" s="116" t="str">
        <x:v>Net unit weight missing in 02. Order-level RFQ minimum: USD 100. Retail source: DHH exact FP-04-04W; direct each price; observed 2026-08-15; https://www.discounthydraulichose.com/FP-04-04W.html</x:v>
      </x:c>
      <x:c r="AB174" s="161" t="str">
        <x:v>Eligible</x:v>
      </x:c>
      <x:c r="AC174" s="161" t="str">
        <x:v>Pending</x:v>
      </x:c>
      <x:c r="AD174" t="str">
        <x:v>Units</x:v>
      </x:c>
      <x:c r="AE174" s="145"/>
      <x:c r="AF174" s="145"/>
      <x:c r="AG174" s="145"/>
      <x:c r="AH174" s="145"/>
      <x:c r="AI174" s="145"/>
      <x:c r="AJ174"/>
    </x:row>
    <x:row r="175" ht="30" customHeight="1">
      <x:c r="A175" s="138" t="str">
        <x:v>Draft</x:v>
      </x:c>
      <x:c r="B175" s="138" t="str">
        <x:v>Hose End</x:v>
      </x:c>
      <x:c r="C175" s="138" t="str">
        <x:v>NPT_F_FX_04_06</x:v>
      </x:c>
      <x:c r="D175" s="138" t="str">
        <x:v>NPT_F_FX_04_06</x:v>
      </x:c>
      <x:c r="E175" s="138" t="str">
        <x:v>EA</x:v>
      </x:c>
      <x:c r="F175" s="139"/>
      <x:c r="G175" s="141" t="n">
        <x:v>1</x:v>
      </x:c>
      <x:c r="H175" s="141" t="n">
        <x:v>1</x:v>
      </x:c>
      <x:c r="I175" s="143"/>
      <x:c r="J175" s="141" t="n">
        <x:v>10</x:v>
      </x:c>
      <x:c r="K175" s="138" t="str">
        <x:v>China</x:v>
      </x:c>
      <x:c r="L175" t="str">
        <x:v>USD</x:v>
      </x:c>
      <x:c r="M175" s="126"/>
      <x:c r="N175"/>
      <x:c r="O175"/>
      <x:c r="P175" s="145"/>
      <x:c r="Q175" s="126"/>
      <x:c r="R175" s="149" t="n">
        <x:v>15.14</x:v>
      </x:c>
      <x:c r="S175" s="145"/>
      <x:c r="T175" s="145"/>
      <x:c r="U175" s="124"/>
      <x:c r="V175" s="124"/>
      <x:c r="W175" s="124"/>
      <x:c r="X175" s="124"/>
      <x:c r="Y175"/>
      <x:c r="Z175"/>
      <x:c r="AA175" s="116" t="str">
        <x:v>Net unit weight missing in 02. Order-level RFQ minimum: USD 100. Retail source: DHH exact FP-06-04W; direct each price; observed 2026-08-15; https://www.discounthydraulichose.com/FP-06-04W.html</x:v>
      </x:c>
      <x:c r="AB175" s="161" t="str">
        <x:v>Eligible</x:v>
      </x:c>
      <x:c r="AC175" s="161" t="str">
        <x:v>Pending</x:v>
      </x:c>
      <x:c r="AD175" t="str">
        <x:v>Units</x:v>
      </x:c>
      <x:c r="AE175" s="145"/>
      <x:c r="AF175" s="145"/>
      <x:c r="AG175" s="145"/>
      <x:c r="AH175" s="145"/>
      <x:c r="AI175" s="145"/>
      <x:c r="AJ175"/>
    </x:row>
    <x:row r="176" ht="30" customHeight="1">
      <x:c r="A176" s="138" t="str">
        <x:v>Draft</x:v>
      </x:c>
      <x:c r="B176" s="138" t="str">
        <x:v>Hose End</x:v>
      </x:c>
      <x:c r="C176" s="138" t="str">
        <x:v>NPT_F_FX_06_04</x:v>
      </x:c>
      <x:c r="D176" s="138" t="str">
        <x:v>NPT_F_FX_06_04</x:v>
      </x:c>
      <x:c r="E176" s="138" t="str">
        <x:v>EA</x:v>
      </x:c>
      <x:c r="F176" s="139"/>
      <x:c r="G176" s="141" t="n">
        <x:v>1</x:v>
      </x:c>
      <x:c r="H176" s="141" t="n">
        <x:v>1</x:v>
      </x:c>
      <x:c r="I176" s="143"/>
      <x:c r="J176" s="141" t="n">
        <x:v>10</x:v>
      </x:c>
      <x:c r="K176" s="138" t="str">
        <x:v>China</x:v>
      </x:c>
      <x:c r="L176" t="str">
        <x:v>USD</x:v>
      </x:c>
      <x:c r="M176" s="126"/>
      <x:c r="N176"/>
      <x:c r="O176"/>
      <x:c r="P176" s="145"/>
      <x:c r="Q176" s="126"/>
      <x:c r="R176" s="149" t="n">
        <x:v>25.63</x:v>
      </x:c>
      <x:c r="S176" s="145"/>
      <x:c r="T176" s="145"/>
      <x:c r="U176" s="124"/>
      <x:c r="V176" s="124"/>
      <x:c r="W176" s="124"/>
      <x:c r="X176" s="124"/>
      <x:c r="Y176"/>
      <x:c r="Z176"/>
      <x:c r="AA176" s="116" t="str">
        <x:v>Net unit weight missing in 02. Order-level RFQ minimum: USD 100. Retail source: DHH exact FP-04-06W; direct each price; observed 2026-08-15; https://www.discounthydraulichose.com/FP-04-06W.html</x:v>
      </x:c>
      <x:c r="AB176" s="161" t="str">
        <x:v>Eligible</x:v>
      </x:c>
      <x:c r="AC176" s="161" t="str">
        <x:v>Pending</x:v>
      </x:c>
      <x:c r="AD176" t="str">
        <x:v>Units</x:v>
      </x:c>
      <x:c r="AE176" s="145"/>
      <x:c r="AF176" s="145"/>
      <x:c r="AG176" s="145"/>
      <x:c r="AH176" s="145"/>
      <x:c r="AI176" s="145"/>
      <x:c r="AJ176"/>
    </x:row>
    <x:row r="177" ht="30" customHeight="1">
      <x:c r="A177" s="138" t="str">
        <x:v>Draft</x:v>
      </x:c>
      <x:c r="B177" s="138" t="str">
        <x:v>Hose End</x:v>
      </x:c>
      <x:c r="C177" s="138" t="str">
        <x:v>NPT_F_FX_06_06</x:v>
      </x:c>
      <x:c r="D177" s="138" t="str">
        <x:v>NPT_F_FX_06_06</x:v>
      </x:c>
      <x:c r="E177" s="138" t="str">
        <x:v>EA</x:v>
      </x:c>
      <x:c r="F177" s="139"/>
      <x:c r="G177" s="141" t="n">
        <x:v>1</x:v>
      </x:c>
      <x:c r="H177" s="141" t="n">
        <x:v>1</x:v>
      </x:c>
      <x:c r="I177" s="143"/>
      <x:c r="J177" s="141" t="n">
        <x:v>10</x:v>
      </x:c>
      <x:c r="K177" s="138" t="str">
        <x:v>China</x:v>
      </x:c>
      <x:c r="L177" t="str">
        <x:v>USD</x:v>
      </x:c>
      <x:c r="M177" s="126"/>
      <x:c r="N177"/>
      <x:c r="O177"/>
      <x:c r="P177" s="145"/>
      <x:c r="Q177" s="126"/>
      <x:c r="R177" s="149" t="n">
        <x:v>9.57</x:v>
      </x:c>
      <x:c r="S177" s="145"/>
      <x:c r="T177" s="145"/>
      <x:c r="U177" s="124"/>
      <x:c r="V177" s="124"/>
      <x:c r="W177" s="124"/>
      <x:c r="X177" s="124"/>
      <x:c r="Y177"/>
      <x:c r="Z177"/>
      <x:c r="AA177" s="116" t="str">
        <x:v>Net unit weight missing in 02. Order-level RFQ minimum: USD 100. Retail source: DHH exact FP-06-06W; direct each price; observed 2026-08-15; https://www.discounthydraulichose.com/FP-06-06W.html</x:v>
      </x:c>
      <x:c r="AB177" s="161" t="str">
        <x:v>Eligible</x:v>
      </x:c>
      <x:c r="AC177" s="161" t="str">
        <x:v>Pending</x:v>
      </x:c>
      <x:c r="AD177" t="str">
        <x:v>Units</x:v>
      </x:c>
      <x:c r="AE177" s="145"/>
      <x:c r="AF177" s="145"/>
      <x:c r="AG177" s="145"/>
      <x:c r="AH177" s="145"/>
      <x:c r="AI177" s="145"/>
      <x:c r="AJ177"/>
    </x:row>
    <x:row r="178" ht="30" customHeight="1">
      <x:c r="A178" s="138" t="str">
        <x:v>Draft</x:v>
      </x:c>
      <x:c r="B178" s="138" t="str">
        <x:v>Hose End</x:v>
      </x:c>
      <x:c r="C178" s="138" t="str">
        <x:v>NPT_F_FX_08_06</x:v>
      </x:c>
      <x:c r="D178" s="138" t="str">
        <x:v>NPT_F_FX_08_06</x:v>
      </x:c>
      <x:c r="E178" s="138" t="str">
        <x:v>EA</x:v>
      </x:c>
      <x:c r="F178" s="139"/>
      <x:c r="G178" s="141" t="n">
        <x:v>1</x:v>
      </x:c>
      <x:c r="H178" s="141" t="n">
        <x:v>1</x:v>
      </x:c>
      <x:c r="I178" s="143"/>
      <x:c r="J178" s="141" t="n">
        <x:v>10</x:v>
      </x:c>
      <x:c r="K178" s="138" t="str">
        <x:v>China</x:v>
      </x:c>
      <x:c r="L178" t="str">
        <x:v>USD</x:v>
      </x:c>
      <x:c r="M178" s="126"/>
      <x:c r="N178"/>
      <x:c r="O178"/>
      <x:c r="P178" s="145"/>
      <x:c r="Q178" s="126"/>
      <x:c r="R178" s="149" t="n">
        <x:v>19.85</x:v>
      </x:c>
      <x:c r="S178" s="145"/>
      <x:c r="T178" s="145"/>
      <x:c r="U178" s="124"/>
      <x:c r="V178" s="124"/>
      <x:c r="W178" s="124"/>
      <x:c r="X178" s="124"/>
      <x:c r="Y178"/>
      <x:c r="Z178"/>
      <x:c r="AA178" s="116" t="str">
        <x:v>Net unit weight missing in 02. Order-level RFQ minimum: USD 100. Retail source: DHH exact FP-06-08W; direct each price; observed 2026-08-15; https://www.discounthydraulichose.com/FP-06-08W.html</x:v>
      </x:c>
      <x:c r="AB178" s="161" t="str">
        <x:v>Eligible</x:v>
      </x:c>
      <x:c r="AC178" s="161" t="str">
        <x:v>Pending</x:v>
      </x:c>
      <x:c r="AD178" t="str">
        <x:v>Units</x:v>
      </x:c>
      <x:c r="AE178" s="145"/>
      <x:c r="AF178" s="145"/>
      <x:c r="AG178" s="145"/>
      <x:c r="AH178" s="145"/>
      <x:c r="AI178" s="145"/>
      <x:c r="AJ178"/>
    </x:row>
    <x:row r="179" ht="30" customHeight="1">
      <x:c r="A179" s="138" t="str">
        <x:v>Draft</x:v>
      </x:c>
      <x:c r="B179" s="138" t="str">
        <x:v>Hose End</x:v>
      </x:c>
      <x:c r="C179" s="138" t="str">
        <x:v>NPT_F_FX_08_08</x:v>
      </x:c>
      <x:c r="D179" s="138" t="str">
        <x:v>NPT_F_FX_08_08</x:v>
      </x:c>
      <x:c r="E179" s="138" t="str">
        <x:v>EA</x:v>
      </x:c>
      <x:c r="F179" s="139"/>
      <x:c r="G179" s="141" t="n">
        <x:v>1</x:v>
      </x:c>
      <x:c r="H179" s="141" t="n">
        <x:v>1</x:v>
      </x:c>
      <x:c r="I179" s="143"/>
      <x:c r="J179" s="141" t="n">
        <x:v>10</x:v>
      </x:c>
      <x:c r="K179" s="138" t="str">
        <x:v>China</x:v>
      </x:c>
      <x:c r="L179" t="str">
        <x:v>USD</x:v>
      </x:c>
      <x:c r="M179" s="126"/>
      <x:c r="N179"/>
      <x:c r="O179"/>
      <x:c r="P179" s="145"/>
      <x:c r="Q179" s="126"/>
      <x:c r="R179" s="149" t="n">
        <x:v>10.82</x:v>
      </x:c>
      <x:c r="S179" s="145"/>
      <x:c r="T179" s="145"/>
      <x:c r="U179" s="124"/>
      <x:c r="V179" s="124"/>
      <x:c r="W179" s="124"/>
      <x:c r="X179" s="124"/>
      <x:c r="Y179"/>
      <x:c r="Z179"/>
      <x:c r="AA179" s="116" t="str">
        <x:v>Net unit weight missing in 02. Order-level RFQ minimum: USD 100. Retail source: DHH exact FP-08-08W; direct each price; observed 2026-08-15; https://www.discounthydraulichose.com/FP-08-08W.html</x:v>
      </x:c>
      <x:c r="AB179" s="161" t="str">
        <x:v>Eligible</x:v>
      </x:c>
      <x:c r="AC179" s="161" t="str">
        <x:v>Pending</x:v>
      </x:c>
      <x:c r="AD179" t="str">
        <x:v>Units</x:v>
      </x:c>
      <x:c r="AE179" s="145"/>
      <x:c r="AF179" s="145"/>
      <x:c r="AG179" s="145"/>
      <x:c r="AH179" s="145"/>
      <x:c r="AI179" s="145"/>
      <x:c r="AJ179"/>
    </x:row>
    <x:row r="180" ht="30" customHeight="1">
      <x:c r="A180" s="138" t="str">
        <x:v>Draft</x:v>
      </x:c>
      <x:c r="B180" s="138" t="str">
        <x:v>Hose End</x:v>
      </x:c>
      <x:c r="C180" s="138" t="str">
        <x:v>NPT_F_FX_12_12</x:v>
      </x:c>
      <x:c r="D180" s="138" t="str">
        <x:v>NPT_F_FX_12_12</x:v>
      </x:c>
      <x:c r="E180" s="138" t="str">
        <x:v>EA</x:v>
      </x:c>
      <x:c r="F180" s="139"/>
      <x:c r="G180" s="141" t="n">
        <x:v>1</x:v>
      </x:c>
      <x:c r="H180" s="141" t="n">
        <x:v>1</x:v>
      </x:c>
      <x:c r="I180" s="143"/>
      <x:c r="J180" s="141" t="n">
        <x:v>10</x:v>
      </x:c>
      <x:c r="K180" s="138" t="str">
        <x:v>China</x:v>
      </x:c>
      <x:c r="L180" t="str">
        <x:v>USD</x:v>
      </x:c>
      <x:c r="M180" s="126"/>
      <x:c r="N180"/>
      <x:c r="O180"/>
      <x:c r="P180" s="145"/>
      <x:c r="Q180" s="126"/>
      <x:c r="R180" s="149" t="n">
        <x:v>24.76</x:v>
      </x:c>
      <x:c r="S180" s="145"/>
      <x:c r="T180" s="145"/>
      <x:c r="U180" s="124"/>
      <x:c r="V180" s="124"/>
      <x:c r="W180" s="124"/>
      <x:c r="X180" s="124"/>
      <x:c r="Y180"/>
      <x:c r="Z180"/>
      <x:c r="AA180" s="116" t="str">
        <x:v>Net unit weight missing in 02. Order-level RFQ minimum: USD 100. Retail source: DHH exact FP-12-12W; direct each price; observed 2026-08-15; https://www.discounthydraulichose.com/FP-12-12W.html</x:v>
      </x:c>
      <x:c r="AB180" s="161" t="str">
        <x:v>Eligible</x:v>
      </x:c>
      <x:c r="AC180" s="161" t="str">
        <x:v>Pending</x:v>
      </x:c>
      <x:c r="AD180" t="str">
        <x:v>Units</x:v>
      </x:c>
      <x:c r="AE180" s="145"/>
      <x:c r="AF180" s="145"/>
      <x:c r="AG180" s="145"/>
      <x:c r="AH180" s="145"/>
      <x:c r="AI180" s="145"/>
      <x:c r="AJ180"/>
    </x:row>
    <x:row r="181" ht="30" customHeight="1">
      <x:c r="A181" s="138" t="str">
        <x:v>Draft</x:v>
      </x:c>
      <x:c r="B181" s="138" t="str">
        <x:v>Hose End</x:v>
      </x:c>
      <x:c r="C181" s="138" t="str">
        <x:v>NPT_M_FX_02_04</x:v>
      </x:c>
      <x:c r="D181" s="138" t="str">
        <x:v>NPT_M_FX_02_04</x:v>
      </x:c>
      <x:c r="E181" s="138" t="str">
        <x:v>EA</x:v>
      </x:c>
      <x:c r="F181" s="139"/>
      <x:c r="G181" s="141" t="n">
        <x:v>1</x:v>
      </x:c>
      <x:c r="H181" s="141" t="n">
        <x:v>1</x:v>
      </x:c>
      <x:c r="I181" s="143"/>
      <x:c r="J181" s="141" t="n">
        <x:v>10</x:v>
      </x:c>
      <x:c r="K181" s="138" t="str">
        <x:v>China</x:v>
      </x:c>
      <x:c r="L181" t="str">
        <x:v>USD</x:v>
      </x:c>
      <x:c r="M181" s="126"/>
      <x:c r="N181"/>
      <x:c r="O181"/>
      <x:c r="P181" s="145"/>
      <x:c r="Q181" s="126"/>
      <x:c r="R181" s="149" t="n">
        <x:v>5.68</x:v>
      </x:c>
      <x:c r="S181" s="145"/>
      <x:c r="T181" s="145"/>
      <x:c r="U181" s="124"/>
      <x:c r="V181" s="124"/>
      <x:c r="W181" s="124"/>
      <x:c r="X181" s="124"/>
      <x:c r="Y181"/>
      <x:c r="Z181"/>
      <x:c r="AA181" s="116" t="str">
        <x:v>Net unit weight missing in 02. Order-level RFQ minimum: USD 100. Retail source: DHH exact MP-04-02W; direct each price; observed 2026-08-15; https://www.discounthydraulichose.com/MP-04-02W.html</x:v>
      </x:c>
      <x:c r="AB181" s="161" t="str">
        <x:v>Eligible</x:v>
      </x:c>
      <x:c r="AC181" s="161" t="str">
        <x:v>Pending</x:v>
      </x:c>
      <x:c r="AD181" t="str">
        <x:v>Units</x:v>
      </x:c>
      <x:c r="AE181" s="145"/>
      <x:c r="AF181" s="145"/>
      <x:c r="AG181" s="145"/>
      <x:c r="AH181" s="145"/>
      <x:c r="AI181" s="145"/>
      <x:c r="AJ181"/>
    </x:row>
    <x:row r="182" ht="30" customHeight="1">
      <x:c r="A182" s="138" t="str">
        <x:v>Draft</x:v>
      </x:c>
      <x:c r="B182" s="138" t="str">
        <x:v>Hose End</x:v>
      </x:c>
      <x:c r="C182" s="138" t="str">
        <x:v>NPT_M_FX_04_04</x:v>
      </x:c>
      <x:c r="D182" s="138" t="str">
        <x:v>NPT_M_FX_04_04</x:v>
      </x:c>
      <x:c r="E182" s="138" t="str">
        <x:v>EA</x:v>
      </x:c>
      <x:c r="F182" s="139"/>
      <x:c r="G182" s="141" t="n">
        <x:v>1</x:v>
      </x:c>
      <x:c r="H182" s="141" t="n">
        <x:v>1</x:v>
      </x:c>
      <x:c r="I182" s="143"/>
      <x:c r="J182" s="141" t="n">
        <x:v>10</x:v>
      </x:c>
      <x:c r="K182" s="138" t="str">
        <x:v>China</x:v>
      </x:c>
      <x:c r="L182" t="str">
        <x:v>USD</x:v>
      </x:c>
      <x:c r="M182" s="126"/>
      <x:c r="N182"/>
      <x:c r="O182"/>
      <x:c r="P182" s="145"/>
      <x:c r="Q182" s="126"/>
      <x:c r="R182" s="149" t="n">
        <x:v>6.52</x:v>
      </x:c>
      <x:c r="S182" s="145"/>
      <x:c r="T182" s="145"/>
      <x:c r="U182" s="124"/>
      <x:c r="V182" s="124"/>
      <x:c r="W182" s="124"/>
      <x:c r="X182" s="124"/>
      <x:c r="Y182"/>
      <x:c r="Z182"/>
      <x:c r="AA182" s="116" t="str">
        <x:v>Net unit weight missing in 02. Order-level RFQ minimum: USD 100. Retail source: DHH exact MP-04-04W; direct each price; observed 2026-08-15; https://www.discounthydraulichose.com/MP-04-04W.html</x:v>
      </x:c>
      <x:c r="AB182" s="161" t="str">
        <x:v>Eligible</x:v>
      </x:c>
      <x:c r="AC182" s="161" t="str">
        <x:v>Pending</x:v>
      </x:c>
      <x:c r="AD182" t="str">
        <x:v>Units</x:v>
      </x:c>
      <x:c r="AE182" s="145"/>
      <x:c r="AF182" s="145"/>
      <x:c r="AG182" s="145"/>
      <x:c r="AH182" s="145"/>
      <x:c r="AI182" s="145"/>
      <x:c r="AJ182"/>
    </x:row>
    <x:row r="183" ht="30" customHeight="1">
      <x:c r="A183" s="138" t="str">
        <x:v>Draft</x:v>
      </x:c>
      <x:c r="B183" s="138" t="str">
        <x:v>Hose End</x:v>
      </x:c>
      <x:c r="C183" s="138" t="str">
        <x:v>NPT_M_FX_04_06</x:v>
      </x:c>
      <x:c r="D183" s="138" t="str">
        <x:v>NPT_M_FX_04_06</x:v>
      </x:c>
      <x:c r="E183" s="138" t="str">
        <x:v>EA</x:v>
      </x:c>
      <x:c r="F183" s="139"/>
      <x:c r="G183" s="141" t="n">
        <x:v>1</x:v>
      </x:c>
      <x:c r="H183" s="141" t="n">
        <x:v>1</x:v>
      </x:c>
      <x:c r="I183" s="143"/>
      <x:c r="J183" s="141" t="n">
        <x:v>10</x:v>
      </x:c>
      <x:c r="K183" s="138" t="str">
        <x:v>China</x:v>
      </x:c>
      <x:c r="L183" t="str">
        <x:v>USD</x:v>
      </x:c>
      <x:c r="M183" s="126"/>
      <x:c r="N183"/>
      <x:c r="O183"/>
      <x:c r="P183" s="145"/>
      <x:c r="Q183" s="126"/>
      <x:c r="R183" s="149" t="n">
        <x:v>6.23</x:v>
      </x:c>
      <x:c r="S183" s="145"/>
      <x:c r="T183" s="145"/>
      <x:c r="U183" s="124"/>
      <x:c r="V183" s="124"/>
      <x:c r="W183" s="124"/>
      <x:c r="X183" s="124"/>
      <x:c r="Y183"/>
      <x:c r="Z183"/>
      <x:c r="AA183" s="116" t="str">
        <x:v>Net unit weight missing in 02. Order-level RFQ minimum: USD 100. Retail source: DHH exact MP-06-04W; direct each price; observed 2026-08-15; https://www.discounthydraulichose.com/MP-06-04W.html</x:v>
      </x:c>
      <x:c r="AB183" s="161" t="str">
        <x:v>Eligible</x:v>
      </x:c>
      <x:c r="AC183" s="161" t="str">
        <x:v>Pending</x:v>
      </x:c>
      <x:c r="AD183" t="str">
        <x:v>Units</x:v>
      </x:c>
      <x:c r="AE183" s="145"/>
      <x:c r="AF183" s="145"/>
      <x:c r="AG183" s="145"/>
      <x:c r="AH183" s="145"/>
      <x:c r="AI183" s="145"/>
      <x:c r="AJ183"/>
    </x:row>
    <x:row r="184" ht="30" customHeight="1">
      <x:c r="A184" s="138" t="str">
        <x:v>Draft</x:v>
      </x:c>
      <x:c r="B184" s="138" t="str">
        <x:v>Hose End</x:v>
      </x:c>
      <x:c r="C184" s="138" t="str">
        <x:v>NPT_M_FX_06_04</x:v>
      </x:c>
      <x:c r="D184" s="138" t="str">
        <x:v>NPT_M_FX_06_04</x:v>
      </x:c>
      <x:c r="E184" s="138" t="str">
        <x:v>EA</x:v>
      </x:c>
      <x:c r="F184" s="139"/>
      <x:c r="G184" s="141" t="n">
        <x:v>1</x:v>
      </x:c>
      <x:c r="H184" s="141" t="n">
        <x:v>1</x:v>
      </x:c>
      <x:c r="I184" s="143"/>
      <x:c r="J184" s="141" t="n">
        <x:v>10</x:v>
      </x:c>
      <x:c r="K184" s="138" t="str">
        <x:v>China</x:v>
      </x:c>
      <x:c r="L184" t="str">
        <x:v>USD</x:v>
      </x:c>
      <x:c r="M184" s="126"/>
      <x:c r="N184"/>
      <x:c r="O184"/>
      <x:c r="P184" s="145"/>
      <x:c r="Q184" s="126"/>
      <x:c r="R184" s="149" t="n">
        <x:v>6.07</x:v>
      </x:c>
      <x:c r="S184" s="145"/>
      <x:c r="T184" s="145"/>
      <x:c r="U184" s="124"/>
      <x:c r="V184" s="124"/>
      <x:c r="W184" s="124"/>
      <x:c r="X184" s="124"/>
      <x:c r="Y184"/>
      <x:c r="Z184"/>
      <x:c r="AA184" s="116" t="str">
        <x:v>Net unit weight missing in 02. Order-level RFQ minimum: USD 100. Retail source: DHH exact MP-04-06W; direct each price; observed 2026-08-15; https://www.discounthydraulichose.com/MP-04-06W.html</x:v>
      </x:c>
      <x:c r="AB184" s="161" t="str">
        <x:v>Eligible</x:v>
      </x:c>
      <x:c r="AC184" s="161" t="str">
        <x:v>Pending</x:v>
      </x:c>
      <x:c r="AD184" t="str">
        <x:v>Units</x:v>
      </x:c>
      <x:c r="AE184" s="145"/>
      <x:c r="AF184" s="145"/>
      <x:c r="AG184" s="145"/>
      <x:c r="AH184" s="145"/>
      <x:c r="AI184" s="145"/>
      <x:c r="AJ184"/>
    </x:row>
    <x:row r="185" ht="30" customHeight="1">
      <x:c r="A185" s="138" t="str">
        <x:v>Draft</x:v>
      </x:c>
      <x:c r="B185" s="138" t="str">
        <x:v>Hose End</x:v>
      </x:c>
      <x:c r="C185" s="138" t="str">
        <x:v>NPT_M_FX_06_06</x:v>
      </x:c>
      <x:c r="D185" s="138" t="str">
        <x:v>NPT_M_FX_06_06</x:v>
      </x:c>
      <x:c r="E185" s="138" t="str">
        <x:v>EA</x:v>
      </x:c>
      <x:c r="F185" s="139"/>
      <x:c r="G185" s="141" t="n">
        <x:v>1</x:v>
      </x:c>
      <x:c r="H185" s="141" t="n">
        <x:v>1</x:v>
      </x:c>
      <x:c r="I185" s="143"/>
      <x:c r="J185" s="141" t="n">
        <x:v>10</x:v>
      </x:c>
      <x:c r="K185" s="138" t="str">
        <x:v>China</x:v>
      </x:c>
      <x:c r="L185" t="str">
        <x:v>USD</x:v>
      </x:c>
      <x:c r="M185" s="126"/>
      <x:c r="N185"/>
      <x:c r="O185"/>
      <x:c r="P185" s="145"/>
      <x:c r="Q185" s="126"/>
      <x:c r="R185" s="149" t="n">
        <x:v>6.75</x:v>
      </x:c>
      <x:c r="S185" s="145"/>
      <x:c r="T185" s="145"/>
      <x:c r="U185" s="124"/>
      <x:c r="V185" s="124"/>
      <x:c r="W185" s="124"/>
      <x:c r="X185" s="124"/>
      <x:c r="Y185"/>
      <x:c r="Z185"/>
      <x:c r="AA185" s="116" t="str">
        <x:v>Net unit weight missing in 02. Order-level RFQ minimum: USD 100. Retail source: DHH exact MP-06-06W; direct each price; observed 2026-08-15; https://www.discounthydraulichose.com/MP-06-06W.html</x:v>
      </x:c>
      <x:c r="AB185" s="161" t="str">
        <x:v>Eligible</x:v>
      </x:c>
      <x:c r="AC185" s="161" t="str">
        <x:v>Pending</x:v>
      </x:c>
      <x:c r="AD185" t="str">
        <x:v>Units</x:v>
      </x:c>
      <x:c r="AE185" s="145"/>
      <x:c r="AF185" s="145"/>
      <x:c r="AG185" s="145"/>
      <x:c r="AH185" s="145"/>
      <x:c r="AI185" s="145"/>
      <x:c r="AJ185"/>
    </x:row>
    <x:row r="186" ht="30" customHeight="1">
      <x:c r="A186" s="138" t="str">
        <x:v>Draft</x:v>
      </x:c>
      <x:c r="B186" s="138" t="str">
        <x:v>Hose End</x:v>
      </x:c>
      <x:c r="C186" s="138" t="str">
        <x:v>NPT_M_FX_06_08</x:v>
      </x:c>
      <x:c r="D186" s="138" t="str">
        <x:v>NPT_M_FX_06_08</x:v>
      </x:c>
      <x:c r="E186" s="138" t="str">
        <x:v>EA</x:v>
      </x:c>
      <x:c r="F186" s="139"/>
      <x:c r="G186" s="141" t="n">
        <x:v>1</x:v>
      </x:c>
      <x:c r="H186" s="141" t="n">
        <x:v>1</x:v>
      </x:c>
      <x:c r="I186" s="143"/>
      <x:c r="J186" s="141" t="n">
        <x:v>10</x:v>
      </x:c>
      <x:c r="K186" s="138" t="str">
        <x:v>China</x:v>
      </x:c>
      <x:c r="L186" t="str">
        <x:v>USD</x:v>
      </x:c>
      <x:c r="M186" s="126"/>
      <x:c r="N186"/>
      <x:c r="O186"/>
      <x:c r="P186" s="145"/>
      <x:c r="Q186" s="126"/>
      <x:c r="R186" s="149" t="n">
        <x:v>7.12</x:v>
      </x:c>
      <x:c r="S186" s="145"/>
      <x:c r="T186" s="145"/>
      <x:c r="U186" s="124"/>
      <x:c r="V186" s="124"/>
      <x:c r="W186" s="124"/>
      <x:c r="X186" s="124"/>
      <x:c r="Y186"/>
      <x:c r="Z186"/>
      <x:c r="AA186" s="116" t="str">
        <x:v>Net unit weight missing in 02. Order-level RFQ minimum: USD 100. Retail source: DHH exact MP-08-06W; direct each price; observed 2026-08-15; https://www.discounthydraulichose.com/MP-08-06W.html</x:v>
      </x:c>
      <x:c r="AB186" s="161" t="str">
        <x:v>Eligible</x:v>
      </x:c>
      <x:c r="AC186" s="161" t="str">
        <x:v>Pending</x:v>
      </x:c>
      <x:c r="AD186" t="str">
        <x:v>Units</x:v>
      </x:c>
      <x:c r="AE186" s="145"/>
      <x:c r="AF186" s="145"/>
      <x:c r="AG186" s="145"/>
      <x:c r="AH186" s="145"/>
      <x:c r="AI186" s="145"/>
      <x:c r="AJ186"/>
    </x:row>
    <x:row r="187" ht="30" customHeight="1">
      <x:c r="A187" s="138" t="str">
        <x:v>Draft</x:v>
      </x:c>
      <x:c r="B187" s="138" t="str">
        <x:v>Hose End</x:v>
      </x:c>
      <x:c r="C187" s="138" t="str">
        <x:v>NPT_M_FX_06_10</x:v>
      </x:c>
      <x:c r="D187" s="138" t="str">
        <x:v>NPT_M_FX_06_10</x:v>
      </x:c>
      <x:c r="E187" s="138" t="str">
        <x:v>EA</x:v>
      </x:c>
      <x:c r="F187" s="139"/>
      <x:c r="G187" s="141" t="n">
        <x:v>1</x:v>
      </x:c>
      <x:c r="H187" s="141" t="n">
        <x:v>1</x:v>
      </x:c>
      <x:c r="I187" s="143"/>
      <x:c r="J187" s="141" t="n">
        <x:v>10</x:v>
      </x:c>
      <x:c r="K187" s="138" t="str">
        <x:v>China</x:v>
      </x:c>
      <x:c r="L187" t="str">
        <x:v>USD</x:v>
      </x:c>
      <x:c r="M187" s="126"/>
      <x:c r="N187"/>
      <x:c r="O187"/>
      <x:c r="P187" s="145"/>
      <x:c r="Q187" s="126"/>
      <x:c r="R187" s="149" t="n">
        <x:v>43.35</x:v>
      </x:c>
      <x:c r="S187" s="145"/>
      <x:c r="T187" s="145"/>
      <x:c r="U187" s="124"/>
      <x:c r="V187" s="124"/>
      <x:c r="W187" s="124"/>
      <x:c r="X187" s="124"/>
      <x:c r="Y187"/>
      <x:c r="Z187"/>
      <x:c r="AA187" s="116" t="str">
        <x:v>Net unit weight missing in 02. Order-level RFQ minimum: USD 100. Retail source: DHH exact MP-10-06W; direct each price; observed 2026-08-15; https://www.discounthydraulichose.com/MP-10-06W.html</x:v>
      </x:c>
      <x:c r="AB187" s="161" t="str">
        <x:v>Eligible</x:v>
      </x:c>
      <x:c r="AC187" s="161" t="str">
        <x:v>Pending</x:v>
      </x:c>
      <x:c r="AD187" t="str">
        <x:v>Units</x:v>
      </x:c>
      <x:c r="AE187" s="145"/>
      <x:c r="AF187" s="145"/>
      <x:c r="AG187" s="145"/>
      <x:c r="AH187" s="145"/>
      <x:c r="AI187" s="145"/>
      <x:c r="AJ187"/>
    </x:row>
    <x:row r="188" ht="30" customHeight="1">
      <x:c r="A188" s="138" t="str">
        <x:v>Draft</x:v>
      </x:c>
      <x:c r="B188" s="138" t="str">
        <x:v>Hose End</x:v>
      </x:c>
      <x:c r="C188" s="138" t="str">
        <x:v>NPT_M_FX_08_04</x:v>
      </x:c>
      <x:c r="D188" s="138" t="str">
        <x:v>NPT_M_FX_08_04</x:v>
      </x:c>
      <x:c r="E188" s="138" t="str">
        <x:v>EA</x:v>
      </x:c>
      <x:c r="F188" s="139"/>
      <x:c r="G188" s="141" t="n">
        <x:v>1</x:v>
      </x:c>
      <x:c r="H188" s="141" t="n">
        <x:v>1</x:v>
      </x:c>
      <x:c r="I188" s="143"/>
      <x:c r="J188" s="141" t="n">
        <x:v>10</x:v>
      </x:c>
      <x:c r="K188" s="138" t="str">
        <x:v>China</x:v>
      </x:c>
      <x:c r="L188" t="str">
        <x:v>USD</x:v>
      </x:c>
      <x:c r="M188" s="126"/>
      <x:c r="N188"/>
      <x:c r="O188"/>
      <x:c r="P188" s="145"/>
      <x:c r="Q188" s="126"/>
      <x:c r="R188" s="149" t="n">
        <x:v>14.65</x:v>
      </x:c>
      <x:c r="S188" s="145"/>
      <x:c r="T188" s="145"/>
      <x:c r="U188" s="124"/>
      <x:c r="V188" s="124"/>
      <x:c r="W188" s="124"/>
      <x:c r="X188" s="124"/>
      <x:c r="Y188"/>
      <x:c r="Z188"/>
      <x:c r="AA188" s="116" t="str">
        <x:v>Net unit weight missing in 02. Order-level RFQ minimum: USD 100. Retail source: DHH exact MP-04-08W; direct each price; observed 2026-08-15; https://www.discounthydraulichose.com/MP-04-08W.html</x:v>
      </x:c>
      <x:c r="AB188" s="161" t="str">
        <x:v>Eligible</x:v>
      </x:c>
      <x:c r="AC188" s="161" t="str">
        <x:v>Pending</x:v>
      </x:c>
      <x:c r="AD188" t="str">
        <x:v>Units</x:v>
      </x:c>
      <x:c r="AE188" s="145"/>
      <x:c r="AF188" s="145"/>
      <x:c r="AG188" s="145"/>
      <x:c r="AH188" s="145"/>
      <x:c r="AI188" s="145"/>
      <x:c r="AJ188"/>
    </x:row>
    <x:row r="189" ht="30" customHeight="1">
      <x:c r="A189" s="138" t="str">
        <x:v>Draft</x:v>
      </x:c>
      <x:c r="B189" s="138" t="str">
        <x:v>Hose End</x:v>
      </x:c>
      <x:c r="C189" s="138" t="str">
        <x:v>NPT_M_FX_08_06</x:v>
      </x:c>
      <x:c r="D189" s="138" t="str">
        <x:v>NPT_M_FX_08_06</x:v>
      </x:c>
      <x:c r="E189" s="138" t="str">
        <x:v>EA</x:v>
      </x:c>
      <x:c r="F189" s="139"/>
      <x:c r="G189" s="141" t="n">
        <x:v>1</x:v>
      </x:c>
      <x:c r="H189" s="141" t="n">
        <x:v>1</x:v>
      </x:c>
      <x:c r="I189" s="143"/>
      <x:c r="J189" s="141" t="n">
        <x:v>10</x:v>
      </x:c>
      <x:c r="K189" s="138" t="str">
        <x:v>China</x:v>
      </x:c>
      <x:c r="L189" t="str">
        <x:v>USD</x:v>
      </x:c>
      <x:c r="M189" s="126"/>
      <x:c r="N189"/>
      <x:c r="O189"/>
      <x:c r="P189" s="145"/>
      <x:c r="Q189" s="126"/>
      <x:c r="R189" s="149" t="n">
        <x:v>7.4</x:v>
      </x:c>
      <x:c r="S189" s="145"/>
      <x:c r="T189" s="145"/>
      <x:c r="U189" s="124"/>
      <x:c r="V189" s="124"/>
      <x:c r="W189" s="124"/>
      <x:c r="X189" s="124"/>
      <x:c r="Y189"/>
      <x:c r="Z189"/>
      <x:c r="AA189" s="116" t="str">
        <x:v>Net unit weight missing in 02. Order-level RFQ minimum: USD 100. Retail source: DHH exact MP-06-08W; direct each price; observed 2026-08-15; https://www.discounthydraulichose.com/MP-06-08W.html</x:v>
      </x:c>
      <x:c r="AB189" s="161" t="str">
        <x:v>Eligible</x:v>
      </x:c>
      <x:c r="AC189" s="161" t="str">
        <x:v>Pending</x:v>
      </x:c>
      <x:c r="AD189" t="str">
        <x:v>Units</x:v>
      </x:c>
      <x:c r="AE189" s="145"/>
      <x:c r="AF189" s="145"/>
      <x:c r="AG189" s="145"/>
      <x:c r="AH189" s="145"/>
      <x:c r="AI189" s="145"/>
      <x:c r="AJ189"/>
    </x:row>
    <x:row r="190" ht="30" customHeight="1">
      <x:c r="A190" s="138" t="str">
        <x:v>Draft</x:v>
      </x:c>
      <x:c r="B190" s="138" t="str">
        <x:v>Hose End</x:v>
      </x:c>
      <x:c r="C190" s="138" t="str">
        <x:v>NPT_M_FX_08_08</x:v>
      </x:c>
      <x:c r="D190" s="138" t="str">
        <x:v>NPT_M_FX_08_08</x:v>
      </x:c>
      <x:c r="E190" s="138" t="str">
        <x:v>EA</x:v>
      </x:c>
      <x:c r="F190" s="139"/>
      <x:c r="G190" s="141" t="n">
        <x:v>1</x:v>
      </x:c>
      <x:c r="H190" s="141" t="n">
        <x:v>1</x:v>
      </x:c>
      <x:c r="I190" s="143"/>
      <x:c r="J190" s="141" t="n">
        <x:v>10</x:v>
      </x:c>
      <x:c r="K190" s="138" t="str">
        <x:v>China</x:v>
      </x:c>
      <x:c r="L190" t="str">
        <x:v>USD</x:v>
      </x:c>
      <x:c r="M190" s="126"/>
      <x:c r="N190"/>
      <x:c r="O190"/>
      <x:c r="P190" s="145"/>
      <x:c r="Q190" s="126"/>
      <x:c r="R190" s="149" t="n">
        <x:v>7.4</x:v>
      </x:c>
      <x:c r="S190" s="145"/>
      <x:c r="T190" s="145"/>
      <x:c r="U190" s="124"/>
      <x:c r="V190" s="124"/>
      <x:c r="W190" s="124"/>
      <x:c r="X190" s="124"/>
      <x:c r="Y190"/>
      <x:c r="Z190"/>
      <x:c r="AA190" s="116" t="str">
        <x:v>Net unit weight missing in 02. Order-level RFQ minimum: USD 100. Retail source: DHH exact MP-08-08W; direct each price; observed 2026-08-15; https://www.discounthydraulichose.com/MP-08-08W.html</x:v>
      </x:c>
      <x:c r="AB190" s="161" t="str">
        <x:v>Eligible</x:v>
      </x:c>
      <x:c r="AC190" s="161" t="str">
        <x:v>Pending</x:v>
      </x:c>
      <x:c r="AD190" t="str">
        <x:v>Units</x:v>
      </x:c>
      <x:c r="AE190" s="145"/>
      <x:c r="AF190" s="145"/>
      <x:c r="AG190" s="145"/>
      <x:c r="AH190" s="145"/>
      <x:c r="AI190" s="145"/>
      <x:c r="AJ190"/>
    </x:row>
    <x:row r="191" ht="30" customHeight="1">
      <x:c r="A191" s="138" t="str">
        <x:v>Draft</x:v>
      </x:c>
      <x:c r="B191" s="138" t="str">
        <x:v>Hose End</x:v>
      </x:c>
      <x:c r="C191" s="138" t="str">
        <x:v>NPT_M_FX_08_10</x:v>
      </x:c>
      <x:c r="D191" s="138" t="str">
        <x:v>NPT_M_FX_08_10</x:v>
      </x:c>
      <x:c r="E191" s="138" t="str">
        <x:v>EA</x:v>
      </x:c>
      <x:c r="F191" s="139"/>
      <x:c r="G191" s="141" t="n">
        <x:v>1</x:v>
      </x:c>
      <x:c r="H191" s="141" t="n">
        <x:v>1</x:v>
      </x:c>
      <x:c r="I191" s="143"/>
      <x:c r="J191" s="141" t="n">
        <x:v>10</x:v>
      </x:c>
      <x:c r="K191" s="138" t="str">
        <x:v>China</x:v>
      </x:c>
      <x:c r="L191" t="str">
        <x:v>USD</x:v>
      </x:c>
      <x:c r="M191" s="126"/>
      <x:c r="N191"/>
      <x:c r="O191"/>
      <x:c r="P191" s="145"/>
      <x:c r="Q191" s="126"/>
      <x:c r="R191" s="149" t="n">
        <x:v>12.17</x:v>
      </x:c>
      <x:c r="S191" s="145"/>
      <x:c r="T191" s="145"/>
      <x:c r="U191" s="124"/>
      <x:c r="V191" s="124"/>
      <x:c r="W191" s="124"/>
      <x:c r="X191" s="124"/>
      <x:c r="Y191"/>
      <x:c r="Z191"/>
      <x:c r="AA191" s="116" t="str">
        <x:v>Net unit weight missing in 02. Order-level RFQ minimum: USD 100. Retail source: DHH exact MP-10-08W; direct each price; observed 2026-08-15; https://www.discounthydraulichose.com/MP-10-08W.html</x:v>
      </x:c>
      <x:c r="AB191" s="161" t="str">
        <x:v>Eligible</x:v>
      </x:c>
      <x:c r="AC191" s="161" t="str">
        <x:v>Pending</x:v>
      </x:c>
      <x:c r="AD191" t="str">
        <x:v>Units</x:v>
      </x:c>
      <x:c r="AE191" s="145"/>
      <x:c r="AF191" s="145"/>
      <x:c r="AG191" s="145"/>
      <x:c r="AH191" s="145"/>
      <x:c r="AI191" s="145"/>
      <x:c r="AJ191"/>
    </x:row>
    <x:row r="192" ht="30" customHeight="1">
      <x:c r="A192" s="138" t="str">
        <x:v>Draft</x:v>
      </x:c>
      <x:c r="B192" s="138" t="str">
        <x:v>Hose End</x:v>
      </x:c>
      <x:c r="C192" s="138" t="str">
        <x:v>NPT_M_FX_08_12</x:v>
      </x:c>
      <x:c r="D192" s="138" t="str">
        <x:v>NPT_M_FX_08_12</x:v>
      </x:c>
      <x:c r="E192" s="138" t="str">
        <x:v>EA</x:v>
      </x:c>
      <x:c r="F192" s="139"/>
      <x:c r="G192" s="141" t="n">
        <x:v>1</x:v>
      </x:c>
      <x:c r="H192" s="141" t="n">
        <x:v>1</x:v>
      </x:c>
      <x:c r="I192" s="143"/>
      <x:c r="J192" s="141" t="n">
        <x:v>10</x:v>
      </x:c>
      <x:c r="K192" s="138" t="str">
        <x:v>China</x:v>
      </x:c>
      <x:c r="L192" t="str">
        <x:v>USD</x:v>
      </x:c>
      <x:c r="M192" s="126"/>
      <x:c r="N192"/>
      <x:c r="O192"/>
      <x:c r="P192" s="145"/>
      <x:c r="Q192" s="126"/>
      <x:c r="R192" s="149" t="n">
        <x:v>15.93</x:v>
      </x:c>
      <x:c r="S192" s="145"/>
      <x:c r="T192" s="145"/>
      <x:c r="U192" s="124"/>
      <x:c r="V192" s="124"/>
      <x:c r="W192" s="124"/>
      <x:c r="X192" s="124"/>
      <x:c r="Y192"/>
      <x:c r="Z192"/>
      <x:c r="AA192" s="116" t="str">
        <x:v>Net unit weight missing in 02. Order-level RFQ minimum: USD 100. Retail source: DHH exact MP-12-08W; direct each price; observed 2026-08-15; https://www.discounthydraulichose.com/MP-12-08W.html</x:v>
      </x:c>
      <x:c r="AB192" s="161" t="str">
        <x:v>Eligible</x:v>
      </x:c>
      <x:c r="AC192" s="161" t="str">
        <x:v>Pending</x:v>
      </x:c>
      <x:c r="AD192" t="str">
        <x:v>Units</x:v>
      </x:c>
      <x:c r="AE192" s="145"/>
      <x:c r="AF192" s="145"/>
      <x:c r="AG192" s="145"/>
      <x:c r="AH192" s="145"/>
      <x:c r="AI192" s="145"/>
      <x:c r="AJ192"/>
    </x:row>
    <x:row r="193" ht="30" customHeight="1">
      <x:c r="A193" s="138" t="str">
        <x:v>Draft</x:v>
      </x:c>
      <x:c r="B193" s="138" t="str">
        <x:v>Hose End</x:v>
      </x:c>
      <x:c r="C193" s="138" t="str">
        <x:v>NPT_M_FX_12_08</x:v>
      </x:c>
      <x:c r="D193" s="138" t="str">
        <x:v>NPT_M_FX_12_08</x:v>
      </x:c>
      <x:c r="E193" s="138" t="str">
        <x:v>EA</x:v>
      </x:c>
      <x:c r="F193" s="139"/>
      <x:c r="G193" s="141" t="n">
        <x:v>1</x:v>
      </x:c>
      <x:c r="H193" s="141" t="n">
        <x:v>1</x:v>
      </x:c>
      <x:c r="I193" s="143"/>
      <x:c r="J193" s="141" t="n">
        <x:v>10</x:v>
      </x:c>
      <x:c r="K193" s="138" t="str">
        <x:v>China</x:v>
      </x:c>
      <x:c r="L193" t="str">
        <x:v>USD</x:v>
      </x:c>
      <x:c r="M193" s="126"/>
      <x:c r="N193"/>
      <x:c r="O193"/>
      <x:c r="P193" s="145"/>
      <x:c r="Q193" s="126"/>
      <x:c r="R193" s="149" t="n">
        <x:v>12.89</x:v>
      </x:c>
      <x:c r="S193" s="145"/>
      <x:c r="T193" s="145"/>
      <x:c r="U193" s="124"/>
      <x:c r="V193" s="124"/>
      <x:c r="W193" s="124"/>
      <x:c r="X193" s="124"/>
      <x:c r="Y193"/>
      <x:c r="Z193"/>
      <x:c r="AA193" s="116" t="str">
        <x:v>Net unit weight missing in 02. Order-level RFQ minimum: USD 100. Retail source: DHH exact MP-08-12W; direct each price; observed 2026-08-15; https://www.discounthydraulichose.com/MP-08-12W.html</x:v>
      </x:c>
      <x:c r="AB193" s="161" t="str">
        <x:v>Eligible</x:v>
      </x:c>
      <x:c r="AC193" s="161" t="str">
        <x:v>Pending</x:v>
      </x:c>
      <x:c r="AD193" t="str">
        <x:v>Units</x:v>
      </x:c>
      <x:c r="AE193" s="145"/>
      <x:c r="AF193" s="145"/>
      <x:c r="AG193" s="145"/>
      <x:c r="AH193" s="145"/>
      <x:c r="AI193" s="145"/>
      <x:c r="AJ193"/>
    </x:row>
    <x:row r="194" ht="30" customHeight="1">
      <x:c r="A194" s="138" t="str">
        <x:v>Draft</x:v>
      </x:c>
      <x:c r="B194" s="138" t="str">
        <x:v>Hose End</x:v>
      </x:c>
      <x:c r="C194" s="138" t="str">
        <x:v>NPT_M_FX_12_10</x:v>
      </x:c>
      <x:c r="D194" s="138" t="str">
        <x:v>NPT_M_FX_12_10</x:v>
      </x:c>
      <x:c r="E194" s="138" t="str">
        <x:v>EA</x:v>
      </x:c>
      <x:c r="F194" s="139"/>
      <x:c r="G194" s="141" t="n">
        <x:v>1</x:v>
      </x:c>
      <x:c r="H194" s="141" t="n">
        <x:v>1</x:v>
      </x:c>
      <x:c r="I194" s="143"/>
      <x:c r="J194" s="141" t="n">
        <x:v>10</x:v>
      </x:c>
      <x:c r="K194" s="138" t="str">
        <x:v>China</x:v>
      </x:c>
      <x:c r="L194" t="str">
        <x:v>USD</x:v>
      </x:c>
      <x:c r="M194" s="126"/>
      <x:c r="N194"/>
      <x:c r="O194"/>
      <x:c r="P194" s="145"/>
      <x:c r="Q194" s="126"/>
      <x:c r="R194" s="149" t="n">
        <x:v>14.95</x:v>
      </x:c>
      <x:c r="S194" s="145"/>
      <x:c r="T194" s="145"/>
      <x:c r="U194" s="124"/>
      <x:c r="V194" s="124"/>
      <x:c r="W194" s="124"/>
      <x:c r="X194" s="124"/>
      <x:c r="Y194"/>
      <x:c r="Z194"/>
      <x:c r="AA194" s="116" t="str">
        <x:v>Net unit weight missing in 02. Order-level RFQ minimum: USD 100. Retail source: DHH exact MP-10-12W; direct each price; observed 2026-08-15; https://www.discounthydraulichose.com/MP-10-12W.html</x:v>
      </x:c>
      <x:c r="AB194" s="161" t="str">
        <x:v>Eligible</x:v>
      </x:c>
      <x:c r="AC194" s="161" t="str">
        <x:v>Pending</x:v>
      </x:c>
      <x:c r="AD194" t="str">
        <x:v>Units</x:v>
      </x:c>
      <x:c r="AE194" s="145"/>
      <x:c r="AF194" s="145"/>
      <x:c r="AG194" s="145"/>
      <x:c r="AH194" s="145"/>
      <x:c r="AI194" s="145"/>
      <x:c r="AJ194"/>
    </x:row>
    <x:row r="195" ht="30" customHeight="1">
      <x:c r="A195" s="138" t="str">
        <x:v>Draft</x:v>
      </x:c>
      <x:c r="B195" s="138" t="str">
        <x:v>Hose End</x:v>
      </x:c>
      <x:c r="C195" s="138" t="str">
        <x:v>NPT_M_FX_12_12</x:v>
      </x:c>
      <x:c r="D195" s="138" t="str">
        <x:v>NPT_M_FX_12_12</x:v>
      </x:c>
      <x:c r="E195" s="138" t="str">
        <x:v>EA</x:v>
      </x:c>
      <x:c r="F195" s="139"/>
      <x:c r="G195" s="141" t="n">
        <x:v>1</x:v>
      </x:c>
      <x:c r="H195" s="141" t="n">
        <x:v>1</x:v>
      </x:c>
      <x:c r="I195" s="143"/>
      <x:c r="J195" s="141" t="n">
        <x:v>10</x:v>
      </x:c>
      <x:c r="K195" s="138" t="str">
        <x:v>China</x:v>
      </x:c>
      <x:c r="L195" t="str">
        <x:v>USD</x:v>
      </x:c>
      <x:c r="M195" s="126"/>
      <x:c r="N195"/>
      <x:c r="O195"/>
      <x:c r="P195" s="145"/>
      <x:c r="Q195" s="126"/>
      <x:c r="R195" s="149" t="n">
        <x:v>13.78</x:v>
      </x:c>
      <x:c r="S195" s="145"/>
      <x:c r="T195" s="145"/>
      <x:c r="U195" s="124"/>
      <x:c r="V195" s="124"/>
      <x:c r="W195" s="124"/>
      <x:c r="X195" s="124"/>
      <x:c r="Y195"/>
      <x:c r="Z195"/>
      <x:c r="AA195" s="116" t="str">
        <x:v>Net unit weight missing in 02. Order-level RFQ minimum: USD 100. Retail source: DHH exact MP-12-12W; direct each price; observed 2026-08-15; https://www.discounthydraulichose.com/MP-12-12W.html</x:v>
      </x:c>
      <x:c r="AB195" s="161" t="str">
        <x:v>Eligible</x:v>
      </x:c>
      <x:c r="AC195" s="161" t="str">
        <x:v>Pending</x:v>
      </x:c>
      <x:c r="AD195" t="str">
        <x:v>Units</x:v>
      </x:c>
      <x:c r="AE195" s="145"/>
      <x:c r="AF195" s="145"/>
      <x:c r="AG195" s="145"/>
      <x:c r="AH195" s="145"/>
      <x:c r="AI195" s="145"/>
      <x:c r="AJ195"/>
    </x:row>
    <x:row r="196" ht="30" customHeight="1">
      <x:c r="A196" s="138" t="str">
        <x:v>Draft</x:v>
      </x:c>
      <x:c r="B196" s="138" t="str">
        <x:v>Hose End</x:v>
      </x:c>
      <x:c r="C196" s="138" t="str">
        <x:v>NPT_M_FX_12_16</x:v>
      </x:c>
      <x:c r="D196" s="138" t="str">
        <x:v>NPT_M_FX_12_16</x:v>
      </x:c>
      <x:c r="E196" s="138" t="str">
        <x:v>EA</x:v>
      </x:c>
      <x:c r="F196" s="139"/>
      <x:c r="G196" s="141" t="n">
        <x:v>1</x:v>
      </x:c>
      <x:c r="H196" s="141" t="n">
        <x:v>1</x:v>
      </x:c>
      <x:c r="I196" s="143"/>
      <x:c r="J196" s="141" t="n">
        <x:v>10</x:v>
      </x:c>
      <x:c r="K196" s="138" t="str">
        <x:v>China</x:v>
      </x:c>
      <x:c r="L196" t="str">
        <x:v>USD</x:v>
      </x:c>
      <x:c r="M196" s="126"/>
      <x:c r="N196"/>
      <x:c r="O196"/>
      <x:c r="P196" s="145"/>
      <x:c r="Q196" s="126"/>
      <x:c r="R196" s="149" t="n">
        <x:v>22.66</x:v>
      </x:c>
      <x:c r="S196" s="145"/>
      <x:c r="T196" s="145"/>
      <x:c r="U196" s="124"/>
      <x:c r="V196" s="124"/>
      <x:c r="W196" s="124"/>
      <x:c r="X196" s="124"/>
      <x:c r="Y196"/>
      <x:c r="Z196"/>
      <x:c r="AA196" s="116" t="str">
        <x:v>Net unit weight missing in 02. Order-level RFQ minimum: USD 100. Retail source: DHH exact MP-16-12W; direct each price; observed 2026-08-15; https://www.discounthydraulichose.com/MP-16-12W.html</x:v>
      </x:c>
      <x:c r="AB196" s="161" t="str">
        <x:v>Eligible</x:v>
      </x:c>
      <x:c r="AC196" s="161" t="str">
        <x:v>Pending</x:v>
      </x:c>
      <x:c r="AD196" t="str">
        <x:v>Units</x:v>
      </x:c>
      <x:c r="AE196" s="145"/>
      <x:c r="AF196" s="145"/>
      <x:c r="AG196" s="145"/>
      <x:c r="AH196" s="145"/>
      <x:c r="AI196" s="145"/>
      <x:c r="AJ196"/>
    </x:row>
    <x:row r="197" ht="30" customHeight="1">
      <x:c r="A197" s="138" t="str">
        <x:v>Draft</x:v>
      </x:c>
      <x:c r="B197" s="138" t="str">
        <x:v>Hose End</x:v>
      </x:c>
      <x:c r="C197" s="138" t="str">
        <x:v>NPT_M_FX_16_12</x:v>
      </x:c>
      <x:c r="D197" s="138" t="str">
        <x:v>NPT_M_FX_16_12</x:v>
      </x:c>
      <x:c r="E197" s="138" t="str">
        <x:v>EA</x:v>
      </x:c>
      <x:c r="F197" s="139"/>
      <x:c r="G197" s="141" t="n">
        <x:v>1</x:v>
      </x:c>
      <x:c r="H197" s="141" t="n">
        <x:v>1</x:v>
      </x:c>
      <x:c r="I197" s="143"/>
      <x:c r="J197" s="141" t="n">
        <x:v>10</x:v>
      </x:c>
      <x:c r="K197" s="138" t="str">
        <x:v>China</x:v>
      </x:c>
      <x:c r="L197" t="str">
        <x:v>USD</x:v>
      </x:c>
      <x:c r="M197" s="126"/>
      <x:c r="N197"/>
      <x:c r="O197"/>
      <x:c r="P197" s="145"/>
      <x:c r="Q197" s="126"/>
      <x:c r="R197" s="149" t="n">
        <x:v>23.71</x:v>
      </x:c>
      <x:c r="S197" s="145"/>
      <x:c r="T197" s="145"/>
      <x:c r="U197" s="124"/>
      <x:c r="V197" s="124"/>
      <x:c r="W197" s="124"/>
      <x:c r="X197" s="124"/>
      <x:c r="Y197"/>
      <x:c r="Z197"/>
      <x:c r="AA197" s="116" t="str">
        <x:v>Net unit weight missing in 02. Order-level RFQ minimum: USD 100. Retail source: DHH exact MP-12-16W; direct each price; observed 2026-08-15; https://www.discounthydraulichose.com/MP-12-16W.html</x:v>
      </x:c>
      <x:c r="AB197" s="161" t="str">
        <x:v>Eligible</x:v>
      </x:c>
      <x:c r="AC197" s="161" t="str">
        <x:v>Pending</x:v>
      </x:c>
      <x:c r="AD197" t="str">
        <x:v>Units</x:v>
      </x:c>
      <x:c r="AE197" s="145"/>
      <x:c r="AF197" s="145"/>
      <x:c r="AG197" s="145"/>
      <x:c r="AH197" s="145"/>
      <x:c r="AI197" s="145"/>
      <x:c r="AJ197"/>
    </x:row>
    <x:row r="198" ht="30" customHeight="1">
      <x:c r="A198" s="138" t="str">
        <x:v>Draft</x:v>
      </x:c>
      <x:c r="B198" s="138" t="str">
        <x:v>Hose End</x:v>
      </x:c>
      <x:c r="C198" s="138" t="str">
        <x:v>NPT_M_FX_16_16</x:v>
      </x:c>
      <x:c r="D198" s="138" t="str">
        <x:v>NPT_M_FX_16_16</x:v>
      </x:c>
      <x:c r="E198" s="138" t="str">
        <x:v>EA</x:v>
      </x:c>
      <x:c r="F198" s="139"/>
      <x:c r="G198" s="141" t="n">
        <x:v>1</x:v>
      </x:c>
      <x:c r="H198" s="141" t="n">
        <x:v>1</x:v>
      </x:c>
      <x:c r="I198" s="143"/>
      <x:c r="J198" s="141" t="n">
        <x:v>10</x:v>
      </x:c>
      <x:c r="K198" s="138" t="str">
        <x:v>China</x:v>
      </x:c>
      <x:c r="L198" t="str">
        <x:v>USD</x:v>
      </x:c>
      <x:c r="M198" s="126"/>
      <x:c r="N198"/>
      <x:c r="O198"/>
      <x:c r="P198" s="145"/>
      <x:c r="Q198" s="126"/>
      <x:c r="R198" s="149" t="n">
        <x:v>21.24</x:v>
      </x:c>
      <x:c r="S198" s="145"/>
      <x:c r="T198" s="145"/>
      <x:c r="U198" s="124"/>
      <x:c r="V198" s="124"/>
      <x:c r="W198" s="124"/>
      <x:c r="X198" s="124"/>
      <x:c r="Y198"/>
      <x:c r="Z198"/>
      <x:c r="AA198" s="116" t="str">
        <x:v>Net unit weight missing in 02. Order-level RFQ minimum: USD 100. Retail source: DHH exact MP-16-16W; direct each price; observed 2026-08-15; https://www.discounthydraulichose.com/MP-16-16W.html</x:v>
      </x:c>
      <x:c r="AB198" s="161" t="str">
        <x:v>Eligible</x:v>
      </x:c>
      <x:c r="AC198" s="161" t="str">
        <x:v>Pending</x:v>
      </x:c>
      <x:c r="AD198" t="str">
        <x:v>Units</x:v>
      </x:c>
      <x:c r="AE198" s="145"/>
      <x:c r="AF198" s="145"/>
      <x:c r="AG198" s="145"/>
      <x:c r="AH198" s="145"/>
      <x:c r="AI198" s="145"/>
      <x:c r="AJ198"/>
    </x:row>
    <x:row r="199" ht="30" customHeight="1">
      <x:c r="A199" s="138" t="str">
        <x:v>Draft</x:v>
      </x:c>
      <x:c r="B199" s="138" t="str">
        <x:v>Hose End</x:v>
      </x:c>
      <x:c r="C199" s="138" t="str">
        <x:v>NPT_M_FX_20_16</x:v>
      </x:c>
      <x:c r="D199" s="138" t="str">
        <x:v>NPT_M_FX_20_16</x:v>
      </x:c>
      <x:c r="E199" s="138" t="str">
        <x:v>EA</x:v>
      </x:c>
      <x:c r="F199" s="139"/>
      <x:c r="G199" s="141" t="n">
        <x:v>1</x:v>
      </x:c>
      <x:c r="H199" s="141" t="n">
        <x:v>1</x:v>
      </x:c>
      <x:c r="I199" s="143"/>
      <x:c r="J199" s="141" t="n">
        <x:v>10</x:v>
      </x:c>
      <x:c r="K199" s="138" t="str">
        <x:v>China</x:v>
      </x:c>
      <x:c r="L199" t="str">
        <x:v>USD</x:v>
      </x:c>
      <x:c r="M199" s="126"/>
      <x:c r="N199"/>
      <x:c r="O199"/>
      <x:c r="P199" s="145"/>
      <x:c r="Q199" s="126"/>
      <x:c r="R199" s="149" t="n">
        <x:v>40.31</x:v>
      </x:c>
      <x:c r="S199" s="145"/>
      <x:c r="T199" s="145"/>
      <x:c r="U199" s="124"/>
      <x:c r="V199" s="124"/>
      <x:c r="W199" s="124"/>
      <x:c r="X199" s="124"/>
      <x:c r="Y199"/>
      <x:c r="Z199"/>
      <x:c r="AA199" s="116" t="str">
        <x:v>Net unit weight missing in 02. Order-level RFQ minimum: USD 100. Retail source: DHH exact MP-16-20W; direct each price; observed 2026-08-15; https://www.discounthydraulichose.com/MP-16-20W.html</x:v>
      </x:c>
      <x:c r="AB199" s="161" t="str">
        <x:v>Eligible</x:v>
      </x:c>
      <x:c r="AC199" s="161" t="str">
        <x:v>Pending</x:v>
      </x:c>
      <x:c r="AD199" t="str">
        <x:v>Units</x:v>
      </x:c>
      <x:c r="AE199" s="145"/>
      <x:c r="AF199" s="145"/>
      <x:c r="AG199" s="145"/>
      <x:c r="AH199" s="145"/>
      <x:c r="AI199" s="145"/>
      <x:c r="AJ199"/>
    </x:row>
    <x:row r="200" ht="30" customHeight="1">
      <x:c r="A200" s="138" t="str">
        <x:v>Draft</x:v>
      </x:c>
      <x:c r="B200" s="138" t="str">
        <x:v>Hose End</x:v>
      </x:c>
      <x:c r="C200" s="138" t="str">
        <x:v>NPT90_M_SW_04_04</x:v>
      </x:c>
      <x:c r="D200" s="138" t="str">
        <x:v>NPT90_M_SW_04_04</x:v>
      </x:c>
      <x:c r="E200" s="138" t="str">
        <x:v>EA</x:v>
      </x:c>
      <x:c r="F200" s="139"/>
      <x:c r="G200" s="141" t="n">
        <x:v>1</x:v>
      </x:c>
      <x:c r="H200" s="141" t="n">
        <x:v>1</x:v>
      </x:c>
      <x:c r="I200" s="143"/>
      <x:c r="J200" s="141" t="n">
        <x:v>10</x:v>
      </x:c>
      <x:c r="K200" s="138" t="str">
        <x:v>China</x:v>
      </x:c>
      <x:c r="L200" t="str">
        <x:v>USD</x:v>
      </x:c>
      <x:c r="M200" s="126"/>
      <x:c r="N200"/>
      <x:c r="O200"/>
      <x:c r="P200" s="145"/>
      <x:c r="Q200" s="126"/>
      <x:c r="R200" s="149" t="n">
        <x:v>22.14</x:v>
      </x:c>
      <x:c r="S200" s="145"/>
      <x:c r="T200" s="145"/>
      <x:c r="U200" s="124"/>
      <x:c r="V200" s="124"/>
      <x:c r="W200" s="124"/>
      <x:c r="X200" s="124"/>
      <x:c r="Y200"/>
      <x:c r="Z200"/>
      <x:c r="AA200" s="116" t="str">
        <x:v>Net unit weight missing in 02. Order-level RFQ minimum: USD 100. Retail source: DHH exact MPX90-04-04W; direct each price; observed 2026-08-15; https://www.discounthydraulichose.com/MPX90-04-04W.html</x:v>
      </x:c>
      <x:c r="AB200" s="161" t="str">
        <x:v>Eligible</x:v>
      </x:c>
      <x:c r="AC200" s="161" t="str">
        <x:v>Pending</x:v>
      </x:c>
      <x:c r="AD200" t="str">
        <x:v>Units</x:v>
      </x:c>
      <x:c r="AE200" s="145"/>
      <x:c r="AF200" s="145"/>
      <x:c r="AG200" s="145"/>
      <x:c r="AH200" s="145"/>
      <x:c r="AI200" s="145"/>
      <x:c r="AJ200"/>
    </x:row>
    <x:row r="201" ht="30" customHeight="1">
      <x:c r="A201" s="138" t="str">
        <x:v>Draft</x:v>
      </x:c>
      <x:c r="B201" s="138" t="str">
        <x:v>Hose End</x:v>
      </x:c>
      <x:c r="C201" s="138" t="str">
        <x:v>NPT90_M_SW_06_06</x:v>
      </x:c>
      <x:c r="D201" s="138" t="str">
        <x:v>NPT90_M_SW_06_06</x:v>
      </x:c>
      <x:c r="E201" s="138" t="str">
        <x:v>EA</x:v>
      </x:c>
      <x:c r="F201" s="139"/>
      <x:c r="G201" s="141" t="n">
        <x:v>1</x:v>
      </x:c>
      <x:c r="H201" s="141" t="n">
        <x:v>1</x:v>
      </x:c>
      <x:c r="I201" s="143"/>
      <x:c r="J201" s="141" t="n">
        <x:v>10</x:v>
      </x:c>
      <x:c r="K201" s="138" t="str">
        <x:v>China</x:v>
      </x:c>
      <x:c r="L201" t="str">
        <x:v>USD</x:v>
      </x:c>
      <x:c r="M201" s="126"/>
      <x:c r="N201"/>
      <x:c r="O201"/>
      <x:c r="P201" s="145"/>
      <x:c r="Q201" s="126"/>
      <x:c r="R201" s="149" t="n">
        <x:v>24.31</x:v>
      </x:c>
      <x:c r="S201" s="145"/>
      <x:c r="T201" s="145"/>
      <x:c r="U201" s="124"/>
      <x:c r="V201" s="124"/>
      <x:c r="W201" s="124"/>
      <x:c r="X201" s="124"/>
      <x:c r="Y201"/>
      <x:c r="Z201"/>
      <x:c r="AA201" s="116" t="str">
        <x:v>Net unit weight missing in 02. Order-level RFQ minimum: USD 100. Retail source: DHH exact MPX90-06-06W; direct each price; observed 2026-08-15; https://www.discounthydraulichose.com/MPX90-06-06W.html</x:v>
      </x:c>
      <x:c r="AB201" s="161" t="str">
        <x:v>Eligible</x:v>
      </x:c>
      <x:c r="AC201" s="161" t="str">
        <x:v>Pending</x:v>
      </x:c>
      <x:c r="AD201" t="str">
        <x:v>Units</x:v>
      </x:c>
      <x:c r="AE201" s="145"/>
      <x:c r="AF201" s="145"/>
      <x:c r="AG201" s="145"/>
      <x:c r="AH201" s="145"/>
      <x:c r="AI201" s="145"/>
      <x:c r="AJ201"/>
    </x:row>
    <x:row r="202" ht="30" customHeight="1">
      <x:c r="A202" s="138" t="str">
        <x:v>Draft</x:v>
      </x:c>
      <x:c r="B202" s="138" t="str">
        <x:v>Hose End</x:v>
      </x:c>
      <x:c r="C202" s="138" t="str">
        <x:v>NPT90_M_SW_08_06</x:v>
      </x:c>
      <x:c r="D202" s="138" t="str">
        <x:v>NPT90_M_SW_08_06</x:v>
      </x:c>
      <x:c r="E202" s="138" t="str">
        <x:v>EA</x:v>
      </x:c>
      <x:c r="F202" s="139"/>
      <x:c r="G202" s="141" t="n">
        <x:v>1</x:v>
      </x:c>
      <x:c r="H202" s="141" t="n">
        <x:v>1</x:v>
      </x:c>
      <x:c r="I202" s="143"/>
      <x:c r="J202" s="141" t="n">
        <x:v>10</x:v>
      </x:c>
      <x:c r="K202" s="138" t="str">
        <x:v>China</x:v>
      </x:c>
      <x:c r="L202" t="str">
        <x:v>USD</x:v>
      </x:c>
      <x:c r="M202" s="126"/>
      <x:c r="N202"/>
      <x:c r="O202"/>
      <x:c r="P202" s="145"/>
      <x:c r="Q202" s="126"/>
      <x:c r="R202" s="149" t="n">
        <x:v>27.69</x:v>
      </x:c>
      <x:c r="S202" s="145"/>
      <x:c r="T202" s="145"/>
      <x:c r="U202" s="124"/>
      <x:c r="V202" s="124"/>
      <x:c r="W202" s="124"/>
      <x:c r="X202" s="124"/>
      <x:c r="Y202"/>
      <x:c r="Z202"/>
      <x:c r="AA202" s="116" t="str">
        <x:v>Net unit weight missing in 02. Order-level RFQ minimum: USD 100. Retail source: DHH exact MPX90-06-08W; direct each price; observed 2026-08-15; https://www.discounthydraulichose.com/MPX90-06-08W.html</x:v>
      </x:c>
      <x:c r="AB202" s="161" t="str">
        <x:v>Eligible</x:v>
      </x:c>
      <x:c r="AC202" s="161" t="str">
        <x:v>Pending</x:v>
      </x:c>
      <x:c r="AD202" t="str">
        <x:v>Units</x:v>
      </x:c>
      <x:c r="AE202" s="145"/>
      <x:c r="AF202" s="145"/>
      <x:c r="AG202" s="145"/>
      <x:c r="AH202" s="145"/>
      <x:c r="AI202" s="145"/>
      <x:c r="AJ202"/>
    </x:row>
    <x:row r="203" ht="30" customHeight="1">
      <x:c r="A203" s="138" t="str">
        <x:v>Draft</x:v>
      </x:c>
      <x:c r="B203" s="138" t="str">
        <x:v>Hose End</x:v>
      </x:c>
      <x:c r="C203" s="138" t="str">
        <x:v>NPT90_M_SW_08_08</x:v>
      </x:c>
      <x:c r="D203" s="138" t="str">
        <x:v>NPT90_M_SW_08_08</x:v>
      </x:c>
      <x:c r="E203" s="138" t="str">
        <x:v>EA</x:v>
      </x:c>
      <x:c r="F203" s="139"/>
      <x:c r="G203" s="141" t="n">
        <x:v>1</x:v>
      </x:c>
      <x:c r="H203" s="141" t="n">
        <x:v>1</x:v>
      </x:c>
      <x:c r="I203" s="143"/>
      <x:c r="J203" s="141" t="n">
        <x:v>10</x:v>
      </x:c>
      <x:c r="K203" s="138" t="str">
        <x:v>China</x:v>
      </x:c>
      <x:c r="L203" t="str">
        <x:v>USD</x:v>
      </x:c>
      <x:c r="M203" s="126"/>
      <x:c r="N203"/>
      <x:c r="O203"/>
      <x:c r="P203" s="145"/>
      <x:c r="Q203" s="126"/>
      <x:c r="R203" s="149" t="n">
        <x:v>20.39</x:v>
      </x:c>
      <x:c r="S203" s="145"/>
      <x:c r="T203" s="145"/>
      <x:c r="U203" s="124"/>
      <x:c r="V203" s="124"/>
      <x:c r="W203" s="124"/>
      <x:c r="X203" s="124"/>
      <x:c r="Y203"/>
      <x:c r="Z203"/>
      <x:c r="AA203" s="116" t="str">
        <x:v>Net unit weight missing in 02. Order-level RFQ minimum: USD 100. Retail source: DHH exact MPX90-08-08W; direct each price; observed 2026-08-15; https://www.discounthydraulichose.com/MPX90-08-08W.html</x:v>
      </x:c>
      <x:c r="AB203" s="161" t="str">
        <x:v>Eligible</x:v>
      </x:c>
      <x:c r="AC203" s="161" t="str">
        <x:v>Pending</x:v>
      </x:c>
      <x:c r="AD203" t="str">
        <x:v>Units</x:v>
      </x:c>
      <x:c r="AE203" s="145"/>
      <x:c r="AF203" s="145"/>
      <x:c r="AG203" s="145"/>
      <x:c r="AH203" s="145"/>
      <x:c r="AI203" s="145"/>
      <x:c r="AJ203"/>
    </x:row>
    <x:row r="204" ht="30" customHeight="1">
      <x:c r="A204" s="138" t="str">
        <x:v>Draft</x:v>
      </x:c>
      <x:c r="B204" s="138" t="str">
        <x:v>Hose End</x:v>
      </x:c>
      <x:c r="C204" s="138" t="str">
        <x:v>NPT90_M_SW_12_12</x:v>
      </x:c>
      <x:c r="D204" s="138" t="str">
        <x:v>NPT90_M_SW_12_12</x:v>
      </x:c>
      <x:c r="E204" s="138" t="str">
        <x:v>EA</x:v>
      </x:c>
      <x:c r="F204" s="139"/>
      <x:c r="G204" s="141" t="n">
        <x:v>1</x:v>
      </x:c>
      <x:c r="H204" s="141" t="n">
        <x:v>1</x:v>
      </x:c>
      <x:c r="I204" s="143"/>
      <x:c r="J204" s="141" t="n">
        <x:v>10</x:v>
      </x:c>
      <x:c r="K204" s="138" t="str">
        <x:v>China</x:v>
      </x:c>
      <x:c r="L204" t="str">
        <x:v>USD</x:v>
      </x:c>
      <x:c r="M204" s="126"/>
      <x:c r="N204"/>
      <x:c r="O204"/>
      <x:c r="P204" s="145"/>
      <x:c r="Q204" s="126"/>
      <x:c r="R204" s="149" t="n">
        <x:v>46.04</x:v>
      </x:c>
      <x:c r="S204" s="145"/>
      <x:c r="T204" s="145"/>
      <x:c r="U204" s="124"/>
      <x:c r="V204" s="124"/>
      <x:c r="W204" s="124"/>
      <x:c r="X204" s="124"/>
      <x:c r="Y204"/>
      <x:c r="Z204"/>
      <x:c r="AA204" s="116" t="str">
        <x:v>Net unit weight missing in 02. Order-level RFQ minimum: USD 100. Retail source: DHH exact MPX90-12-12W; direct each price; observed 2026-08-15; https://www.discounthydraulichose.com/MPX90-12-12W.html</x:v>
      </x:c>
      <x:c r="AB204" s="161" t="str">
        <x:v>Eligible</x:v>
      </x:c>
      <x:c r="AC204" s="161" t="str">
        <x:v>Pending</x:v>
      </x:c>
      <x:c r="AD204" t="str">
        <x:v>Units</x:v>
      </x:c>
      <x:c r="AE204" s="145"/>
      <x:c r="AF204" s="145"/>
      <x:c r="AG204" s="145"/>
      <x:c r="AH204" s="145"/>
      <x:c r="AI204" s="145"/>
      <x:c r="AJ204"/>
    </x:row>
    <x:row r="205" ht="30" customHeight="1">
      <x:c r="A205" s="138" t="str">
        <x:v>Draft</x:v>
      </x:c>
      <x:c r="B205" s="138" t="str">
        <x:v>Hose End</x:v>
      </x:c>
      <x:c r="C205" s="138" t="str">
        <x:v>ORFS_F_SW_04_04</x:v>
      </x:c>
      <x:c r="D205" s="138" t="str">
        <x:v>ORFS_F_SW_04_04</x:v>
      </x:c>
      <x:c r="E205" s="138" t="str">
        <x:v>EA</x:v>
      </x:c>
      <x:c r="F205" s="139"/>
      <x:c r="G205" s="141" t="n">
        <x:v>1</x:v>
      </x:c>
      <x:c r="H205" s="141" t="n">
        <x:v>1</x:v>
      </x:c>
      <x:c r="I205" s="143"/>
      <x:c r="J205" s="141" t="n">
        <x:v>10</x:v>
      </x:c>
      <x:c r="K205" s="138" t="str">
        <x:v>China</x:v>
      </x:c>
      <x:c r="L205" t="str">
        <x:v>USD</x:v>
      </x:c>
      <x:c r="M205" s="126"/>
      <x:c r="N205"/>
      <x:c r="O205"/>
      <x:c r="P205" s="145"/>
      <x:c r="Q205" s="126"/>
      <x:c r="R205" s="149" t="n">
        <x:v>7.67</x:v>
      </x:c>
      <x:c r="S205" s="145"/>
      <x:c r="T205" s="145"/>
      <x:c r="U205" s="124"/>
      <x:c r="V205" s="124"/>
      <x:c r="W205" s="124"/>
      <x:c r="X205" s="124"/>
      <x:c r="Y205"/>
      <x:c r="Z205"/>
      <x:c r="AA205" s="116" t="str">
        <x:v>Net unit weight missing in 02. Order-level RFQ minimum: USD 100. Retail source: DHH exact FFX-04-04W; direct each price; observed 2026-08-15; https://www.discounthydraulichose.com/FFX-04-04W.html</x:v>
      </x:c>
      <x:c r="AB205" s="161" t="str">
        <x:v>Eligible</x:v>
      </x:c>
      <x:c r="AC205" s="161" t="str">
        <x:v>Pending</x:v>
      </x:c>
      <x:c r="AD205" t="str">
        <x:v>Units</x:v>
      </x:c>
      <x:c r="AE205" s="145"/>
      <x:c r="AF205" s="145"/>
      <x:c r="AG205" s="145"/>
      <x:c r="AH205" s="145"/>
      <x:c r="AI205" s="145"/>
      <x:c r="AJ205"/>
    </x:row>
    <x:row r="206" ht="30" customHeight="1">
      <x:c r="A206" s="138" t="str">
        <x:v>Draft</x:v>
      </x:c>
      <x:c r="B206" s="138" t="str">
        <x:v>Hose End</x:v>
      </x:c>
      <x:c r="C206" s="138" t="str">
        <x:v>ORFS_F_SW_06_04</x:v>
      </x:c>
      <x:c r="D206" s="138" t="str">
        <x:v>ORFS_F_SW_06_04</x:v>
      </x:c>
      <x:c r="E206" s="138" t="str">
        <x:v>EA</x:v>
      </x:c>
      <x:c r="F206" s="139"/>
      <x:c r="G206" s="141" t="n">
        <x:v>1</x:v>
      </x:c>
      <x:c r="H206" s="141" t="n">
        <x:v>1</x:v>
      </x:c>
      <x:c r="I206" s="143"/>
      <x:c r="J206" s="141" t="n">
        <x:v>10</x:v>
      </x:c>
      <x:c r="K206" s="138" t="str">
        <x:v>China</x:v>
      </x:c>
      <x:c r="L206" t="str">
        <x:v>USD</x:v>
      </x:c>
      <x:c r="M206" s="126"/>
      <x:c r="N206"/>
      <x:c r="O206"/>
      <x:c r="P206" s="145"/>
      <x:c r="Q206" s="126"/>
      <x:c r="R206" s="149" t="n">
        <x:v>12.06</x:v>
      </x:c>
      <x:c r="S206" s="145"/>
      <x:c r="T206" s="145"/>
      <x:c r="U206" s="124"/>
      <x:c r="V206" s="124"/>
      <x:c r="W206" s="124"/>
      <x:c r="X206" s="124"/>
      <x:c r="Y206"/>
      <x:c r="Z206"/>
      <x:c r="AA206" s="116" t="str">
        <x:v>Net unit weight missing in 02. Order-level RFQ minimum: USD 100. Retail source: DHH exact FFX-04-06W; direct each price; observed 2026-08-15; https://www.discounthydraulichose.com/FFX-04-06W.html</x:v>
      </x:c>
      <x:c r="AB206" s="161" t="str">
        <x:v>Eligible</x:v>
      </x:c>
      <x:c r="AC206" s="161" t="str">
        <x:v>Pending</x:v>
      </x:c>
      <x:c r="AD206" t="str">
        <x:v>Units</x:v>
      </x:c>
      <x:c r="AE206" s="145"/>
      <x:c r="AF206" s="145"/>
      <x:c r="AG206" s="145"/>
      <x:c r="AH206" s="145"/>
      <x:c r="AI206" s="145"/>
      <x:c r="AJ206"/>
    </x:row>
    <x:row r="207" ht="30" customHeight="1">
      <x:c r="A207" s="138" t="str">
        <x:v>Draft</x:v>
      </x:c>
      <x:c r="B207" s="138" t="str">
        <x:v>Hose End</x:v>
      </x:c>
      <x:c r="C207" s="138" t="str">
        <x:v>ORFS_F_SW_06_06</x:v>
      </x:c>
      <x:c r="D207" s="138" t="str">
        <x:v>ORFS_F_SW_06_06</x:v>
      </x:c>
      <x:c r="E207" s="138" t="str">
        <x:v>EA</x:v>
      </x:c>
      <x:c r="F207" s="139"/>
      <x:c r="G207" s="141" t="n">
        <x:v>1</x:v>
      </x:c>
      <x:c r="H207" s="141" t="n">
        <x:v>1</x:v>
      </x:c>
      <x:c r="I207" s="143"/>
      <x:c r="J207" s="141" t="n">
        <x:v>10</x:v>
      </x:c>
      <x:c r="K207" s="138" t="str">
        <x:v>China</x:v>
      </x:c>
      <x:c r="L207" t="str">
        <x:v>USD</x:v>
      </x:c>
      <x:c r="M207" s="126"/>
      <x:c r="N207"/>
      <x:c r="O207"/>
      <x:c r="P207" s="145"/>
      <x:c r="Q207" s="126"/>
      <x:c r="R207" s="149" t="n">
        <x:v>10.44</x:v>
      </x:c>
      <x:c r="S207" s="145"/>
      <x:c r="T207" s="145"/>
      <x:c r="U207" s="124"/>
      <x:c r="V207" s="124"/>
      <x:c r="W207" s="124"/>
      <x:c r="X207" s="124"/>
      <x:c r="Y207"/>
      <x:c r="Z207"/>
      <x:c r="AA207" s="116" t="str">
        <x:v>Net unit weight missing in 02. Order-level RFQ minimum: USD 100. Retail source: DHH exact FFX-06-06W; direct each price; observed 2026-08-15; https://www.discounthydraulichose.com/FFX-06-06W.html</x:v>
      </x:c>
      <x:c r="AB207" s="161" t="str">
        <x:v>Eligible</x:v>
      </x:c>
      <x:c r="AC207" s="161" t="str">
        <x:v>Pending</x:v>
      </x:c>
      <x:c r="AD207" t="str">
        <x:v>Units</x:v>
      </x:c>
      <x:c r="AE207" s="145"/>
      <x:c r="AF207" s="145"/>
      <x:c r="AG207" s="145"/>
      <x:c r="AH207" s="145"/>
      <x:c r="AI207" s="145"/>
      <x:c r="AJ207"/>
    </x:row>
    <x:row r="208" ht="30" customHeight="1">
      <x:c r="A208" s="138" t="str">
        <x:v>Draft</x:v>
      </x:c>
      <x:c r="B208" s="138" t="str">
        <x:v>Hose End</x:v>
      </x:c>
      <x:c r="C208" s="138" t="str">
        <x:v>ORFS_F_SW_06_08</x:v>
      </x:c>
      <x:c r="D208" s="138" t="str">
        <x:v>ORFS_F_SW_06_08</x:v>
      </x:c>
      <x:c r="E208" s="138" t="str">
        <x:v>EA</x:v>
      </x:c>
      <x:c r="F208" s="139"/>
      <x:c r="G208" s="141" t="n">
        <x:v>1</x:v>
      </x:c>
      <x:c r="H208" s="141" t="n">
        <x:v>1</x:v>
      </x:c>
      <x:c r="I208" s="143"/>
      <x:c r="J208" s="141" t="n">
        <x:v>10</x:v>
      </x:c>
      <x:c r="K208" s="138" t="str">
        <x:v>China</x:v>
      </x:c>
      <x:c r="L208" t="str">
        <x:v>USD</x:v>
      </x:c>
      <x:c r="M208" s="126"/>
      <x:c r="N208"/>
      <x:c r="O208"/>
      <x:c r="P208" s="145"/>
      <x:c r="Q208" s="126"/>
      <x:c r="R208" s="149" t="n">
        <x:v>26.19</x:v>
      </x:c>
      <x:c r="S208" s="145"/>
      <x:c r="T208" s="145"/>
      <x:c r="U208" s="124"/>
      <x:c r="V208" s="124"/>
      <x:c r="W208" s="124"/>
      <x:c r="X208" s="124"/>
      <x:c r="Y208"/>
      <x:c r="Z208"/>
      <x:c r="AA208" s="116" t="str">
        <x:v>Net unit weight missing in 02. Order-level RFQ minimum: USD 100. Retail source: DHH exact FFX-08-06W; direct each price; observed 2026-08-15; https://www.discounthydraulichose.com/FFX-08-06W.html</x:v>
      </x:c>
      <x:c r="AB208" s="161" t="str">
        <x:v>Eligible</x:v>
      </x:c>
      <x:c r="AC208" s="161" t="str">
        <x:v>Pending</x:v>
      </x:c>
      <x:c r="AD208" t="str">
        <x:v>Units</x:v>
      </x:c>
      <x:c r="AE208" s="145"/>
      <x:c r="AF208" s="145"/>
      <x:c r="AG208" s="145"/>
      <x:c r="AH208" s="145"/>
      <x:c r="AI208" s="145"/>
      <x:c r="AJ208"/>
    </x:row>
    <x:row r="209" ht="30" customHeight="1">
      <x:c r="A209" s="138" t="str">
        <x:v>Draft</x:v>
      </x:c>
      <x:c r="B209" s="138" t="str">
        <x:v>Hose End</x:v>
      </x:c>
      <x:c r="C209" s="138" t="str">
        <x:v>ORFS_F_SW_08_04</x:v>
      </x:c>
      <x:c r="D209" s="138" t="str">
        <x:v>ORFS_F_SW_08_04</x:v>
      </x:c>
      <x:c r="E209" s="138" t="str">
        <x:v>EA</x:v>
      </x:c>
      <x:c r="F209" s="139"/>
      <x:c r="G209" s="141" t="n">
        <x:v>1</x:v>
      </x:c>
      <x:c r="H209" s="141" t="n">
        <x:v>1</x:v>
      </x:c>
      <x:c r="I209" s="143"/>
      <x:c r="J209" s="141" t="n">
        <x:v>10</x:v>
      </x:c>
      <x:c r="K209" s="138" t="str">
        <x:v>China</x:v>
      </x:c>
      <x:c r="L209" t="str">
        <x:v>USD</x:v>
      </x:c>
      <x:c r="M209" s="126"/>
      <x:c r="N209"/>
      <x:c r="O209"/>
      <x:c r="P209" s="145"/>
      <x:c r="Q209" s="126"/>
      <x:c r="R209" s="149" t="n">
        <x:v>26.03</x:v>
      </x:c>
      <x:c r="S209" s="145"/>
      <x:c r="T209" s="145"/>
      <x:c r="U209" s="124"/>
      <x:c r="V209" s="124"/>
      <x:c r="W209" s="124"/>
      <x:c r="X209" s="124"/>
      <x:c r="Y209"/>
      <x:c r="Z209"/>
      <x:c r="AA209" s="116" t="str">
        <x:v>Net unit weight missing in 02. Order-level RFQ minimum: USD 100. Retail source: DHH exact FFX-04-08W; direct each price; observed 2026-08-15; https://www.discounthydraulichose.com/FFX-04-08W.html</x:v>
      </x:c>
      <x:c r="AB209" s="161" t="str">
        <x:v>Eligible</x:v>
      </x:c>
      <x:c r="AC209" s="161" t="str">
        <x:v>Pending</x:v>
      </x:c>
      <x:c r="AD209" t="str">
        <x:v>Units</x:v>
      </x:c>
      <x:c r="AE209" s="145"/>
      <x:c r="AF209" s="145"/>
      <x:c r="AG209" s="145"/>
      <x:c r="AH209" s="145"/>
      <x:c r="AI209" s="145"/>
      <x:c r="AJ209"/>
    </x:row>
    <x:row r="210" ht="30" customHeight="1">
      <x:c r="A210" s="138" t="str">
        <x:v>Draft</x:v>
      </x:c>
      <x:c r="B210" s="138" t="str">
        <x:v>Hose End</x:v>
      </x:c>
      <x:c r="C210" s="138" t="str">
        <x:v>ORFS_F_SW_08_06</x:v>
      </x:c>
      <x:c r="D210" s="138" t="str">
        <x:v>ORFS_F_SW_08_06</x:v>
      </x:c>
      <x:c r="E210" s="138" t="str">
        <x:v>EA</x:v>
      </x:c>
      <x:c r="F210" s="139"/>
      <x:c r="G210" s="141" t="n">
        <x:v>1</x:v>
      </x:c>
      <x:c r="H210" s="141" t="n">
        <x:v>1</x:v>
      </x:c>
      <x:c r="I210" s="143"/>
      <x:c r="J210" s="141" t="n">
        <x:v>10</x:v>
      </x:c>
      <x:c r="K210" s="138" t="str">
        <x:v>China</x:v>
      </x:c>
      <x:c r="L210" t="str">
        <x:v>USD</x:v>
      </x:c>
      <x:c r="M210" s="126"/>
      <x:c r="N210"/>
      <x:c r="O210"/>
      <x:c r="P210" s="145"/>
      <x:c r="Q210" s="126"/>
      <x:c r="R210" s="149" t="n">
        <x:v>13.3</x:v>
      </x:c>
      <x:c r="S210" s="145"/>
      <x:c r="T210" s="145"/>
      <x:c r="U210" s="124"/>
      <x:c r="V210" s="124"/>
      <x:c r="W210" s="124"/>
      <x:c r="X210" s="124"/>
      <x:c r="Y210"/>
      <x:c r="Z210"/>
      <x:c r="AA210" s="116" t="str">
        <x:v>Net unit weight missing in 02. Order-level RFQ minimum: USD 100. Retail source: DHH exact FFX-06-08W; direct each price; observed 2026-08-15; https://www.discounthydraulichose.com/FFX-06-08W.html</x:v>
      </x:c>
      <x:c r="AB210" s="161" t="str">
        <x:v>Eligible</x:v>
      </x:c>
      <x:c r="AC210" s="161" t="str">
        <x:v>Pending</x:v>
      </x:c>
      <x:c r="AD210" t="str">
        <x:v>Units</x:v>
      </x:c>
      <x:c r="AE210" s="145"/>
      <x:c r="AF210" s="145"/>
      <x:c r="AG210" s="145"/>
      <x:c r="AH210" s="145"/>
      <x:c r="AI210" s="145"/>
      <x:c r="AJ210"/>
    </x:row>
    <x:row r="211" ht="30" customHeight="1">
      <x:c r="A211" s="138" t="str">
        <x:v>Draft</x:v>
      </x:c>
      <x:c r="B211" s="138" t="str">
        <x:v>Hose End</x:v>
      </x:c>
      <x:c r="C211" s="138" t="str">
        <x:v>ORFS_F_SW_08_08</x:v>
      </x:c>
      <x:c r="D211" s="138" t="str">
        <x:v>ORFS_F_SW_08_08</x:v>
      </x:c>
      <x:c r="E211" s="138" t="str">
        <x:v>EA</x:v>
      </x:c>
      <x:c r="F211" s="139"/>
      <x:c r="G211" s="141" t="n">
        <x:v>1</x:v>
      </x:c>
      <x:c r="H211" s="141" t="n">
        <x:v>1</x:v>
      </x:c>
      <x:c r="I211" s="143"/>
      <x:c r="J211" s="141" t="n">
        <x:v>10</x:v>
      </x:c>
      <x:c r="K211" s="138" t="str">
        <x:v>China</x:v>
      </x:c>
      <x:c r="L211" t="str">
        <x:v>USD</x:v>
      </x:c>
      <x:c r="M211" s="126"/>
      <x:c r="N211"/>
      <x:c r="O211"/>
      <x:c r="P211" s="145"/>
      <x:c r="Q211" s="126"/>
      <x:c r="R211" s="149" t="n">
        <x:v>13.5</x:v>
      </x:c>
      <x:c r="S211" s="145"/>
      <x:c r="T211" s="145"/>
      <x:c r="U211" s="124"/>
      <x:c r="V211" s="124"/>
      <x:c r="W211" s="124"/>
      <x:c r="X211" s="124"/>
      <x:c r="Y211"/>
      <x:c r="Z211"/>
      <x:c r="AA211" s="116" t="str">
        <x:v>Net unit weight missing in 02. Order-level RFQ minimum: USD 100. Retail source: DHH exact FFX-08-08W; direct each price; observed 2026-08-15; https://www.discounthydraulichose.com/FFX-08-08W.html</x:v>
      </x:c>
      <x:c r="AB211" s="161" t="str">
        <x:v>Eligible</x:v>
      </x:c>
      <x:c r="AC211" s="161" t="str">
        <x:v>Pending</x:v>
      </x:c>
      <x:c r="AD211" t="str">
        <x:v>Units</x:v>
      </x:c>
      <x:c r="AE211" s="145"/>
      <x:c r="AF211" s="145"/>
      <x:c r="AG211" s="145"/>
      <x:c r="AH211" s="145"/>
      <x:c r="AI211" s="145"/>
      <x:c r="AJ211"/>
    </x:row>
    <x:row r="212" ht="30" customHeight="1">
      <x:c r="A212" s="138" t="str">
        <x:v>Draft</x:v>
      </x:c>
      <x:c r="B212" s="138" t="str">
        <x:v>Hose End</x:v>
      </x:c>
      <x:c r="C212" s="138" t="str">
        <x:v>ORFS_F_SW_08_10</x:v>
      </x:c>
      <x:c r="D212" s="138" t="str">
        <x:v>ORFS_F_SW_08_10</x:v>
      </x:c>
      <x:c r="E212" s="138" t="str">
        <x:v>EA</x:v>
      </x:c>
      <x:c r="F212" s="139"/>
      <x:c r="G212" s="141" t="n">
        <x:v>1</x:v>
      </x:c>
      <x:c r="H212" s="141" t="n">
        <x:v>1</x:v>
      </x:c>
      <x:c r="I212" s="143"/>
      <x:c r="J212" s="141" t="n">
        <x:v>10</x:v>
      </x:c>
      <x:c r="K212" s="138" t="str">
        <x:v>China</x:v>
      </x:c>
      <x:c r="L212" t="str">
        <x:v>USD</x:v>
      </x:c>
      <x:c r="M212" s="126"/>
      <x:c r="N212"/>
      <x:c r="O212"/>
      <x:c r="P212" s="145"/>
      <x:c r="Q212" s="126"/>
      <x:c r="R212" s="149" t="n">
        <x:v>35.11</x:v>
      </x:c>
      <x:c r="S212" s="145"/>
      <x:c r="T212" s="145"/>
      <x:c r="U212" s="124"/>
      <x:c r="V212" s="124"/>
      <x:c r="W212" s="124"/>
      <x:c r="X212" s="124"/>
      <x:c r="Y212"/>
      <x:c r="Z212"/>
      <x:c r="AA212" s="116" t="str">
        <x:v>Net unit weight missing in 02. Order-level RFQ minimum: USD 100. Retail source: DHH exact FFX-10-08W; direct each price; observed 2026-08-15; https://www.discounthydraulichose.com/FFX-10-08W.html</x:v>
      </x:c>
      <x:c r="AB212" s="161" t="str">
        <x:v>Eligible</x:v>
      </x:c>
      <x:c r="AC212" s="161" t="str">
        <x:v>Pending</x:v>
      </x:c>
      <x:c r="AD212" t="str">
        <x:v>Units</x:v>
      </x:c>
      <x:c r="AE212" s="145"/>
      <x:c r="AF212" s="145"/>
      <x:c r="AG212" s="145"/>
      <x:c r="AH212" s="145"/>
      <x:c r="AI212" s="145"/>
      <x:c r="AJ212"/>
    </x:row>
    <x:row r="213" ht="30" customHeight="1">
      <x:c r="A213" s="138" t="str">
        <x:v>Draft</x:v>
      </x:c>
      <x:c r="B213" s="138" t="str">
        <x:v>Hose End</x:v>
      </x:c>
      <x:c r="C213" s="138" t="str">
        <x:v>ORFS_F_SW_10_08</x:v>
      </x:c>
      <x:c r="D213" s="138" t="str">
        <x:v>ORFS_F_SW_10_08</x:v>
      </x:c>
      <x:c r="E213" s="138" t="str">
        <x:v>EA</x:v>
      </x:c>
      <x:c r="F213" s="139"/>
      <x:c r="G213" s="141" t="n">
        <x:v>1</x:v>
      </x:c>
      <x:c r="H213" s="141" t="n">
        <x:v>1</x:v>
      </x:c>
      <x:c r="I213" s="143"/>
      <x:c r="J213" s="141" t="n">
        <x:v>10</x:v>
      </x:c>
      <x:c r="K213" s="138" t="str">
        <x:v>China</x:v>
      </x:c>
      <x:c r="L213" t="str">
        <x:v>USD</x:v>
      </x:c>
      <x:c r="M213" s="126"/>
      <x:c r="N213"/>
      <x:c r="O213"/>
      <x:c r="P213" s="145"/>
      <x:c r="Q213" s="126"/>
      <x:c r="R213" s="149" t="n">
        <x:v>16.71</x:v>
      </x:c>
      <x:c r="S213" s="145"/>
      <x:c r="T213" s="145"/>
      <x:c r="U213" s="124"/>
      <x:c r="V213" s="124"/>
      <x:c r="W213" s="124"/>
      <x:c r="X213" s="124"/>
      <x:c r="Y213"/>
      <x:c r="Z213"/>
      <x:c r="AA213" s="116" t="str">
        <x:v>Net unit weight missing in 02. Order-level RFQ minimum: USD 100. Retail source: DHH exact FFX-08-10W; direct each price; observed 2026-08-15; https://www.discounthydraulichose.com/FFX-08-10W.html</x:v>
      </x:c>
      <x:c r="AB213" s="161" t="str">
        <x:v>Eligible</x:v>
      </x:c>
      <x:c r="AC213" s="161" t="str">
        <x:v>Pending</x:v>
      </x:c>
      <x:c r="AD213" t="str">
        <x:v>Units</x:v>
      </x:c>
      <x:c r="AE213" s="145"/>
      <x:c r="AF213" s="145"/>
      <x:c r="AG213" s="145"/>
      <x:c r="AH213" s="145"/>
      <x:c r="AI213" s="145"/>
      <x:c r="AJ213"/>
    </x:row>
    <x:row r="214" ht="30" customHeight="1">
      <x:c r="A214" s="138" t="str">
        <x:v>Draft</x:v>
      </x:c>
      <x:c r="B214" s="138" t="str">
        <x:v>Hose End</x:v>
      </x:c>
      <x:c r="C214" s="138" t="str">
        <x:v>ORFS_F_SW_10_10</x:v>
      </x:c>
      <x:c r="D214" s="138" t="str">
        <x:v>ORFS_F_SW_10_10</x:v>
      </x:c>
      <x:c r="E214" s="138" t="str">
        <x:v>EA</x:v>
      </x:c>
      <x:c r="F214" s="139"/>
      <x:c r="G214" s="141" t="n">
        <x:v>1</x:v>
      </x:c>
      <x:c r="H214" s="141" t="n">
        <x:v>1</x:v>
      </x:c>
      <x:c r="I214" s="143"/>
      <x:c r="J214" s="141" t="n">
        <x:v>10</x:v>
      </x:c>
      <x:c r="K214" s="138" t="str">
        <x:v>China</x:v>
      </x:c>
      <x:c r="L214" t="str">
        <x:v>USD</x:v>
      </x:c>
      <x:c r="M214" s="126"/>
      <x:c r="N214"/>
      <x:c r="O214"/>
      <x:c r="P214" s="145"/>
      <x:c r="Q214" s="126"/>
      <x:c r="R214" s="149" t="n">
        <x:v>17.59</x:v>
      </x:c>
      <x:c r="S214" s="145"/>
      <x:c r="T214" s="145"/>
      <x:c r="U214" s="124"/>
      <x:c r="V214" s="124"/>
      <x:c r="W214" s="124"/>
      <x:c r="X214" s="124"/>
      <x:c r="Y214"/>
      <x:c r="Z214"/>
      <x:c r="AA214" s="116" t="str">
        <x:v>Net unit weight missing in 02. Order-level RFQ minimum: USD 100. Retail source: DHH exact FFX-10-10W; direct each price; observed 2026-08-15; https://www.discounthydraulichose.com/FFX-10-10W.html</x:v>
      </x:c>
      <x:c r="AB214" s="161" t="str">
        <x:v>Eligible</x:v>
      </x:c>
      <x:c r="AC214" s="161" t="str">
        <x:v>Pending</x:v>
      </x:c>
      <x:c r="AD214" t="str">
        <x:v>Units</x:v>
      </x:c>
      <x:c r="AE214" s="145"/>
      <x:c r="AF214" s="145"/>
      <x:c r="AG214" s="145"/>
      <x:c r="AH214" s="145"/>
      <x:c r="AI214" s="145"/>
      <x:c r="AJ214"/>
    </x:row>
    <x:row r="215" ht="30" customHeight="1">
      <x:c r="A215" s="138" t="str">
        <x:v>Draft</x:v>
      </x:c>
      <x:c r="B215" s="138" t="str">
        <x:v>Hose End</x:v>
      </x:c>
      <x:c r="C215" s="138" t="str">
        <x:v>ORFS_F_SW_10_12</x:v>
      </x:c>
      <x:c r="D215" s="138" t="str">
        <x:v>ORFS_F_SW_10_12</x:v>
      </x:c>
      <x:c r="E215" s="138" t="str">
        <x:v>EA</x:v>
      </x:c>
      <x:c r="F215" s="139"/>
      <x:c r="G215" s="141" t="n">
        <x:v>1</x:v>
      </x:c>
      <x:c r="H215" s="141" t="n">
        <x:v>1</x:v>
      </x:c>
      <x:c r="I215" s="143"/>
      <x:c r="J215" s="141" t="n">
        <x:v>10</x:v>
      </x:c>
      <x:c r="K215" s="138" t="str">
        <x:v>China</x:v>
      </x:c>
      <x:c r="L215" t="str">
        <x:v>USD</x:v>
      </x:c>
      <x:c r="M215" s="126"/>
      <x:c r="N215"/>
      <x:c r="O215"/>
      <x:c r="P215" s="145"/>
      <x:c r="Q215" s="126"/>
      <x:c r="R215" s="149" t="n">
        <x:v>30.05</x:v>
      </x:c>
      <x:c r="S215" s="145"/>
      <x:c r="T215" s="145"/>
      <x:c r="U215" s="124"/>
      <x:c r="V215" s="124"/>
      <x:c r="W215" s="124"/>
      <x:c r="X215" s="124"/>
      <x:c r="Y215"/>
      <x:c r="Z215"/>
      <x:c r="AA215" s="116" t="str">
        <x:v>Net unit weight missing in 02. Order-level RFQ minimum: USD 100. Retail source: DHH exact FFX-12-10W; direct each price; observed 2026-08-15; https://www.discounthydraulichose.com/FFX-12-10W.html</x:v>
      </x:c>
      <x:c r="AB215" s="161" t="str">
        <x:v>Eligible</x:v>
      </x:c>
      <x:c r="AC215" s="161" t="str">
        <x:v>Pending</x:v>
      </x:c>
      <x:c r="AD215" t="str">
        <x:v>Units</x:v>
      </x:c>
      <x:c r="AE215" s="145"/>
      <x:c r="AF215" s="145"/>
      <x:c r="AG215" s="145"/>
      <x:c r="AH215" s="145"/>
      <x:c r="AI215" s="145"/>
      <x:c r="AJ215"/>
    </x:row>
    <x:row r="216" ht="30" customHeight="1">
      <x:c r="A216" s="138" t="str">
        <x:v>Draft</x:v>
      </x:c>
      <x:c r="B216" s="138" t="str">
        <x:v>Hose End</x:v>
      </x:c>
      <x:c r="C216" s="138" t="str">
        <x:v>ORFS_F_SW_12_08</x:v>
      </x:c>
      <x:c r="D216" s="138" t="str">
        <x:v>ORFS_F_SW_12_08</x:v>
      </x:c>
      <x:c r="E216" s="138" t="str">
        <x:v>EA</x:v>
      </x:c>
      <x:c r="F216" s="139"/>
      <x:c r="G216" s="141" t="n">
        <x:v>1</x:v>
      </x:c>
      <x:c r="H216" s="141" t="n">
        <x:v>1</x:v>
      </x:c>
      <x:c r="I216" s="143"/>
      <x:c r="J216" s="141" t="n">
        <x:v>10</x:v>
      </x:c>
      <x:c r="K216" s="138" t="str">
        <x:v>China</x:v>
      </x:c>
      <x:c r="L216" t="str">
        <x:v>USD</x:v>
      </x:c>
      <x:c r="M216" s="126"/>
      <x:c r="N216"/>
      <x:c r="O216"/>
      <x:c r="P216" s="145"/>
      <x:c r="Q216" s="126"/>
      <x:c r="R216" s="149" t="n">
        <x:v>33.96</x:v>
      </x:c>
      <x:c r="S216" s="145"/>
      <x:c r="T216" s="145"/>
      <x:c r="U216" s="124"/>
      <x:c r="V216" s="124"/>
      <x:c r="W216" s="124"/>
      <x:c r="X216" s="124"/>
      <x:c r="Y216"/>
      <x:c r="Z216"/>
      <x:c r="AA216" s="116" t="str">
        <x:v>Net unit weight missing in 02. Order-level RFQ minimum: USD 100. Retail source: DHH exact FFX-08-12W; direct each price; observed 2026-08-15; https://www.discounthydraulichose.com/FFX-08-12W.html</x:v>
      </x:c>
      <x:c r="AB216" s="161" t="str">
        <x:v>Eligible</x:v>
      </x:c>
      <x:c r="AC216" s="161" t="str">
        <x:v>Pending</x:v>
      </x:c>
      <x:c r="AD216" t="str">
        <x:v>Units</x:v>
      </x:c>
      <x:c r="AE216" s="145"/>
      <x:c r="AF216" s="145"/>
      <x:c r="AG216" s="145"/>
      <x:c r="AH216" s="145"/>
      <x:c r="AI216" s="145"/>
      <x:c r="AJ216"/>
    </x:row>
    <x:row r="217" ht="30" customHeight="1">
      <x:c r="A217" s="138" t="str">
        <x:v>Draft</x:v>
      </x:c>
      <x:c r="B217" s="138" t="str">
        <x:v>Hose End</x:v>
      </x:c>
      <x:c r="C217" s="138" t="str">
        <x:v>ORFS_F_SW_12_10</x:v>
      </x:c>
      <x:c r="D217" s="138" t="str">
        <x:v>ORFS_F_SW_12_10</x:v>
      </x:c>
      <x:c r="E217" s="138" t="str">
        <x:v>EA</x:v>
      </x:c>
      <x:c r="F217" s="139"/>
      <x:c r="G217" s="141" t="n">
        <x:v>1</x:v>
      </x:c>
      <x:c r="H217" s="141" t="n">
        <x:v>1</x:v>
      </x:c>
      <x:c r="I217" s="143"/>
      <x:c r="J217" s="141" t="n">
        <x:v>10</x:v>
      </x:c>
      <x:c r="K217" s="138" t="str">
        <x:v>China</x:v>
      </x:c>
      <x:c r="L217" t="str">
        <x:v>USD</x:v>
      </x:c>
      <x:c r="M217" s="126"/>
      <x:c r="N217"/>
      <x:c r="O217"/>
      <x:c r="P217" s="145"/>
      <x:c r="Q217" s="126"/>
      <x:c r="R217" s="149" t="n">
        <x:v>32.14</x:v>
      </x:c>
      <x:c r="S217" s="145"/>
      <x:c r="T217" s="145"/>
      <x:c r="U217" s="124"/>
      <x:c r="V217" s="124"/>
      <x:c r="W217" s="124"/>
      <x:c r="X217" s="124"/>
      <x:c r="Y217"/>
      <x:c r="Z217"/>
      <x:c r="AA217" s="116" t="str">
        <x:v>Net unit weight missing in 02. Order-level RFQ minimum: USD 100. Retail source: DHH exact FFX-10-12W; direct each price; observed 2026-08-15; https://www.discounthydraulichose.com/FFX-10-12W.html</x:v>
      </x:c>
      <x:c r="AB217" s="161" t="str">
        <x:v>Eligible</x:v>
      </x:c>
      <x:c r="AC217" s="161" t="str">
        <x:v>Pending</x:v>
      </x:c>
      <x:c r="AD217" t="str">
        <x:v>Units</x:v>
      </x:c>
      <x:c r="AE217" s="145"/>
      <x:c r="AF217" s="145"/>
      <x:c r="AG217" s="145"/>
      <x:c r="AH217" s="145"/>
      <x:c r="AI217" s="145"/>
      <x:c r="AJ217"/>
    </x:row>
    <x:row r="218" ht="30" customHeight="1">
      <x:c r="A218" s="138" t="str">
        <x:v>Draft</x:v>
      </x:c>
      <x:c r="B218" s="138" t="str">
        <x:v>Hose End</x:v>
      </x:c>
      <x:c r="C218" s="138" t="str">
        <x:v>ORFS_F_SW_12_12</x:v>
      </x:c>
      <x:c r="D218" s="138" t="str">
        <x:v>ORFS_F_SW_12_12</x:v>
      </x:c>
      <x:c r="E218" s="138" t="str">
        <x:v>EA</x:v>
      </x:c>
      <x:c r="F218" s="139"/>
      <x:c r="G218" s="141" t="n">
        <x:v>1</x:v>
      </x:c>
      <x:c r="H218" s="141" t="n">
        <x:v>1</x:v>
      </x:c>
      <x:c r="I218" s="143"/>
      <x:c r="J218" s="141" t="n">
        <x:v>10</x:v>
      </x:c>
      <x:c r="K218" s="138" t="str">
        <x:v>China</x:v>
      </x:c>
      <x:c r="L218" t="str">
        <x:v>USD</x:v>
      </x:c>
      <x:c r="M218" s="126"/>
      <x:c r="N218"/>
      <x:c r="O218"/>
      <x:c r="P218" s="145"/>
      <x:c r="Q218" s="126"/>
      <x:c r="R218" s="149" t="n">
        <x:v>20.65</x:v>
      </x:c>
      <x:c r="S218" s="145"/>
      <x:c r="T218" s="145"/>
      <x:c r="U218" s="124"/>
      <x:c r="V218" s="124"/>
      <x:c r="W218" s="124"/>
      <x:c r="X218" s="124"/>
      <x:c r="Y218"/>
      <x:c r="Z218"/>
      <x:c r="AA218" s="116" t="str">
        <x:v>Net unit weight missing in 02. Order-level RFQ minimum: USD 100. Retail source: DHH exact FFX-12-12W; direct each price; observed 2026-08-15; https://www.discounthydraulichose.com/FFX-12-12W.html</x:v>
      </x:c>
      <x:c r="AB218" s="161" t="str">
        <x:v>Eligible</x:v>
      </x:c>
      <x:c r="AC218" s="161" t="str">
        <x:v>Pending</x:v>
      </x:c>
      <x:c r="AD218" t="str">
        <x:v>Units</x:v>
      </x:c>
      <x:c r="AE218" s="145"/>
      <x:c r="AF218" s="145"/>
      <x:c r="AG218" s="145"/>
      <x:c r="AH218" s="145"/>
      <x:c r="AI218" s="145"/>
      <x:c r="AJ218"/>
    </x:row>
    <x:row r="219" ht="30" customHeight="1">
      <x:c r="A219" s="138" t="str">
        <x:v>Draft</x:v>
      </x:c>
      <x:c r="B219" s="138" t="str">
        <x:v>Hose End</x:v>
      </x:c>
      <x:c r="C219" s="138" t="str">
        <x:v>ORFS_F_SW_12_16</x:v>
      </x:c>
      <x:c r="D219" s="138" t="str">
        <x:v>ORFS_F_SW_12_16</x:v>
      </x:c>
      <x:c r="E219" s="138" t="str">
        <x:v>EA</x:v>
      </x:c>
      <x:c r="F219" s="139"/>
      <x:c r="G219" s="141" t="n">
        <x:v>1</x:v>
      </x:c>
      <x:c r="H219" s="141" t="n">
        <x:v>1</x:v>
      </x:c>
      <x:c r="I219" s="143"/>
      <x:c r="J219" s="141" t="n">
        <x:v>10</x:v>
      </x:c>
      <x:c r="K219" s="138" t="str">
        <x:v>China</x:v>
      </x:c>
      <x:c r="L219" t="str">
        <x:v>USD</x:v>
      </x:c>
      <x:c r="M219" s="126"/>
      <x:c r="N219"/>
      <x:c r="O219"/>
      <x:c r="P219" s="145"/>
      <x:c r="Q219" s="126"/>
      <x:c r="R219" s="149" t="n">
        <x:v>45.2</x:v>
      </x:c>
      <x:c r="S219" s="145"/>
      <x:c r="T219" s="145"/>
      <x:c r="U219" s="124"/>
      <x:c r="V219" s="124"/>
      <x:c r="W219" s="124"/>
      <x:c r="X219" s="124"/>
      <x:c r="Y219"/>
      <x:c r="Z219"/>
      <x:c r="AA219" s="116" t="str">
        <x:v>Net unit weight missing in 02. Order-level RFQ minimum: USD 100. Retail source: DHH exact FFX-16-12W; direct each price; observed 2026-08-15; https://www.discounthydraulichose.com/FFX-16-12W.html</x:v>
      </x:c>
      <x:c r="AB219" s="161" t="str">
        <x:v>Eligible</x:v>
      </x:c>
      <x:c r="AC219" s="161" t="str">
        <x:v>Pending</x:v>
      </x:c>
      <x:c r="AD219" t="str">
        <x:v>Units</x:v>
      </x:c>
      <x:c r="AE219" s="145"/>
      <x:c r="AF219" s="145"/>
      <x:c r="AG219" s="145"/>
      <x:c r="AH219" s="145"/>
      <x:c r="AI219" s="145"/>
      <x:c r="AJ219"/>
    </x:row>
    <x:row r="220" ht="30" customHeight="1">
      <x:c r="A220" s="138" t="str">
        <x:v>Draft</x:v>
      </x:c>
      <x:c r="B220" s="138" t="str">
        <x:v>Hose End</x:v>
      </x:c>
      <x:c r="C220" s="138" t="str">
        <x:v>ORFS_F_SW_16_12</x:v>
      </x:c>
      <x:c r="D220" s="138" t="str">
        <x:v>ORFS_F_SW_16_12</x:v>
      </x:c>
      <x:c r="E220" s="138" t="str">
        <x:v>EA</x:v>
      </x:c>
      <x:c r="F220" s="139"/>
      <x:c r="G220" s="141" t="n">
        <x:v>1</x:v>
      </x:c>
      <x:c r="H220" s="141" t="n">
        <x:v>1</x:v>
      </x:c>
      <x:c r="I220" s="143"/>
      <x:c r="J220" s="141" t="n">
        <x:v>10</x:v>
      </x:c>
      <x:c r="K220" s="138" t="str">
        <x:v>China</x:v>
      </x:c>
      <x:c r="L220" t="str">
        <x:v>USD</x:v>
      </x:c>
      <x:c r="M220" s="126"/>
      <x:c r="N220"/>
      <x:c r="O220"/>
      <x:c r="P220" s="145"/>
      <x:c r="Q220" s="126"/>
      <x:c r="R220" s="149" t="n">
        <x:v>38.34</x:v>
      </x:c>
      <x:c r="S220" s="145"/>
      <x:c r="T220" s="145"/>
      <x:c r="U220" s="124"/>
      <x:c r="V220" s="124"/>
      <x:c r="W220" s="124"/>
      <x:c r="X220" s="124"/>
      <x:c r="Y220"/>
      <x:c r="Z220"/>
      <x:c r="AA220" s="116" t="str">
        <x:v>Net unit weight missing in 02. Order-level RFQ minimum: USD 100. Retail source: DHH exact FFX-12-16W; direct each price; observed 2026-08-15; https://www.discounthydraulichose.com/FFX-12-16W.html</x:v>
      </x:c>
      <x:c r="AB220" s="161" t="str">
        <x:v>Eligible</x:v>
      </x:c>
      <x:c r="AC220" s="161" t="str">
        <x:v>Pending</x:v>
      </x:c>
      <x:c r="AD220" t="str">
        <x:v>Units</x:v>
      </x:c>
      <x:c r="AE220" s="145"/>
      <x:c r="AF220" s="145"/>
      <x:c r="AG220" s="145"/>
      <x:c r="AH220" s="145"/>
      <x:c r="AI220" s="145"/>
      <x:c r="AJ220"/>
    </x:row>
    <x:row r="221" ht="30" customHeight="1">
      <x:c r="A221" s="138" t="str">
        <x:v>Draft</x:v>
      </x:c>
      <x:c r="B221" s="138" t="str">
        <x:v>Hose End</x:v>
      </x:c>
      <x:c r="C221" s="138" t="str">
        <x:v>ORFS_F_SW_16_16</x:v>
      </x:c>
      <x:c r="D221" s="138" t="str">
        <x:v>ORFS_F_SW_16_16</x:v>
      </x:c>
      <x:c r="E221" s="138" t="str">
        <x:v>EA</x:v>
      </x:c>
      <x:c r="F221" s="139"/>
      <x:c r="G221" s="141" t="n">
        <x:v>1</x:v>
      </x:c>
      <x:c r="H221" s="141" t="n">
        <x:v>1</x:v>
      </x:c>
      <x:c r="I221" s="143"/>
      <x:c r="J221" s="141" t="n">
        <x:v>10</x:v>
      </x:c>
      <x:c r="K221" s="138" t="str">
        <x:v>China</x:v>
      </x:c>
      <x:c r="L221" t="str">
        <x:v>USD</x:v>
      </x:c>
      <x:c r="M221" s="126"/>
      <x:c r="N221"/>
      <x:c r="O221"/>
      <x:c r="P221" s="145"/>
      <x:c r="Q221" s="126"/>
      <x:c r="R221" s="149" t="n">
        <x:v>37.98</x:v>
      </x:c>
      <x:c r="S221" s="145"/>
      <x:c r="T221" s="145"/>
      <x:c r="U221" s="124"/>
      <x:c r="V221" s="124"/>
      <x:c r="W221" s="124"/>
      <x:c r="X221" s="124"/>
      <x:c r="Y221"/>
      <x:c r="Z221"/>
      <x:c r="AA221" s="116" t="str">
        <x:v>Net unit weight missing in 02. Order-level RFQ minimum: USD 100. Retail source: DHH exact FFX-16-16W; direct each price; observed 2026-08-15; https://www.discounthydraulichose.com/FFX-16-16W.html</x:v>
      </x:c>
      <x:c r="AB221" s="161" t="str">
        <x:v>Eligible</x:v>
      </x:c>
      <x:c r="AC221" s="161" t="str">
        <x:v>Pending</x:v>
      </x:c>
      <x:c r="AD221" t="str">
        <x:v>Units</x:v>
      </x:c>
      <x:c r="AE221" s="145"/>
      <x:c r="AF221" s="145"/>
      <x:c r="AG221" s="145"/>
      <x:c r="AH221" s="145"/>
      <x:c r="AI221" s="145"/>
      <x:c r="AJ221"/>
    </x:row>
    <x:row r="222" ht="30" customHeight="1">
      <x:c r="A222" s="138" t="str">
        <x:v>Draft</x:v>
      </x:c>
      <x:c r="B222" s="138" t="str">
        <x:v>Hose End</x:v>
      </x:c>
      <x:c r="C222" s="138" t="str">
        <x:v>ORFS_F_SW_20_16</x:v>
      </x:c>
      <x:c r="D222" s="138" t="str">
        <x:v>ORFS_F_SW_20_16</x:v>
      </x:c>
      <x:c r="E222" s="138" t="str">
        <x:v>EA</x:v>
      </x:c>
      <x:c r="F222" s="139"/>
      <x:c r="G222" s="141" t="n">
        <x:v>1</x:v>
      </x:c>
      <x:c r="H222" s="141" t="n">
        <x:v>1</x:v>
      </x:c>
      <x:c r="I222" s="143"/>
      <x:c r="J222" s="141" t="n">
        <x:v>10</x:v>
      </x:c>
      <x:c r="K222" s="138" t="str">
        <x:v>China</x:v>
      </x:c>
      <x:c r="L222" t="str">
        <x:v>USD</x:v>
      </x:c>
      <x:c r="M222" s="126"/>
      <x:c r="N222"/>
      <x:c r="O222"/>
      <x:c r="P222" s="145"/>
      <x:c r="Q222" s="126"/>
      <x:c r="R222" s="149" t="n">
        <x:v>67.86</x:v>
      </x:c>
      <x:c r="S222" s="145"/>
      <x:c r="T222" s="145"/>
      <x:c r="U222" s="124"/>
      <x:c r="V222" s="124"/>
      <x:c r="W222" s="124"/>
      <x:c r="X222" s="124"/>
      <x:c r="Y222"/>
      <x:c r="Z222"/>
      <x:c r="AA222" s="116" t="str">
        <x:v>Net unit weight missing in 02. Order-level RFQ minimum: USD 100. Retail source: DHH exact FFX-16-20W; direct each price; observed 2026-08-15; https://www.discounthydraulichose.com/FFX-16-20W.html</x:v>
      </x:c>
      <x:c r="AB222" s="161" t="str">
        <x:v>Eligible</x:v>
      </x:c>
      <x:c r="AC222" s="161" t="str">
        <x:v>Pending</x:v>
      </x:c>
      <x:c r="AD222" t="str">
        <x:v>Units</x:v>
      </x:c>
      <x:c r="AE222" s="145"/>
      <x:c r="AF222" s="145"/>
      <x:c r="AG222" s="145"/>
      <x:c r="AH222" s="145"/>
      <x:c r="AI222" s="145"/>
      <x:c r="AJ222"/>
    </x:row>
    <x:row r="223" ht="30" customHeight="1">
      <x:c r="A223" s="138" t="str">
        <x:v>Draft</x:v>
      </x:c>
      <x:c r="B223" s="138" t="str">
        <x:v>Hose End</x:v>
      </x:c>
      <x:c r="C223" s="138" t="str">
        <x:v>ORFS_M_FX_04_04</x:v>
      </x:c>
      <x:c r="D223" s="138" t="str">
        <x:v>ORFS_M_FX_04_04</x:v>
      </x:c>
      <x:c r="E223" s="138" t="str">
        <x:v>EA</x:v>
      </x:c>
      <x:c r="F223" s="139"/>
      <x:c r="G223" s="141" t="n">
        <x:v>1</x:v>
      </x:c>
      <x:c r="H223" s="141" t="n">
        <x:v>1</x:v>
      </x:c>
      <x:c r="I223" s="143"/>
      <x:c r="J223" s="141" t="n">
        <x:v>10</x:v>
      </x:c>
      <x:c r="K223" s="138" t="str">
        <x:v>China</x:v>
      </x:c>
      <x:c r="L223" t="str">
        <x:v>USD</x:v>
      </x:c>
      <x:c r="M223" s="126"/>
      <x:c r="N223"/>
      <x:c r="O223"/>
      <x:c r="P223" s="145"/>
      <x:c r="Q223" s="126"/>
      <x:c r="R223" s="149" t="n">
        <x:v>11.02</x:v>
      </x:c>
      <x:c r="S223" s="145"/>
      <x:c r="T223" s="145"/>
      <x:c r="U223" s="124"/>
      <x:c r="V223" s="124"/>
      <x:c r="W223" s="124"/>
      <x:c r="X223" s="124"/>
      <x:c r="Y223"/>
      <x:c r="Z223"/>
      <x:c r="AA223" s="116" t="str">
        <x:v>Net unit weight missing in 02. Order-level RFQ minimum: USD 100. Retail source: DHH exact MF-04-04W; direct each price; observed 2026-08-15; https://www.discounthydraulichose.com/MF-04-04W.html</x:v>
      </x:c>
      <x:c r="AB223" s="161" t="str">
        <x:v>Eligible</x:v>
      </x:c>
      <x:c r="AC223" s="161" t="str">
        <x:v>Pending</x:v>
      </x:c>
      <x:c r="AD223" t="str">
        <x:v>Units</x:v>
      </x:c>
      <x:c r="AE223" s="145"/>
      <x:c r="AF223" s="145"/>
      <x:c r="AG223" s="145"/>
      <x:c r="AH223" s="145"/>
      <x:c r="AI223" s="145"/>
      <x:c r="AJ223"/>
    </x:row>
    <x:row r="224" ht="30" customHeight="1">
      <x:c r="A224" s="138" t="str">
        <x:v>Draft</x:v>
      </x:c>
      <x:c r="B224" s="138" t="str">
        <x:v>Hose End</x:v>
      </x:c>
      <x:c r="C224" s="138" t="str">
        <x:v>ORFS_M_FX_06_04</x:v>
      </x:c>
      <x:c r="D224" s="138" t="str">
        <x:v>ORFS_M_FX_06_04</x:v>
      </x:c>
      <x:c r="E224" s="138" t="str">
        <x:v>EA</x:v>
      </x:c>
      <x:c r="F224" s="139"/>
      <x:c r="G224" s="141" t="n">
        <x:v>1</x:v>
      </x:c>
      <x:c r="H224" s="141" t="n">
        <x:v>1</x:v>
      </x:c>
      <x:c r="I224" s="143"/>
      <x:c r="J224" s="141" t="n">
        <x:v>10</x:v>
      </x:c>
      <x:c r="K224" s="138" t="str">
        <x:v>China</x:v>
      </x:c>
      <x:c r="L224" t="str">
        <x:v>USD</x:v>
      </x:c>
      <x:c r="M224" s="126"/>
      <x:c r="N224"/>
      <x:c r="O224"/>
      <x:c r="P224" s="145"/>
      <x:c r="Q224" s="126"/>
      <x:c r="R224" s="149" t="n">
        <x:v>81.04</x:v>
      </x:c>
      <x:c r="S224" s="145"/>
      <x:c r="T224" s="145"/>
      <x:c r="U224" s="124"/>
      <x:c r="V224" s="124"/>
      <x:c r="W224" s="124"/>
      <x:c r="X224" s="124"/>
      <x:c r="Y224"/>
      <x:c r="Z224"/>
      <x:c r="AA224" s="116" t="str">
        <x:v>Net unit weight missing in 02. Order-level RFQ minimum: USD 100. Retail source: DHH exact MF-04-06W; direct each price; observed 2026-08-15; https://www.discounthydraulichose.com/MF-04-06W.html</x:v>
      </x:c>
      <x:c r="AB224" s="161" t="str">
        <x:v>Eligible</x:v>
      </x:c>
      <x:c r="AC224" s="161" t="str">
        <x:v>Pending</x:v>
      </x:c>
      <x:c r="AD224" t="str">
        <x:v>Units</x:v>
      </x:c>
      <x:c r="AE224" s="145"/>
      <x:c r="AF224" s="145"/>
      <x:c r="AG224" s="145"/>
      <x:c r="AH224" s="145"/>
      <x:c r="AI224" s="145"/>
      <x:c r="AJ224"/>
    </x:row>
    <x:row r="225" ht="30" customHeight="1">
      <x:c r="A225" s="138" t="str">
        <x:v>Draft</x:v>
      </x:c>
      <x:c r="B225" s="138" t="str">
        <x:v>Hose End</x:v>
      </x:c>
      <x:c r="C225" s="138" t="str">
        <x:v>ORFS_M_FX_06_06</x:v>
      </x:c>
      <x:c r="D225" s="138" t="str">
        <x:v>ORFS_M_FX_06_06</x:v>
      </x:c>
      <x:c r="E225" s="138" t="str">
        <x:v>EA</x:v>
      </x:c>
      <x:c r="F225" s="139"/>
      <x:c r="G225" s="141" t="n">
        <x:v>1</x:v>
      </x:c>
      <x:c r="H225" s="141" t="n">
        <x:v>1</x:v>
      </x:c>
      <x:c r="I225" s="143"/>
      <x:c r="J225" s="141" t="n">
        <x:v>10</x:v>
      </x:c>
      <x:c r="K225" s="138" t="str">
        <x:v>China</x:v>
      </x:c>
      <x:c r="L225" t="str">
        <x:v>USD</x:v>
      </x:c>
      <x:c r="M225" s="126"/>
      <x:c r="N225"/>
      <x:c r="O225"/>
      <x:c r="P225" s="145"/>
      <x:c r="Q225" s="126"/>
      <x:c r="R225" s="149" t="n">
        <x:v>10.69</x:v>
      </x:c>
      <x:c r="S225" s="145"/>
      <x:c r="T225" s="145"/>
      <x:c r="U225" s="124"/>
      <x:c r="V225" s="124"/>
      <x:c r="W225" s="124"/>
      <x:c r="X225" s="124"/>
      <x:c r="Y225"/>
      <x:c r="Z225"/>
      <x:c r="AA225" s="116" t="str">
        <x:v>Net unit weight missing in 02. Order-level RFQ minimum: USD 100. Retail source: DHH exact MF-06-06W; direct each price; observed 2026-08-15; https://www.discounthydraulichose.com/MF-06-06W.html</x:v>
      </x:c>
      <x:c r="AB225" s="161" t="str">
        <x:v>Eligible</x:v>
      </x:c>
      <x:c r="AC225" s="161" t="str">
        <x:v>Pending</x:v>
      </x:c>
      <x:c r="AD225" t="str">
        <x:v>Units</x:v>
      </x:c>
      <x:c r="AE225" s="145"/>
      <x:c r="AF225" s="145"/>
      <x:c r="AG225" s="145"/>
      <x:c r="AH225" s="145"/>
      <x:c r="AI225" s="145"/>
      <x:c r="AJ225"/>
    </x:row>
    <x:row r="226" ht="30" customHeight="1">
      <x:c r="A226" s="138" t="str">
        <x:v>Draft</x:v>
      </x:c>
      <x:c r="B226" s="138" t="str">
        <x:v>Hose End</x:v>
      </x:c>
      <x:c r="C226" s="138" t="str">
        <x:v>ORFS_M_FX_08_06</x:v>
      </x:c>
      <x:c r="D226" s="138" t="str">
        <x:v>ORFS_M_FX_08_06</x:v>
      </x:c>
      <x:c r="E226" s="138" t="str">
        <x:v>EA</x:v>
      </x:c>
      <x:c r="F226" s="139"/>
      <x:c r="G226" s="141" t="n">
        <x:v>1</x:v>
      </x:c>
      <x:c r="H226" s="141" t="n">
        <x:v>1</x:v>
      </x:c>
      <x:c r="I226" s="143"/>
      <x:c r="J226" s="141" t="n">
        <x:v>10</x:v>
      </x:c>
      <x:c r="K226" s="138" t="str">
        <x:v>China</x:v>
      </x:c>
      <x:c r="L226" t="str">
        <x:v>USD</x:v>
      </x:c>
      <x:c r="M226" s="126"/>
      <x:c r="N226"/>
      <x:c r="O226"/>
      <x:c r="P226" s="145"/>
      <x:c r="Q226" s="126"/>
      <x:c r="R226" s="149" t="n">
        <x:v>21.05</x:v>
      </x:c>
      <x:c r="S226" s="145"/>
      <x:c r="T226" s="145"/>
      <x:c r="U226" s="124"/>
      <x:c r="V226" s="124"/>
      <x:c r="W226" s="124"/>
      <x:c r="X226" s="124"/>
      <x:c r="Y226"/>
      <x:c r="Z226"/>
      <x:c r="AA226" s="116" t="str">
        <x:v>Net unit weight missing in 02. Order-level RFQ minimum: USD 100. Retail source: DHH exact MF-06-08W; direct each price; observed 2026-08-15; https://www.discounthydraulichose.com/MF-06-08W.html</x:v>
      </x:c>
      <x:c r="AB226" s="161" t="str">
        <x:v>Eligible</x:v>
      </x:c>
      <x:c r="AC226" s="161" t="str">
        <x:v>Pending</x:v>
      </x:c>
      <x:c r="AD226" t="str">
        <x:v>Units</x:v>
      </x:c>
      <x:c r="AE226" s="145"/>
      <x:c r="AF226" s="145"/>
      <x:c r="AG226" s="145"/>
      <x:c r="AH226" s="145"/>
      <x:c r="AI226" s="145"/>
      <x:c r="AJ226"/>
    </x:row>
    <x:row r="227" ht="30" customHeight="1">
      <x:c r="A227" s="138" t="str">
        <x:v>Draft</x:v>
      </x:c>
      <x:c r="B227" s="138" t="str">
        <x:v>Hose End</x:v>
      </x:c>
      <x:c r="C227" s="138" t="str">
        <x:v>ORFS_M_FX_08_08</x:v>
      </x:c>
      <x:c r="D227" s="138" t="str">
        <x:v>ORFS_M_FX_08_08</x:v>
      </x:c>
      <x:c r="E227" s="138" t="str">
        <x:v>EA</x:v>
      </x:c>
      <x:c r="F227" s="139"/>
      <x:c r="G227" s="141" t="n">
        <x:v>1</x:v>
      </x:c>
      <x:c r="H227" s="141" t="n">
        <x:v>1</x:v>
      </x:c>
      <x:c r="I227" s="143"/>
      <x:c r="J227" s="141" t="n">
        <x:v>10</x:v>
      </x:c>
      <x:c r="K227" s="138" t="str">
        <x:v>China</x:v>
      </x:c>
      <x:c r="L227" t="str">
        <x:v>USD</x:v>
      </x:c>
      <x:c r="M227" s="126"/>
      <x:c r="N227"/>
      <x:c r="O227"/>
      <x:c r="P227" s="145"/>
      <x:c r="Q227" s="126"/>
      <x:c r="R227" s="149" t="n">
        <x:v>14.83</x:v>
      </x:c>
      <x:c r="S227" s="145"/>
      <x:c r="T227" s="145"/>
      <x:c r="U227" s="124"/>
      <x:c r="V227" s="124"/>
      <x:c r="W227" s="124"/>
      <x:c r="X227" s="124"/>
      <x:c r="Y227"/>
      <x:c r="Z227"/>
      <x:c r="AA227" s="116" t="str">
        <x:v>Net unit weight missing in 02. Order-level RFQ minimum: USD 100. Retail source: DHH exact MF-08-08W; direct each price; observed 2026-08-15; https://www.discounthydraulichose.com/MF-08-08W.html</x:v>
      </x:c>
      <x:c r="AB227" s="161" t="str">
        <x:v>Eligible</x:v>
      </x:c>
      <x:c r="AC227" s="161" t="str">
        <x:v>Pending</x:v>
      </x:c>
      <x:c r="AD227" t="str">
        <x:v>Units</x:v>
      </x:c>
      <x:c r="AE227" s="145"/>
      <x:c r="AF227" s="145"/>
      <x:c r="AG227" s="145"/>
      <x:c r="AH227" s="145"/>
      <x:c r="AI227" s="145"/>
      <x:c r="AJ227"/>
    </x:row>
    <x:row r="228" ht="30" customHeight="1">
      <x:c r="A228" s="138" t="str">
        <x:v>Draft</x:v>
      </x:c>
      <x:c r="B228" s="138" t="str">
        <x:v>Hose End</x:v>
      </x:c>
      <x:c r="C228" s="138" t="str">
        <x:v>ORFS_M_FX_10_08</x:v>
      </x:c>
      <x:c r="D228" s="138" t="str">
        <x:v>ORFS_M_FX_10_08</x:v>
      </x:c>
      <x:c r="E228" s="138" t="str">
        <x:v>EA</x:v>
      </x:c>
      <x:c r="F228" s="139"/>
      <x:c r="G228" s="141" t="n">
        <x:v>1</x:v>
      </x:c>
      <x:c r="H228" s="141" t="n">
        <x:v>1</x:v>
      </x:c>
      <x:c r="I228" s="143"/>
      <x:c r="J228" s="141" t="n">
        <x:v>10</x:v>
      </x:c>
      <x:c r="K228" s="138" t="str">
        <x:v>China</x:v>
      </x:c>
      <x:c r="L228" t="str">
        <x:v>USD</x:v>
      </x:c>
      <x:c r="M228" s="126"/>
      <x:c r="N228"/>
      <x:c r="O228"/>
      <x:c r="P228" s="145"/>
      <x:c r="Q228" s="126"/>
      <x:c r="R228" s="149" t="n">
        <x:v>21.64</x:v>
      </x:c>
      <x:c r="S228" s="145"/>
      <x:c r="T228" s="145"/>
      <x:c r="U228" s="124"/>
      <x:c r="V228" s="124"/>
      <x:c r="W228" s="124"/>
      <x:c r="X228" s="124"/>
      <x:c r="Y228"/>
      <x:c r="Z228"/>
      <x:c r="AA228" s="116" t="str">
        <x:v>Net unit weight missing in 02. Order-level RFQ minimum: USD 100. Retail source: DHH exact MF-08-10W; direct each price; observed 2026-08-15; https://www.discounthydraulichose.com/MF-08-10W.html</x:v>
      </x:c>
      <x:c r="AB228" s="161" t="str">
        <x:v>Eligible</x:v>
      </x:c>
      <x:c r="AC228" s="161" t="str">
        <x:v>Pending</x:v>
      </x:c>
      <x:c r="AD228" t="str">
        <x:v>Units</x:v>
      </x:c>
      <x:c r="AE228" s="145"/>
      <x:c r="AF228" s="145"/>
      <x:c r="AG228" s="145"/>
      <x:c r="AH228" s="145"/>
      <x:c r="AI228" s="145"/>
      <x:c r="AJ228"/>
    </x:row>
    <x:row r="229" ht="30" customHeight="1">
      <x:c r="A229" s="138" t="str">
        <x:v>Draft</x:v>
      </x:c>
      <x:c r="B229" s="138" t="str">
        <x:v>Hose End</x:v>
      </x:c>
      <x:c r="C229" s="138" t="str">
        <x:v>ORFS_M_FX_10_10</x:v>
      </x:c>
      <x:c r="D229" s="138" t="str">
        <x:v>ORFS_M_FX_10_10</x:v>
      </x:c>
      <x:c r="E229" s="138" t="str">
        <x:v>EA</x:v>
      </x:c>
      <x:c r="F229" s="139"/>
      <x:c r="G229" s="141" t="n">
        <x:v>1</x:v>
      </x:c>
      <x:c r="H229" s="141" t="n">
        <x:v>1</x:v>
      </x:c>
      <x:c r="I229" s="143"/>
      <x:c r="J229" s="141" t="n">
        <x:v>10</x:v>
      </x:c>
      <x:c r="K229" s="138" t="str">
        <x:v>China</x:v>
      </x:c>
      <x:c r="L229" t="str">
        <x:v>USD</x:v>
      </x:c>
      <x:c r="M229" s="126"/>
      <x:c r="N229"/>
      <x:c r="O229"/>
      <x:c r="P229" s="145"/>
      <x:c r="Q229" s="126"/>
      <x:c r="R229" s="149" t="n">
        <x:v>27.3</x:v>
      </x:c>
      <x:c r="S229" s="145"/>
      <x:c r="T229" s="145"/>
      <x:c r="U229" s="124"/>
      <x:c r="V229" s="124"/>
      <x:c r="W229" s="124"/>
      <x:c r="X229" s="124"/>
      <x:c r="Y229"/>
      <x:c r="Z229"/>
      <x:c r="AA229" s="116" t="str">
        <x:v>Net unit weight missing in 02. Order-level RFQ minimum: USD 100. Retail source: DHH exact MF-10-10W; direct each price; observed 2026-08-15; https://www.discounthydraulichose.com/MF-10-10W.html</x:v>
      </x:c>
      <x:c r="AB229" s="161" t="str">
        <x:v>Eligible</x:v>
      </x:c>
      <x:c r="AC229" s="161" t="str">
        <x:v>Pending</x:v>
      </x:c>
      <x:c r="AD229" t="str">
        <x:v>Units</x:v>
      </x:c>
      <x:c r="AE229" s="145"/>
      <x:c r="AF229" s="145"/>
      <x:c r="AG229" s="145"/>
      <x:c r="AH229" s="145"/>
      <x:c r="AI229" s="145"/>
      <x:c r="AJ229"/>
    </x:row>
    <x:row r="230" ht="30" customHeight="1">
      <x:c r="A230" s="138" t="str">
        <x:v>Draft</x:v>
      </x:c>
      <x:c r="B230" s="138" t="str">
        <x:v>Hose End</x:v>
      </x:c>
      <x:c r="C230" s="138" t="str">
        <x:v>ORFS_M_FX_12_08</x:v>
      </x:c>
      <x:c r="D230" s="138" t="str">
        <x:v>ORFS_M_FX_12_08</x:v>
      </x:c>
      <x:c r="E230" s="138" t="str">
        <x:v>EA</x:v>
      </x:c>
      <x:c r="F230" s="139"/>
      <x:c r="G230" s="141" t="n">
        <x:v>1</x:v>
      </x:c>
      <x:c r="H230" s="141" t="n">
        <x:v>1</x:v>
      </x:c>
      <x:c r="I230" s="143"/>
      <x:c r="J230" s="141" t="n">
        <x:v>10</x:v>
      </x:c>
      <x:c r="K230" s="138" t="str">
        <x:v>China</x:v>
      </x:c>
      <x:c r="L230" t="str">
        <x:v>USD</x:v>
      </x:c>
      <x:c r="M230" s="126"/>
      <x:c r="N230"/>
      <x:c r="O230"/>
      <x:c r="P230" s="145"/>
      <x:c r="Q230" s="126"/>
      <x:c r="R230" s="149" t="n">
        <x:v>59.15</x:v>
      </x:c>
      <x:c r="S230" s="145"/>
      <x:c r="T230" s="145"/>
      <x:c r="U230" s="124"/>
      <x:c r="V230" s="124"/>
      <x:c r="W230" s="124"/>
      <x:c r="X230" s="124"/>
      <x:c r="Y230"/>
      <x:c r="Z230"/>
      <x:c r="AA230" s="116" t="str">
        <x:v>Net unit weight missing in 02. Order-level RFQ minimum: USD 100. Retail source: DHH exact MF-08-12W; direct each price; observed 2026-08-15; https://www.discounthydraulichose.com/MF-08-12W.html</x:v>
      </x:c>
      <x:c r="AB230" s="161" t="str">
        <x:v>Eligible</x:v>
      </x:c>
      <x:c r="AC230" s="161" t="str">
        <x:v>Pending</x:v>
      </x:c>
      <x:c r="AD230" t="str">
        <x:v>Units</x:v>
      </x:c>
      <x:c r="AE230" s="145"/>
      <x:c r="AF230" s="145"/>
      <x:c r="AG230" s="145"/>
      <x:c r="AH230" s="145"/>
      <x:c r="AI230" s="145"/>
      <x:c r="AJ230"/>
    </x:row>
    <x:row r="231" ht="30" customHeight="1">
      <x:c r="A231" s="138" t="str">
        <x:v>Draft</x:v>
      </x:c>
      <x:c r="B231" s="138" t="str">
        <x:v>Hose End</x:v>
      </x:c>
      <x:c r="C231" s="138" t="str">
        <x:v>ORFS_M_FX_12_10</x:v>
      </x:c>
      <x:c r="D231" s="138" t="str">
        <x:v>ORFS_M_FX_12_10</x:v>
      </x:c>
      <x:c r="E231" s="138" t="str">
        <x:v>EA</x:v>
      </x:c>
      <x:c r="F231" s="139"/>
      <x:c r="G231" s="141" t="n">
        <x:v>1</x:v>
      </x:c>
      <x:c r="H231" s="141" t="n">
        <x:v>1</x:v>
      </x:c>
      <x:c r="I231" s="143"/>
      <x:c r="J231" s="141" t="n">
        <x:v>10</x:v>
      </x:c>
      <x:c r="K231" s="138" t="str">
        <x:v>China</x:v>
      </x:c>
      <x:c r="L231" t="str">
        <x:v>USD</x:v>
      </x:c>
      <x:c r="M231" s="126"/>
      <x:c r="N231"/>
      <x:c r="O231"/>
      <x:c r="P231" s="145"/>
      <x:c r="Q231" s="126"/>
      <x:c r="R231" s="149" t="n">
        <x:v>33.92</x:v>
      </x:c>
      <x:c r="S231" s="145"/>
      <x:c r="T231" s="145"/>
      <x:c r="U231" s="124"/>
      <x:c r="V231" s="124"/>
      <x:c r="W231" s="124"/>
      <x:c r="X231" s="124"/>
      <x:c r="Y231"/>
      <x:c r="Z231"/>
      <x:c r="AA231" s="116" t="str">
        <x:v>Net unit weight missing in 02. Order-level RFQ minimum: USD 100. Retail source: DHH exact MF-10-12W; direct each price; observed 2026-08-15; https://www.discounthydraulichose.com/MF-10-12W.html</x:v>
      </x:c>
      <x:c r="AB231" s="161" t="str">
        <x:v>Eligible</x:v>
      </x:c>
      <x:c r="AC231" s="161" t="str">
        <x:v>Pending</x:v>
      </x:c>
      <x:c r="AD231" t="str">
        <x:v>Units</x:v>
      </x:c>
      <x:c r="AE231" s="145"/>
      <x:c r="AF231" s="145"/>
      <x:c r="AG231" s="145"/>
      <x:c r="AH231" s="145"/>
      <x:c r="AI231" s="145"/>
      <x:c r="AJ231"/>
    </x:row>
    <x:row r="232" ht="30" customHeight="1">
      <x:c r="A232" s="138" t="str">
        <x:v>Draft</x:v>
      </x:c>
      <x:c r="B232" s="138" t="str">
        <x:v>Hose End</x:v>
      </x:c>
      <x:c r="C232" s="138" t="str">
        <x:v>ORFS_M_FX_12_12</x:v>
      </x:c>
      <x:c r="D232" s="138" t="str">
        <x:v>ORFS_M_FX_12_12</x:v>
      </x:c>
      <x:c r="E232" s="138" t="str">
        <x:v>EA</x:v>
      </x:c>
      <x:c r="F232" s="139"/>
      <x:c r="G232" s="141" t="n">
        <x:v>1</x:v>
      </x:c>
      <x:c r="H232" s="141" t="n">
        <x:v>1</x:v>
      </x:c>
      <x:c r="I232" s="143"/>
      <x:c r="J232" s="141" t="n">
        <x:v>10</x:v>
      </x:c>
      <x:c r="K232" s="138" t="str">
        <x:v>China</x:v>
      </x:c>
      <x:c r="L232" t="str">
        <x:v>USD</x:v>
      </x:c>
      <x:c r="M232" s="126"/>
      <x:c r="N232"/>
      <x:c r="O232"/>
      <x:c r="P232" s="145"/>
      <x:c r="Q232" s="126"/>
      <x:c r="R232" s="149" t="n">
        <x:v>36.13</x:v>
      </x:c>
      <x:c r="S232" s="145"/>
      <x:c r="T232" s="145"/>
      <x:c r="U232" s="124"/>
      <x:c r="V232" s="124"/>
      <x:c r="W232" s="124"/>
      <x:c r="X232" s="124"/>
      <x:c r="Y232"/>
      <x:c r="Z232"/>
      <x:c r="AA232" s="116" t="str">
        <x:v>Net unit weight missing in 02. Order-level RFQ minimum: USD 100. Retail source: DHH exact MF-12-12W; direct each price; observed 2026-08-15; https://www.discounthydraulichose.com/MF-12-12W.html</x:v>
      </x:c>
      <x:c r="AB232" s="161" t="str">
        <x:v>Eligible</x:v>
      </x:c>
      <x:c r="AC232" s="161" t="str">
        <x:v>Pending</x:v>
      </x:c>
      <x:c r="AD232" t="str">
        <x:v>Units</x:v>
      </x:c>
      <x:c r="AE232" s="145"/>
      <x:c r="AF232" s="145"/>
      <x:c r="AG232" s="145"/>
      <x:c r="AH232" s="145"/>
      <x:c r="AI232" s="145"/>
      <x:c r="AJ232"/>
    </x:row>
    <x:row r="233" ht="30" customHeight="1">
      <x:c r="A233" s="138" t="str">
        <x:v>Draft</x:v>
      </x:c>
      <x:c r="B233" s="138" t="str">
        <x:v>Hose End</x:v>
      </x:c>
      <x:c r="C233" s="138" t="str">
        <x:v>ORFS_M_FX_12_16</x:v>
      </x:c>
      <x:c r="D233" s="138" t="str">
        <x:v>ORFS_M_FX_12_16</x:v>
      </x:c>
      <x:c r="E233" s="138" t="str">
        <x:v>EA</x:v>
      </x:c>
      <x:c r="F233" s="139"/>
      <x:c r="G233" s="141" t="n">
        <x:v>1</x:v>
      </x:c>
      <x:c r="H233" s="141" t="n">
        <x:v>1</x:v>
      </x:c>
      <x:c r="I233" s="143"/>
      <x:c r="J233" s="141" t="n">
        <x:v>10</x:v>
      </x:c>
      <x:c r="K233" s="138" t="str">
        <x:v>China</x:v>
      </x:c>
      <x:c r="L233" t="str">
        <x:v>USD</x:v>
      </x:c>
      <x:c r="M233" s="126"/>
      <x:c r="N233"/>
      <x:c r="O233"/>
      <x:c r="P233" s="145"/>
      <x:c r="Q233" s="126"/>
      <x:c r="R233" s="149" t="n">
        <x:v>83.23</x:v>
      </x:c>
      <x:c r="S233" s="145"/>
      <x:c r="T233" s="145"/>
      <x:c r="U233" s="124"/>
      <x:c r="V233" s="124"/>
      <x:c r="W233" s="124"/>
      <x:c r="X233" s="124"/>
      <x:c r="Y233"/>
      <x:c r="Z233"/>
      <x:c r="AA233" s="116" t="str">
        <x:v>Net unit weight missing in 02. Order-level RFQ minimum: USD 100. Retail source: DHH exact MF-16-12W; direct each price; observed 2026-08-15; https://www.discounthydraulichose.com/MF-16-12W.html</x:v>
      </x:c>
      <x:c r="AB233" s="161" t="str">
        <x:v>Eligible</x:v>
      </x:c>
      <x:c r="AC233" s="161" t="str">
        <x:v>Pending</x:v>
      </x:c>
      <x:c r="AD233" t="str">
        <x:v>Units</x:v>
      </x:c>
      <x:c r="AE233" s="145"/>
      <x:c r="AF233" s="145"/>
      <x:c r="AG233" s="145"/>
      <x:c r="AH233" s="145"/>
      <x:c r="AI233" s="145"/>
      <x:c r="AJ233"/>
    </x:row>
    <x:row r="234" ht="30" customHeight="1">
      <x:c r="A234" s="138" t="str">
        <x:v>Draft</x:v>
      </x:c>
      <x:c r="B234" s="138" t="str">
        <x:v>Hose End</x:v>
      </x:c>
      <x:c r="C234" s="138" t="str">
        <x:v>ORFS_M_FX_16_12</x:v>
      </x:c>
      <x:c r="D234" s="138" t="str">
        <x:v>ORFS_M_FX_16_12</x:v>
      </x:c>
      <x:c r="E234" s="138" t="str">
        <x:v>EA</x:v>
      </x:c>
      <x:c r="F234" s="139"/>
      <x:c r="G234" s="141" t="n">
        <x:v>1</x:v>
      </x:c>
      <x:c r="H234" s="141" t="n">
        <x:v>1</x:v>
      </x:c>
      <x:c r="I234" s="143"/>
      <x:c r="J234" s="141" t="n">
        <x:v>10</x:v>
      </x:c>
      <x:c r="K234" s="138" t="str">
        <x:v>China</x:v>
      </x:c>
      <x:c r="L234" t="str">
        <x:v>USD</x:v>
      </x:c>
      <x:c r="M234" s="126"/>
      <x:c r="N234"/>
      <x:c r="O234"/>
      <x:c r="P234" s="145"/>
      <x:c r="Q234" s="126"/>
      <x:c r="R234" s="149" t="n">
        <x:v>73.3</x:v>
      </x:c>
      <x:c r="S234" s="145"/>
      <x:c r="T234" s="145"/>
      <x:c r="U234" s="124"/>
      <x:c r="V234" s="124"/>
      <x:c r="W234" s="124"/>
      <x:c r="X234" s="124"/>
      <x:c r="Y234"/>
      <x:c r="Z234"/>
      <x:c r="AA234" s="116" t="str">
        <x:v>Net unit weight missing in 02. Order-level RFQ minimum: USD 100. Retail source: DHH exact MF-12-16W; direct each price; observed 2026-08-15; https://www.discounthydraulichose.com/MF-12-16W.html</x:v>
      </x:c>
      <x:c r="AB234" s="161" t="str">
        <x:v>Eligible</x:v>
      </x:c>
      <x:c r="AC234" s="161" t="str">
        <x:v>Pending</x:v>
      </x:c>
      <x:c r="AD234" t="str">
        <x:v>Units</x:v>
      </x:c>
      <x:c r="AE234" s="145"/>
      <x:c r="AF234" s="145"/>
      <x:c r="AG234" s="145"/>
      <x:c r="AH234" s="145"/>
      <x:c r="AI234" s="145"/>
      <x:c r="AJ234"/>
    </x:row>
    <x:row r="235" ht="30" customHeight="1">
      <x:c r="A235" s="138" t="str">
        <x:v>Draft</x:v>
      </x:c>
      <x:c r="B235" s="138" t="str">
        <x:v>Hose End</x:v>
      </x:c>
      <x:c r="C235" s="138" t="str">
        <x:v>ORFS_M_FX_16_16</x:v>
      </x:c>
      <x:c r="D235" s="138" t="str">
        <x:v>ORFS_M_FX_16_16</x:v>
      </x:c>
      <x:c r="E235" s="138" t="str">
        <x:v>EA</x:v>
      </x:c>
      <x:c r="F235" s="139"/>
      <x:c r="G235" s="141" t="n">
        <x:v>1</x:v>
      </x:c>
      <x:c r="H235" s="141" t="n">
        <x:v>1</x:v>
      </x:c>
      <x:c r="I235" s="143"/>
      <x:c r="J235" s="141" t="n">
        <x:v>10</x:v>
      </x:c>
      <x:c r="K235" s="138" t="str">
        <x:v>China</x:v>
      </x:c>
      <x:c r="L235" t="str">
        <x:v>USD</x:v>
      </x:c>
      <x:c r="M235" s="126"/>
      <x:c r="N235"/>
      <x:c r="O235"/>
      <x:c r="P235" s="145"/>
      <x:c r="Q235" s="126"/>
      <x:c r="R235" s="149" t="n">
        <x:v>47.01</x:v>
      </x:c>
      <x:c r="S235" s="145"/>
      <x:c r="T235" s="145"/>
      <x:c r="U235" s="124"/>
      <x:c r="V235" s="124"/>
      <x:c r="W235" s="124"/>
      <x:c r="X235" s="124"/>
      <x:c r="Y235"/>
      <x:c r="Z235"/>
      <x:c r="AA235" s="116" t="str">
        <x:v>Net unit weight missing in 02. Order-level RFQ minimum: USD 100. Retail source: DHH exact MF-16-16W; direct each price; observed 2026-08-15; https://www.discounthydraulichose.com/MF-16-16W.html</x:v>
      </x:c>
      <x:c r="AB235" s="161" t="str">
        <x:v>Eligible</x:v>
      </x:c>
      <x:c r="AC235" s="161" t="str">
        <x:v>Pending</x:v>
      </x:c>
      <x:c r="AD235" t="str">
        <x:v>Units</x:v>
      </x:c>
      <x:c r="AE235" s="145"/>
      <x:c r="AF235" s="145"/>
      <x:c r="AG235" s="145"/>
      <x:c r="AH235" s="145"/>
      <x:c r="AI235" s="145"/>
      <x:c r="AJ235"/>
    </x:row>
    <x:row r="236" ht="30" customHeight="1">
      <x:c r="A236" s="138" t="str">
        <x:v>Draft</x:v>
      </x:c>
      <x:c r="B236" s="138" t="str">
        <x:v>Hose End</x:v>
      </x:c>
      <x:c r="C236" s="138" t="str">
        <x:v>ORFS45_F_SW_04_04</x:v>
      </x:c>
      <x:c r="D236" s="138" t="str">
        <x:v>ORFS45_F_SW_04_04</x:v>
      </x:c>
      <x:c r="E236" s="138" t="str">
        <x:v>EA</x:v>
      </x:c>
      <x:c r="F236" s="139"/>
      <x:c r="G236" s="141" t="n">
        <x:v>1</x:v>
      </x:c>
      <x:c r="H236" s="141" t="n">
        <x:v>1</x:v>
      </x:c>
      <x:c r="I236" s="143"/>
      <x:c r="J236" s="141" t="n">
        <x:v>10</x:v>
      </x:c>
      <x:c r="K236" s="138" t="str">
        <x:v>China</x:v>
      </x:c>
      <x:c r="L236" t="str">
        <x:v>USD</x:v>
      </x:c>
      <x:c r="M236" s="126"/>
      <x:c r="N236"/>
      <x:c r="O236"/>
      <x:c r="P236" s="145"/>
      <x:c r="Q236" s="126"/>
      <x:c r="R236" s="149" t="n">
        <x:v>22.98</x:v>
      </x:c>
      <x:c r="S236" s="145"/>
      <x:c r="T236" s="145"/>
      <x:c r="U236" s="124"/>
      <x:c r="V236" s="124"/>
      <x:c r="W236" s="124"/>
      <x:c r="X236" s="124"/>
      <x:c r="Y236"/>
      <x:c r="Z236"/>
      <x:c r="AA236" s="116" t="str">
        <x:v>Net unit weight missing in 02. Order-level RFQ minimum: USD 100. Retail source: DHH exact FFX45-04-04W; direct each price; observed 2026-08-15; https://www.discounthydraulichose.com/FFX45-04-04W.html</x:v>
      </x:c>
      <x:c r="AB236" s="161" t="str">
        <x:v>Eligible</x:v>
      </x:c>
      <x:c r="AC236" s="161" t="str">
        <x:v>Pending</x:v>
      </x:c>
      <x:c r="AD236" t="str">
        <x:v>Units</x:v>
      </x:c>
      <x:c r="AE236" s="145"/>
      <x:c r="AF236" s="145"/>
      <x:c r="AG236" s="145"/>
      <x:c r="AH236" s="145"/>
      <x:c r="AI236" s="145"/>
      <x:c r="AJ236"/>
    </x:row>
    <x:row r="237" ht="30" customHeight="1">
      <x:c r="A237" s="138" t="str">
        <x:v>Draft</x:v>
      </x:c>
      <x:c r="B237" s="138" t="str">
        <x:v>Hose End</x:v>
      </x:c>
      <x:c r="C237" s="138" t="str">
        <x:v>ORFS45_F_SW_06_04</x:v>
      </x:c>
      <x:c r="D237" s="138" t="str">
        <x:v>ORFS45_F_SW_06_04</x:v>
      </x:c>
      <x:c r="E237" s="138" t="str">
        <x:v>EA</x:v>
      </x:c>
      <x:c r="F237" s="139"/>
      <x:c r="G237" s="141" t="n">
        <x:v>1</x:v>
      </x:c>
      <x:c r="H237" s="141" t="n">
        <x:v>1</x:v>
      </x:c>
      <x:c r="I237" s="143"/>
      <x:c r="J237" s="141" t="n">
        <x:v>10</x:v>
      </x:c>
      <x:c r="K237" s="138" t="str">
        <x:v>China</x:v>
      </x:c>
      <x:c r="L237" t="str">
        <x:v>USD</x:v>
      </x:c>
      <x:c r="M237" s="126"/>
      <x:c r="N237"/>
      <x:c r="O237"/>
      <x:c r="P237" s="145"/>
      <x:c r="Q237" s="126"/>
      <x:c r="R237" s="149" t="n">
        <x:v>29.19</x:v>
      </x:c>
      <x:c r="S237" s="145"/>
      <x:c r="T237" s="145"/>
      <x:c r="U237" s="124"/>
      <x:c r="V237" s="124"/>
      <x:c r="W237" s="124"/>
      <x:c r="X237" s="124"/>
      <x:c r="Y237"/>
      <x:c r="Z237"/>
      <x:c r="AA237" s="116" t="str">
        <x:v>Net unit weight missing in 02. Order-level RFQ minimum: USD 100. Retail source: DHH exact FFX45-04-06W; direct each price; observed 2026-08-15; https://www.discounthydraulichose.com/FFX45-04-06W.html</x:v>
      </x:c>
      <x:c r="AB237" s="161" t="str">
        <x:v>Eligible</x:v>
      </x:c>
      <x:c r="AC237" s="161" t="str">
        <x:v>Pending</x:v>
      </x:c>
      <x:c r="AD237" t="str">
        <x:v>Units</x:v>
      </x:c>
      <x:c r="AE237" s="145"/>
      <x:c r="AF237" s="145"/>
      <x:c r="AG237" s="145"/>
      <x:c r="AH237" s="145"/>
      <x:c r="AI237" s="145"/>
      <x:c r="AJ237"/>
    </x:row>
    <x:row r="238" ht="30" customHeight="1">
      <x:c r="A238" s="138" t="str">
        <x:v>Draft</x:v>
      </x:c>
      <x:c r="B238" s="138" t="str">
        <x:v>Hose End</x:v>
      </x:c>
      <x:c r="C238" s="138" t="str">
        <x:v>ORFS45_F_SW_06_06</x:v>
      </x:c>
      <x:c r="D238" s="138" t="str">
        <x:v>ORFS45_F_SW_06_06</x:v>
      </x:c>
      <x:c r="E238" s="138" t="str">
        <x:v>EA</x:v>
      </x:c>
      <x:c r="F238" s="139"/>
      <x:c r="G238" s="141" t="n">
        <x:v>1</x:v>
      </x:c>
      <x:c r="H238" s="141" t="n">
        <x:v>1</x:v>
      </x:c>
      <x:c r="I238" s="143"/>
      <x:c r="J238" s="141" t="n">
        <x:v>10</x:v>
      </x:c>
      <x:c r="K238" s="138" t="str">
        <x:v>China</x:v>
      </x:c>
      <x:c r="L238" t="str">
        <x:v>USD</x:v>
      </x:c>
      <x:c r="M238" s="126"/>
      <x:c r="N238"/>
      <x:c r="O238"/>
      <x:c r="P238" s="145"/>
      <x:c r="Q238" s="126"/>
      <x:c r="R238" s="149" t="n">
        <x:v>25.05</x:v>
      </x:c>
      <x:c r="S238" s="145"/>
      <x:c r="T238" s="145"/>
      <x:c r="U238" s="124"/>
      <x:c r="V238" s="124"/>
      <x:c r="W238" s="124"/>
      <x:c r="X238" s="124"/>
      <x:c r="Y238"/>
      <x:c r="Z238"/>
      <x:c r="AA238" s="116" t="str">
        <x:v>Net unit weight missing in 02. Order-level RFQ minimum: USD 100. Retail source: DHH exact FFX45-06-06W; direct each price; observed 2026-08-15; https://www.discounthydraulichose.com/FFX45-06-06W.html</x:v>
      </x:c>
      <x:c r="AB238" s="161" t="str">
        <x:v>Eligible</x:v>
      </x:c>
      <x:c r="AC238" s="161" t="str">
        <x:v>Pending</x:v>
      </x:c>
      <x:c r="AD238" t="str">
        <x:v>Units</x:v>
      </x:c>
      <x:c r="AE238" s="145"/>
      <x:c r="AF238" s="145"/>
      <x:c r="AG238" s="145"/>
      <x:c r="AH238" s="145"/>
      <x:c r="AI238" s="145"/>
      <x:c r="AJ238"/>
    </x:row>
    <x:row r="239" ht="30" customHeight="1">
      <x:c r="A239" s="138" t="str">
        <x:v>Draft</x:v>
      </x:c>
      <x:c r="B239" s="138" t="str">
        <x:v>Hose End</x:v>
      </x:c>
      <x:c r="C239" s="138" t="str">
        <x:v>ORFS45_F_SW_08_06</x:v>
      </x:c>
      <x:c r="D239" s="138" t="str">
        <x:v>ORFS45_F_SW_08_06</x:v>
      </x:c>
      <x:c r="E239" s="138" t="str">
        <x:v>EA</x:v>
      </x:c>
      <x:c r="F239" s="139"/>
      <x:c r="G239" s="141" t="n">
        <x:v>1</x:v>
      </x:c>
      <x:c r="H239" s="141" t="n">
        <x:v>1</x:v>
      </x:c>
      <x:c r="I239" s="143"/>
      <x:c r="J239" s="141" t="n">
        <x:v>10</x:v>
      </x:c>
      <x:c r="K239" s="138" t="str">
        <x:v>China</x:v>
      </x:c>
      <x:c r="L239" t="str">
        <x:v>USD</x:v>
      </x:c>
      <x:c r="M239" s="126"/>
      <x:c r="N239"/>
      <x:c r="O239"/>
      <x:c r="P239" s="145"/>
      <x:c r="Q239" s="126"/>
      <x:c r="R239" s="149" t="n">
        <x:v>32.53</x:v>
      </x:c>
      <x:c r="S239" s="145"/>
      <x:c r="T239" s="145"/>
      <x:c r="U239" s="124"/>
      <x:c r="V239" s="124"/>
      <x:c r="W239" s="124"/>
      <x:c r="X239" s="124"/>
      <x:c r="Y239"/>
      <x:c r="Z239"/>
      <x:c r="AA239" s="116" t="str">
        <x:v>Net unit weight missing in 02. Order-level RFQ minimum: USD 100. Retail source: DHH exact FFX45-06-08W; direct each price; observed 2026-08-15; https://www.discounthydraulichose.com/FFX45-06-08W.html</x:v>
      </x:c>
      <x:c r="AB239" s="161" t="str">
        <x:v>Eligible</x:v>
      </x:c>
      <x:c r="AC239" s="161" t="str">
        <x:v>Pending</x:v>
      </x:c>
      <x:c r="AD239" t="str">
        <x:v>Units</x:v>
      </x:c>
      <x:c r="AE239" s="145"/>
      <x:c r="AF239" s="145"/>
      <x:c r="AG239" s="145"/>
      <x:c r="AH239" s="145"/>
      <x:c r="AI239" s="145"/>
      <x:c r="AJ239"/>
    </x:row>
    <x:row r="240" ht="30" customHeight="1">
      <x:c r="A240" s="138" t="str">
        <x:v>Draft</x:v>
      </x:c>
      <x:c r="B240" s="138" t="str">
        <x:v>Hose End</x:v>
      </x:c>
      <x:c r="C240" s="138" t="str">
        <x:v>ORFS45_F_SW_08_08</x:v>
      </x:c>
      <x:c r="D240" s="138" t="str">
        <x:v>ORFS45_F_SW_08_08</x:v>
      </x:c>
      <x:c r="E240" s="138" t="str">
        <x:v>EA</x:v>
      </x:c>
      <x:c r="F240" s="139"/>
      <x:c r="G240" s="141" t="n">
        <x:v>1</x:v>
      </x:c>
      <x:c r="H240" s="141" t="n">
        <x:v>1</x:v>
      </x:c>
      <x:c r="I240" s="143"/>
      <x:c r="J240" s="141" t="n">
        <x:v>10</x:v>
      </x:c>
      <x:c r="K240" s="138" t="str">
        <x:v>China</x:v>
      </x:c>
      <x:c r="L240" t="str">
        <x:v>USD</x:v>
      </x:c>
      <x:c r="M240" s="126"/>
      <x:c r="N240"/>
      <x:c r="O240"/>
      <x:c r="P240" s="145"/>
      <x:c r="Q240" s="126"/>
      <x:c r="R240" s="149" t="n">
        <x:v>31.36</x:v>
      </x:c>
      <x:c r="S240" s="145"/>
      <x:c r="T240" s="145"/>
      <x:c r="U240" s="124"/>
      <x:c r="V240" s="124"/>
      <x:c r="W240" s="124"/>
      <x:c r="X240" s="124"/>
      <x:c r="Y240"/>
      <x:c r="Z240"/>
      <x:c r="AA240" s="116" t="str">
        <x:v>Net unit weight missing in 02. Order-level RFQ minimum: USD 100. Retail source: DHH exact FFX45-08-08W; direct each price; observed 2026-08-15; https://www.discounthydraulichose.com/FFX45-08-08W.html</x:v>
      </x:c>
      <x:c r="AB240" s="161" t="str">
        <x:v>Eligible</x:v>
      </x:c>
      <x:c r="AC240" s="161" t="str">
        <x:v>Pending</x:v>
      </x:c>
      <x:c r="AD240" t="str">
        <x:v>Units</x:v>
      </x:c>
      <x:c r="AE240" s="145"/>
      <x:c r="AF240" s="145"/>
      <x:c r="AG240" s="145"/>
      <x:c r="AH240" s="145"/>
      <x:c r="AI240" s="145"/>
      <x:c r="AJ240"/>
    </x:row>
    <x:row r="241" ht="30" customHeight="1">
      <x:c r="A241" s="138" t="str">
        <x:v>Draft</x:v>
      </x:c>
      <x:c r="B241" s="138" t="str">
        <x:v>Hose End</x:v>
      </x:c>
      <x:c r="C241" s="138" t="str">
        <x:v>ORFS45_F_SW_10_08</x:v>
      </x:c>
      <x:c r="D241" s="138" t="str">
        <x:v>ORFS45_F_SW_10_08</x:v>
      </x:c>
      <x:c r="E241" s="138" t="str">
        <x:v>EA</x:v>
      </x:c>
      <x:c r="F241" s="139"/>
      <x:c r="G241" s="141" t="n">
        <x:v>1</x:v>
      </x:c>
      <x:c r="H241" s="141" t="n">
        <x:v>1</x:v>
      </x:c>
      <x:c r="I241" s="143"/>
      <x:c r="J241" s="141" t="n">
        <x:v>10</x:v>
      </x:c>
      <x:c r="K241" s="138" t="str">
        <x:v>China</x:v>
      </x:c>
      <x:c r="L241" t="str">
        <x:v>USD</x:v>
      </x:c>
      <x:c r="M241" s="126"/>
      <x:c r="N241"/>
      <x:c r="O241"/>
      <x:c r="P241" s="145"/>
      <x:c r="Q241" s="126"/>
      <x:c r="R241" s="149" t="n">
        <x:v>27.71</x:v>
      </x:c>
      <x:c r="S241" s="145"/>
      <x:c r="T241" s="145"/>
      <x:c r="U241" s="124"/>
      <x:c r="V241" s="124"/>
      <x:c r="W241" s="124"/>
      <x:c r="X241" s="124"/>
      <x:c r="Y241"/>
      <x:c r="Z241"/>
      <x:c r="AA241" s="116" t="str">
        <x:v>Net unit weight missing in 02. Order-level RFQ minimum: USD 100. Retail source: DHH exact FFX45-08-10W; direct each price; observed 2026-08-15; https://www.discounthydraulichose.com/FFX45-08-10W.html</x:v>
      </x:c>
      <x:c r="AB241" s="161" t="str">
        <x:v>Eligible</x:v>
      </x:c>
      <x:c r="AC241" s="161" t="str">
        <x:v>Pending</x:v>
      </x:c>
      <x:c r="AD241" t="str">
        <x:v>Units</x:v>
      </x:c>
      <x:c r="AE241" s="145"/>
      <x:c r="AF241" s="145"/>
      <x:c r="AG241" s="145"/>
      <x:c r="AH241" s="145"/>
      <x:c r="AI241" s="145"/>
      <x:c r="AJ241"/>
    </x:row>
    <x:row r="242" ht="30" customHeight="1">
      <x:c r="A242" s="138" t="str">
        <x:v>Draft</x:v>
      </x:c>
      <x:c r="B242" s="138" t="str">
        <x:v>Hose End</x:v>
      </x:c>
      <x:c r="C242" s="138" t="str">
        <x:v>ORFS45_F_SW_10_10</x:v>
      </x:c>
      <x:c r="D242" s="138" t="str">
        <x:v>ORFS45_F_SW_10_10</x:v>
      </x:c>
      <x:c r="E242" s="138" t="str">
        <x:v>EA</x:v>
      </x:c>
      <x:c r="F242" s="139"/>
      <x:c r="G242" s="141" t="n">
        <x:v>1</x:v>
      </x:c>
      <x:c r="H242" s="141" t="n">
        <x:v>1</x:v>
      </x:c>
      <x:c r="I242" s="143"/>
      <x:c r="J242" s="141" t="n">
        <x:v>10</x:v>
      </x:c>
      <x:c r="K242" s="138" t="str">
        <x:v>China</x:v>
      </x:c>
      <x:c r="L242" t="str">
        <x:v>USD</x:v>
      </x:c>
      <x:c r="M242" s="126"/>
      <x:c r="N242"/>
      <x:c r="O242"/>
      <x:c r="P242" s="145"/>
      <x:c r="Q242" s="126"/>
      <x:c r="R242" s="149" t="n">
        <x:v>42.16</x:v>
      </x:c>
      <x:c r="S242" s="145"/>
      <x:c r="T242" s="145"/>
      <x:c r="U242" s="124"/>
      <x:c r="V242" s="124"/>
      <x:c r="W242" s="124"/>
      <x:c r="X242" s="124"/>
      <x:c r="Y242"/>
      <x:c r="Z242"/>
      <x:c r="AA242" s="116" t="str">
        <x:v>Net unit weight missing in 02. Order-level RFQ minimum: USD 100. Retail source: DHH exact FFX45-10-10W; direct each price; observed 2026-08-15; https://www.discounthydraulichose.com/FFX45-10-10W.html</x:v>
      </x:c>
      <x:c r="AB242" s="161" t="str">
        <x:v>Eligible</x:v>
      </x:c>
      <x:c r="AC242" s="161" t="str">
        <x:v>Pending</x:v>
      </x:c>
      <x:c r="AD242" t="str">
        <x:v>Units</x:v>
      </x:c>
      <x:c r="AE242" s="145"/>
      <x:c r="AF242" s="145"/>
      <x:c r="AG242" s="145"/>
      <x:c r="AH242" s="145"/>
      <x:c r="AI242" s="145"/>
      <x:c r="AJ242"/>
    </x:row>
    <x:row r="243" ht="30" customHeight="1">
      <x:c r="A243" s="138" t="str">
        <x:v>Draft</x:v>
      </x:c>
      <x:c r="B243" s="138" t="str">
        <x:v>Hose End</x:v>
      </x:c>
      <x:c r="C243" s="138" t="str">
        <x:v>ORFS45_F_SW_10_12</x:v>
      </x:c>
      <x:c r="D243" s="138" t="str">
        <x:v>ORFS45_F_SW_10_12</x:v>
      </x:c>
      <x:c r="E243" s="138" t="str">
        <x:v>EA</x:v>
      </x:c>
      <x:c r="F243" s="139"/>
      <x:c r="G243" s="141" t="n">
        <x:v>1</x:v>
      </x:c>
      <x:c r="H243" s="141" t="n">
        <x:v>1</x:v>
      </x:c>
      <x:c r="I243" s="143"/>
      <x:c r="J243" s="141" t="n">
        <x:v>10</x:v>
      </x:c>
      <x:c r="K243" s="138" t="str">
        <x:v>China</x:v>
      </x:c>
      <x:c r="L243" t="str">
        <x:v>USD</x:v>
      </x:c>
      <x:c r="M243" s="126"/>
      <x:c r="N243"/>
      <x:c r="O243"/>
      <x:c r="P243" s="145"/>
      <x:c r="Q243" s="126"/>
      <x:c r="R243" s="149" t="n">
        <x:v>68.67</x:v>
      </x:c>
      <x:c r="S243" s="145"/>
      <x:c r="T243" s="145"/>
      <x:c r="U243" s="124"/>
      <x:c r="V243" s="124"/>
      <x:c r="W243" s="124"/>
      <x:c r="X243" s="124"/>
      <x:c r="Y243"/>
      <x:c r="Z243"/>
      <x:c r="AA243" s="116" t="str">
        <x:v>Net unit weight missing in 02. Order-level RFQ minimum: USD 100. Retail source: DHH exact FFX45-12-10W; direct each price; observed 2026-08-15; https://www.discounthydraulichose.com/FFX45-12-10W.html</x:v>
      </x:c>
      <x:c r="AB243" s="161" t="str">
        <x:v>Eligible</x:v>
      </x:c>
      <x:c r="AC243" s="161" t="str">
        <x:v>Pending</x:v>
      </x:c>
      <x:c r="AD243" t="str">
        <x:v>Units</x:v>
      </x:c>
      <x:c r="AE243" s="145"/>
      <x:c r="AF243" s="145"/>
      <x:c r="AG243" s="145"/>
      <x:c r="AH243" s="145"/>
      <x:c r="AI243" s="145"/>
      <x:c r="AJ243"/>
    </x:row>
    <x:row r="244" ht="30" customHeight="1">
      <x:c r="A244" s="138" t="str">
        <x:v>Draft</x:v>
      </x:c>
      <x:c r="B244" s="138" t="str">
        <x:v>Hose End</x:v>
      </x:c>
      <x:c r="C244" s="138" t="str">
        <x:v>ORFS45_F_SW_12_08</x:v>
      </x:c>
      <x:c r="D244" s="138" t="str">
        <x:v>ORFS45_F_SW_12_08</x:v>
      </x:c>
      <x:c r="E244" s="138" t="str">
        <x:v>EA</x:v>
      </x:c>
      <x:c r="F244" s="139"/>
      <x:c r="G244" s="141" t="n">
        <x:v>1</x:v>
      </x:c>
      <x:c r="H244" s="141" t="n">
        <x:v>1</x:v>
      </x:c>
      <x:c r="I244" s="143"/>
      <x:c r="J244" s="141" t="n">
        <x:v>10</x:v>
      </x:c>
      <x:c r="K244" s="138" t="str">
        <x:v>China</x:v>
      </x:c>
      <x:c r="L244" t="str">
        <x:v>USD</x:v>
      </x:c>
      <x:c r="M244" s="126"/>
      <x:c r="N244"/>
      <x:c r="O244"/>
      <x:c r="P244" s="145"/>
      <x:c r="Q244" s="126"/>
      <x:c r="R244" s="149" t="n">
        <x:v>42.06</x:v>
      </x:c>
      <x:c r="S244" s="145"/>
      <x:c r="T244" s="145"/>
      <x:c r="U244" s="124"/>
      <x:c r="V244" s="124"/>
      <x:c r="W244" s="124"/>
      <x:c r="X244" s="124"/>
      <x:c r="Y244"/>
      <x:c r="Z244"/>
      <x:c r="AA244" s="116" t="str">
        <x:v>Net unit weight missing in 02. Order-level RFQ minimum: USD 100. Retail source: DHH exact FFX45-08-12W; direct each price; observed 2026-08-15; https://www.discounthydraulichose.com/FFX45-08-12W.html</x:v>
      </x:c>
      <x:c r="AB244" s="161" t="str">
        <x:v>Eligible</x:v>
      </x:c>
      <x:c r="AC244" s="161" t="str">
        <x:v>Pending</x:v>
      </x:c>
      <x:c r="AD244" t="str">
        <x:v>Units</x:v>
      </x:c>
      <x:c r="AE244" s="145"/>
      <x:c r="AF244" s="145"/>
      <x:c r="AG244" s="145"/>
      <x:c r="AH244" s="145"/>
      <x:c r="AI244" s="145"/>
      <x:c r="AJ244"/>
    </x:row>
    <x:row r="245" ht="30" customHeight="1">
      <x:c r="A245" s="138" t="str">
        <x:v>Draft</x:v>
      </x:c>
      <x:c r="B245" s="138" t="str">
        <x:v>Hose End</x:v>
      </x:c>
      <x:c r="C245" s="138" t="str">
        <x:v>ORFS45_F_SW_12_10</x:v>
      </x:c>
      <x:c r="D245" s="138" t="str">
        <x:v>ORFS45_F_SW_12_10</x:v>
      </x:c>
      <x:c r="E245" s="138" t="str">
        <x:v>EA</x:v>
      </x:c>
      <x:c r="F245" s="139"/>
      <x:c r="G245" s="141" t="n">
        <x:v>1</x:v>
      </x:c>
      <x:c r="H245" s="141" t="n">
        <x:v>1</x:v>
      </x:c>
      <x:c r="I245" s="143"/>
      <x:c r="J245" s="141" t="n">
        <x:v>10</x:v>
      </x:c>
      <x:c r="K245" s="138" t="str">
        <x:v>China</x:v>
      </x:c>
      <x:c r="L245" t="str">
        <x:v>USD</x:v>
      </x:c>
      <x:c r="M245" s="126"/>
      <x:c r="N245"/>
      <x:c r="O245"/>
      <x:c r="P245" s="145"/>
      <x:c r="Q245" s="126"/>
      <x:c r="R245" s="149" t="n">
        <x:v>51.87</x:v>
      </x:c>
      <x:c r="S245" s="145"/>
      <x:c r="T245" s="145"/>
      <x:c r="U245" s="124"/>
      <x:c r="V245" s="124"/>
      <x:c r="W245" s="124"/>
      <x:c r="X245" s="124"/>
      <x:c r="Y245"/>
      <x:c r="Z245"/>
      <x:c r="AA245" s="116" t="str">
        <x:v>Net unit weight missing in 02. Order-level RFQ minimum: USD 100. Retail source: DHH exact FFX45-10-12W; direct each price; observed 2026-08-15; https://www.discounthydraulichose.com/FFX45-10-12W.html</x:v>
      </x:c>
      <x:c r="AB245" s="161" t="str">
        <x:v>Eligible</x:v>
      </x:c>
      <x:c r="AC245" s="161" t="str">
        <x:v>Pending</x:v>
      </x:c>
      <x:c r="AD245" t="str">
        <x:v>Units</x:v>
      </x:c>
      <x:c r="AE245" s="145"/>
      <x:c r="AF245" s="145"/>
      <x:c r="AG245" s="145"/>
      <x:c r="AH245" s="145"/>
      <x:c r="AI245" s="145"/>
      <x:c r="AJ245"/>
    </x:row>
    <x:row r="246" ht="30" customHeight="1">
      <x:c r="A246" s="138" t="str">
        <x:v>Draft</x:v>
      </x:c>
      <x:c r="B246" s="138" t="str">
        <x:v>Hose End</x:v>
      </x:c>
      <x:c r="C246" s="138" t="str">
        <x:v>ORFS45_F_SW_12_12</x:v>
      </x:c>
      <x:c r="D246" s="138" t="str">
        <x:v>ORFS45_F_SW_12_12</x:v>
      </x:c>
      <x:c r="E246" s="138" t="str">
        <x:v>EA</x:v>
      </x:c>
      <x:c r="F246" s="139"/>
      <x:c r="G246" s="141" t="n">
        <x:v>1</x:v>
      </x:c>
      <x:c r="H246" s="141" t="n">
        <x:v>1</x:v>
      </x:c>
      <x:c r="I246" s="143"/>
      <x:c r="J246" s="141" t="n">
        <x:v>10</x:v>
      </x:c>
      <x:c r="K246" s="138" t="str">
        <x:v>China</x:v>
      </x:c>
      <x:c r="L246" t="str">
        <x:v>USD</x:v>
      </x:c>
      <x:c r="M246" s="126"/>
      <x:c r="N246"/>
      <x:c r="O246"/>
      <x:c r="P246" s="145"/>
      <x:c r="Q246" s="126"/>
      <x:c r="R246" s="149" t="n">
        <x:v>44.95</x:v>
      </x:c>
      <x:c r="S246" s="145"/>
      <x:c r="T246" s="145"/>
      <x:c r="U246" s="124"/>
      <x:c r="V246" s="124"/>
      <x:c r="W246" s="124"/>
      <x:c r="X246" s="124"/>
      <x:c r="Y246"/>
      <x:c r="Z246"/>
      <x:c r="AA246" s="116" t="str">
        <x:v>Net unit weight missing in 02. Order-level RFQ minimum: USD 100. Retail source: DHH exact FFX45-12-12W; direct each price; observed 2026-08-15; https://www.discounthydraulichose.com/FFX45-12-12W.html</x:v>
      </x:c>
      <x:c r="AB246" s="161" t="str">
        <x:v>Eligible</x:v>
      </x:c>
      <x:c r="AC246" s="161" t="str">
        <x:v>Pending</x:v>
      </x:c>
      <x:c r="AD246" t="str">
        <x:v>Units</x:v>
      </x:c>
      <x:c r="AE246" s="145"/>
      <x:c r="AF246" s="145"/>
      <x:c r="AG246" s="145"/>
      <x:c r="AH246" s="145"/>
      <x:c r="AI246" s="145"/>
      <x:c r="AJ246"/>
    </x:row>
    <x:row r="247" ht="30" customHeight="1">
      <x:c r="A247" s="138" t="str">
        <x:v>Draft</x:v>
      </x:c>
      <x:c r="B247" s="138" t="str">
        <x:v>Hose End</x:v>
      </x:c>
      <x:c r="C247" s="138" t="str">
        <x:v>ORFS45_F_SW_16_12</x:v>
      </x:c>
      <x:c r="D247" s="138" t="str">
        <x:v>ORFS45_F_SW_16_12</x:v>
      </x:c>
      <x:c r="E247" s="138" t="str">
        <x:v>EA</x:v>
      </x:c>
      <x:c r="F247" s="139"/>
      <x:c r="G247" s="141" t="n">
        <x:v>1</x:v>
      </x:c>
      <x:c r="H247" s="141" t="n">
        <x:v>1</x:v>
      </x:c>
      <x:c r="I247" s="143"/>
      <x:c r="J247" s="141" t="n">
        <x:v>10</x:v>
      </x:c>
      <x:c r="K247" s="138" t="str">
        <x:v>China</x:v>
      </x:c>
      <x:c r="L247" t="str">
        <x:v>USD</x:v>
      </x:c>
      <x:c r="M247" s="126"/>
      <x:c r="N247"/>
      <x:c r="O247"/>
      <x:c r="P247" s="145"/>
      <x:c r="Q247" s="126"/>
      <x:c r="R247" s="149" t="n">
        <x:v>59.54</x:v>
      </x:c>
      <x:c r="S247" s="145"/>
      <x:c r="T247" s="145"/>
      <x:c r="U247" s="124"/>
      <x:c r="V247" s="124"/>
      <x:c r="W247" s="124"/>
      <x:c r="X247" s="124"/>
      <x:c r="Y247"/>
      <x:c r="Z247"/>
      <x:c r="AA247" s="116" t="str">
        <x:v>Net unit weight missing in 02. Order-level RFQ minimum: USD 100. Retail source: DHH exact FFX45-12-16W; direct each price; observed 2026-08-15; https://www.discounthydraulichose.com/FFX45-12-16W.html</x:v>
      </x:c>
      <x:c r="AB247" s="161" t="str">
        <x:v>Eligible</x:v>
      </x:c>
      <x:c r="AC247" s="161" t="str">
        <x:v>Pending</x:v>
      </x:c>
      <x:c r="AD247" t="str">
        <x:v>Units</x:v>
      </x:c>
      <x:c r="AE247" s="145"/>
      <x:c r="AF247" s="145"/>
      <x:c r="AG247" s="145"/>
      <x:c r="AH247" s="145"/>
      <x:c r="AI247" s="145"/>
      <x:c r="AJ247"/>
    </x:row>
    <x:row r="248" ht="30" customHeight="1">
      <x:c r="A248" s="138" t="str">
        <x:v>Draft</x:v>
      </x:c>
      <x:c r="B248" s="138" t="str">
        <x:v>Hose End</x:v>
      </x:c>
      <x:c r="C248" s="138" t="str">
        <x:v>ORFS45_F_SW_16_16</x:v>
      </x:c>
      <x:c r="D248" s="138" t="str">
        <x:v>ORFS45_F_SW_16_16</x:v>
      </x:c>
      <x:c r="E248" s="138" t="str">
        <x:v>EA</x:v>
      </x:c>
      <x:c r="F248" s="139"/>
      <x:c r="G248" s="141" t="n">
        <x:v>1</x:v>
      </x:c>
      <x:c r="H248" s="141" t="n">
        <x:v>1</x:v>
      </x:c>
      <x:c r="I248" s="143"/>
      <x:c r="J248" s="141" t="n">
        <x:v>10</x:v>
      </x:c>
      <x:c r="K248" s="138" t="str">
        <x:v>China</x:v>
      </x:c>
      <x:c r="L248" t="str">
        <x:v>USD</x:v>
      </x:c>
      <x:c r="M248" s="126"/>
      <x:c r="N248"/>
      <x:c r="O248"/>
      <x:c r="P248" s="145"/>
      <x:c r="Q248" s="126"/>
      <x:c r="R248" s="149" t="n">
        <x:v>62.49</x:v>
      </x:c>
      <x:c r="S248" s="145"/>
      <x:c r="T248" s="145"/>
      <x:c r="U248" s="124"/>
      <x:c r="V248" s="124"/>
      <x:c r="W248" s="124"/>
      <x:c r="X248" s="124"/>
      <x:c r="Y248"/>
      <x:c r="Z248"/>
      <x:c r="AA248" s="116" t="str">
        <x:v>Net unit weight missing in 02. Order-level RFQ minimum: USD 100. Retail source: DHH exact FFX45-16-16W; direct each price; observed 2026-08-15; https://www.discounthydraulichose.com/FFX45-16-16W.html</x:v>
      </x:c>
      <x:c r="AB248" s="161" t="str">
        <x:v>Eligible</x:v>
      </x:c>
      <x:c r="AC248" s="161" t="str">
        <x:v>Pending</x:v>
      </x:c>
      <x:c r="AD248" t="str">
        <x:v>Units</x:v>
      </x:c>
      <x:c r="AE248" s="145"/>
      <x:c r="AF248" s="145"/>
      <x:c r="AG248" s="145"/>
      <x:c r="AH248" s="145"/>
      <x:c r="AI248" s="145"/>
      <x:c r="AJ248"/>
    </x:row>
    <x:row r="249" ht="30" customHeight="1">
      <x:c r="A249" s="138" t="str">
        <x:v>Draft</x:v>
      </x:c>
      <x:c r="B249" s="138" t="str">
        <x:v>Hose End</x:v>
      </x:c>
      <x:c r="C249" s="138" t="str">
        <x:v>ORFS45_F_SW_20_16</x:v>
      </x:c>
      <x:c r="D249" s="138" t="str">
        <x:v>ORFS45_F_SW_20_16</x:v>
      </x:c>
      <x:c r="E249" s="138" t="str">
        <x:v>EA</x:v>
      </x:c>
      <x:c r="F249" s="139"/>
      <x:c r="G249" s="141" t="n">
        <x:v>1</x:v>
      </x:c>
      <x:c r="H249" s="141" t="n">
        <x:v>1</x:v>
      </x:c>
      <x:c r="I249" s="143"/>
      <x:c r="J249" s="141" t="n">
        <x:v>10</x:v>
      </x:c>
      <x:c r="K249" s="138" t="str">
        <x:v>China</x:v>
      </x:c>
      <x:c r="L249" t="str">
        <x:v>USD</x:v>
      </x:c>
      <x:c r="M249" s="126"/>
      <x:c r="N249"/>
      <x:c r="O249"/>
      <x:c r="P249" s="145"/>
      <x:c r="Q249" s="126"/>
      <x:c r="R249" s="149" t="n">
        <x:v>90.82</x:v>
      </x:c>
      <x:c r="S249" s="145"/>
      <x:c r="T249" s="145"/>
      <x:c r="U249" s="124"/>
      <x:c r="V249" s="124"/>
      <x:c r="W249" s="124"/>
      <x:c r="X249" s="124"/>
      <x:c r="Y249"/>
      <x:c r="Z249"/>
      <x:c r="AA249" s="116" t="str">
        <x:v>Net unit weight missing in 02. Order-level RFQ minimum: USD 100. Retail source: DHH exact FFX45-16-20W; direct each price; observed 2026-08-15; https://www.discounthydraulichose.com/FFX45-16-20W.html</x:v>
      </x:c>
      <x:c r="AB249" s="161" t="str">
        <x:v>Eligible</x:v>
      </x:c>
      <x:c r="AC249" s="161" t="str">
        <x:v>Pending</x:v>
      </x:c>
      <x:c r="AD249" t="str">
        <x:v>Units</x:v>
      </x:c>
      <x:c r="AE249" s="145"/>
      <x:c r="AF249" s="145"/>
      <x:c r="AG249" s="145"/>
      <x:c r="AH249" s="145"/>
      <x:c r="AI249" s="145"/>
      <x:c r="AJ249"/>
    </x:row>
    <x:row r="250" ht="30" customHeight="1">
      <x:c r="A250" s="138" t="str">
        <x:v>Draft</x:v>
      </x:c>
      <x:c r="B250" s="138" t="str">
        <x:v>Hose End</x:v>
      </x:c>
      <x:c r="C250" s="138" t="str">
        <x:v>ORFS90_F_SW_04_04</x:v>
      </x:c>
      <x:c r="D250" s="138" t="str">
        <x:v>ORFS90_F_SW_04_04</x:v>
      </x:c>
      <x:c r="E250" s="138" t="str">
        <x:v>EA</x:v>
      </x:c>
      <x:c r="F250" s="139"/>
      <x:c r="G250" s="141" t="n">
        <x:v>1</x:v>
      </x:c>
      <x:c r="H250" s="141" t="n">
        <x:v>1</x:v>
      </x:c>
      <x:c r="I250" s="143"/>
      <x:c r="J250" s="141" t="n">
        <x:v>10</x:v>
      </x:c>
      <x:c r="K250" s="138" t="str">
        <x:v>China</x:v>
      </x:c>
      <x:c r="L250" t="str">
        <x:v>USD</x:v>
      </x:c>
      <x:c r="M250" s="126"/>
      <x:c r="N250"/>
      <x:c r="O250"/>
      <x:c r="P250" s="145"/>
      <x:c r="Q250" s="126"/>
      <x:c r="R250" s="149" t="n">
        <x:v>16.11</x:v>
      </x:c>
      <x:c r="S250" s="145"/>
      <x:c r="T250" s="145"/>
      <x:c r="U250" s="124"/>
      <x:c r="V250" s="124"/>
      <x:c r="W250" s="124"/>
      <x:c r="X250" s="124"/>
      <x:c r="Y250"/>
      <x:c r="Z250"/>
      <x:c r="AA250" s="116" t="str">
        <x:v>Net unit weight missing in 02. Order-level RFQ minimum: USD 100. Retail source: DHH exact FFX90-04-04W; direct each price; observed 2026-08-15; https://www.discounthydraulichose.com/FFX90-04-04W.html</x:v>
      </x:c>
      <x:c r="AB250" s="161" t="str">
        <x:v>Eligible</x:v>
      </x:c>
      <x:c r="AC250" s="161" t="str">
        <x:v>Pending</x:v>
      </x:c>
      <x:c r="AD250" t="str">
        <x:v>Units</x:v>
      </x:c>
      <x:c r="AE250" s="145"/>
      <x:c r="AF250" s="145"/>
      <x:c r="AG250" s="145"/>
      <x:c r="AH250" s="145"/>
      <x:c r="AI250" s="145"/>
      <x:c r="AJ250"/>
    </x:row>
    <x:row r="251" ht="30" customHeight="1">
      <x:c r="A251" s="138" t="str">
        <x:v>Draft</x:v>
      </x:c>
      <x:c r="B251" s="138" t="str">
        <x:v>Hose End</x:v>
      </x:c>
      <x:c r="C251" s="138" t="str">
        <x:v>ORFS90_F_SW_04_06</x:v>
      </x:c>
      <x:c r="D251" s="138" t="str">
        <x:v>ORFS90_F_SW_04_06</x:v>
      </x:c>
      <x:c r="E251" s="138" t="str">
        <x:v>EA</x:v>
      </x:c>
      <x:c r="F251" s="139"/>
      <x:c r="G251" s="141" t="n">
        <x:v>1</x:v>
      </x:c>
      <x:c r="H251" s="141" t="n">
        <x:v>1</x:v>
      </x:c>
      <x:c r="I251" s="143"/>
      <x:c r="J251" s="141" t="n">
        <x:v>10</x:v>
      </x:c>
      <x:c r="K251" s="138" t="str">
        <x:v>China</x:v>
      </x:c>
      <x:c r="L251" t="str">
        <x:v>USD</x:v>
      </x:c>
      <x:c r="M251" s="126"/>
      <x:c r="N251"/>
      <x:c r="O251"/>
      <x:c r="P251" s="145"/>
      <x:c r="Q251" s="126"/>
      <x:c r="R251" s="149" t="n">
        <x:v>46.51</x:v>
      </x:c>
      <x:c r="S251" s="145"/>
      <x:c r="T251" s="145"/>
      <x:c r="U251" s="124"/>
      <x:c r="V251" s="124"/>
      <x:c r="W251" s="124"/>
      <x:c r="X251" s="124"/>
      <x:c r="Y251"/>
      <x:c r="Z251"/>
      <x:c r="AA251" s="116" t="str">
        <x:v>Net unit weight missing in 02. Order-level RFQ minimum: USD 100. Retail source: DHH exact FFX90-06-04W; direct each price; observed 2026-08-15; https://www.discounthydraulichose.com/FFX90-06-04W.html</x:v>
      </x:c>
      <x:c r="AB251" s="161" t="str">
        <x:v>Eligible</x:v>
      </x:c>
      <x:c r="AC251" s="161" t="str">
        <x:v>Pending</x:v>
      </x:c>
      <x:c r="AD251" t="str">
        <x:v>Units</x:v>
      </x:c>
      <x:c r="AE251" s="145"/>
      <x:c r="AF251" s="145"/>
      <x:c r="AG251" s="145"/>
      <x:c r="AH251" s="145"/>
      <x:c r="AI251" s="145"/>
      <x:c r="AJ251"/>
    </x:row>
    <x:row r="252" ht="30" customHeight="1">
      <x:c r="A252" s="138" t="str">
        <x:v>Draft</x:v>
      </x:c>
      <x:c r="B252" s="138" t="str">
        <x:v>Hose End</x:v>
      </x:c>
      <x:c r="C252" s="138" t="str">
        <x:v>ORFS90_F_SW_06_04</x:v>
      </x:c>
      <x:c r="D252" s="138" t="str">
        <x:v>ORFS90_F_SW_06_04</x:v>
      </x:c>
      <x:c r="E252" s="138" t="str">
        <x:v>EA</x:v>
      </x:c>
      <x:c r="F252" s="139"/>
      <x:c r="G252" s="141" t="n">
        <x:v>1</x:v>
      </x:c>
      <x:c r="H252" s="141" t="n">
        <x:v>1</x:v>
      </x:c>
      <x:c r="I252" s="143"/>
      <x:c r="J252" s="141" t="n">
        <x:v>10</x:v>
      </x:c>
      <x:c r="K252" s="138" t="str">
        <x:v>China</x:v>
      </x:c>
      <x:c r="L252" t="str">
        <x:v>USD</x:v>
      </x:c>
      <x:c r="M252" s="126"/>
      <x:c r="N252"/>
      <x:c r="O252"/>
      <x:c r="P252" s="145"/>
      <x:c r="Q252" s="126"/>
      <x:c r="R252" s="149" t="n">
        <x:v>26.65</x:v>
      </x:c>
      <x:c r="S252" s="145"/>
      <x:c r="T252" s="145"/>
      <x:c r="U252" s="124"/>
      <x:c r="V252" s="124"/>
      <x:c r="W252" s="124"/>
      <x:c r="X252" s="124"/>
      <x:c r="Y252"/>
      <x:c r="Z252"/>
      <x:c r="AA252" s="116" t="str">
        <x:v>Net unit weight missing in 02. Order-level RFQ minimum: USD 100. Retail source: DHH exact FFX90-04-06W; direct each price; observed 2026-08-15; https://www.discounthydraulichose.com/FFX90-04-06W.html</x:v>
      </x:c>
      <x:c r="AB252" s="161" t="str">
        <x:v>Eligible</x:v>
      </x:c>
      <x:c r="AC252" s="161" t="str">
        <x:v>Pending</x:v>
      </x:c>
      <x:c r="AD252" t="str">
        <x:v>Units</x:v>
      </x:c>
      <x:c r="AE252" s="145"/>
      <x:c r="AF252" s="145"/>
      <x:c r="AG252" s="145"/>
      <x:c r="AH252" s="145"/>
      <x:c r="AI252" s="145"/>
      <x:c r="AJ252"/>
    </x:row>
    <x:row r="253" ht="30" customHeight="1">
      <x:c r="A253" s="138" t="str">
        <x:v>Draft</x:v>
      </x:c>
      <x:c r="B253" s="138" t="str">
        <x:v>Hose End</x:v>
      </x:c>
      <x:c r="C253" s="138" t="str">
        <x:v>ORFS90_F_SW_06_06</x:v>
      </x:c>
      <x:c r="D253" s="138" t="str">
        <x:v>ORFS90_F_SW_06_06</x:v>
      </x:c>
      <x:c r="E253" s="138" t="str">
        <x:v>EA</x:v>
      </x:c>
      <x:c r="F253" s="139"/>
      <x:c r="G253" s="141" t="n">
        <x:v>1</x:v>
      </x:c>
      <x:c r="H253" s="141" t="n">
        <x:v>1</x:v>
      </x:c>
      <x:c r="I253" s="143"/>
      <x:c r="J253" s="141" t="n">
        <x:v>10</x:v>
      </x:c>
      <x:c r="K253" s="138" t="str">
        <x:v>China</x:v>
      </x:c>
      <x:c r="L253" t="str">
        <x:v>USD</x:v>
      </x:c>
      <x:c r="M253" s="126"/>
      <x:c r="N253"/>
      <x:c r="O253"/>
      <x:c r="P253" s="145"/>
      <x:c r="Q253" s="126"/>
      <x:c r="R253" s="149" t="n">
        <x:v>16.76</x:v>
      </x:c>
      <x:c r="S253" s="145"/>
      <x:c r="T253" s="145"/>
      <x:c r="U253" s="124"/>
      <x:c r="V253" s="124"/>
      <x:c r="W253" s="124"/>
      <x:c r="X253" s="124"/>
      <x:c r="Y253"/>
      <x:c r="Z253"/>
      <x:c r="AA253" s="116" t="str">
        <x:v>Net unit weight missing in 02. Order-level RFQ minimum: USD 100. Retail source: DHH exact FFX90-06-06W; direct each price; observed 2026-08-15; https://www.discounthydraulichose.com/FFX90-06-06W.html</x:v>
      </x:c>
      <x:c r="AB253" s="161" t="str">
        <x:v>Eligible</x:v>
      </x:c>
      <x:c r="AC253" s="161" t="str">
        <x:v>Pending</x:v>
      </x:c>
      <x:c r="AD253" t="str">
        <x:v>Units</x:v>
      </x:c>
      <x:c r="AE253" s="145"/>
      <x:c r="AF253" s="145"/>
      <x:c r="AG253" s="145"/>
      <x:c r="AH253" s="145"/>
      <x:c r="AI253" s="145"/>
      <x:c r="AJ253"/>
    </x:row>
    <x:row r="254" ht="30" customHeight="1">
      <x:c r="A254" s="138" t="str">
        <x:v>Draft</x:v>
      </x:c>
      <x:c r="B254" s="138" t="str">
        <x:v>Hose End</x:v>
      </x:c>
      <x:c r="C254" s="138" t="str">
        <x:v>ORFS90_F_SW_08_04</x:v>
      </x:c>
      <x:c r="D254" s="138" t="str">
        <x:v>ORFS90_F_SW_08_04</x:v>
      </x:c>
      <x:c r="E254" s="138" t="str">
        <x:v>EA</x:v>
      </x:c>
      <x:c r="F254" s="139"/>
      <x:c r="G254" s="141" t="n">
        <x:v>1</x:v>
      </x:c>
      <x:c r="H254" s="141" t="n">
        <x:v>1</x:v>
      </x:c>
      <x:c r="I254" s="143"/>
      <x:c r="J254" s="141" t="n">
        <x:v>10</x:v>
      </x:c>
      <x:c r="K254" s="138" t="str">
        <x:v>China</x:v>
      </x:c>
      <x:c r="L254" t="str">
        <x:v>USD</x:v>
      </x:c>
      <x:c r="M254" s="126"/>
      <x:c r="N254"/>
      <x:c r="O254"/>
      <x:c r="P254" s="145"/>
      <x:c r="Q254" s="126"/>
      <x:c r="R254" s="149" t="n">
        <x:v>26.68</x:v>
      </x:c>
      <x:c r="S254" s="145"/>
      <x:c r="T254" s="145"/>
      <x:c r="U254" s="124"/>
      <x:c r="V254" s="124"/>
      <x:c r="W254" s="124"/>
      <x:c r="X254" s="124"/>
      <x:c r="Y254"/>
      <x:c r="Z254"/>
      <x:c r="AA254" s="116" t="str">
        <x:v>Net unit weight missing in 02. Order-level RFQ minimum: USD 100. Retail source: DHH exact FFX90-04-08W; direct each price; observed 2026-08-15; https://www.discounthydraulichose.com/FFX90-04-08W.html</x:v>
      </x:c>
      <x:c r="AB254" s="161" t="str">
        <x:v>Eligible</x:v>
      </x:c>
      <x:c r="AC254" s="161" t="str">
        <x:v>Pending</x:v>
      </x:c>
      <x:c r="AD254" t="str">
        <x:v>Units</x:v>
      </x:c>
      <x:c r="AE254" s="145"/>
      <x:c r="AF254" s="145"/>
      <x:c r="AG254" s="145"/>
      <x:c r="AH254" s="145"/>
      <x:c r="AI254" s="145"/>
      <x:c r="AJ254"/>
    </x:row>
    <x:row r="255" ht="30" customHeight="1">
      <x:c r="A255" s="138" t="str">
        <x:v>Draft</x:v>
      </x:c>
      <x:c r="B255" s="138" t="str">
        <x:v>Hose End</x:v>
      </x:c>
      <x:c r="C255" s="138" t="str">
        <x:v>ORFS90_F_SW_08_06</x:v>
      </x:c>
      <x:c r="D255" s="138" t="str">
        <x:v>ORFS90_F_SW_08_06</x:v>
      </x:c>
      <x:c r="E255" s="138" t="str">
        <x:v>EA</x:v>
      </x:c>
      <x:c r="F255" s="139"/>
      <x:c r="G255" s="141" t="n">
        <x:v>1</x:v>
      </x:c>
      <x:c r="H255" s="141" t="n">
        <x:v>1</x:v>
      </x:c>
      <x:c r="I255" s="143"/>
      <x:c r="J255" s="141" t="n">
        <x:v>10</x:v>
      </x:c>
      <x:c r="K255" s="138" t="str">
        <x:v>China</x:v>
      </x:c>
      <x:c r="L255" t="str">
        <x:v>USD</x:v>
      </x:c>
      <x:c r="M255" s="126"/>
      <x:c r="N255"/>
      <x:c r="O255"/>
      <x:c r="P255" s="145"/>
      <x:c r="Q255" s="126"/>
      <x:c r="R255" s="149" t="n">
        <x:v>22.35</x:v>
      </x:c>
      <x:c r="S255" s="145"/>
      <x:c r="T255" s="145"/>
      <x:c r="U255" s="124"/>
      <x:c r="V255" s="124"/>
      <x:c r="W255" s="124"/>
      <x:c r="X255" s="124"/>
      <x:c r="Y255"/>
      <x:c r="Z255"/>
      <x:c r="AA255" s="116" t="str">
        <x:v>Net unit weight missing in 02. Order-level RFQ minimum: USD 100. Retail source: DHH exact FFX90-06-08W; direct each price; observed 2026-08-15; https://www.discounthydraulichose.com/FFX90-06-08W.html</x:v>
      </x:c>
      <x:c r="AB255" s="161" t="str">
        <x:v>Eligible</x:v>
      </x:c>
      <x:c r="AC255" s="161" t="str">
        <x:v>Pending</x:v>
      </x:c>
      <x:c r="AD255" t="str">
        <x:v>Units</x:v>
      </x:c>
      <x:c r="AE255" s="145"/>
      <x:c r="AF255" s="145"/>
      <x:c r="AG255" s="145"/>
      <x:c r="AH255" s="145"/>
      <x:c r="AI255" s="145"/>
      <x:c r="AJ255"/>
    </x:row>
    <x:row r="256" ht="30" customHeight="1">
      <x:c r="A256" s="138" t="str">
        <x:v>Draft</x:v>
      </x:c>
      <x:c r="B256" s="138" t="str">
        <x:v>Hose End</x:v>
      </x:c>
      <x:c r="C256" s="138" t="str">
        <x:v>ORFS90_F_SW_08_08</x:v>
      </x:c>
      <x:c r="D256" s="138" t="str">
        <x:v>ORFS90_F_SW_08_08</x:v>
      </x:c>
      <x:c r="E256" s="138" t="str">
        <x:v>EA</x:v>
      </x:c>
      <x:c r="F256" s="139"/>
      <x:c r="G256" s="141" t="n">
        <x:v>1</x:v>
      </x:c>
      <x:c r="H256" s="141" t="n">
        <x:v>1</x:v>
      </x:c>
      <x:c r="I256" s="143"/>
      <x:c r="J256" s="141" t="n">
        <x:v>10</x:v>
      </x:c>
      <x:c r="K256" s="138" t="str">
        <x:v>China</x:v>
      </x:c>
      <x:c r="L256" t="str">
        <x:v>USD</x:v>
      </x:c>
      <x:c r="M256" s="126"/>
      <x:c r="N256"/>
      <x:c r="O256"/>
      <x:c r="P256" s="145"/>
      <x:c r="Q256" s="126"/>
      <x:c r="R256" s="149" t="n">
        <x:v>18.87</x:v>
      </x:c>
      <x:c r="S256" s="145"/>
      <x:c r="T256" s="145"/>
      <x:c r="U256" s="124"/>
      <x:c r="V256" s="124"/>
      <x:c r="W256" s="124"/>
      <x:c r="X256" s="124"/>
      <x:c r="Y256"/>
      <x:c r="Z256"/>
      <x:c r="AA256" s="116" t="str">
        <x:v>Net unit weight missing in 02. Order-level RFQ minimum: USD 100. Retail source: DHH exact FFX90-08-08W; direct each price; observed 2026-08-15; https://www.discounthydraulichose.com/FFX90-08-08W.html</x:v>
      </x:c>
      <x:c r="AB256" s="161" t="str">
        <x:v>Eligible</x:v>
      </x:c>
      <x:c r="AC256" s="161" t="str">
        <x:v>Pending</x:v>
      </x:c>
      <x:c r="AD256" t="str">
        <x:v>Units</x:v>
      </x:c>
      <x:c r="AE256" s="145"/>
      <x:c r="AF256" s="145"/>
      <x:c r="AG256" s="145"/>
      <x:c r="AH256" s="145"/>
      <x:c r="AI256" s="145"/>
      <x:c r="AJ256"/>
    </x:row>
    <x:row r="257" ht="30" customHeight="1">
      <x:c r="A257" s="138" t="str">
        <x:v>Draft</x:v>
      </x:c>
      <x:c r="B257" s="138" t="str">
        <x:v>Hose End</x:v>
      </x:c>
      <x:c r="C257" s="138" t="str">
        <x:v>ORFS90_F_SW_08_10</x:v>
      </x:c>
      <x:c r="D257" s="138" t="str">
        <x:v>ORFS90_F_SW_08_10</x:v>
      </x:c>
      <x:c r="E257" s="138" t="str">
        <x:v>EA</x:v>
      </x:c>
      <x:c r="F257" s="139"/>
      <x:c r="G257" s="141" t="n">
        <x:v>1</x:v>
      </x:c>
      <x:c r="H257" s="141" t="n">
        <x:v>1</x:v>
      </x:c>
      <x:c r="I257" s="143"/>
      <x:c r="J257" s="141" t="n">
        <x:v>10</x:v>
      </x:c>
      <x:c r="K257" s="138" t="str">
        <x:v>China</x:v>
      </x:c>
      <x:c r="L257" t="str">
        <x:v>USD</x:v>
      </x:c>
      <x:c r="M257" s="126"/>
      <x:c r="N257"/>
      <x:c r="O257"/>
      <x:c r="P257" s="145"/>
      <x:c r="Q257" s="126"/>
      <x:c r="R257" s="149" t="n">
        <x:v>31.91</x:v>
      </x:c>
      <x:c r="S257" s="145"/>
      <x:c r="T257" s="145"/>
      <x:c r="U257" s="124"/>
      <x:c r="V257" s="124"/>
      <x:c r="W257" s="124"/>
      <x:c r="X257" s="124"/>
      <x:c r="Y257"/>
      <x:c r="Z257"/>
      <x:c r="AA257" s="116" t="str">
        <x:v>Net unit weight missing in 02. Order-level RFQ minimum: USD 100. Retail source: DHH exact FFX90-10-08W; direct each price; observed 2026-08-15; https://www.discounthydraulichose.com/FFX90-10-08W.html</x:v>
      </x:c>
      <x:c r="AB257" s="161" t="str">
        <x:v>Eligible</x:v>
      </x:c>
      <x:c r="AC257" s="161" t="str">
        <x:v>Pending</x:v>
      </x:c>
      <x:c r="AD257" t="str">
        <x:v>Units</x:v>
      </x:c>
      <x:c r="AE257" s="145"/>
      <x:c r="AF257" s="145"/>
      <x:c r="AG257" s="145"/>
      <x:c r="AH257" s="145"/>
      <x:c r="AI257" s="145"/>
      <x:c r="AJ257"/>
    </x:row>
    <x:row r="258" ht="30" customHeight="1">
      <x:c r="A258" s="138" t="str">
        <x:v>Draft</x:v>
      </x:c>
      <x:c r="B258" s="138" t="str">
        <x:v>Hose End</x:v>
      </x:c>
      <x:c r="C258" s="138" t="str">
        <x:v>ORFS90_F_SW_10_08</x:v>
      </x:c>
      <x:c r="D258" s="138" t="str">
        <x:v>ORFS90_F_SW_10_08</x:v>
      </x:c>
      <x:c r="E258" s="138" t="str">
        <x:v>EA</x:v>
      </x:c>
      <x:c r="F258" s="139"/>
      <x:c r="G258" s="141" t="n">
        <x:v>1</x:v>
      </x:c>
      <x:c r="H258" s="141" t="n">
        <x:v>1</x:v>
      </x:c>
      <x:c r="I258" s="143"/>
      <x:c r="J258" s="141" t="n">
        <x:v>10</x:v>
      </x:c>
      <x:c r="K258" s="138" t="str">
        <x:v>China</x:v>
      </x:c>
      <x:c r="L258" t="str">
        <x:v>USD</x:v>
      </x:c>
      <x:c r="M258" s="126"/>
      <x:c r="N258"/>
      <x:c r="O258"/>
      <x:c r="P258" s="145"/>
      <x:c r="Q258" s="126"/>
      <x:c r="R258" s="149" t="n">
        <x:v>20.8</x:v>
      </x:c>
      <x:c r="S258" s="145"/>
      <x:c r="T258" s="145"/>
      <x:c r="U258" s="124"/>
      <x:c r="V258" s="124"/>
      <x:c r="W258" s="124"/>
      <x:c r="X258" s="124"/>
      <x:c r="Y258"/>
      <x:c r="Z258"/>
      <x:c r="AA258" s="116" t="str">
        <x:v>Net unit weight missing in 02. Order-level RFQ minimum: USD 100. Retail source: DHH exact FFX90-08-10W; direct each price; observed 2026-08-15; https://www.discounthydraulichose.com/FFX90-08-10W.html</x:v>
      </x:c>
      <x:c r="AB258" s="161" t="str">
        <x:v>Eligible</x:v>
      </x:c>
      <x:c r="AC258" s="161" t="str">
        <x:v>Pending</x:v>
      </x:c>
      <x:c r="AD258" t="str">
        <x:v>Units</x:v>
      </x:c>
      <x:c r="AE258" s="145"/>
      <x:c r="AF258" s="145"/>
      <x:c r="AG258" s="145"/>
      <x:c r="AH258" s="145"/>
      <x:c r="AI258" s="145"/>
      <x:c r="AJ258"/>
    </x:row>
    <x:row r="259" ht="30" customHeight="1">
      <x:c r="A259" s="138" t="str">
        <x:v>Draft</x:v>
      </x:c>
      <x:c r="B259" s="138" t="str">
        <x:v>Hose End</x:v>
      </x:c>
      <x:c r="C259" s="138" t="str">
        <x:v>ORFS90_F_SW_10_10</x:v>
      </x:c>
      <x:c r="D259" s="138" t="str">
        <x:v>ORFS90_F_SW_10_10</x:v>
      </x:c>
      <x:c r="E259" s="138" t="str">
        <x:v>EA</x:v>
      </x:c>
      <x:c r="F259" s="139"/>
      <x:c r="G259" s="141" t="n">
        <x:v>1</x:v>
      </x:c>
      <x:c r="H259" s="141" t="n">
        <x:v>1</x:v>
      </x:c>
      <x:c r="I259" s="143"/>
      <x:c r="J259" s="141" t="n">
        <x:v>10</x:v>
      </x:c>
      <x:c r="K259" s="138" t="str">
        <x:v>China</x:v>
      </x:c>
      <x:c r="L259" t="str">
        <x:v>USD</x:v>
      </x:c>
      <x:c r="M259" s="126"/>
      <x:c r="N259"/>
      <x:c r="O259"/>
      <x:c r="P259" s="145"/>
      <x:c r="Q259" s="126"/>
      <x:c r="R259" s="149" t="n">
        <x:v>24.37</x:v>
      </x:c>
      <x:c r="S259" s="145"/>
      <x:c r="T259" s="145"/>
      <x:c r="U259" s="124"/>
      <x:c r="V259" s="124"/>
      <x:c r="W259" s="124"/>
      <x:c r="X259" s="124"/>
      <x:c r="Y259"/>
      <x:c r="Z259"/>
      <x:c r="AA259" s="116" t="str">
        <x:v>Net unit weight missing in 02. Order-level RFQ minimum: USD 100. Retail source: DHH exact FFX90-10-10W; direct each price; observed 2026-08-15; https://www.discounthydraulichose.com/FFX90-10-10W.html</x:v>
      </x:c>
      <x:c r="AB259" s="161" t="str">
        <x:v>Eligible</x:v>
      </x:c>
      <x:c r="AC259" s="161" t="str">
        <x:v>Pending</x:v>
      </x:c>
      <x:c r="AD259" t="str">
        <x:v>Units</x:v>
      </x:c>
      <x:c r="AE259" s="145"/>
      <x:c r="AF259" s="145"/>
      <x:c r="AG259" s="145"/>
      <x:c r="AH259" s="145"/>
      <x:c r="AI259" s="145"/>
      <x:c r="AJ259"/>
    </x:row>
    <x:row r="260" ht="30" customHeight="1">
      <x:c r="A260" s="138" t="str">
        <x:v>Draft</x:v>
      </x:c>
      <x:c r="B260" s="138" t="str">
        <x:v>Hose End</x:v>
      </x:c>
      <x:c r="C260" s="138" t="str">
        <x:v>ORFS90_F_SW_10_12</x:v>
      </x:c>
      <x:c r="D260" s="138" t="str">
        <x:v>ORFS90_F_SW_10_12</x:v>
      </x:c>
      <x:c r="E260" s="138" t="str">
        <x:v>EA</x:v>
      </x:c>
      <x:c r="F260" s="139"/>
      <x:c r="G260" s="141" t="n">
        <x:v>1</x:v>
      </x:c>
      <x:c r="H260" s="141" t="n">
        <x:v>1</x:v>
      </x:c>
      <x:c r="I260" s="143"/>
      <x:c r="J260" s="141" t="n">
        <x:v>10</x:v>
      </x:c>
      <x:c r="K260" s="138" t="str">
        <x:v>China</x:v>
      </x:c>
      <x:c r="L260" t="str">
        <x:v>USD</x:v>
      </x:c>
      <x:c r="M260" s="126"/>
      <x:c r="N260"/>
      <x:c r="O260"/>
      <x:c r="P260" s="145"/>
      <x:c r="Q260" s="126"/>
      <x:c r="R260" s="149" t="n">
        <x:v>57.57</x:v>
      </x:c>
      <x:c r="S260" s="145"/>
      <x:c r="T260" s="145"/>
      <x:c r="U260" s="124"/>
      <x:c r="V260" s="124"/>
      <x:c r="W260" s="124"/>
      <x:c r="X260" s="124"/>
      <x:c r="Y260"/>
      <x:c r="Z260"/>
      <x:c r="AA260" s="116" t="str">
        <x:v>Net unit weight missing in 02. Order-level RFQ minimum: USD 100. Retail source: DHH exact FFX90-12-10W; direct each price; observed 2026-08-15; https://www.discounthydraulichose.com/FFX90-12-10W.html</x:v>
      </x:c>
      <x:c r="AB260" s="161" t="str">
        <x:v>Eligible</x:v>
      </x:c>
      <x:c r="AC260" s="161" t="str">
        <x:v>Pending</x:v>
      </x:c>
      <x:c r="AD260" t="str">
        <x:v>Units</x:v>
      </x:c>
      <x:c r="AE260" s="145"/>
      <x:c r="AF260" s="145"/>
      <x:c r="AG260" s="145"/>
      <x:c r="AH260" s="145"/>
      <x:c r="AI260" s="145"/>
      <x:c r="AJ260"/>
    </x:row>
    <x:row r="261" ht="30" customHeight="1">
      <x:c r="A261" s="138" t="str">
        <x:v>Draft</x:v>
      </x:c>
      <x:c r="B261" s="138" t="str">
        <x:v>Hose End</x:v>
      </x:c>
      <x:c r="C261" s="138" t="str">
        <x:v>ORFS90_F_SW_12_08</x:v>
      </x:c>
      <x:c r="D261" s="138" t="str">
        <x:v>ORFS90_F_SW_12_08</x:v>
      </x:c>
      <x:c r="E261" s="138" t="str">
        <x:v>EA</x:v>
      </x:c>
      <x:c r="F261" s="139"/>
      <x:c r="G261" s="141" t="n">
        <x:v>1</x:v>
      </x:c>
      <x:c r="H261" s="141" t="n">
        <x:v>1</x:v>
      </x:c>
      <x:c r="I261" s="143"/>
      <x:c r="J261" s="141" t="n">
        <x:v>10</x:v>
      </x:c>
      <x:c r="K261" s="138" t="str">
        <x:v>China</x:v>
      </x:c>
      <x:c r="L261" t="str">
        <x:v>USD</x:v>
      </x:c>
      <x:c r="M261" s="126"/>
      <x:c r="N261"/>
      <x:c r="O261"/>
      <x:c r="P261" s="145"/>
      <x:c r="Q261" s="126"/>
      <x:c r="R261" s="149" t="n">
        <x:v>48.18</x:v>
      </x:c>
      <x:c r="S261" s="145"/>
      <x:c r="T261" s="145"/>
      <x:c r="U261" s="124"/>
      <x:c r="V261" s="124"/>
      <x:c r="W261" s="124"/>
      <x:c r="X261" s="124"/>
      <x:c r="Y261"/>
      <x:c r="Z261"/>
      <x:c r="AA261" s="116" t="str">
        <x:v>Net unit weight missing in 02. Order-level RFQ minimum: USD 100. Retail source: DHH exact FFX90-08-12W; direct each price; observed 2026-08-15; https://www.discounthydraulichose.com/FFX90-08-12W.html</x:v>
      </x:c>
      <x:c r="AB261" s="161" t="str">
        <x:v>Eligible</x:v>
      </x:c>
      <x:c r="AC261" s="161" t="str">
        <x:v>Pending</x:v>
      </x:c>
      <x:c r="AD261" t="str">
        <x:v>Units</x:v>
      </x:c>
      <x:c r="AE261" s="145"/>
      <x:c r="AF261" s="145"/>
      <x:c r="AG261" s="145"/>
      <x:c r="AH261" s="145"/>
      <x:c r="AI261" s="145"/>
      <x:c r="AJ261"/>
    </x:row>
    <x:row r="262" ht="30" customHeight="1">
      <x:c r="A262" s="138" t="str">
        <x:v>Draft</x:v>
      </x:c>
      <x:c r="B262" s="138" t="str">
        <x:v>Hose End</x:v>
      </x:c>
      <x:c r="C262" s="138" t="str">
        <x:v>ORFS90_F_SW_12_12</x:v>
      </x:c>
      <x:c r="D262" s="138" t="str">
        <x:v>ORFS90_F_SW_12_12</x:v>
      </x:c>
      <x:c r="E262" s="138" t="str">
        <x:v>EA</x:v>
      </x:c>
      <x:c r="F262" s="139"/>
      <x:c r="G262" s="141" t="n">
        <x:v>1</x:v>
      </x:c>
      <x:c r="H262" s="141" t="n">
        <x:v>1</x:v>
      </x:c>
      <x:c r="I262" s="143"/>
      <x:c r="J262" s="141" t="n">
        <x:v>10</x:v>
      </x:c>
      <x:c r="K262" s="138" t="str">
        <x:v>China</x:v>
      </x:c>
      <x:c r="L262" t="str">
        <x:v>USD</x:v>
      </x:c>
      <x:c r="M262" s="126"/>
      <x:c r="N262"/>
      <x:c r="O262"/>
      <x:c r="P262" s="145"/>
      <x:c r="Q262" s="126"/>
      <x:c r="R262" s="149" t="n">
        <x:v>46.41</x:v>
      </x:c>
      <x:c r="S262" s="145"/>
      <x:c r="T262" s="145"/>
      <x:c r="U262" s="124"/>
      <x:c r="V262" s="124"/>
      <x:c r="W262" s="124"/>
      <x:c r="X262" s="124"/>
      <x:c r="Y262"/>
      <x:c r="Z262"/>
      <x:c r="AA262" s="116" t="str">
        <x:v>Net unit weight missing in 02. Order-level RFQ minimum: USD 100. Retail source: DHH exact FFX90-12-12W; direct each price; observed 2026-08-15; https://www.discounthydraulichose.com/FFX90-12-12W.html</x:v>
      </x:c>
      <x:c r="AB262" s="161" t="str">
        <x:v>Eligible</x:v>
      </x:c>
      <x:c r="AC262" s="161" t="str">
        <x:v>Pending</x:v>
      </x:c>
      <x:c r="AD262" t="str">
        <x:v>Units</x:v>
      </x:c>
      <x:c r="AE262" s="145"/>
      <x:c r="AF262" s="145"/>
      <x:c r="AG262" s="145"/>
      <x:c r="AH262" s="145"/>
      <x:c r="AI262" s="145"/>
      <x:c r="AJ262"/>
    </x:row>
    <x:row r="263" ht="30" customHeight="1">
      <x:c r="A263" s="138" t="str">
        <x:v>Draft</x:v>
      </x:c>
      <x:c r="B263" s="138" t="str">
        <x:v>Hose End</x:v>
      </x:c>
      <x:c r="C263" s="138" t="str">
        <x:v>ORFS90_F_SW_16_12</x:v>
      </x:c>
      <x:c r="D263" s="138" t="str">
        <x:v>ORFS90_F_SW_16_12</x:v>
      </x:c>
      <x:c r="E263" s="138" t="str">
        <x:v>EA</x:v>
      </x:c>
      <x:c r="F263" s="139"/>
      <x:c r="G263" s="141" t="n">
        <x:v>1</x:v>
      </x:c>
      <x:c r="H263" s="141" t="n">
        <x:v>1</x:v>
      </x:c>
      <x:c r="I263" s="143"/>
      <x:c r="J263" s="141" t="n">
        <x:v>10</x:v>
      </x:c>
      <x:c r="K263" s="138" t="str">
        <x:v>China</x:v>
      </x:c>
      <x:c r="L263" t="str">
        <x:v>USD</x:v>
      </x:c>
      <x:c r="M263" s="126"/>
      <x:c r="N263"/>
      <x:c r="O263"/>
      <x:c r="P263" s="145"/>
      <x:c r="Q263" s="126"/>
      <x:c r="R263" s="149" t="n">
        <x:v>79.09</x:v>
      </x:c>
      <x:c r="S263" s="145"/>
      <x:c r="T263" s="145"/>
      <x:c r="U263" s="124"/>
      <x:c r="V263" s="124"/>
      <x:c r="W263" s="124"/>
      <x:c r="X263" s="124"/>
      <x:c r="Y263"/>
      <x:c r="Z263"/>
      <x:c r="AA263" s="116" t="str">
        <x:v>Net unit weight missing in 02. Order-level RFQ minimum: USD 100. Retail source: DHH exact FFX90-12-16W; direct each price; observed 2026-08-15; https://www.discounthydraulichose.com/FFX90-12-16W.html</x:v>
      </x:c>
      <x:c r="AB263" s="161" t="str">
        <x:v>Eligible</x:v>
      </x:c>
      <x:c r="AC263" s="161" t="str">
        <x:v>Pending</x:v>
      </x:c>
      <x:c r="AD263" t="str">
        <x:v>Units</x:v>
      </x:c>
      <x:c r="AE263" s="145"/>
      <x:c r="AF263" s="145"/>
      <x:c r="AG263" s="145"/>
      <x:c r="AH263" s="145"/>
      <x:c r="AI263" s="145"/>
      <x:c r="AJ263"/>
    </x:row>
    <x:row r="264" ht="30" customHeight="1">
      <x:c r="A264" s="138" t="str">
        <x:v>Draft</x:v>
      </x:c>
      <x:c r="B264" s="138" t="str">
        <x:v>Hose End</x:v>
      </x:c>
      <x:c r="C264" s="138" t="str">
        <x:v>ORFS90_F_SW_16_16</x:v>
      </x:c>
      <x:c r="D264" s="138" t="str">
        <x:v>ORFS90_F_SW_16_16</x:v>
      </x:c>
      <x:c r="E264" s="138" t="str">
        <x:v>EA</x:v>
      </x:c>
      <x:c r="F264" s="139"/>
      <x:c r="G264" s="141" t="n">
        <x:v>1</x:v>
      </x:c>
      <x:c r="H264" s="141" t="n">
        <x:v>1</x:v>
      </x:c>
      <x:c r="I264" s="143"/>
      <x:c r="J264" s="141" t="n">
        <x:v>10</x:v>
      </x:c>
      <x:c r="K264" s="138" t="str">
        <x:v>China</x:v>
      </x:c>
      <x:c r="L264" t="str">
        <x:v>USD</x:v>
      </x:c>
      <x:c r="M264" s="126"/>
      <x:c r="N264"/>
      <x:c r="O264"/>
      <x:c r="P264" s="145"/>
      <x:c r="Q264" s="126"/>
      <x:c r="R264" s="149" t="n">
        <x:v>63.75</x:v>
      </x:c>
      <x:c r="S264" s="145"/>
      <x:c r="T264" s="145"/>
      <x:c r="U264" s="124"/>
      <x:c r="V264" s="124"/>
      <x:c r="W264" s="124"/>
      <x:c r="X264" s="124"/>
      <x:c r="Y264"/>
      <x:c r="Z264"/>
      <x:c r="AA264" s="116" t="str">
        <x:v>Net unit weight missing in 02. Order-level RFQ minimum: USD 100. Retail source: DHH exact FFX90-16-16W; direct each price; observed 2026-08-15; https://www.discounthydraulichose.com/FFX90-16-16W.html</x:v>
      </x:c>
      <x:c r="AB264" s="161" t="str">
        <x:v>Eligible</x:v>
      </x:c>
      <x:c r="AC264" s="161" t="str">
        <x:v>Pending</x:v>
      </x:c>
      <x:c r="AD264" t="str">
        <x:v>Units</x:v>
      </x:c>
      <x:c r="AE264" s="145"/>
      <x:c r="AF264" s="145"/>
      <x:c r="AG264" s="145"/>
      <x:c r="AH264" s="145"/>
      <x:c r="AI264" s="145"/>
      <x:c r="AJ264"/>
    </x:row>
    <x:row r="265" ht="30" customHeight="1">
      <x:c r="A265" s="138" t="str">
        <x:v>Draft</x:v>
      </x:c>
      <x:c r="B265" s="138" t="str">
        <x:v>Hose End</x:v>
      </x:c>
      <x:c r="C265" s="138" t="str">
        <x:v>ORFS90_F_SW_20_16</x:v>
      </x:c>
      <x:c r="D265" s="138" t="str">
        <x:v>ORFS90_F_SW_20_16</x:v>
      </x:c>
      <x:c r="E265" s="138" t="str">
        <x:v>EA</x:v>
      </x:c>
      <x:c r="F265" s="139"/>
      <x:c r="G265" s="141" t="n">
        <x:v>1</x:v>
      </x:c>
      <x:c r="H265" s="141" t="n">
        <x:v>1</x:v>
      </x:c>
      <x:c r="I265" s="143"/>
      <x:c r="J265" s="141" t="n">
        <x:v>10</x:v>
      </x:c>
      <x:c r="K265" s="138" t="str">
        <x:v>China</x:v>
      </x:c>
      <x:c r="L265" t="str">
        <x:v>USD</x:v>
      </x:c>
      <x:c r="M265" s="126"/>
      <x:c r="N265"/>
      <x:c r="O265"/>
      <x:c r="P265" s="145"/>
      <x:c r="Q265" s="126"/>
      <x:c r="R265" s="149" t="n">
        <x:v>105.41</x:v>
      </x:c>
      <x:c r="S265" s="145"/>
      <x:c r="T265" s="145"/>
      <x:c r="U265" s="124"/>
      <x:c r="V265" s="124"/>
      <x:c r="W265" s="124"/>
      <x:c r="X265" s="124"/>
      <x:c r="Y265"/>
      <x:c r="Z265"/>
      <x:c r="AA265" s="116" t="str">
        <x:v>Net unit weight missing in 02. Order-level RFQ minimum: USD 100. Retail source: DHH exact FFX90-16-20W; direct each price; observed 2026-08-15; https://www.discounthydraulichose.com/FFX90-16-20W.html</x:v>
      </x:c>
      <x:c r="AB265" s="161" t="str">
        <x:v>Eligible</x:v>
      </x:c>
      <x:c r="AC265" s="161" t="str">
        <x:v>Pending</x:v>
      </x:c>
      <x:c r="AD265" t="str">
        <x:v>Units</x:v>
      </x:c>
      <x:c r="AE265" s="145"/>
      <x:c r="AF265" s="145"/>
      <x:c r="AG265" s="145"/>
      <x:c r="AH265" s="145"/>
      <x:c r="AI265" s="145"/>
      <x:c r="AJ265"/>
    </x:row>
    <x:row r="266" ht="30" customHeight="1">
      <x:c r="A266" s="138" t="str">
        <x:v>Draft</x:v>
      </x:c>
      <x:c r="B266" s="138" t="str">
        <x:v>Ferrule</x:v>
      </x:c>
      <x:c r="C266" s="138" t="str">
        <x:v>601R1_1WB_001</x:v>
      </x:c>
      <x:c r="D266" s="138" t="str">
        <x:v>601R1_1WB_001</x:v>
      </x:c>
      <x:c r="E266" s="138" t="str">
        <x:v>EA</x:v>
      </x:c>
      <x:c r="F266" s="139"/>
      <x:c r="G266" s="141" t="n">
        <x:v>1</x:v>
      </x:c>
      <x:c r="H266" s="141" t="n">
        <x:v>1</x:v>
      </x:c>
      <x:c r="I266" s="143"/>
      <x:c r="J266" s="141" t="n">
        <x:v>10</x:v>
      </x:c>
      <x:c r="K266" s="138" t="str">
        <x:v>China</x:v>
      </x:c>
      <x:c r="L266" t="str">
        <x:v>USD</x:v>
      </x:c>
      <x:c r="M266" s="126"/>
      <x:c r="N266"/>
      <x:c r="O266"/>
      <x:c r="P266" s="145"/>
      <x:c r="Q266" s="126"/>
      <x:c r="R266" s="149" t="n">
        <x:v>5.13</x:v>
      </x:c>
      <x:c r="S266" s="145"/>
      <x:c r="T266" s="145"/>
      <x:c r="U266" s="124"/>
      <x:c r="V266" s="124"/>
      <x:c r="W266" s="124"/>
      <x:c r="X266" s="124"/>
      <x:c r="Y266"/>
      <x:c r="Z266"/>
      <x:c r="AA266" s="116" t="str">
        <x:v>Net unit weight is not supplied in 03. Order-level RFQ minimum: USD 100. Retail estimate: 35% of median same-tail-size DHH hose-end retail; analog basis MP-04-08W; observed 2026-08-15; https://www.discounthydraulichose.com/MP-04-08W.html</x:v>
      </x:c>
      <x:c r="AB266" s="161" t="str">
        <x:v>Eligible</x:v>
      </x:c>
      <x:c r="AC266" s="161" t="str">
        <x:v>Pending</x:v>
      </x:c>
      <x:c r="AD266" t="str">
        <x:v>Units</x:v>
      </x:c>
      <x:c r="AE266" s="145"/>
      <x:c r="AF266" s="145"/>
      <x:c r="AG266" s="145"/>
      <x:c r="AH266" s="145"/>
      <x:c r="AI266" s="145"/>
      <x:c r="AJ266"/>
    </x:row>
    <x:row r="267" ht="30" customHeight="1">
      <x:c r="A267" s="138" t="str">
        <x:v>Draft</x:v>
      </x:c>
      <x:c r="B267" s="138" t="str">
        <x:v>Ferrule</x:v>
      </x:c>
      <x:c r="C267" s="138" t="str">
        <x:v>601R1_1WB_002</x:v>
      </x:c>
      <x:c r="D267" s="138" t="str">
        <x:v>601R1_1WB_002</x:v>
      </x:c>
      <x:c r="E267" s="138" t="str">
        <x:v>EA</x:v>
      </x:c>
      <x:c r="F267" s="139"/>
      <x:c r="G267" s="141" t="n">
        <x:v>1</x:v>
      </x:c>
      <x:c r="H267" s="141" t="n">
        <x:v>1</x:v>
      </x:c>
      <x:c r="I267" s="143"/>
      <x:c r="J267" s="141" t="n">
        <x:v>10</x:v>
      </x:c>
      <x:c r="K267" s="138" t="str">
        <x:v>China</x:v>
      </x:c>
      <x:c r="L267" t="str">
        <x:v>USD</x:v>
      </x:c>
      <x:c r="M267" s="126"/>
      <x:c r="N267"/>
      <x:c r="O267"/>
      <x:c r="P267" s="145"/>
      <x:c r="Q267" s="126"/>
      <x:c r="R267" s="149" t="n">
        <x:v>5.13</x:v>
      </x:c>
      <x:c r="S267" s="145"/>
      <x:c r="T267" s="145"/>
      <x:c r="U267" s="124"/>
      <x:c r="V267" s="124"/>
      <x:c r="W267" s="124"/>
      <x:c r="X267" s="124"/>
      <x:c r="Y267"/>
      <x:c r="Z267"/>
      <x:c r="AA267" s="116" t="str">
        <x:v>Net unit weight is not supplied in 03. Order-level RFQ minimum: USD 100. Retail estimate: 35% of median same-tail-size DHH hose-end retail; analog basis MP-04-08W; observed 2026-08-15; https://www.discounthydraulichose.com/MP-04-08W.html</x:v>
      </x:c>
      <x:c r="AB267" s="161" t="str">
        <x:v>Eligible</x:v>
      </x:c>
      <x:c r="AC267" s="161" t="str">
        <x:v>Pending</x:v>
      </x:c>
      <x:c r="AD267" t="str">
        <x:v>Units</x:v>
      </x:c>
      <x:c r="AE267" s="145"/>
      <x:c r="AF267" s="145"/>
      <x:c r="AG267" s="145"/>
      <x:c r="AH267" s="145"/>
      <x:c r="AI267" s="145"/>
      <x:c r="AJ267"/>
    </x:row>
    <x:row r="268" ht="30" customHeight="1">
      <x:c r="A268" s="138" t="str">
        <x:v>Draft</x:v>
      </x:c>
      <x:c r="B268" s="138" t="str">
        <x:v>Ferrule</x:v>
      </x:c>
      <x:c r="C268" s="138" t="str">
        <x:v>601R1_1WB_003</x:v>
      </x:c>
      <x:c r="D268" s="138" t="str">
        <x:v>601R1_1WB_003</x:v>
      </x:c>
      <x:c r="E268" s="138" t="str">
        <x:v>EA</x:v>
      </x:c>
      <x:c r="F268" s="139"/>
      <x:c r="G268" s="141" t="n">
        <x:v>1</x:v>
      </x:c>
      <x:c r="H268" s="141" t="n">
        <x:v>1</x:v>
      </x:c>
      <x:c r="I268" s="143"/>
      <x:c r="J268" s="141" t="n">
        <x:v>10</x:v>
      </x:c>
      <x:c r="K268" s="138" t="str">
        <x:v>China</x:v>
      </x:c>
      <x:c r="L268" t="str">
        <x:v>USD</x:v>
      </x:c>
      <x:c r="M268" s="126"/>
      <x:c r="N268"/>
      <x:c r="O268"/>
      <x:c r="P268" s="145"/>
      <x:c r="Q268" s="126"/>
      <x:c r="R268" s="149" t="n">
        <x:v>5.13</x:v>
      </x:c>
      <x:c r="S268" s="145"/>
      <x:c r="T268" s="145"/>
      <x:c r="U268" s="124"/>
      <x:c r="V268" s="124"/>
      <x:c r="W268" s="124"/>
      <x:c r="X268" s="124"/>
      <x:c r="Y268"/>
      <x:c r="Z268"/>
      <x:c r="AA268" s="116" t="str">
        <x:v>Net unit weight is not supplied in 03. Order-level RFQ minimum: USD 100. Retail estimate: 35% of median same-tail-size DHH hose-end retail; analog basis MP-04-08W; observed 2026-08-15; https://www.discounthydraulichose.com/MP-04-08W.html</x:v>
      </x:c>
      <x:c r="AB268" s="161" t="str">
        <x:v>Eligible</x:v>
      </x:c>
      <x:c r="AC268" s="161" t="str">
        <x:v>Pending</x:v>
      </x:c>
      <x:c r="AD268" t="str">
        <x:v>Units</x:v>
      </x:c>
      <x:c r="AE268" s="145"/>
      <x:c r="AF268" s="145"/>
      <x:c r="AG268" s="145"/>
      <x:c r="AH268" s="145"/>
      <x:c r="AI268" s="145"/>
      <x:c r="AJ268"/>
    </x:row>
    <x:row r="269" ht="30" customHeight="1">
      <x:c r="A269" s="138" t="str">
        <x:v>Draft</x:v>
      </x:c>
      <x:c r="B269" s="138" t="str">
        <x:v>Ferrule</x:v>
      </x:c>
      <x:c r="C269" s="138" t="str">
        <x:v>601R1_1WB_004</x:v>
      </x:c>
      <x:c r="D269" s="138" t="str">
        <x:v>601R1_1WB_004</x:v>
      </x:c>
      <x:c r="E269" s="138" t="str">
        <x:v>EA</x:v>
      </x:c>
      <x:c r="F269" s="139"/>
      <x:c r="G269" s="141" t="n">
        <x:v>1</x:v>
      </x:c>
      <x:c r="H269" s="141" t="n">
        <x:v>1</x:v>
      </x:c>
      <x:c r="I269" s="143"/>
      <x:c r="J269" s="141" t="n">
        <x:v>10</x:v>
      </x:c>
      <x:c r="K269" s="138" t="str">
        <x:v>China</x:v>
      </x:c>
      <x:c r="L269" t="str">
        <x:v>USD</x:v>
      </x:c>
      <x:c r="M269" s="126"/>
      <x:c r="N269"/>
      <x:c r="O269"/>
      <x:c r="P269" s="145"/>
      <x:c r="Q269" s="126"/>
      <x:c r="R269" s="149" t="n">
        <x:v>6.25</x:v>
      </x:c>
      <x:c r="S269" s="145"/>
      <x:c r="T269" s="145"/>
      <x:c r="U269" s="124"/>
      <x:c r="V269" s="124"/>
      <x:c r="W269" s="124"/>
      <x:c r="X269" s="124"/>
      <x:c r="Y269"/>
      <x:c r="Z269"/>
      <x:c r="AA269" s="116" t="str">
        <x:v>Net unit weight is not supplied in 03. Order-level RFQ minimum: USD 100. Retail estimate: 35% of median same-tail-size DHH hose-end retail; analog basis FBSPX-06-08W; observed 2026-08-15; https://www.discounthydraulichose.com/FBSPX-06-08W.html</x:v>
      </x:c>
      <x:c r="AB269" s="161" t="str">
        <x:v>Eligible</x:v>
      </x:c>
      <x:c r="AC269" s="161" t="str">
        <x:v>Pending</x:v>
      </x:c>
      <x:c r="AD269" t="str">
        <x:v>Units</x:v>
      </x:c>
      <x:c r="AE269" s="145"/>
      <x:c r="AF269" s="145"/>
      <x:c r="AG269" s="145"/>
      <x:c r="AH269" s="145"/>
      <x:c r="AI269" s="145"/>
      <x:c r="AJ269"/>
    </x:row>
    <x:row r="270" ht="30" customHeight="1">
      <x:c r="A270" s="138" t="str">
        <x:v>Draft</x:v>
      </x:c>
      <x:c r="B270" s="138" t="str">
        <x:v>Ferrule</x:v>
      </x:c>
      <x:c r="C270" s="138" t="str">
        <x:v>601R1_1WB_005</x:v>
      </x:c>
      <x:c r="D270" s="138" t="str">
        <x:v>601R1_1WB_005</x:v>
      </x:c>
      <x:c r="E270" s="138" t="str">
        <x:v>EA</x:v>
      </x:c>
      <x:c r="F270" s="139"/>
      <x:c r="G270" s="141" t="n">
        <x:v>1</x:v>
      </x:c>
      <x:c r="H270" s="141" t="n">
        <x:v>1</x:v>
      </x:c>
      <x:c r="I270" s="143"/>
      <x:c r="J270" s="141" t="n">
        <x:v>10</x:v>
      </x:c>
      <x:c r="K270" s="138" t="str">
        <x:v>China</x:v>
      </x:c>
      <x:c r="L270" t="str">
        <x:v>USD</x:v>
      </x:c>
      <x:c r="M270" s="126"/>
      <x:c r="N270"/>
      <x:c r="O270"/>
      <x:c r="P270" s="145"/>
      <x:c r="Q270" s="126"/>
      <x:c r="R270" s="149" t="n">
        <x:v>7.28</x:v>
      </x:c>
      <x:c r="S270" s="145"/>
      <x:c r="T270" s="145"/>
      <x:c r="U270" s="124"/>
      <x:c r="V270" s="124"/>
      <x:c r="W270" s="124"/>
      <x:c r="X270" s="124"/>
      <x:c r="Y270"/>
      <x:c r="Z270"/>
      <x:c r="AA270" s="116" t="str">
        <x:v>Net unit weight is not supplied in 03. Order-level RFQ minimum: USD 100. Retail estimate: 35% of median same-tail-size DHH hose-end retail; analog basis FFX90-08-10W; observed 2026-08-15; https://www.discounthydraulichose.com/FFX90-08-10W.html</x:v>
      </x:c>
      <x:c r="AB270" s="161" t="str">
        <x:v>Eligible</x:v>
      </x:c>
      <x:c r="AC270" s="161" t="str">
        <x:v>Pending</x:v>
      </x:c>
      <x:c r="AD270" t="str">
        <x:v>Units</x:v>
      </x:c>
      <x:c r="AE270" s="145"/>
      <x:c r="AF270" s="145"/>
      <x:c r="AG270" s="145"/>
      <x:c r="AH270" s="145"/>
      <x:c r="AI270" s="145"/>
      <x:c r="AJ270"/>
    </x:row>
    <x:row r="271" ht="30" customHeight="1">
      <x:c r="A271" s="138" t="str">
        <x:v>Draft</x:v>
      </x:c>
      <x:c r="B271" s="138" t="str">
        <x:v>Ferrule</x:v>
      </x:c>
      <x:c r="C271" s="138" t="str">
        <x:v>601R1_1WB_006</x:v>
      </x:c>
      <x:c r="D271" s="138" t="str">
        <x:v>601R1_1WB_006</x:v>
      </x:c>
      <x:c r="E271" s="138" t="str">
        <x:v>EA</x:v>
      </x:c>
      <x:c r="F271" s="139"/>
      <x:c r="G271" s="141" t="n">
        <x:v>1</x:v>
      </x:c>
      <x:c r="H271" s="141" t="n">
        <x:v>1</x:v>
      </x:c>
      <x:c r="I271" s="143"/>
      <x:c r="J271" s="141" t="n">
        <x:v>10</x:v>
      </x:c>
      <x:c r="K271" s="138" t="str">
        <x:v>China</x:v>
      </x:c>
      <x:c r="L271" t="str">
        <x:v>USD</x:v>
      </x:c>
      <x:c r="M271" s="126"/>
      <x:c r="N271"/>
      <x:c r="O271"/>
      <x:c r="P271" s="145"/>
      <x:c r="Q271" s="126"/>
      <x:c r="R271" s="149" t="n">
        <x:v>10.05</x:v>
      </x:c>
      <x:c r="S271" s="145"/>
      <x:c r="T271" s="145"/>
      <x:c r="U271" s="124"/>
      <x:c r="V271" s="124"/>
      <x:c r="W271" s="124"/>
      <x:c r="X271" s="124"/>
      <x:c r="Y271"/>
      <x:c r="Z271"/>
      <x:c r="AA271" s="116" t="str">
        <x:v>Net unit weight is not supplied in 03. Order-level RFQ minimum: USD 100. Retail estimate: 35% of median same-tail-size DHH hose-end retail; analog basis FJX-10-08W; observed 2026-08-15; https://www.discounthydraulichose.com/FJX-10-08W.html</x:v>
      </x:c>
      <x:c r="AB271" s="161" t="str">
        <x:v>Eligible</x:v>
      </x:c>
      <x:c r="AC271" s="161" t="str">
        <x:v>Pending</x:v>
      </x:c>
      <x:c r="AD271" t="str">
        <x:v>Units</x:v>
      </x:c>
      <x:c r="AE271" s="145"/>
      <x:c r="AF271" s="145"/>
      <x:c r="AG271" s="145"/>
      <x:c r="AH271" s="145"/>
      <x:c r="AI271" s="145"/>
      <x:c r="AJ271"/>
    </x:row>
    <x:row r="272" ht="30" customHeight="1">
      <x:c r="A272" s="138" t="str">
        <x:v>Draft</x:v>
      </x:c>
      <x:c r="B272" s="138" t="str">
        <x:v>Ferrule</x:v>
      </x:c>
      <x:c r="C272" s="138" t="str">
        <x:v>601R1_1WB_007</x:v>
      </x:c>
      <x:c r="D272" s="138" t="str">
        <x:v>601R1_1WB_007</x:v>
      </x:c>
      <x:c r="E272" s="138" t="str">
        <x:v>EA</x:v>
      </x:c>
      <x:c r="F272" s="139"/>
      <x:c r="G272" s="141" t="n">
        <x:v>1</x:v>
      </x:c>
      <x:c r="H272" s="141" t="n">
        <x:v>1</x:v>
      </x:c>
      <x:c r="I272" s="143"/>
      <x:c r="J272" s="141" t="n">
        <x:v>10</x:v>
      </x:c>
      <x:c r="K272" s="138" t="str">
        <x:v>China</x:v>
      </x:c>
      <x:c r="L272" t="str">
        <x:v>USD</x:v>
      </x:c>
      <x:c r="M272" s="126"/>
      <x:c r="N272"/>
      <x:c r="O272"/>
      <x:c r="P272" s="145"/>
      <x:c r="Q272" s="126"/>
      <x:c r="R272" s="149" t="n">
        <x:v>12.65</x:v>
      </x:c>
      <x:c r="S272" s="145"/>
      <x:c r="T272" s="145"/>
      <x:c r="U272" s="124"/>
      <x:c r="V272" s="124"/>
      <x:c r="W272" s="124"/>
      <x:c r="X272" s="124"/>
      <x:c r="Y272"/>
      <x:c r="Z272"/>
      <x:c r="AA272" s="116" t="str">
        <x:v>Net unit weight is not supplied in 03. Order-level RFQ minimum: USD 100. Retail estimate: 35% of median same-tail-size DHH hose-end retail; analog basis MF-12-12W; observed 2026-08-15; https://www.discounthydraulichose.com/MF-12-12W.html</x:v>
      </x:c>
      <x:c r="AB272" s="161" t="str">
        <x:v>Eligible</x:v>
      </x:c>
      <x:c r="AC272" s="161" t="str">
        <x:v>Pending</x:v>
      </x:c>
      <x:c r="AD272" t="str">
        <x:v>Units</x:v>
      </x:c>
      <x:c r="AE272" s="145"/>
      <x:c r="AF272" s="145"/>
      <x:c r="AG272" s="145"/>
      <x:c r="AH272" s="145"/>
      <x:c r="AI272" s="145"/>
      <x:c r="AJ272"/>
    </x:row>
    <x:row r="273" ht="30" customHeight="1">
      <x:c r="A273" s="138" t="str">
        <x:v>Draft</x:v>
      </x:c>
      <x:c r="B273" s="138" t="str">
        <x:v>Ferrule</x:v>
      </x:c>
      <x:c r="C273" s="138" t="str">
        <x:v>601R1_1WB_008</x:v>
      </x:c>
      <x:c r="D273" s="138" t="str">
        <x:v>601R1_1WB_008</x:v>
      </x:c>
      <x:c r="E273" s="138" t="str">
        <x:v>EA</x:v>
      </x:c>
      <x:c r="F273" s="139"/>
      <x:c r="G273" s="141" t="n">
        <x:v>1</x:v>
      </x:c>
      <x:c r="H273" s="141" t="n">
        <x:v>1</x:v>
      </x:c>
      <x:c r="I273" s="143"/>
      <x:c r="J273" s="141" t="n">
        <x:v>10</x:v>
      </x:c>
      <x:c r="K273" s="138" t="str">
        <x:v>China</x:v>
      </x:c>
      <x:c r="L273" t="str">
        <x:v>USD</x:v>
      </x:c>
      <x:c r="M273" s="126"/>
      <x:c r="N273"/>
      <x:c r="O273"/>
      <x:c r="P273" s="145"/>
      <x:c r="Q273" s="126"/>
      <x:c r="R273" s="149" t="n">
        <x:v>12.65</x:v>
      </x:c>
      <x:c r="S273" s="145"/>
      <x:c r="T273" s="145"/>
      <x:c r="U273" s="124"/>
      <x:c r="V273" s="124"/>
      <x:c r="W273" s="124"/>
      <x:c r="X273" s="124"/>
      <x:c r="Y273"/>
      <x:c r="Z273"/>
      <x:c r="AA273" s="116" t="str">
        <x:v>Net unit weight is not supplied in 03. Order-level RFQ minimum: USD 100. Retail estimate: 35% of median same-tail-size DHH hose-end retail; analog basis MF-12-12W; observed 2026-08-15; https://www.discounthydraulichose.com/MF-12-12W.html</x:v>
      </x:c>
      <x:c r="AB273" s="161" t="str">
        <x:v>Eligible</x:v>
      </x:c>
      <x:c r="AC273" s="161" t="str">
        <x:v>Pending</x:v>
      </x:c>
      <x:c r="AD273" t="str">
        <x:v>Units</x:v>
      </x:c>
      <x:c r="AE273" s="145"/>
      <x:c r="AF273" s="145"/>
      <x:c r="AG273" s="145"/>
      <x:c r="AH273" s="145"/>
      <x:c r="AI273" s="145"/>
      <x:c r="AJ273"/>
    </x:row>
    <x:row r="274" ht="30" customHeight="1">
      <x:c r="A274" s="138" t="str">
        <x:v>Draft</x:v>
      </x:c>
      <x:c r="B274" s="138" t="str">
        <x:v>Ferrule</x:v>
      </x:c>
      <x:c r="C274" s="138" t="str">
        <x:v>601R1_1WB_009</x:v>
      </x:c>
      <x:c r="D274" s="138" t="str">
        <x:v>601R1_1WB_009</x:v>
      </x:c>
      <x:c r="E274" s="138" t="str">
        <x:v>EA</x:v>
      </x:c>
      <x:c r="F274" s="139"/>
      <x:c r="G274" s="141" t="n">
        <x:v>1</x:v>
      </x:c>
      <x:c r="H274" s="141" t="n">
        <x:v>1</x:v>
      </x:c>
      <x:c r="I274" s="143"/>
      <x:c r="J274" s="141" t="n">
        <x:v>10</x:v>
      </x:c>
      <x:c r="K274" s="138" t="str">
        <x:v>China</x:v>
      </x:c>
      <x:c r="L274" t="str">
        <x:v>USD</x:v>
      </x:c>
      <x:c r="M274" s="126"/>
      <x:c r="N274"/>
      <x:c r="O274"/>
      <x:c r="P274" s="145"/>
      <x:c r="Q274" s="126"/>
      <x:c r="R274" s="149" t="n">
        <x:v>16.87</x:v>
      </x:c>
      <x:c r="S274" s="145"/>
      <x:c r="T274" s="145"/>
      <x:c r="U274" s="124"/>
      <x:c r="V274" s="124"/>
      <x:c r="W274" s="124"/>
      <x:c r="X274" s="124"/>
      <x:c r="Y274"/>
      <x:c r="Z274"/>
      <x:c r="AA274" s="116" t="str">
        <x:v>Net unit weight is not supplied in 03. Order-level RFQ minimum: USD 100. Retail estimate: 35% of median same-tail-size DHH hose-end retail; analog basis FJX-16-20W; observed 2026-08-15; https://www.discounthydraulichose.com/FJX-16-20W.html</x:v>
      </x:c>
      <x:c r="AB274" s="161" t="str">
        <x:v>Eligible</x:v>
      </x:c>
      <x:c r="AC274" s="161" t="str">
        <x:v>Pending</x:v>
      </x:c>
      <x:c r="AD274" t="str">
        <x:v>Units</x:v>
      </x:c>
      <x:c r="AE274" s="145"/>
      <x:c r="AF274" s="145"/>
      <x:c r="AG274" s="145"/>
      <x:c r="AH274" s="145"/>
      <x:c r="AI274" s="145"/>
      <x:c r="AJ274"/>
    </x:row>
    <x:row r="275" ht="30" customHeight="1">
      <x:c r="A275" s="138" t="str">
        <x:v>Draft</x:v>
      </x:c>
      <x:c r="B275" s="138" t="str">
        <x:v>Ferrule</x:v>
      </x:c>
      <x:c r="C275" s="138" t="str">
        <x:v>601R1_1WB_010</x:v>
      </x:c>
      <x:c r="D275" s="138" t="str">
        <x:v>601R1_1WB_010</x:v>
      </x:c>
      <x:c r="E275" s="138" t="str">
        <x:v>EA</x:v>
      </x:c>
      <x:c r="F275" s="139"/>
      <x:c r="G275" s="141" t="n">
        <x:v>1</x:v>
      </x:c>
      <x:c r="H275" s="141" t="n">
        <x:v>1</x:v>
      </x:c>
      <x:c r="I275" s="143"/>
      <x:c r="J275" s="141" t="n">
        <x:v>10</x:v>
      </x:c>
      <x:c r="K275" s="138" t="str">
        <x:v>China</x:v>
      </x:c>
      <x:c r="L275" t="str">
        <x:v>USD</x:v>
      </x:c>
      <x:c r="M275" s="126"/>
      <x:c r="N275"/>
      <x:c r="O275"/>
      <x:c r="P275" s="145"/>
      <x:c r="Q275" s="126"/>
      <x:c r="R275" s="149" t="n">
        <x:v>16.87</x:v>
      </x:c>
      <x:c r="S275" s="145"/>
      <x:c r="T275" s="145"/>
      <x:c r="U275" s="124"/>
      <x:c r="V275" s="124"/>
      <x:c r="W275" s="124"/>
      <x:c r="X275" s="124"/>
      <x:c r="Y275"/>
      <x:c r="Z275"/>
      <x:c r="AA275" s="116" t="str">
        <x:v>Net unit weight is not supplied in 03. Order-level RFQ minimum: USD 100. Retail estimate: 35% of median same-tail-size DHH hose-end retail; analog basis FJX-16-20W; observed 2026-08-15; https://www.discounthydraulichose.com/FJX-16-20W.html</x:v>
      </x:c>
      <x:c r="AB275" s="161" t="str">
        <x:v>Eligible</x:v>
      </x:c>
      <x:c r="AC275" s="161" t="str">
        <x:v>Pending</x:v>
      </x:c>
      <x:c r="AD275" t="str">
        <x:v>Units</x:v>
      </x:c>
      <x:c r="AE275" s="145"/>
      <x:c r="AF275" s="145"/>
      <x:c r="AG275" s="145"/>
      <x:c r="AH275" s="145"/>
      <x:c r="AI275" s="145"/>
      <x:c r="AJ275"/>
    </x:row>
    <x:row r="276" ht="30" customHeight="1">
      <x:c r="A276" s="138" t="str">
        <x:v>Draft</x:v>
      </x:c>
      <x:c r="B276" s="138" t="str">
        <x:v>Ferrule</x:v>
      </x:c>
      <x:c r="C276" s="138" t="str">
        <x:v>601R1_1WB_011</x:v>
      </x:c>
      <x:c r="D276" s="138" t="str">
        <x:v>601R1_1WB_011</x:v>
      </x:c>
      <x:c r="E276" s="138" t="str">
        <x:v>EA</x:v>
      </x:c>
      <x:c r="F276" s="139"/>
      <x:c r="G276" s="141" t="n">
        <x:v>1</x:v>
      </x:c>
      <x:c r="H276" s="141" t="n">
        <x:v>1</x:v>
      </x:c>
      <x:c r="I276" s="143"/>
      <x:c r="J276" s="141" t="n">
        <x:v>10</x:v>
      </x:c>
      <x:c r="K276" s="138" t="str">
        <x:v>China</x:v>
      </x:c>
      <x:c r="L276" t="str">
        <x:v>USD</x:v>
      </x:c>
      <x:c r="M276" s="126"/>
      <x:c r="N276"/>
      <x:c r="O276"/>
      <x:c r="P276" s="145"/>
      <x:c r="Q276" s="126"/>
      <x:c r="R276" s="149" t="n">
        <x:v>16.87</x:v>
      </x:c>
      <x:c r="S276" s="145"/>
      <x:c r="T276" s="145"/>
      <x:c r="U276" s="124"/>
      <x:c r="V276" s="124"/>
      <x:c r="W276" s="124"/>
      <x:c r="X276" s="124"/>
      <x:c r="Y276"/>
      <x:c r="Z276"/>
      <x:c r="AA276" s="116" t="str">
        <x:v>Net unit weight is not supplied in 03. Order-level RFQ minimum: USD 100. Retail estimate: 35% of median same-tail-size DHH hose-end retail; analog basis FJX-16-20W; observed 2026-08-15; https://www.discounthydraulichose.com/FJX-16-20W.html</x:v>
      </x:c>
      <x:c r="AB276" s="161" t="str">
        <x:v>Eligible</x:v>
      </x:c>
      <x:c r="AC276" s="161" t="str">
        <x:v>Pending</x:v>
      </x:c>
      <x:c r="AD276" t="str">
        <x:v>Units</x:v>
      </x:c>
      <x:c r="AE276" s="145"/>
      <x:c r="AF276" s="145"/>
      <x:c r="AG276" s="145"/>
      <x:c r="AH276" s="145"/>
      <x:c r="AI276" s="145"/>
      <x:c r="AJ276"/>
    </x:row>
    <x:row r="277" ht="30" customHeight="1">
      <x:c r="A277" s="138" t="str">
        <x:v>Draft</x:v>
      </x:c>
      <x:c r="B277" s="138" t="str">
        <x:v>Ferrule</x:v>
      </x:c>
      <x:c r="C277" s="138" t="str">
        <x:v>601R1_1WB_012</x:v>
      </x:c>
      <x:c r="D277" s="138" t="str">
        <x:v>601R1_1WB_012</x:v>
      </x:c>
      <x:c r="E277" s="138" t="str">
        <x:v>EA</x:v>
      </x:c>
      <x:c r="F277" s="139"/>
      <x:c r="G277" s="141" t="n">
        <x:v>1</x:v>
      </x:c>
      <x:c r="H277" s="141" t="n">
        <x:v>1</x:v>
      </x:c>
      <x:c r="I277" s="143"/>
      <x:c r="J277" s="141" t="n">
        <x:v>10</x:v>
      </x:c>
      <x:c r="K277" s="138" t="str">
        <x:v>China</x:v>
      </x:c>
      <x:c r="L277" t="str">
        <x:v>USD</x:v>
      </x:c>
      <x:c r="M277" s="126"/>
      <x:c r="N277"/>
      <x:c r="O277"/>
      <x:c r="P277" s="145"/>
      <x:c r="Q277" s="126"/>
      <x:c r="R277" s="149" t="n">
        <x:v>16.87</x:v>
      </x:c>
      <x:c r="S277" s="145"/>
      <x:c r="T277" s="145"/>
      <x:c r="U277" s="124"/>
      <x:c r="V277" s="124"/>
      <x:c r="W277" s="124"/>
      <x:c r="X277" s="124"/>
      <x:c r="Y277"/>
      <x:c r="Z277"/>
      <x:c r="AA277" s="116" t="str">
        <x:v>Net unit weight is not supplied in 03. Order-level RFQ minimum: USD 100. Retail estimate: 35% of median same-tail-size DHH hose-end retail; analog basis FJX-16-20W; observed 2026-08-15; https://www.discounthydraulichose.com/FJX-16-20W.html</x:v>
      </x:c>
      <x:c r="AB277" s="161" t="str">
        <x:v>Eligible</x:v>
      </x:c>
      <x:c r="AC277" s="161" t="str">
        <x:v>Pending</x:v>
      </x:c>
      <x:c r="AD277" t="str">
        <x:v>Units</x:v>
      </x:c>
      <x:c r="AE277" s="145"/>
      <x:c r="AF277" s="145"/>
      <x:c r="AG277" s="145"/>
      <x:c r="AH277" s="145"/>
      <x:c r="AI277" s="145"/>
      <x:c r="AJ277"/>
    </x:row>
    <x:row r="278" ht="30" customHeight="1">
      <x:c r="A278" s="138" t="str">
        <x:v>Draft</x:v>
      </x:c>
      <x:c r="B278" s="138" t="str">
        <x:v>Ferrule</x:v>
      </x:c>
      <x:c r="C278" s="138" t="str">
        <x:v>601R1_1WB_013</x:v>
      </x:c>
      <x:c r="D278" s="138" t="str">
        <x:v>601R1_1WB_013</x:v>
      </x:c>
      <x:c r="E278" s="138" t="str">
        <x:v>EA</x:v>
      </x:c>
      <x:c r="F278" s="139"/>
      <x:c r="G278" s="141" t="n">
        <x:v>1</x:v>
      </x:c>
      <x:c r="H278" s="141" t="n">
        <x:v>1</x:v>
      </x:c>
      <x:c r="I278" s="143"/>
      <x:c r="J278" s="141" t="n">
        <x:v>10</x:v>
      </x:c>
      <x:c r="K278" s="138" t="str">
        <x:v>China</x:v>
      </x:c>
      <x:c r="L278" t="str">
        <x:v>USD</x:v>
      </x:c>
      <x:c r="M278" s="126"/>
      <x:c r="N278"/>
      <x:c r="O278"/>
      <x:c r="P278" s="145"/>
      <x:c r="Q278" s="126"/>
      <x:c r="R278" s="149" t="n">
        <x:v>16.87</x:v>
      </x:c>
      <x:c r="S278" s="145"/>
      <x:c r="T278" s="145"/>
      <x:c r="U278" s="124"/>
      <x:c r="V278" s="124"/>
      <x:c r="W278" s="124"/>
      <x:c r="X278" s="124"/>
      <x:c r="Y278"/>
      <x:c r="Z278"/>
      <x:c r="AA278" s="116" t="str">
        <x:v>Net unit weight is not supplied in 03. Order-level RFQ minimum: USD 100. Retail estimate: 35% of median same-tail-size DHH hose-end retail; analog basis FJX-16-20W; observed 2026-08-15; https://www.discounthydraulichose.com/FJX-16-20W.html</x:v>
      </x:c>
      <x:c r="AB278" s="161" t="str">
        <x:v>Eligible</x:v>
      </x:c>
      <x:c r="AC278" s="161" t="str">
        <x:v>Pending</x:v>
      </x:c>
      <x:c r="AD278" t="str">
        <x:v>Units</x:v>
      </x:c>
      <x:c r="AE278" s="145"/>
      <x:c r="AF278" s="145"/>
      <x:c r="AG278" s="145"/>
      <x:c r="AH278" s="145"/>
      <x:c r="AI278" s="145"/>
      <x:c r="AJ278"/>
    </x:row>
    <x:row r="279" ht="30" customHeight="1">
      <x:c r="A279" s="138" t="str">
        <x:v>Draft</x:v>
      </x:c>
      <x:c r="B279" s="138" t="str">
        <x:v>Ferrule</x:v>
      </x:c>
      <x:c r="C279" s="138" t="str">
        <x:v>601R1_1WB_014</x:v>
      </x:c>
      <x:c r="D279" s="138" t="str">
        <x:v>601R1_1WB_014</x:v>
      </x:c>
      <x:c r="E279" s="138" t="str">
        <x:v>EA</x:v>
      </x:c>
      <x:c r="F279" s="139"/>
      <x:c r="G279" s="141" t="n">
        <x:v>1</x:v>
      </x:c>
      <x:c r="H279" s="141" t="n">
        <x:v>1</x:v>
      </x:c>
      <x:c r="I279" s="143"/>
      <x:c r="J279" s="141" t="n">
        <x:v>10</x:v>
      </x:c>
      <x:c r="K279" s="138" t="str">
        <x:v>China</x:v>
      </x:c>
      <x:c r="L279" t="str">
        <x:v>USD</x:v>
      </x:c>
      <x:c r="M279" s="126"/>
      <x:c r="N279"/>
      <x:c r="O279"/>
      <x:c r="P279" s="145"/>
      <x:c r="Q279" s="126"/>
      <x:c r="R279" s="149" t="n">
        <x:v>16.87</x:v>
      </x:c>
      <x:c r="S279" s="145"/>
      <x:c r="T279" s="145"/>
      <x:c r="U279" s="124"/>
      <x:c r="V279" s="124"/>
      <x:c r="W279" s="124"/>
      <x:c r="X279" s="124"/>
      <x:c r="Y279"/>
      <x:c r="Z279"/>
      <x:c r="AA279" s="116" t="str">
        <x:v>Net unit weight is not supplied in 03. Order-level RFQ minimum: USD 100. Retail estimate: 35% of median same-tail-size DHH hose-end retail; analog basis FJX-16-20W; observed 2026-08-15; https://www.discounthydraulichose.com/FJX-16-20W.html</x:v>
      </x:c>
      <x:c r="AB279" s="161" t="str">
        <x:v>Eligible</x:v>
      </x:c>
      <x:c r="AC279" s="161" t="str">
        <x:v>Pending</x:v>
      </x:c>
      <x:c r="AD279" t="str">
        <x:v>Units</x:v>
      </x:c>
      <x:c r="AE279" s="145"/>
      <x:c r="AF279" s="145"/>
      <x:c r="AG279" s="145"/>
      <x:c r="AH279" s="145"/>
      <x:c r="AI279" s="145"/>
      <x:c r="AJ279"/>
    </x:row>
    <x:row r="280" ht="30" customHeight="1">
      <x:c r="A280" s="138" t="str">
        <x:v>Draft</x:v>
      </x:c>
      <x:c r="B280" s="138" t="str">
        <x:v>Ferrule</x:v>
      </x:c>
      <x:c r="C280" s="138" t="str">
        <x:v>601R1_1WB_015</x:v>
      </x:c>
      <x:c r="D280" s="138" t="str">
        <x:v>601R1_1WB_015</x:v>
      </x:c>
      <x:c r="E280" s="138" t="str">
        <x:v>EA</x:v>
      </x:c>
      <x:c r="F280" s="139"/>
      <x:c r="G280" s="141" t="n">
        <x:v>1</x:v>
      </x:c>
      <x:c r="H280" s="141" t="n">
        <x:v>1</x:v>
      </x:c>
      <x:c r="I280" s="143"/>
      <x:c r="J280" s="141" t="n">
        <x:v>10</x:v>
      </x:c>
      <x:c r="K280" s="138" t="str">
        <x:v>China</x:v>
      </x:c>
      <x:c r="L280" t="str">
        <x:v>USD</x:v>
      </x:c>
      <x:c r="M280" s="126"/>
      <x:c r="N280"/>
      <x:c r="O280"/>
      <x:c r="P280" s="145"/>
      <x:c r="Q280" s="126"/>
      <x:c r="R280" s="149" t="n">
        <x:v>16.87</x:v>
      </x:c>
      <x:c r="S280" s="145"/>
      <x:c r="T280" s="145"/>
      <x:c r="U280" s="124"/>
      <x:c r="V280" s="124"/>
      <x:c r="W280" s="124"/>
      <x:c r="X280" s="124"/>
      <x:c r="Y280"/>
      <x:c r="Z280"/>
      <x:c r="AA280" s="116" t="str">
        <x:v>Net unit weight is not supplied in 03. Order-level RFQ minimum: USD 100. Retail estimate: 35% of median same-tail-size DHH hose-end retail; analog basis FJX-16-20W; observed 2026-08-15; https://www.discounthydraulichose.com/FJX-16-20W.html</x:v>
      </x:c>
      <x:c r="AB280" s="161" t="str">
        <x:v>Eligible</x:v>
      </x:c>
      <x:c r="AC280" s="161" t="str">
        <x:v>Pending</x:v>
      </x:c>
      <x:c r="AD280" t="str">
        <x:v>Units</x:v>
      </x:c>
      <x:c r="AE280" s="145"/>
      <x:c r="AF280" s="145"/>
      <x:c r="AG280" s="145"/>
      <x:c r="AH280" s="145"/>
      <x:c r="AI280" s="145"/>
      <x:c r="AJ280"/>
    </x:row>
    <x:row r="281" ht="30" customHeight="1">
      <x:c r="A281" s="138" t="str">
        <x:v>Draft</x:v>
      </x:c>
      <x:c r="B281" s="138" t="str">
        <x:v>Ferrule</x:v>
      </x:c>
      <x:c r="C281" s="138" t="str">
        <x:v>601R1_1WB_016</x:v>
      </x:c>
      <x:c r="D281" s="138" t="str">
        <x:v>601R1_1WB_016</x:v>
      </x:c>
      <x:c r="E281" s="138" t="str">
        <x:v>EA</x:v>
      </x:c>
      <x:c r="F281" s="139"/>
      <x:c r="G281" s="141" t="n">
        <x:v>1</x:v>
      </x:c>
      <x:c r="H281" s="141" t="n">
        <x:v>1</x:v>
      </x:c>
      <x:c r="I281" s="143"/>
      <x:c r="J281" s="141" t="n">
        <x:v>10</x:v>
      </x:c>
      <x:c r="K281" s="138" t="str">
        <x:v>China</x:v>
      </x:c>
      <x:c r="L281" t="str">
        <x:v>USD</x:v>
      </x:c>
      <x:c r="M281" s="126"/>
      <x:c r="N281"/>
      <x:c r="O281"/>
      <x:c r="P281" s="145"/>
      <x:c r="Q281" s="126"/>
      <x:c r="R281" s="149" t="n">
        <x:v>16.87</x:v>
      </x:c>
      <x:c r="S281" s="145"/>
      <x:c r="T281" s="145"/>
      <x:c r="U281" s="124"/>
      <x:c r="V281" s="124"/>
      <x:c r="W281" s="124"/>
      <x:c r="X281" s="124"/>
      <x:c r="Y281"/>
      <x:c r="Z281"/>
      <x:c r="AA281" s="116" t="str">
        <x:v>Net unit weight is not supplied in 03. Order-level RFQ minimum: USD 100. Retail estimate: 35% of median same-tail-size DHH hose-end retail; analog basis FJX-16-20W; observed 2026-08-15; https://www.discounthydraulichose.com/FJX-16-20W.html</x:v>
      </x:c>
      <x:c r="AB281" s="161" t="str">
        <x:v>Eligible</x:v>
      </x:c>
      <x:c r="AC281" s="161" t="str">
        <x:v>Pending</x:v>
      </x:c>
      <x:c r="AD281" t="str">
        <x:v>Units</x:v>
      </x:c>
      <x:c r="AE281" s="145"/>
      <x:c r="AF281" s="145"/>
      <x:c r="AG281" s="145"/>
      <x:c r="AH281" s="145"/>
      <x:c r="AI281" s="145"/>
      <x:c r="AJ281"/>
    </x:row>
    <x:row r="282" ht="30" customHeight="1">
      <x:c r="A282" s="138" t="str">
        <x:v>Draft</x:v>
      </x:c>
      <x:c r="B282" s="138" t="str">
        <x:v>Ferrule</x:v>
      </x:c>
      <x:c r="C282" s="138" t="str">
        <x:v>601R2_2WB_001</x:v>
      </x:c>
      <x:c r="D282" s="138" t="str">
        <x:v>601R2_2WB_001</x:v>
      </x:c>
      <x:c r="E282" s="138" t="str">
        <x:v>EA</x:v>
      </x:c>
      <x:c r="F282" s="139"/>
      <x:c r="G282" s="141" t="n">
        <x:v>1</x:v>
      </x:c>
      <x:c r="H282" s="141" t="n">
        <x:v>1</x:v>
      </x:c>
      <x:c r="I282" s="143"/>
      <x:c r="J282" s="141" t="n">
        <x:v>10</x:v>
      </x:c>
      <x:c r="K282" s="138" t="str">
        <x:v>China</x:v>
      </x:c>
      <x:c r="L282" t="str">
        <x:v>USD</x:v>
      </x:c>
      <x:c r="M282" s="126"/>
      <x:c r="N282"/>
      <x:c r="O282"/>
      <x:c r="P282" s="145"/>
      <x:c r="Q282" s="126"/>
      <x:c r="R282" s="149" t="n">
        <x:v>5.13</x:v>
      </x:c>
      <x:c r="S282" s="145"/>
      <x:c r="T282" s="145"/>
      <x:c r="U282" s="124"/>
      <x:c r="V282" s="124"/>
      <x:c r="W282" s="124"/>
      <x:c r="X282" s="124"/>
      <x:c r="Y282"/>
      <x:c r="Z282"/>
      <x:c r="AA282" s="116" t="str">
        <x:v>Net unit weight is not supplied in 03. Order-level RFQ minimum: USD 100. Retail estimate: 35% of median same-tail-size DHH hose-end retail; analog basis MP-04-08W; observed 2026-08-15; https://www.discounthydraulichose.com/MP-04-08W.html</x:v>
      </x:c>
      <x:c r="AB282" s="161" t="str">
        <x:v>Eligible</x:v>
      </x:c>
      <x:c r="AC282" s="161" t="str">
        <x:v>Pending</x:v>
      </x:c>
      <x:c r="AD282" t="str">
        <x:v>Units</x:v>
      </x:c>
      <x:c r="AE282" s="145"/>
      <x:c r="AF282" s="145"/>
      <x:c r="AG282" s="145"/>
      <x:c r="AH282" s="145"/>
      <x:c r="AI282" s="145"/>
      <x:c r="AJ282"/>
    </x:row>
    <x:row r="283" ht="30" customHeight="1">
      <x:c r="A283" s="138" t="str">
        <x:v>Draft</x:v>
      </x:c>
      <x:c r="B283" s="138" t="str">
        <x:v>Ferrule</x:v>
      </x:c>
      <x:c r="C283" s="138" t="str">
        <x:v>601R2_2WB_002</x:v>
      </x:c>
      <x:c r="D283" s="138" t="str">
        <x:v>601R2_2WB_002</x:v>
      </x:c>
      <x:c r="E283" s="138" t="str">
        <x:v>EA</x:v>
      </x:c>
      <x:c r="F283" s="139"/>
      <x:c r="G283" s="141" t="n">
        <x:v>1</x:v>
      </x:c>
      <x:c r="H283" s="141" t="n">
        <x:v>1</x:v>
      </x:c>
      <x:c r="I283" s="143"/>
      <x:c r="J283" s="141" t="n">
        <x:v>10</x:v>
      </x:c>
      <x:c r="K283" s="138" t="str">
        <x:v>China</x:v>
      </x:c>
      <x:c r="L283" t="str">
        <x:v>USD</x:v>
      </x:c>
      <x:c r="M283" s="126"/>
      <x:c r="N283"/>
      <x:c r="O283"/>
      <x:c r="P283" s="145"/>
      <x:c r="Q283" s="126"/>
      <x:c r="R283" s="149" t="n">
        <x:v>5.13</x:v>
      </x:c>
      <x:c r="S283" s="145"/>
      <x:c r="T283" s="145"/>
      <x:c r="U283" s="124"/>
      <x:c r="V283" s="124"/>
      <x:c r="W283" s="124"/>
      <x:c r="X283" s="124"/>
      <x:c r="Y283"/>
      <x:c r="Z283"/>
      <x:c r="AA283" s="116" t="str">
        <x:v>Net unit weight is not supplied in 03. Order-level RFQ minimum: USD 100. Retail estimate: 35% of median same-tail-size DHH hose-end retail; analog basis MP-04-08W; observed 2026-08-15; https://www.discounthydraulichose.com/MP-04-08W.html</x:v>
      </x:c>
      <x:c r="AB283" s="161" t="str">
        <x:v>Eligible</x:v>
      </x:c>
      <x:c r="AC283" s="161" t="str">
        <x:v>Pending</x:v>
      </x:c>
      <x:c r="AD283" t="str">
        <x:v>Units</x:v>
      </x:c>
      <x:c r="AE283" s="145"/>
      <x:c r="AF283" s="145"/>
      <x:c r="AG283" s="145"/>
      <x:c r="AH283" s="145"/>
      <x:c r="AI283" s="145"/>
      <x:c r="AJ283"/>
    </x:row>
    <x:row r="284" ht="30" customHeight="1">
      <x:c r="A284" s="138" t="str">
        <x:v>Draft</x:v>
      </x:c>
      <x:c r="B284" s="138" t="str">
        <x:v>Ferrule</x:v>
      </x:c>
      <x:c r="C284" s="138" t="str">
        <x:v>601R2_2WB_003</x:v>
      </x:c>
      <x:c r="D284" s="138" t="str">
        <x:v>601R2_2WB_003</x:v>
      </x:c>
      <x:c r="E284" s="138" t="str">
        <x:v>EA</x:v>
      </x:c>
      <x:c r="F284" s="139"/>
      <x:c r="G284" s="141" t="n">
        <x:v>1</x:v>
      </x:c>
      <x:c r="H284" s="141" t="n">
        <x:v>1</x:v>
      </x:c>
      <x:c r="I284" s="143"/>
      <x:c r="J284" s="141" t="n">
        <x:v>10</x:v>
      </x:c>
      <x:c r="K284" s="138" t="str">
        <x:v>China</x:v>
      </x:c>
      <x:c r="L284" t="str">
        <x:v>USD</x:v>
      </x:c>
      <x:c r="M284" s="126"/>
      <x:c r="N284"/>
      <x:c r="O284"/>
      <x:c r="P284" s="145"/>
      <x:c r="Q284" s="126"/>
      <x:c r="R284" s="149" t="n">
        <x:v>5.13</x:v>
      </x:c>
      <x:c r="S284" s="145"/>
      <x:c r="T284" s="145"/>
      <x:c r="U284" s="124"/>
      <x:c r="V284" s="124"/>
      <x:c r="W284" s="124"/>
      <x:c r="X284" s="124"/>
      <x:c r="Y284"/>
      <x:c r="Z284"/>
      <x:c r="AA284" s="116" t="str">
        <x:v>Net unit weight is not supplied in 03. Order-level RFQ minimum: USD 100. Retail estimate: 35% of median same-tail-size DHH hose-end retail; analog basis MP-04-08W; observed 2026-08-15; https://www.discounthydraulichose.com/MP-04-08W.html</x:v>
      </x:c>
      <x:c r="AB284" s="161" t="str">
        <x:v>Eligible</x:v>
      </x:c>
      <x:c r="AC284" s="161" t="str">
        <x:v>Pending</x:v>
      </x:c>
      <x:c r="AD284" t="str">
        <x:v>Units</x:v>
      </x:c>
      <x:c r="AE284" s="145"/>
      <x:c r="AF284" s="145"/>
      <x:c r="AG284" s="145"/>
      <x:c r="AH284" s="145"/>
      <x:c r="AI284" s="145"/>
      <x:c r="AJ284"/>
    </x:row>
    <x:row r="285" ht="30" customHeight="1">
      <x:c r="A285" s="138" t="str">
        <x:v>Draft</x:v>
      </x:c>
      <x:c r="B285" s="138" t="str">
        <x:v>Ferrule</x:v>
      </x:c>
      <x:c r="C285" s="138" t="str">
        <x:v>601R2_2WB_004</x:v>
      </x:c>
      <x:c r="D285" s="138" t="str">
        <x:v>601R2_2WB_004</x:v>
      </x:c>
      <x:c r="E285" s="138" t="str">
        <x:v>EA</x:v>
      </x:c>
      <x:c r="F285" s="139"/>
      <x:c r="G285" s="141" t="n">
        <x:v>1</x:v>
      </x:c>
      <x:c r="H285" s="141" t="n">
        <x:v>1</x:v>
      </x:c>
      <x:c r="I285" s="143"/>
      <x:c r="J285" s="141" t="n">
        <x:v>10</x:v>
      </x:c>
      <x:c r="K285" s="138" t="str">
        <x:v>China</x:v>
      </x:c>
      <x:c r="L285" t="str">
        <x:v>USD</x:v>
      </x:c>
      <x:c r="M285" s="126"/>
      <x:c r="N285"/>
      <x:c r="O285"/>
      <x:c r="P285" s="145"/>
      <x:c r="Q285" s="126"/>
      <x:c r="R285" s="149" t="n">
        <x:v>6.25</x:v>
      </x:c>
      <x:c r="S285" s="145"/>
      <x:c r="T285" s="145"/>
      <x:c r="U285" s="124"/>
      <x:c r="V285" s="124"/>
      <x:c r="W285" s="124"/>
      <x:c r="X285" s="124"/>
      <x:c r="Y285"/>
      <x:c r="Z285"/>
      <x:c r="AA285" s="116" t="str">
        <x:v>Net unit weight is not supplied in 03. Order-level RFQ minimum: USD 100. Retail estimate: 35% of median same-tail-size DHH hose-end retail; analog basis FBSPX-06-08W; observed 2026-08-15; https://www.discounthydraulichose.com/FBSPX-06-08W.html</x:v>
      </x:c>
      <x:c r="AB285" s="161" t="str">
        <x:v>Eligible</x:v>
      </x:c>
      <x:c r="AC285" s="161" t="str">
        <x:v>Pending</x:v>
      </x:c>
      <x:c r="AD285" t="str">
        <x:v>Units</x:v>
      </x:c>
      <x:c r="AE285" s="145"/>
      <x:c r="AF285" s="145"/>
      <x:c r="AG285" s="145"/>
      <x:c r="AH285" s="145"/>
      <x:c r="AI285" s="145"/>
      <x:c r="AJ285"/>
    </x:row>
    <x:row r="286" ht="30" customHeight="1">
      <x:c r="A286" s="138" t="str">
        <x:v>Draft</x:v>
      </x:c>
      <x:c r="B286" s="138" t="str">
        <x:v>Ferrule</x:v>
      </x:c>
      <x:c r="C286" s="138" t="str">
        <x:v>601R2_2WB_005</x:v>
      </x:c>
      <x:c r="D286" s="138" t="str">
        <x:v>601R2_2WB_005</x:v>
      </x:c>
      <x:c r="E286" s="138" t="str">
        <x:v>EA</x:v>
      </x:c>
      <x:c r="F286" s="139"/>
      <x:c r="G286" s="141" t="n">
        <x:v>1</x:v>
      </x:c>
      <x:c r="H286" s="141" t="n">
        <x:v>1</x:v>
      </x:c>
      <x:c r="I286" s="143"/>
      <x:c r="J286" s="141" t="n">
        <x:v>10</x:v>
      </x:c>
      <x:c r="K286" s="138" t="str">
        <x:v>China</x:v>
      </x:c>
      <x:c r="L286" t="str">
        <x:v>USD</x:v>
      </x:c>
      <x:c r="M286" s="126"/>
      <x:c r="N286"/>
      <x:c r="O286"/>
      <x:c r="P286" s="145"/>
      <x:c r="Q286" s="126"/>
      <x:c r="R286" s="149" t="n">
        <x:v>7.28</x:v>
      </x:c>
      <x:c r="S286" s="145"/>
      <x:c r="T286" s="145"/>
      <x:c r="U286" s="124"/>
      <x:c r="V286" s="124"/>
      <x:c r="W286" s="124"/>
      <x:c r="X286" s="124"/>
      <x:c r="Y286"/>
      <x:c r="Z286"/>
      <x:c r="AA286" s="116" t="str">
        <x:v>Net unit weight is not supplied in 03. Order-level RFQ minimum: USD 100. Retail estimate: 35% of median same-tail-size DHH hose-end retail; analog basis FFX90-08-10W; observed 2026-08-15; https://www.discounthydraulichose.com/FFX90-08-10W.html</x:v>
      </x:c>
      <x:c r="AB286" s="161" t="str">
        <x:v>Eligible</x:v>
      </x:c>
      <x:c r="AC286" s="161" t="str">
        <x:v>Pending</x:v>
      </x:c>
      <x:c r="AD286" t="str">
        <x:v>Units</x:v>
      </x:c>
      <x:c r="AE286" s="145"/>
      <x:c r="AF286" s="145"/>
      <x:c r="AG286" s="145"/>
      <x:c r="AH286" s="145"/>
      <x:c r="AI286" s="145"/>
      <x:c r="AJ286"/>
    </x:row>
    <x:row r="287" ht="30" customHeight="1">
      <x:c r="A287" s="138" t="str">
        <x:v>Draft</x:v>
      </x:c>
      <x:c r="B287" s="138" t="str">
        <x:v>Ferrule</x:v>
      </x:c>
      <x:c r="C287" s="138" t="str">
        <x:v>601R2_2WB_006</x:v>
      </x:c>
      <x:c r="D287" s="138" t="str">
        <x:v>601R2_2WB_006</x:v>
      </x:c>
      <x:c r="E287" s="138" t="str">
        <x:v>EA</x:v>
      </x:c>
      <x:c r="F287" s="139"/>
      <x:c r="G287" s="141" t="n">
        <x:v>1</x:v>
      </x:c>
      <x:c r="H287" s="141" t="n">
        <x:v>1</x:v>
      </x:c>
      <x:c r="I287" s="143"/>
      <x:c r="J287" s="141" t="n">
        <x:v>10</x:v>
      </x:c>
      <x:c r="K287" s="138" t="str">
        <x:v>China</x:v>
      </x:c>
      <x:c r="L287" t="str">
        <x:v>USD</x:v>
      </x:c>
      <x:c r="M287" s="126"/>
      <x:c r="N287"/>
      <x:c r="O287"/>
      <x:c r="P287" s="145"/>
      <x:c r="Q287" s="126"/>
      <x:c r="R287" s="149" t="n">
        <x:v>10.05</x:v>
      </x:c>
      <x:c r="S287" s="145"/>
      <x:c r="T287" s="145"/>
      <x:c r="U287" s="124"/>
      <x:c r="V287" s="124"/>
      <x:c r="W287" s="124"/>
      <x:c r="X287" s="124"/>
      <x:c r="Y287"/>
      <x:c r="Z287"/>
      <x:c r="AA287" s="116" t="str">
        <x:v>Net unit weight is not supplied in 03. Order-level RFQ minimum: USD 100. Retail estimate: 35% of median same-tail-size DHH hose-end retail; analog basis FJX-10-08W; observed 2026-08-15; https://www.discounthydraulichose.com/FJX-10-08W.html</x:v>
      </x:c>
      <x:c r="AB287" s="161" t="str">
        <x:v>Eligible</x:v>
      </x:c>
      <x:c r="AC287" s="161" t="str">
        <x:v>Pending</x:v>
      </x:c>
      <x:c r="AD287" t="str">
        <x:v>Units</x:v>
      </x:c>
      <x:c r="AE287" s="145"/>
      <x:c r="AF287" s="145"/>
      <x:c r="AG287" s="145"/>
      <x:c r="AH287" s="145"/>
      <x:c r="AI287" s="145"/>
      <x:c r="AJ287"/>
    </x:row>
    <x:row r="288" ht="30" customHeight="1">
      <x:c r="A288" s="138" t="str">
        <x:v>Draft</x:v>
      </x:c>
      <x:c r="B288" s="138" t="str">
        <x:v>Ferrule</x:v>
      </x:c>
      <x:c r="C288" s="138" t="str">
        <x:v>601R2_2WB_007</x:v>
      </x:c>
      <x:c r="D288" s="138" t="str">
        <x:v>601R2_2WB_007</x:v>
      </x:c>
      <x:c r="E288" s="138" t="str">
        <x:v>EA</x:v>
      </x:c>
      <x:c r="F288" s="139"/>
      <x:c r="G288" s="141" t="n">
        <x:v>1</x:v>
      </x:c>
      <x:c r="H288" s="141" t="n">
        <x:v>1</x:v>
      </x:c>
      <x:c r="I288" s="143"/>
      <x:c r="J288" s="141" t="n">
        <x:v>10</x:v>
      </x:c>
      <x:c r="K288" s="138" t="str">
        <x:v>China</x:v>
      </x:c>
      <x:c r="L288" t="str">
        <x:v>USD</x:v>
      </x:c>
      <x:c r="M288" s="126"/>
      <x:c r="N288"/>
      <x:c r="O288"/>
      <x:c r="P288" s="145"/>
      <x:c r="Q288" s="126"/>
      <x:c r="R288" s="149" t="n">
        <x:v>12.65</x:v>
      </x:c>
      <x:c r="S288" s="145"/>
      <x:c r="T288" s="145"/>
      <x:c r="U288" s="124"/>
      <x:c r="V288" s="124"/>
      <x:c r="W288" s="124"/>
      <x:c r="X288" s="124"/>
      <x:c r="Y288"/>
      <x:c r="Z288"/>
      <x:c r="AA288" s="116" t="str">
        <x:v>Net unit weight is not supplied in 03. Order-level RFQ minimum: USD 100. Retail estimate: 35% of median same-tail-size DHH hose-end retail; analog basis MF-12-12W; observed 2026-08-15; https://www.discounthydraulichose.com/MF-12-12W.html</x:v>
      </x:c>
      <x:c r="AB288" s="161" t="str">
        <x:v>Eligible</x:v>
      </x:c>
      <x:c r="AC288" s="161" t="str">
        <x:v>Pending</x:v>
      </x:c>
      <x:c r="AD288" t="str">
        <x:v>Units</x:v>
      </x:c>
      <x:c r="AE288" s="145"/>
      <x:c r="AF288" s="145"/>
      <x:c r="AG288" s="145"/>
      <x:c r="AH288" s="145"/>
      <x:c r="AI288" s="145"/>
      <x:c r="AJ288"/>
    </x:row>
    <x:row r="289" ht="30" customHeight="1">
      <x:c r="A289" s="138" t="str">
        <x:v>Draft</x:v>
      </x:c>
      <x:c r="B289" s="138" t="str">
        <x:v>Ferrule</x:v>
      </x:c>
      <x:c r="C289" s="138" t="str">
        <x:v>601R2_2WB_008</x:v>
      </x:c>
      <x:c r="D289" s="138" t="str">
        <x:v>601R2_2WB_008</x:v>
      </x:c>
      <x:c r="E289" s="138" t="str">
        <x:v>EA</x:v>
      </x:c>
      <x:c r="F289" s="139"/>
      <x:c r="G289" s="141" t="n">
        <x:v>1</x:v>
      </x:c>
      <x:c r="H289" s="141" t="n">
        <x:v>1</x:v>
      </x:c>
      <x:c r="I289" s="143"/>
      <x:c r="J289" s="141" t="n">
        <x:v>10</x:v>
      </x:c>
      <x:c r="K289" s="138" t="str">
        <x:v>China</x:v>
      </x:c>
      <x:c r="L289" t="str">
        <x:v>USD</x:v>
      </x:c>
      <x:c r="M289" s="126"/>
      <x:c r="N289"/>
      <x:c r="O289"/>
      <x:c r="P289" s="145"/>
      <x:c r="Q289" s="126"/>
      <x:c r="R289" s="149" t="n">
        <x:v>12.65</x:v>
      </x:c>
      <x:c r="S289" s="145"/>
      <x:c r="T289" s="145"/>
      <x:c r="U289" s="124"/>
      <x:c r="V289" s="124"/>
      <x:c r="W289" s="124"/>
      <x:c r="X289" s="124"/>
      <x:c r="Y289"/>
      <x:c r="Z289"/>
      <x:c r="AA289" s="116" t="str">
        <x:v>Net unit weight is not supplied in 03. Order-level RFQ minimum: USD 100. Retail estimate: 35% of median same-tail-size DHH hose-end retail; analog basis MF-12-12W; observed 2026-08-15; https://www.discounthydraulichose.com/MF-12-12W.html</x:v>
      </x:c>
      <x:c r="AB289" s="161" t="str">
        <x:v>Eligible</x:v>
      </x:c>
      <x:c r="AC289" s="161" t="str">
        <x:v>Pending</x:v>
      </x:c>
      <x:c r="AD289" t="str">
        <x:v>Units</x:v>
      </x:c>
      <x:c r="AE289" s="145"/>
      <x:c r="AF289" s="145"/>
      <x:c r="AG289" s="145"/>
      <x:c r="AH289" s="145"/>
      <x:c r="AI289" s="145"/>
      <x:c r="AJ289"/>
    </x:row>
    <x:row r="290" ht="30" customHeight="1">
      <x:c r="A290" s="138" t="str">
        <x:v>Draft</x:v>
      </x:c>
      <x:c r="B290" s="138" t="str">
        <x:v>Ferrule</x:v>
      </x:c>
      <x:c r="C290" s="138" t="str">
        <x:v>601R2_2WB_009</x:v>
      </x:c>
      <x:c r="D290" s="138" t="str">
        <x:v>601R2_2WB_009</x:v>
      </x:c>
      <x:c r="E290" s="138" t="str">
        <x:v>EA</x:v>
      </x:c>
      <x:c r="F290" s="139"/>
      <x:c r="G290" s="141" t="n">
        <x:v>1</x:v>
      </x:c>
      <x:c r="H290" s="141" t="n">
        <x:v>1</x:v>
      </x:c>
      <x:c r="I290" s="143"/>
      <x:c r="J290" s="141" t="n">
        <x:v>10</x:v>
      </x:c>
      <x:c r="K290" s="138" t="str">
        <x:v>China</x:v>
      </x:c>
      <x:c r="L290" t="str">
        <x:v>USD</x:v>
      </x:c>
      <x:c r="M290" s="126"/>
      <x:c r="N290"/>
      <x:c r="O290"/>
      <x:c r="P290" s="145"/>
      <x:c r="Q290" s="126"/>
      <x:c r="R290" s="149" t="n">
        <x:v>16.87</x:v>
      </x:c>
      <x:c r="S290" s="145"/>
      <x:c r="T290" s="145"/>
      <x:c r="U290" s="124"/>
      <x:c r="V290" s="124"/>
      <x:c r="W290" s="124"/>
      <x:c r="X290" s="124"/>
      <x:c r="Y290"/>
      <x:c r="Z290"/>
      <x:c r="AA290" s="116" t="str">
        <x:v>Net unit weight is not supplied in 03. Order-level RFQ minimum: USD 100. Retail estimate: 35% of median same-tail-size DHH hose-end retail; analog basis FJX-16-20W; observed 2026-08-15; https://www.discounthydraulichose.com/FJX-16-20W.html</x:v>
      </x:c>
      <x:c r="AB290" s="161" t="str">
        <x:v>Eligible</x:v>
      </x:c>
      <x:c r="AC290" s="161" t="str">
        <x:v>Pending</x:v>
      </x:c>
      <x:c r="AD290" t="str">
        <x:v>Units</x:v>
      </x:c>
      <x:c r="AE290" s="145"/>
      <x:c r="AF290" s="145"/>
      <x:c r="AG290" s="145"/>
      <x:c r="AH290" s="145"/>
      <x:c r="AI290" s="145"/>
      <x:c r="AJ290"/>
    </x:row>
    <x:row r="291" ht="30" customHeight="1">
      <x:c r="A291" s="138" t="str">
        <x:v>Draft</x:v>
      </x:c>
      <x:c r="B291" s="138" t="str">
        <x:v>Ferrule</x:v>
      </x:c>
      <x:c r="C291" s="138" t="str">
        <x:v>601R2_2WB_010</x:v>
      </x:c>
      <x:c r="D291" s="138" t="str">
        <x:v>601R2_2WB_010</x:v>
      </x:c>
      <x:c r="E291" s="138" t="str">
        <x:v>EA</x:v>
      </x:c>
      <x:c r="F291" s="139"/>
      <x:c r="G291" s="141" t="n">
        <x:v>1</x:v>
      </x:c>
      <x:c r="H291" s="141" t="n">
        <x:v>1</x:v>
      </x:c>
      <x:c r="I291" s="143"/>
      <x:c r="J291" s="141" t="n">
        <x:v>10</x:v>
      </x:c>
      <x:c r="K291" s="138" t="str">
        <x:v>China</x:v>
      </x:c>
      <x:c r="L291" t="str">
        <x:v>USD</x:v>
      </x:c>
      <x:c r="M291" s="126"/>
      <x:c r="N291"/>
      <x:c r="O291"/>
      <x:c r="P291" s="145"/>
      <x:c r="Q291" s="126"/>
      <x:c r="R291" s="149" t="n">
        <x:v>16.87</x:v>
      </x:c>
      <x:c r="S291" s="145"/>
      <x:c r="T291" s="145"/>
      <x:c r="U291" s="124"/>
      <x:c r="V291" s="124"/>
      <x:c r="W291" s="124"/>
      <x:c r="X291" s="124"/>
      <x:c r="Y291"/>
      <x:c r="Z291"/>
      <x:c r="AA291" s="116" t="str">
        <x:v>Net unit weight is not supplied in 03. Order-level RFQ minimum: USD 100. Retail estimate: 35% of median same-tail-size DHH hose-end retail; analog basis FJX-16-20W; observed 2026-08-15; https://www.discounthydraulichose.com/FJX-16-20W.html</x:v>
      </x:c>
      <x:c r="AB291" s="161" t="str">
        <x:v>Eligible</x:v>
      </x:c>
      <x:c r="AC291" s="161" t="str">
        <x:v>Pending</x:v>
      </x:c>
      <x:c r="AD291" t="str">
        <x:v>Units</x:v>
      </x:c>
      <x:c r="AE291" s="145"/>
      <x:c r="AF291" s="145"/>
      <x:c r="AG291" s="145"/>
      <x:c r="AH291" s="145"/>
      <x:c r="AI291" s="145"/>
      <x:c r="AJ291"/>
    </x:row>
    <x:row r="292" ht="30" customHeight="1">
      <x:c r="A292" s="138" t="str">
        <x:v>Draft</x:v>
      </x:c>
      <x:c r="B292" s="138" t="str">
        <x:v>Ferrule</x:v>
      </x:c>
      <x:c r="C292" s="138" t="str">
        <x:v>601R2_2WB_011</x:v>
      </x:c>
      <x:c r="D292" s="138" t="str">
        <x:v>601R2_2WB_011</x:v>
      </x:c>
      <x:c r="E292" s="138" t="str">
        <x:v>EA</x:v>
      </x:c>
      <x:c r="F292" s="139"/>
      <x:c r="G292" s="141" t="n">
        <x:v>1</x:v>
      </x:c>
      <x:c r="H292" s="141" t="n">
        <x:v>1</x:v>
      </x:c>
      <x:c r="I292" s="143"/>
      <x:c r="J292" s="141" t="n">
        <x:v>10</x:v>
      </x:c>
      <x:c r="K292" s="138" t="str">
        <x:v>China</x:v>
      </x:c>
      <x:c r="L292" t="str">
        <x:v>USD</x:v>
      </x:c>
      <x:c r="M292" s="126"/>
      <x:c r="N292"/>
      <x:c r="O292"/>
      <x:c r="P292" s="145"/>
      <x:c r="Q292" s="126"/>
      <x:c r="R292" s="149" t="n">
        <x:v>16.87</x:v>
      </x:c>
      <x:c r="S292" s="145"/>
      <x:c r="T292" s="145"/>
      <x:c r="U292" s="124"/>
      <x:c r="V292" s="124"/>
      <x:c r="W292" s="124"/>
      <x:c r="X292" s="124"/>
      <x:c r="Y292"/>
      <x:c r="Z292"/>
      <x:c r="AA292" s="116" t="str">
        <x:v>Net unit weight is not supplied in 03. Order-level RFQ minimum: USD 100. Retail estimate: 35% of median same-tail-size DHH hose-end retail; analog basis FJX-16-20W; observed 2026-08-15; https://www.discounthydraulichose.com/FJX-16-20W.html</x:v>
      </x:c>
      <x:c r="AB292" s="161" t="str">
        <x:v>Eligible</x:v>
      </x:c>
      <x:c r="AC292" s="161" t="str">
        <x:v>Pending</x:v>
      </x:c>
      <x:c r="AD292" t="str">
        <x:v>Units</x:v>
      </x:c>
      <x:c r="AE292" s="145"/>
      <x:c r="AF292" s="145"/>
      <x:c r="AG292" s="145"/>
      <x:c r="AH292" s="145"/>
      <x:c r="AI292" s="145"/>
      <x:c r="AJ292"/>
    </x:row>
    <x:row r="293" ht="30" customHeight="1">
      <x:c r="A293" s="138" t="str">
        <x:v>Draft</x:v>
      </x:c>
      <x:c r="B293" s="138" t="str">
        <x:v>Ferrule</x:v>
      </x:c>
      <x:c r="C293" s="138" t="str">
        <x:v>601R2_2WB_012</x:v>
      </x:c>
      <x:c r="D293" s="138" t="str">
        <x:v>601R2_2WB_012</x:v>
      </x:c>
      <x:c r="E293" s="138" t="str">
        <x:v>EA</x:v>
      </x:c>
      <x:c r="F293" s="139"/>
      <x:c r="G293" s="141" t="n">
        <x:v>1</x:v>
      </x:c>
      <x:c r="H293" s="141" t="n">
        <x:v>1</x:v>
      </x:c>
      <x:c r="I293" s="143"/>
      <x:c r="J293" s="141" t="n">
        <x:v>10</x:v>
      </x:c>
      <x:c r="K293" s="138" t="str">
        <x:v>China</x:v>
      </x:c>
      <x:c r="L293" t="str">
        <x:v>USD</x:v>
      </x:c>
      <x:c r="M293" s="126"/>
      <x:c r="N293"/>
      <x:c r="O293"/>
      <x:c r="P293" s="145"/>
      <x:c r="Q293" s="126"/>
      <x:c r="R293" s="149" t="n">
        <x:v>16.87</x:v>
      </x:c>
      <x:c r="S293" s="145"/>
      <x:c r="T293" s="145"/>
      <x:c r="U293" s="124"/>
      <x:c r="V293" s="124"/>
      <x:c r="W293" s="124"/>
      <x:c r="X293" s="124"/>
      <x:c r="Y293"/>
      <x:c r="Z293"/>
      <x:c r="AA293" s="116" t="str">
        <x:v>Net unit weight is not supplied in 03. Order-level RFQ minimum: USD 100. Retail estimate: 35% of median same-tail-size DHH hose-end retail; analog basis FJX-16-20W; observed 2026-08-15; https://www.discounthydraulichose.com/FJX-16-20W.html</x:v>
      </x:c>
      <x:c r="AB293" s="161" t="str">
        <x:v>Eligible</x:v>
      </x:c>
      <x:c r="AC293" s="161" t="str">
        <x:v>Pending</x:v>
      </x:c>
      <x:c r="AD293" t="str">
        <x:v>Units</x:v>
      </x:c>
      <x:c r="AE293" s="145"/>
      <x:c r="AF293" s="145"/>
      <x:c r="AG293" s="145"/>
      <x:c r="AH293" s="145"/>
      <x:c r="AI293" s="145"/>
      <x:c r="AJ293"/>
    </x:row>
    <x:row r="294" ht="30" customHeight="1">
      <x:c r="A294" s="138" t="str">
        <x:v>Draft</x:v>
      </x:c>
      <x:c r="B294" s="138" t="str">
        <x:v>Ferrule</x:v>
      </x:c>
      <x:c r="C294" s="138" t="str">
        <x:v>601R2_2WB_013</x:v>
      </x:c>
      <x:c r="D294" s="138" t="str">
        <x:v>601R2_2WB_013</x:v>
      </x:c>
      <x:c r="E294" s="138" t="str">
        <x:v>EA</x:v>
      </x:c>
      <x:c r="F294" s="139"/>
      <x:c r="G294" s="141" t="n">
        <x:v>1</x:v>
      </x:c>
      <x:c r="H294" s="141" t="n">
        <x:v>1</x:v>
      </x:c>
      <x:c r="I294" s="143"/>
      <x:c r="J294" s="141" t="n">
        <x:v>10</x:v>
      </x:c>
      <x:c r="K294" s="138" t="str">
        <x:v>China</x:v>
      </x:c>
      <x:c r="L294" t="str">
        <x:v>USD</x:v>
      </x:c>
      <x:c r="M294" s="126"/>
      <x:c r="N294"/>
      <x:c r="O294"/>
      <x:c r="P294" s="145"/>
      <x:c r="Q294" s="126"/>
      <x:c r="R294" s="149" t="n">
        <x:v>16.87</x:v>
      </x:c>
      <x:c r="S294" s="145"/>
      <x:c r="T294" s="145"/>
      <x:c r="U294" s="124"/>
      <x:c r="V294" s="124"/>
      <x:c r="W294" s="124"/>
      <x:c r="X294" s="124"/>
      <x:c r="Y294"/>
      <x:c r="Z294"/>
      <x:c r="AA294" s="116" t="str">
        <x:v>Net unit weight is not supplied in 03. Order-level RFQ minimum: USD 100. Retail estimate: 35% of median same-tail-size DHH hose-end retail; analog basis FJX-16-20W; observed 2026-08-15; https://www.discounthydraulichose.com/FJX-16-20W.html</x:v>
      </x:c>
      <x:c r="AB294" s="161" t="str">
        <x:v>Eligible</x:v>
      </x:c>
      <x:c r="AC294" s="161" t="str">
        <x:v>Pending</x:v>
      </x:c>
      <x:c r="AD294" t="str">
        <x:v>Units</x:v>
      </x:c>
      <x:c r="AE294" s="145"/>
      <x:c r="AF294" s="145"/>
      <x:c r="AG294" s="145"/>
      <x:c r="AH294" s="145"/>
      <x:c r="AI294" s="145"/>
      <x:c r="AJ294"/>
    </x:row>
    <x:row r="295" ht="30" customHeight="1">
      <x:c r="A295" s="138" t="str">
        <x:v>Draft</x:v>
      </x:c>
      <x:c r="B295" s="138" t="str">
        <x:v>Ferrule</x:v>
      </x:c>
      <x:c r="C295" s="138" t="str">
        <x:v>601R2_2WB_014</x:v>
      </x:c>
      <x:c r="D295" s="138" t="str">
        <x:v>601R2_2WB_014</x:v>
      </x:c>
      <x:c r="E295" s="138" t="str">
        <x:v>EA</x:v>
      </x:c>
      <x:c r="F295" s="139"/>
      <x:c r="G295" s="141" t="n">
        <x:v>1</x:v>
      </x:c>
      <x:c r="H295" s="141" t="n">
        <x:v>1</x:v>
      </x:c>
      <x:c r="I295" s="143"/>
      <x:c r="J295" s="141" t="n">
        <x:v>10</x:v>
      </x:c>
      <x:c r="K295" s="138" t="str">
        <x:v>China</x:v>
      </x:c>
      <x:c r="L295" t="str">
        <x:v>USD</x:v>
      </x:c>
      <x:c r="M295" s="126"/>
      <x:c r="N295"/>
      <x:c r="O295"/>
      <x:c r="P295" s="145"/>
      <x:c r="Q295" s="126"/>
      <x:c r="R295" s="149" t="n">
        <x:v>16.87</x:v>
      </x:c>
      <x:c r="S295" s="145"/>
      <x:c r="T295" s="145"/>
      <x:c r="U295" s="124"/>
      <x:c r="V295" s="124"/>
      <x:c r="W295" s="124"/>
      <x:c r="X295" s="124"/>
      <x:c r="Y295"/>
      <x:c r="Z295"/>
      <x:c r="AA295" s="116" t="str">
        <x:v>Net unit weight is not supplied in 03. Order-level RFQ minimum: USD 100. Retail estimate: 35% of median same-tail-size DHH hose-end retail; analog basis FJX-16-20W; observed 2026-08-15; https://www.discounthydraulichose.com/FJX-16-20W.html</x:v>
      </x:c>
      <x:c r="AB295" s="161" t="str">
        <x:v>Eligible</x:v>
      </x:c>
      <x:c r="AC295" s="161" t="str">
        <x:v>Pending</x:v>
      </x:c>
      <x:c r="AD295" t="str">
        <x:v>Units</x:v>
      </x:c>
      <x:c r="AE295" s="145"/>
      <x:c r="AF295" s="145"/>
      <x:c r="AG295" s="145"/>
      <x:c r="AH295" s="145"/>
      <x:c r="AI295" s="145"/>
      <x:c r="AJ295"/>
    </x:row>
    <x:row r="296" ht="30" customHeight="1">
      <x:c r="A296" s="138" t="str">
        <x:v>Draft</x:v>
      </x:c>
      <x:c r="B296" s="138" t="str">
        <x:v>Ferrule</x:v>
      </x:c>
      <x:c r="C296" s="138" t="str">
        <x:v>601R2_2WB_015</x:v>
      </x:c>
      <x:c r="D296" s="138" t="str">
        <x:v>601R2_2WB_015</x:v>
      </x:c>
      <x:c r="E296" s="138" t="str">
        <x:v>EA</x:v>
      </x:c>
      <x:c r="F296" s="139"/>
      <x:c r="G296" s="141" t="n">
        <x:v>1</x:v>
      </x:c>
      <x:c r="H296" s="141" t="n">
        <x:v>1</x:v>
      </x:c>
      <x:c r="I296" s="143"/>
      <x:c r="J296" s="141" t="n">
        <x:v>10</x:v>
      </x:c>
      <x:c r="K296" s="138" t="str">
        <x:v>China</x:v>
      </x:c>
      <x:c r="L296" t="str">
        <x:v>USD</x:v>
      </x:c>
      <x:c r="M296" s="126"/>
      <x:c r="N296"/>
      <x:c r="O296"/>
      <x:c r="P296" s="145"/>
      <x:c r="Q296" s="126"/>
      <x:c r="R296" s="149" t="n">
        <x:v>16.87</x:v>
      </x:c>
      <x:c r="S296" s="145"/>
      <x:c r="T296" s="145"/>
      <x:c r="U296" s="124"/>
      <x:c r="V296" s="124"/>
      <x:c r="W296" s="124"/>
      <x:c r="X296" s="124"/>
      <x:c r="Y296"/>
      <x:c r="Z296"/>
      <x:c r="AA296" s="116" t="str">
        <x:v>Net unit weight is not supplied in 03. Order-level RFQ minimum: USD 100. Retail estimate: 35% of median same-tail-size DHH hose-end retail; analog basis FJX-16-20W; observed 2026-08-15; https://www.discounthydraulichose.com/FJX-16-20W.html</x:v>
      </x:c>
      <x:c r="AB296" s="161" t="str">
        <x:v>Eligible</x:v>
      </x:c>
      <x:c r="AC296" s="161" t="str">
        <x:v>Pending</x:v>
      </x:c>
      <x:c r="AD296" t="str">
        <x:v>Units</x:v>
      </x:c>
      <x:c r="AE296" s="145"/>
      <x:c r="AF296" s="145"/>
      <x:c r="AG296" s="145"/>
      <x:c r="AH296" s="145"/>
      <x:c r="AI296" s="145"/>
      <x:c r="AJ296"/>
    </x:row>
    <x:row r="297" ht="30" customHeight="1">
      <x:c r="A297" s="138" t="str">
        <x:v>Draft</x:v>
      </x:c>
      <x:c r="B297" s="138" t="str">
        <x:v>Ferrule</x:v>
      </x:c>
      <x:c r="C297" s="138" t="str">
        <x:v>601R2_2WB_016</x:v>
      </x:c>
      <x:c r="D297" s="138" t="str">
        <x:v>601R2_2WB_016</x:v>
      </x:c>
      <x:c r="E297" s="138" t="str">
        <x:v>EA</x:v>
      </x:c>
      <x:c r="F297" s="139"/>
      <x:c r="G297" s="141" t="n">
        <x:v>1</x:v>
      </x:c>
      <x:c r="H297" s="141" t="n">
        <x:v>1</x:v>
      </x:c>
      <x:c r="I297" s="143"/>
      <x:c r="J297" s="141" t="n">
        <x:v>10</x:v>
      </x:c>
      <x:c r="K297" s="138" t="str">
        <x:v>China</x:v>
      </x:c>
      <x:c r="L297" t="str">
        <x:v>USD</x:v>
      </x:c>
      <x:c r="M297" s="126"/>
      <x:c r="N297"/>
      <x:c r="O297"/>
      <x:c r="P297" s="145"/>
      <x:c r="Q297" s="126"/>
      <x:c r="R297" s="149" t="n">
        <x:v>16.87</x:v>
      </x:c>
      <x:c r="S297" s="145"/>
      <x:c r="T297" s="145"/>
      <x:c r="U297" s="124"/>
      <x:c r="V297" s="124"/>
      <x:c r="W297" s="124"/>
      <x:c r="X297" s="124"/>
      <x:c r="Y297"/>
      <x:c r="Z297"/>
      <x:c r="AA297" s="116" t="str">
        <x:v>Net unit weight is not supplied in 03. Order-level RFQ minimum: USD 100. Retail estimate: 35% of median same-tail-size DHH hose-end retail; analog basis FJX-16-20W; observed 2026-08-15; https://www.discounthydraulichose.com/FJX-16-20W.html</x:v>
      </x:c>
      <x:c r="AB297" s="161" t="str">
        <x:v>Eligible</x:v>
      </x:c>
      <x:c r="AC297" s="161" t="str">
        <x:v>Pending</x:v>
      </x:c>
      <x:c r="AD297" t="str">
        <x:v>Units</x:v>
      </x:c>
      <x:c r="AE297" s="145"/>
      <x:c r="AF297" s="145"/>
      <x:c r="AG297" s="145"/>
      <x:c r="AH297" s="145"/>
      <x:c r="AI297" s="145"/>
      <x:c r="AJ297"/>
    </x:row>
    <x:row r="298" ht="30" customHeight="1">
      <x:c r="A298" s="138" t="str">
        <x:v>Draft</x:v>
      </x:c>
      <x:c r="B298" s="138" t="str">
        <x:v>Ferrule</x:v>
      </x:c>
      <x:c r="C298" s="138" t="str">
        <x:v>EN1SC_1WB_001</x:v>
      </x:c>
      <x:c r="D298" s="138" t="str">
        <x:v>EN1SC_1WB_001</x:v>
      </x:c>
      <x:c r="E298" s="138" t="str">
        <x:v>EA</x:v>
      </x:c>
      <x:c r="F298" s="139"/>
      <x:c r="G298" s="141" t="n">
        <x:v>1</x:v>
      </x:c>
      <x:c r="H298" s="141" t="n">
        <x:v>1</x:v>
      </x:c>
      <x:c r="I298" s="143"/>
      <x:c r="J298" s="141" t="n">
        <x:v>10</x:v>
      </x:c>
      <x:c r="K298" s="138" t="str">
        <x:v>China</x:v>
      </x:c>
      <x:c r="L298" t="str">
        <x:v>USD</x:v>
      </x:c>
      <x:c r="M298" s="126"/>
      <x:c r="N298"/>
      <x:c r="O298"/>
      <x:c r="P298" s="145"/>
      <x:c r="Q298" s="126"/>
      <x:c r="R298" s="149" t="n">
        <x:v>5.13</x:v>
      </x:c>
      <x:c r="S298" s="145"/>
      <x:c r="T298" s="145"/>
      <x:c r="U298" s="124"/>
      <x:c r="V298" s="124"/>
      <x:c r="W298" s="124"/>
      <x:c r="X298" s="124"/>
      <x:c r="Y298"/>
      <x:c r="Z298"/>
      <x:c r="AA298" s="116" t="str">
        <x:v>Net unit weight is not supplied in 03. Order-level RFQ minimum: USD 100. Retail estimate: 35% of median same-tail-size DHH hose-end retail; analog basis MP-04-08W; observed 2026-08-15; https://www.discounthydraulichose.com/MP-04-08W.html</x:v>
      </x:c>
      <x:c r="AB298" s="161" t="str">
        <x:v>Eligible</x:v>
      </x:c>
      <x:c r="AC298" s="161" t="str">
        <x:v>Pending</x:v>
      </x:c>
      <x:c r="AD298" t="str">
        <x:v>Units</x:v>
      </x:c>
      <x:c r="AE298" s="145"/>
      <x:c r="AF298" s="145"/>
      <x:c r="AG298" s="145"/>
      <x:c r="AH298" s="145"/>
      <x:c r="AI298" s="145"/>
      <x:c r="AJ298"/>
    </x:row>
    <x:row r="299" ht="30" customHeight="1">
      <x:c r="A299" s="138" t="str">
        <x:v>Draft</x:v>
      </x:c>
      <x:c r="B299" s="138" t="str">
        <x:v>Ferrule</x:v>
      </x:c>
      <x:c r="C299" s="138" t="str">
        <x:v>EN1SC_1WB_002</x:v>
      </x:c>
      <x:c r="D299" s="138" t="str">
        <x:v>EN1SC_1WB_002</x:v>
      </x:c>
      <x:c r="E299" s="138" t="str">
        <x:v>EA</x:v>
      </x:c>
      <x:c r="F299" s="139"/>
      <x:c r="G299" s="141" t="n">
        <x:v>1</x:v>
      </x:c>
      <x:c r="H299" s="141" t="n">
        <x:v>1</x:v>
      </x:c>
      <x:c r="I299" s="143"/>
      <x:c r="J299" s="141" t="n">
        <x:v>10</x:v>
      </x:c>
      <x:c r="K299" s="138" t="str">
        <x:v>China</x:v>
      </x:c>
      <x:c r="L299" t="str">
        <x:v>USD</x:v>
      </x:c>
      <x:c r="M299" s="126"/>
      <x:c r="N299"/>
      <x:c r="O299"/>
      <x:c r="P299" s="145"/>
      <x:c r="Q299" s="126"/>
      <x:c r="R299" s="149" t="n">
        <x:v>5.13</x:v>
      </x:c>
      <x:c r="S299" s="145"/>
      <x:c r="T299" s="145"/>
      <x:c r="U299" s="124"/>
      <x:c r="V299" s="124"/>
      <x:c r="W299" s="124"/>
      <x:c r="X299" s="124"/>
      <x:c r="Y299"/>
      <x:c r="Z299"/>
      <x:c r="AA299" s="116" t="str">
        <x:v>Net unit weight is not supplied in 03. Order-level RFQ minimum: USD 100. Retail estimate: 35% of median same-tail-size DHH hose-end retail; analog basis MP-04-08W; observed 2026-08-15; https://www.discounthydraulichose.com/MP-04-08W.html</x:v>
      </x:c>
      <x:c r="AB299" s="161" t="str">
        <x:v>Eligible</x:v>
      </x:c>
      <x:c r="AC299" s="161" t="str">
        <x:v>Pending</x:v>
      </x:c>
      <x:c r="AD299" t="str">
        <x:v>Units</x:v>
      </x:c>
      <x:c r="AE299" s="145"/>
      <x:c r="AF299" s="145"/>
      <x:c r="AG299" s="145"/>
      <x:c r="AH299" s="145"/>
      <x:c r="AI299" s="145"/>
      <x:c r="AJ299"/>
    </x:row>
    <x:row r="300" ht="30" customHeight="1">
      <x:c r="A300" s="138" t="str">
        <x:v>Draft</x:v>
      </x:c>
      <x:c r="B300" s="138" t="str">
        <x:v>Ferrule</x:v>
      </x:c>
      <x:c r="C300" s="138" t="str">
        <x:v>EN1SC_1WB_003</x:v>
      </x:c>
      <x:c r="D300" s="138" t="str">
        <x:v>EN1SC_1WB_003</x:v>
      </x:c>
      <x:c r="E300" s="138" t="str">
        <x:v>EA</x:v>
      </x:c>
      <x:c r="F300" s="139"/>
      <x:c r="G300" s="141" t="n">
        <x:v>1</x:v>
      </x:c>
      <x:c r="H300" s="141" t="n">
        <x:v>1</x:v>
      </x:c>
      <x:c r="I300" s="143"/>
      <x:c r="J300" s="141" t="n">
        <x:v>10</x:v>
      </x:c>
      <x:c r="K300" s="138" t="str">
        <x:v>China</x:v>
      </x:c>
      <x:c r="L300" t="str">
        <x:v>USD</x:v>
      </x:c>
      <x:c r="M300" s="126"/>
      <x:c r="N300"/>
      <x:c r="O300"/>
      <x:c r="P300" s="145"/>
      <x:c r="Q300" s="126"/>
      <x:c r="R300" s="149" t="n">
        <x:v>6.25</x:v>
      </x:c>
      <x:c r="S300" s="145"/>
      <x:c r="T300" s="145"/>
      <x:c r="U300" s="124"/>
      <x:c r="V300" s="124"/>
      <x:c r="W300" s="124"/>
      <x:c r="X300" s="124"/>
      <x:c r="Y300"/>
      <x:c r="Z300"/>
      <x:c r="AA300" s="116" t="str">
        <x:v>Net unit weight is not supplied in 03. Order-level RFQ minimum: USD 100. Retail estimate: 35% of median same-tail-size DHH hose-end retail; analog basis FBSPX-06-08W; observed 2026-08-15; https://www.discounthydraulichose.com/FBSPX-06-08W.html</x:v>
      </x:c>
      <x:c r="AB300" s="161" t="str">
        <x:v>Eligible</x:v>
      </x:c>
      <x:c r="AC300" s="161" t="str">
        <x:v>Pending</x:v>
      </x:c>
      <x:c r="AD300" t="str">
        <x:v>Units</x:v>
      </x:c>
      <x:c r="AE300" s="145"/>
      <x:c r="AF300" s="145"/>
      <x:c r="AG300" s="145"/>
      <x:c r="AH300" s="145"/>
      <x:c r="AI300" s="145"/>
      <x:c r="AJ300"/>
    </x:row>
    <x:row r="301" ht="30" customHeight="1">
      <x:c r="A301" s="138" t="str">
        <x:v>Draft</x:v>
      </x:c>
      <x:c r="B301" s="138" t="str">
        <x:v>Ferrule</x:v>
      </x:c>
      <x:c r="C301" s="138" t="str">
        <x:v>EN1SC_1WB_004</x:v>
      </x:c>
      <x:c r="D301" s="138" t="str">
        <x:v>EN1SC_1WB_004</x:v>
      </x:c>
      <x:c r="E301" s="138" t="str">
        <x:v>EA</x:v>
      </x:c>
      <x:c r="F301" s="139"/>
      <x:c r="G301" s="141" t="n">
        <x:v>1</x:v>
      </x:c>
      <x:c r="H301" s="141" t="n">
        <x:v>1</x:v>
      </x:c>
      <x:c r="I301" s="143"/>
      <x:c r="J301" s="141" t="n">
        <x:v>10</x:v>
      </x:c>
      <x:c r="K301" s="138" t="str">
        <x:v>China</x:v>
      </x:c>
      <x:c r="L301" t="str">
        <x:v>USD</x:v>
      </x:c>
      <x:c r="M301" s="126"/>
      <x:c r="N301"/>
      <x:c r="O301"/>
      <x:c r="P301" s="145"/>
      <x:c r="Q301" s="126"/>
      <x:c r="R301" s="149" t="n">
        <x:v>7.28</x:v>
      </x:c>
      <x:c r="S301" s="145"/>
      <x:c r="T301" s="145"/>
      <x:c r="U301" s="124"/>
      <x:c r="V301" s="124"/>
      <x:c r="W301" s="124"/>
      <x:c r="X301" s="124"/>
      <x:c r="Y301"/>
      <x:c r="Z301"/>
      <x:c r="AA301" s="116" t="str">
        <x:v>Net unit weight is not supplied in 03. Order-level RFQ minimum: USD 100. Retail estimate: 35% of median same-tail-size DHH hose-end retail; analog basis FFX90-08-10W; observed 2026-08-15; https://www.discounthydraulichose.com/FFX90-08-10W.html</x:v>
      </x:c>
      <x:c r="AB301" s="161" t="str">
        <x:v>Eligible</x:v>
      </x:c>
      <x:c r="AC301" s="161" t="str">
        <x:v>Pending</x:v>
      </x:c>
      <x:c r="AD301" t="str">
        <x:v>Units</x:v>
      </x:c>
      <x:c r="AE301" s="145"/>
      <x:c r="AF301" s="145"/>
      <x:c r="AG301" s="145"/>
      <x:c r="AH301" s="145"/>
      <x:c r="AI301" s="145"/>
      <x:c r="AJ301"/>
    </x:row>
    <x:row r="302" ht="30" customHeight="1">
      <x:c r="A302" s="138" t="str">
        <x:v>Draft</x:v>
      </x:c>
      <x:c r="B302" s="138" t="str">
        <x:v>Ferrule</x:v>
      </x:c>
      <x:c r="C302" s="138" t="str">
        <x:v>EN1SC_1WB_005</x:v>
      </x:c>
      <x:c r="D302" s="138" t="str">
        <x:v>EN1SC_1WB_005</x:v>
      </x:c>
      <x:c r="E302" s="138" t="str">
        <x:v>EA</x:v>
      </x:c>
      <x:c r="F302" s="139"/>
      <x:c r="G302" s="141" t="n">
        <x:v>1</x:v>
      </x:c>
      <x:c r="H302" s="141" t="n">
        <x:v>1</x:v>
      </x:c>
      <x:c r="I302" s="143"/>
      <x:c r="J302" s="141" t="n">
        <x:v>10</x:v>
      </x:c>
      <x:c r="K302" s="138" t="str">
        <x:v>China</x:v>
      </x:c>
      <x:c r="L302" t="str">
        <x:v>USD</x:v>
      </x:c>
      <x:c r="M302" s="126"/>
      <x:c r="N302"/>
      <x:c r="O302"/>
      <x:c r="P302" s="145"/>
      <x:c r="Q302" s="126"/>
      <x:c r="R302" s="149" t="n">
        <x:v>10.05</x:v>
      </x:c>
      <x:c r="S302" s="145"/>
      <x:c r="T302" s="145"/>
      <x:c r="U302" s="124"/>
      <x:c r="V302" s="124"/>
      <x:c r="W302" s="124"/>
      <x:c r="X302" s="124"/>
      <x:c r="Y302"/>
      <x:c r="Z302"/>
      <x:c r="AA302" s="116" t="str">
        <x:v>Net unit weight is not supplied in 03. Order-level RFQ minimum: USD 100. Retail estimate: 35% of median same-tail-size DHH hose-end retail; analog basis FJX-10-08W; observed 2026-08-15; https://www.discounthydraulichose.com/FJX-10-08W.html</x:v>
      </x:c>
      <x:c r="AB302" s="161" t="str">
        <x:v>Eligible</x:v>
      </x:c>
      <x:c r="AC302" s="161" t="str">
        <x:v>Pending</x:v>
      </x:c>
      <x:c r="AD302" t="str">
        <x:v>Units</x:v>
      </x:c>
      <x:c r="AE302" s="145"/>
      <x:c r="AF302" s="145"/>
      <x:c r="AG302" s="145"/>
      <x:c r="AH302" s="145"/>
      <x:c r="AI302" s="145"/>
      <x:c r="AJ302"/>
    </x:row>
    <x:row r="303" ht="30" customHeight="1">
      <x:c r="A303" s="138" t="str">
        <x:v>Draft</x:v>
      </x:c>
      <x:c r="B303" s="138" t="str">
        <x:v>Ferrule</x:v>
      </x:c>
      <x:c r="C303" s="138" t="str">
        <x:v>EN1SC_1WB_006</x:v>
      </x:c>
      <x:c r="D303" s="138" t="str">
        <x:v>EN1SC_1WB_006</x:v>
      </x:c>
      <x:c r="E303" s="138" t="str">
        <x:v>EA</x:v>
      </x:c>
      <x:c r="F303" s="139"/>
      <x:c r="G303" s="141" t="n">
        <x:v>1</x:v>
      </x:c>
      <x:c r="H303" s="141" t="n">
        <x:v>1</x:v>
      </x:c>
      <x:c r="I303" s="143"/>
      <x:c r="J303" s="141" t="n">
        <x:v>10</x:v>
      </x:c>
      <x:c r="K303" s="138" t="str">
        <x:v>China</x:v>
      </x:c>
      <x:c r="L303" t="str">
        <x:v>USD</x:v>
      </x:c>
      <x:c r="M303" s="126"/>
      <x:c r="N303"/>
      <x:c r="O303"/>
      <x:c r="P303" s="145"/>
      <x:c r="Q303" s="126"/>
      <x:c r="R303" s="149" t="n">
        <x:v>12.65</x:v>
      </x:c>
      <x:c r="S303" s="145"/>
      <x:c r="T303" s="145"/>
      <x:c r="U303" s="124"/>
      <x:c r="V303" s="124"/>
      <x:c r="W303" s="124"/>
      <x:c r="X303" s="124"/>
      <x:c r="Y303"/>
      <x:c r="Z303"/>
      <x:c r="AA303" s="116" t="str">
        <x:v>Net unit weight is not supplied in 03. Order-level RFQ minimum: USD 100. Retail estimate: 35% of median same-tail-size DHH hose-end retail; analog basis MF-12-12W; observed 2026-08-15; https://www.discounthydraulichose.com/MF-12-12W.html</x:v>
      </x:c>
      <x:c r="AB303" s="161" t="str">
        <x:v>Eligible</x:v>
      </x:c>
      <x:c r="AC303" s="161" t="str">
        <x:v>Pending</x:v>
      </x:c>
      <x:c r="AD303" t="str">
        <x:v>Units</x:v>
      </x:c>
      <x:c r="AE303" s="145"/>
      <x:c r="AF303" s="145"/>
      <x:c r="AG303" s="145"/>
      <x:c r="AH303" s="145"/>
      <x:c r="AI303" s="145"/>
      <x:c r="AJ303"/>
    </x:row>
    <x:row r="304" ht="30" customHeight="1">
      <x:c r="A304" s="138" t="str">
        <x:v>Draft</x:v>
      </x:c>
      <x:c r="B304" s="138" t="str">
        <x:v>Ferrule</x:v>
      </x:c>
      <x:c r="C304" s="138" t="str">
        <x:v>EN1SC_1WB_007</x:v>
      </x:c>
      <x:c r="D304" s="138" t="str">
        <x:v>EN1SC_1WB_007</x:v>
      </x:c>
      <x:c r="E304" s="138" t="str">
        <x:v>EA</x:v>
      </x:c>
      <x:c r="F304" s="139"/>
      <x:c r="G304" s="141" t="n">
        <x:v>1</x:v>
      </x:c>
      <x:c r="H304" s="141" t="n">
        <x:v>1</x:v>
      </x:c>
      <x:c r="I304" s="143"/>
      <x:c r="J304" s="141" t="n">
        <x:v>10</x:v>
      </x:c>
      <x:c r="K304" s="138" t="str">
        <x:v>China</x:v>
      </x:c>
      <x:c r="L304" t="str">
        <x:v>USD</x:v>
      </x:c>
      <x:c r="M304" s="126"/>
      <x:c r="N304"/>
      <x:c r="O304"/>
      <x:c r="P304" s="145"/>
      <x:c r="Q304" s="126"/>
      <x:c r="R304" s="149" t="n">
        <x:v>16.87</x:v>
      </x:c>
      <x:c r="S304" s="145"/>
      <x:c r="T304" s="145"/>
      <x:c r="U304" s="124"/>
      <x:c r="V304" s="124"/>
      <x:c r="W304" s="124"/>
      <x:c r="X304" s="124"/>
      <x:c r="Y304"/>
      <x:c r="Z304"/>
      <x:c r="AA304" s="116" t="str">
        <x:v>Net unit weight is not supplied in 03. Order-level RFQ minimum: USD 100. Retail estimate: 35% of median same-tail-size DHH hose-end retail; analog basis FJX-16-20W; observed 2026-08-15; https://www.discounthydraulichose.com/FJX-16-20W.html</x:v>
      </x:c>
      <x:c r="AB304" s="161" t="str">
        <x:v>Eligible</x:v>
      </x:c>
      <x:c r="AC304" s="161" t="str">
        <x:v>Pending</x:v>
      </x:c>
      <x:c r="AD304" t="str">
        <x:v>Units</x:v>
      </x:c>
      <x:c r="AE304" s="145"/>
      <x:c r="AF304" s="145"/>
      <x:c r="AG304" s="145"/>
      <x:c r="AH304" s="145"/>
      <x:c r="AI304" s="145"/>
      <x:c r="AJ304"/>
    </x:row>
    <x:row r="305" ht="30" customHeight="1">
      <x:c r="A305" s="138" t="str">
        <x:v>Draft</x:v>
      </x:c>
      <x:c r="B305" s="138" t="str">
        <x:v>Ferrule</x:v>
      </x:c>
      <x:c r="C305" s="138" t="str">
        <x:v>EN2SC_2WB_001</x:v>
      </x:c>
      <x:c r="D305" s="138" t="str">
        <x:v>EN2SC_2WB_001</x:v>
      </x:c>
      <x:c r="E305" s="138" t="str">
        <x:v>EA</x:v>
      </x:c>
      <x:c r="F305" s="139"/>
      <x:c r="G305" s="141" t="n">
        <x:v>1</x:v>
      </x:c>
      <x:c r="H305" s="141" t="n">
        <x:v>1</x:v>
      </x:c>
      <x:c r="I305" s="143"/>
      <x:c r="J305" s="141" t="n">
        <x:v>10</x:v>
      </x:c>
      <x:c r="K305" s="138" t="str">
        <x:v>China</x:v>
      </x:c>
      <x:c r="L305" t="str">
        <x:v>USD</x:v>
      </x:c>
      <x:c r="M305" s="126"/>
      <x:c r="N305"/>
      <x:c r="O305"/>
      <x:c r="P305" s="145"/>
      <x:c r="Q305" s="126"/>
      <x:c r="R305" s="149" t="n">
        <x:v>5.13</x:v>
      </x:c>
      <x:c r="S305" s="145"/>
      <x:c r="T305" s="145"/>
      <x:c r="U305" s="124"/>
      <x:c r="V305" s="124"/>
      <x:c r="W305" s="124"/>
      <x:c r="X305" s="124"/>
      <x:c r="Y305"/>
      <x:c r="Z305"/>
      <x:c r="AA305" s="116" t="str">
        <x:v>Net unit weight is not supplied in 03. Order-level RFQ minimum: USD 100. Retail estimate: 35% of median same-tail-size DHH hose-end retail; analog basis MP-04-08W; observed 2026-08-15; https://www.discounthydraulichose.com/MP-04-08W.html</x:v>
      </x:c>
      <x:c r="AB305" s="161" t="str">
        <x:v>Eligible</x:v>
      </x:c>
      <x:c r="AC305" s="161" t="str">
        <x:v>Pending</x:v>
      </x:c>
      <x:c r="AD305" t="str">
        <x:v>Units</x:v>
      </x:c>
      <x:c r="AE305" s="145"/>
      <x:c r="AF305" s="145"/>
      <x:c r="AG305" s="145"/>
      <x:c r="AH305" s="145"/>
      <x:c r="AI305" s="145"/>
      <x:c r="AJ305"/>
    </x:row>
    <x:row r="306" ht="30" customHeight="1">
      <x:c r="A306" s="138" t="str">
        <x:v>Draft</x:v>
      </x:c>
      <x:c r="B306" s="138" t="str">
        <x:v>Ferrule</x:v>
      </x:c>
      <x:c r="C306" s="138" t="str">
        <x:v>EN2SC_2WB_002</x:v>
      </x:c>
      <x:c r="D306" s="138" t="str">
        <x:v>EN2SC_2WB_002</x:v>
      </x:c>
      <x:c r="E306" s="138" t="str">
        <x:v>EA</x:v>
      </x:c>
      <x:c r="F306" s="139"/>
      <x:c r="G306" s="141" t="n">
        <x:v>1</x:v>
      </x:c>
      <x:c r="H306" s="141" t="n">
        <x:v>1</x:v>
      </x:c>
      <x:c r="I306" s="143"/>
      <x:c r="J306" s="141" t="n">
        <x:v>10</x:v>
      </x:c>
      <x:c r="K306" s="138" t="str">
        <x:v>China</x:v>
      </x:c>
      <x:c r="L306" t="str">
        <x:v>USD</x:v>
      </x:c>
      <x:c r="M306" s="126"/>
      <x:c r="N306"/>
      <x:c r="O306"/>
      <x:c r="P306" s="145"/>
      <x:c r="Q306" s="126"/>
      <x:c r="R306" s="149" t="n">
        <x:v>5.13</x:v>
      </x:c>
      <x:c r="S306" s="145"/>
      <x:c r="T306" s="145"/>
      <x:c r="U306" s="124"/>
      <x:c r="V306" s="124"/>
      <x:c r="W306" s="124"/>
      <x:c r="X306" s="124"/>
      <x:c r="Y306"/>
      <x:c r="Z306"/>
      <x:c r="AA306" s="116" t="str">
        <x:v>Net unit weight is not supplied in 03. Order-level RFQ minimum: USD 100. Retail estimate: 35% of median same-tail-size DHH hose-end retail; analog basis MP-04-08W; observed 2026-08-15; https://www.discounthydraulichose.com/MP-04-08W.html</x:v>
      </x:c>
      <x:c r="AB306" s="161" t="str">
        <x:v>Eligible</x:v>
      </x:c>
      <x:c r="AC306" s="161" t="str">
        <x:v>Pending</x:v>
      </x:c>
      <x:c r="AD306" t="str">
        <x:v>Units</x:v>
      </x:c>
      <x:c r="AE306" s="145"/>
      <x:c r="AF306" s="145"/>
      <x:c r="AG306" s="145"/>
      <x:c r="AH306" s="145"/>
      <x:c r="AI306" s="145"/>
      <x:c r="AJ306"/>
    </x:row>
    <x:row r="307" ht="30" customHeight="1">
      <x:c r="A307" s="138" t="str">
        <x:v>Draft</x:v>
      </x:c>
      <x:c r="B307" s="138" t="str">
        <x:v>Ferrule</x:v>
      </x:c>
      <x:c r="C307" s="138" t="str">
        <x:v>EN2SC_2WB_003</x:v>
      </x:c>
      <x:c r="D307" s="138" t="str">
        <x:v>EN2SC_2WB_003</x:v>
      </x:c>
      <x:c r="E307" s="138" t="str">
        <x:v>EA</x:v>
      </x:c>
      <x:c r="F307" s="139"/>
      <x:c r="G307" s="141" t="n">
        <x:v>1</x:v>
      </x:c>
      <x:c r="H307" s="141" t="n">
        <x:v>1</x:v>
      </x:c>
      <x:c r="I307" s="143"/>
      <x:c r="J307" s="141" t="n">
        <x:v>10</x:v>
      </x:c>
      <x:c r="K307" s="138" t="str">
        <x:v>China</x:v>
      </x:c>
      <x:c r="L307" t="str">
        <x:v>USD</x:v>
      </x:c>
      <x:c r="M307" s="126"/>
      <x:c r="N307"/>
      <x:c r="O307"/>
      <x:c r="P307" s="145"/>
      <x:c r="Q307" s="126"/>
      <x:c r="R307" s="149" t="n">
        <x:v>6.25</x:v>
      </x:c>
      <x:c r="S307" s="145"/>
      <x:c r="T307" s="145"/>
      <x:c r="U307" s="124"/>
      <x:c r="V307" s="124"/>
      <x:c r="W307" s="124"/>
      <x:c r="X307" s="124"/>
      <x:c r="Y307"/>
      <x:c r="Z307"/>
      <x:c r="AA307" s="116" t="str">
        <x:v>Net unit weight is not supplied in 03. Order-level RFQ minimum: USD 100. Retail estimate: 35% of median same-tail-size DHH hose-end retail; analog basis FBSPX-06-08W; observed 2026-08-15; https://www.discounthydraulichose.com/FBSPX-06-08W.html</x:v>
      </x:c>
      <x:c r="AB307" s="161" t="str">
        <x:v>Eligible</x:v>
      </x:c>
      <x:c r="AC307" s="161" t="str">
        <x:v>Pending</x:v>
      </x:c>
      <x:c r="AD307" t="str">
        <x:v>Units</x:v>
      </x:c>
      <x:c r="AE307" s="145"/>
      <x:c r="AF307" s="145"/>
      <x:c r="AG307" s="145"/>
      <x:c r="AH307" s="145"/>
      <x:c r="AI307" s="145"/>
      <x:c r="AJ307"/>
    </x:row>
    <x:row r="308" ht="30" customHeight="1">
      <x:c r="A308" s="138" t="str">
        <x:v>Draft</x:v>
      </x:c>
      <x:c r="B308" s="138" t="str">
        <x:v>Ferrule</x:v>
      </x:c>
      <x:c r="C308" s="138" t="str">
        <x:v>EN2SC_2WB_004</x:v>
      </x:c>
      <x:c r="D308" s="138" t="str">
        <x:v>EN2SC_2WB_004</x:v>
      </x:c>
      <x:c r="E308" s="138" t="str">
        <x:v>EA</x:v>
      </x:c>
      <x:c r="F308" s="139"/>
      <x:c r="G308" s="141" t="n">
        <x:v>1</x:v>
      </x:c>
      <x:c r="H308" s="141" t="n">
        <x:v>1</x:v>
      </x:c>
      <x:c r="I308" s="143"/>
      <x:c r="J308" s="141" t="n">
        <x:v>10</x:v>
      </x:c>
      <x:c r="K308" s="138" t="str">
        <x:v>China</x:v>
      </x:c>
      <x:c r="L308" t="str">
        <x:v>USD</x:v>
      </x:c>
      <x:c r="M308" s="126"/>
      <x:c r="N308"/>
      <x:c r="O308"/>
      <x:c r="P308" s="145"/>
      <x:c r="Q308" s="126"/>
      <x:c r="R308" s="149" t="n">
        <x:v>7.28</x:v>
      </x:c>
      <x:c r="S308" s="145"/>
      <x:c r="T308" s="145"/>
      <x:c r="U308" s="124"/>
      <x:c r="V308" s="124"/>
      <x:c r="W308" s="124"/>
      <x:c r="X308" s="124"/>
      <x:c r="Y308"/>
      <x:c r="Z308"/>
      <x:c r="AA308" s="116" t="str">
        <x:v>Net unit weight is not supplied in 03. Order-level RFQ minimum: USD 100. Retail estimate: 35% of median same-tail-size DHH hose-end retail; analog basis FFX90-08-10W; observed 2026-08-15; https://www.discounthydraulichose.com/FFX90-08-10W.html</x:v>
      </x:c>
      <x:c r="AB308" s="161" t="str">
        <x:v>Eligible</x:v>
      </x:c>
      <x:c r="AC308" s="161" t="str">
        <x:v>Pending</x:v>
      </x:c>
      <x:c r="AD308" t="str">
        <x:v>Units</x:v>
      </x:c>
      <x:c r="AE308" s="145"/>
      <x:c r="AF308" s="145"/>
      <x:c r="AG308" s="145"/>
      <x:c r="AH308" s="145"/>
      <x:c r="AI308" s="145"/>
      <x:c r="AJ308"/>
    </x:row>
    <x:row r="309" ht="30" customHeight="1">
      <x:c r="A309" s="138" t="str">
        <x:v>Draft</x:v>
      </x:c>
      <x:c r="B309" s="138" t="str">
        <x:v>Ferrule</x:v>
      </x:c>
      <x:c r="C309" s="138" t="str">
        <x:v>EN2SC_2WB_005</x:v>
      </x:c>
      <x:c r="D309" s="138" t="str">
        <x:v>EN2SC_2WB_005</x:v>
      </x:c>
      <x:c r="E309" s="138" t="str">
        <x:v>EA</x:v>
      </x:c>
      <x:c r="F309" s="139"/>
      <x:c r="G309" s="141" t="n">
        <x:v>1</x:v>
      </x:c>
      <x:c r="H309" s="141" t="n">
        <x:v>1</x:v>
      </x:c>
      <x:c r="I309" s="143"/>
      <x:c r="J309" s="141" t="n">
        <x:v>10</x:v>
      </x:c>
      <x:c r="K309" s="138" t="str">
        <x:v>China</x:v>
      </x:c>
      <x:c r="L309" t="str">
        <x:v>USD</x:v>
      </x:c>
      <x:c r="M309" s="126"/>
      <x:c r="N309"/>
      <x:c r="O309"/>
      <x:c r="P309" s="145"/>
      <x:c r="Q309" s="126"/>
      <x:c r="R309" s="149" t="n">
        <x:v>10.05</x:v>
      </x:c>
      <x:c r="S309" s="145"/>
      <x:c r="T309" s="145"/>
      <x:c r="U309" s="124"/>
      <x:c r="V309" s="124"/>
      <x:c r="W309" s="124"/>
      <x:c r="X309" s="124"/>
      <x:c r="Y309"/>
      <x:c r="Z309"/>
      <x:c r="AA309" s="116" t="str">
        <x:v>Net unit weight is not supplied in 03. Order-level RFQ minimum: USD 100. Retail estimate: 35% of median same-tail-size DHH hose-end retail; analog basis FJX-10-08W; observed 2026-08-15; https://www.discounthydraulichose.com/FJX-10-08W.html</x:v>
      </x:c>
      <x:c r="AB309" s="161" t="str">
        <x:v>Eligible</x:v>
      </x:c>
      <x:c r="AC309" s="161" t="str">
        <x:v>Pending</x:v>
      </x:c>
      <x:c r="AD309" t="str">
        <x:v>Units</x:v>
      </x:c>
      <x:c r="AE309" s="145"/>
      <x:c r="AF309" s="145"/>
      <x:c r="AG309" s="145"/>
      <x:c r="AH309" s="145"/>
      <x:c r="AI309" s="145"/>
      <x:c r="AJ309"/>
    </x:row>
    <x:row r="310" ht="30" customHeight="1">
      <x:c r="A310" s="138" t="str">
        <x:v>Draft</x:v>
      </x:c>
      <x:c r="B310" s="138" t="str">
        <x:v>Ferrule</x:v>
      </x:c>
      <x:c r="C310" s="138" t="str">
        <x:v>EN2SC_2WB_006</x:v>
      </x:c>
      <x:c r="D310" s="138" t="str">
        <x:v>EN2SC_2WB_006</x:v>
      </x:c>
      <x:c r="E310" s="138" t="str">
        <x:v>EA</x:v>
      </x:c>
      <x:c r="F310" s="139"/>
      <x:c r="G310" s="141" t="n">
        <x:v>1</x:v>
      </x:c>
      <x:c r="H310" s="141" t="n">
        <x:v>1</x:v>
      </x:c>
      <x:c r="I310" s="143"/>
      <x:c r="J310" s="141" t="n">
        <x:v>10</x:v>
      </x:c>
      <x:c r="K310" s="138" t="str">
        <x:v>China</x:v>
      </x:c>
      <x:c r="L310" t="str">
        <x:v>USD</x:v>
      </x:c>
      <x:c r="M310" s="126"/>
      <x:c r="N310"/>
      <x:c r="O310"/>
      <x:c r="P310" s="145"/>
      <x:c r="Q310" s="126"/>
      <x:c r="R310" s="149" t="n">
        <x:v>12.65</x:v>
      </x:c>
      <x:c r="S310" s="145"/>
      <x:c r="T310" s="145"/>
      <x:c r="U310" s="124"/>
      <x:c r="V310" s="124"/>
      <x:c r="W310" s="124"/>
      <x:c r="X310" s="124"/>
      <x:c r="Y310"/>
      <x:c r="Z310"/>
      <x:c r="AA310" s="116" t="str">
        <x:v>Net unit weight is not supplied in 03. Order-level RFQ minimum: USD 100. Retail estimate: 35% of median same-tail-size DHH hose-end retail; analog basis MF-12-12W; observed 2026-08-15; https://www.discounthydraulichose.com/MF-12-12W.html</x:v>
      </x:c>
      <x:c r="AB310" s="161" t="str">
        <x:v>Eligible</x:v>
      </x:c>
      <x:c r="AC310" s="161" t="str">
        <x:v>Pending</x:v>
      </x:c>
      <x:c r="AD310" t="str">
        <x:v>Units</x:v>
      </x:c>
      <x:c r="AE310" s="145"/>
      <x:c r="AF310" s="145"/>
      <x:c r="AG310" s="145"/>
      <x:c r="AH310" s="145"/>
      <x:c r="AI310" s="145"/>
      <x:c r="AJ310"/>
    </x:row>
    <x:row r="311" ht="30" customHeight="1">
      <x:c r="A311" s="138" t="str">
        <x:v>Draft</x:v>
      </x:c>
      <x:c r="B311" s="138" t="str">
        <x:v>Ferrule</x:v>
      </x:c>
      <x:c r="C311" s="138" t="str">
        <x:v>EN2SC_2WB_007</x:v>
      </x:c>
      <x:c r="D311" s="138" t="str">
        <x:v>EN2SC_2WB_007</x:v>
      </x:c>
      <x:c r="E311" s="138" t="str">
        <x:v>EA</x:v>
      </x:c>
      <x:c r="F311" s="139"/>
      <x:c r="G311" s="141" t="n">
        <x:v>1</x:v>
      </x:c>
      <x:c r="H311" s="141" t="n">
        <x:v>1</x:v>
      </x:c>
      <x:c r="I311" s="143"/>
      <x:c r="J311" s="141" t="n">
        <x:v>10</x:v>
      </x:c>
      <x:c r="K311" s="138" t="str">
        <x:v>China</x:v>
      </x:c>
      <x:c r="L311" t="str">
        <x:v>USD</x:v>
      </x:c>
      <x:c r="M311" s="126"/>
      <x:c r="N311"/>
      <x:c r="O311"/>
      <x:c r="P311" s="145"/>
      <x:c r="Q311" s="126"/>
      <x:c r="R311" s="149" t="n">
        <x:v>16.87</x:v>
      </x:c>
      <x:c r="S311" s="145"/>
      <x:c r="T311" s="145"/>
      <x:c r="U311" s="124"/>
      <x:c r="V311" s="124"/>
      <x:c r="W311" s="124"/>
      <x:c r="X311" s="124"/>
      <x:c r="Y311"/>
      <x:c r="Z311"/>
      <x:c r="AA311" s="116" t="str">
        <x:v>Net unit weight is not supplied in 03. Order-level RFQ minimum: USD 100. Retail estimate: 35% of median same-tail-size DHH hose-end retail; analog basis FJX-16-20W; observed 2026-08-15; https://www.discounthydraulichose.com/FJX-16-20W.html</x:v>
      </x:c>
      <x:c r="AB311" s="161" t="str">
        <x:v>Eligible</x:v>
      </x:c>
      <x:c r="AC311" s="161" t="str">
        <x:v>Pending</x:v>
      </x:c>
      <x:c r="AD311" t="str">
        <x:v>Units</x:v>
      </x:c>
      <x:c r="AE311" s="145"/>
      <x:c r="AF311" s="145"/>
      <x:c r="AG311" s="145"/>
      <x:c r="AH311" s="145"/>
      <x:c r="AI311" s="145"/>
      <x:c r="AJ311"/>
    </x:row>
    <x:row r="312" ht="30" customHeight="1">
      <x:c r="A312" s="138" t="str">
        <x:v>Draft</x:v>
      </x:c>
      <x:c r="B312" s="138" t="str">
        <x:v>Ferrule</x:v>
      </x:c>
      <x:c r="C312" s="138" t="str">
        <x:v>EN4SP_4SP_001</x:v>
      </x:c>
      <x:c r="D312" s="138" t="str">
        <x:v>EN4SP_4SP_001</x:v>
      </x:c>
      <x:c r="E312" s="138" t="str">
        <x:v>EA</x:v>
      </x:c>
      <x:c r="F312" s="139"/>
      <x:c r="G312" s="141" t="n">
        <x:v>1</x:v>
      </x:c>
      <x:c r="H312" s="141" t="n">
        <x:v>1</x:v>
      </x:c>
      <x:c r="I312" s="143"/>
      <x:c r="J312" s="141" t="n">
        <x:v>10</x:v>
      </x:c>
      <x:c r="K312" s="138" t="str">
        <x:v>China</x:v>
      </x:c>
      <x:c r="L312" t="str">
        <x:v>USD</x:v>
      </x:c>
      <x:c r="M312" s="126"/>
      <x:c r="N312"/>
      <x:c r="O312"/>
      <x:c r="P312" s="145"/>
      <x:c r="Q312" s="126"/>
      <x:c r="R312" s="149" t="n">
        <x:v>5.13</x:v>
      </x:c>
      <x:c r="S312" s="145"/>
      <x:c r="T312" s="145"/>
      <x:c r="U312" s="124"/>
      <x:c r="V312" s="124"/>
      <x:c r="W312" s="124"/>
      <x:c r="X312" s="124"/>
      <x:c r="Y312"/>
      <x:c r="Z312"/>
      <x:c r="AA312" s="116" t="str">
        <x:v>Net unit weight is not supplied in 03. Order-level RFQ minimum: USD 100. Retail estimate: 35% of median same-tail-size DHH hose-end retail; analog basis MP-04-08W; observed 2026-08-15; https://www.discounthydraulichose.com/MP-04-08W.html</x:v>
      </x:c>
      <x:c r="AB312" s="161" t="str">
        <x:v>Eligible</x:v>
      </x:c>
      <x:c r="AC312" s="161" t="str">
        <x:v>Pending</x:v>
      </x:c>
      <x:c r="AD312" t="str">
        <x:v>Units</x:v>
      </x:c>
      <x:c r="AE312" s="145"/>
      <x:c r="AF312" s="145"/>
      <x:c r="AG312" s="145"/>
      <x:c r="AH312" s="145"/>
      <x:c r="AI312" s="145"/>
      <x:c r="AJ312"/>
    </x:row>
    <x:row r="313" ht="30" customHeight="1">
      <x:c r="A313" s="138" t="str">
        <x:v>Draft</x:v>
      </x:c>
      <x:c r="B313" s="138" t="str">
        <x:v>Ferrule</x:v>
      </x:c>
      <x:c r="C313" s="138" t="str">
        <x:v>EN4SP_4SP_002</x:v>
      </x:c>
      <x:c r="D313" s="138" t="str">
        <x:v>EN4SP_4SP_002</x:v>
      </x:c>
      <x:c r="E313" s="138" t="str">
        <x:v>EA</x:v>
      </x:c>
      <x:c r="F313" s="139"/>
      <x:c r="G313" s="141" t="n">
        <x:v>1</x:v>
      </x:c>
      <x:c r="H313" s="141" t="n">
        <x:v>1</x:v>
      </x:c>
      <x:c r="I313" s="143"/>
      <x:c r="J313" s="141" t="n">
        <x:v>10</x:v>
      </x:c>
      <x:c r="K313" s="138" t="str">
        <x:v>China</x:v>
      </x:c>
      <x:c r="L313" t="str">
        <x:v>USD</x:v>
      </x:c>
      <x:c r="M313" s="126"/>
      <x:c r="N313"/>
      <x:c r="O313"/>
      <x:c r="P313" s="145"/>
      <x:c r="Q313" s="126"/>
      <x:c r="R313" s="149" t="n">
        <x:v>6.25</x:v>
      </x:c>
      <x:c r="S313" s="145"/>
      <x:c r="T313" s="145"/>
      <x:c r="U313" s="124"/>
      <x:c r="V313" s="124"/>
      <x:c r="W313" s="124"/>
      <x:c r="X313" s="124"/>
      <x:c r="Y313"/>
      <x:c r="Z313"/>
      <x:c r="AA313" s="116" t="str">
        <x:v>Net unit weight is not supplied in 03. Order-level RFQ minimum: USD 100. Retail estimate: 35% of median same-tail-size DHH hose-end retail; analog basis FBSPX-06-08W; observed 2026-08-15; https://www.discounthydraulichose.com/FBSPX-06-08W.html</x:v>
      </x:c>
      <x:c r="AB313" s="161" t="str">
        <x:v>Eligible</x:v>
      </x:c>
      <x:c r="AC313" s="161" t="str">
        <x:v>Pending</x:v>
      </x:c>
      <x:c r="AD313" t="str">
        <x:v>Units</x:v>
      </x:c>
      <x:c r="AE313" s="145"/>
      <x:c r="AF313" s="145"/>
      <x:c r="AG313" s="145"/>
      <x:c r="AH313" s="145"/>
      <x:c r="AI313" s="145"/>
      <x:c r="AJ313"/>
    </x:row>
    <x:row r="314" ht="30" customHeight="1">
      <x:c r="A314" s="138" t="str">
        <x:v>Draft</x:v>
      </x:c>
      <x:c r="B314" s="138" t="str">
        <x:v>Ferrule</x:v>
      </x:c>
      <x:c r="C314" s="138" t="str">
        <x:v>EN4SP_4SP_003</x:v>
      </x:c>
      <x:c r="D314" s="138" t="str">
        <x:v>EN4SP_4SP_003</x:v>
      </x:c>
      <x:c r="E314" s="138" t="str">
        <x:v>EA</x:v>
      </x:c>
      <x:c r="F314" s="139"/>
      <x:c r="G314" s="141" t="n">
        <x:v>1</x:v>
      </x:c>
      <x:c r="H314" s="141" t="n">
        <x:v>1</x:v>
      </x:c>
      <x:c r="I314" s="143"/>
      <x:c r="J314" s="141" t="n">
        <x:v>10</x:v>
      </x:c>
      <x:c r="K314" s="138" t="str">
        <x:v>China</x:v>
      </x:c>
      <x:c r="L314" t="str">
        <x:v>USD</x:v>
      </x:c>
      <x:c r="M314" s="126"/>
      <x:c r="N314"/>
      <x:c r="O314"/>
      <x:c r="P314" s="145"/>
      <x:c r="Q314" s="126"/>
      <x:c r="R314" s="149" t="n">
        <x:v>7.28</x:v>
      </x:c>
      <x:c r="S314" s="145"/>
      <x:c r="T314" s="145"/>
      <x:c r="U314" s="124"/>
      <x:c r="V314" s="124"/>
      <x:c r="W314" s="124"/>
      <x:c r="X314" s="124"/>
      <x:c r="Y314"/>
      <x:c r="Z314"/>
      <x:c r="AA314" s="116" t="str">
        <x:v>Net unit weight is not supplied in 03. Order-level RFQ minimum: USD 100. Retail estimate: 35% of median same-tail-size DHH hose-end retail; analog basis FFX90-08-10W; observed 2026-08-15; https://www.discounthydraulichose.com/FFX90-08-10W.html</x:v>
      </x:c>
      <x:c r="AB314" s="161" t="str">
        <x:v>Eligible</x:v>
      </x:c>
      <x:c r="AC314" s="161" t="str">
        <x:v>Pending</x:v>
      </x:c>
      <x:c r="AD314" t="str">
        <x:v>Units</x:v>
      </x:c>
      <x:c r="AE314" s="145"/>
      <x:c r="AF314" s="145"/>
      <x:c r="AG314" s="145"/>
      <x:c r="AH314" s="145"/>
      <x:c r="AI314" s="145"/>
      <x:c r="AJ314"/>
    </x:row>
    <x:row r="315" ht="30" customHeight="1">
      <x:c r="A315" s="138" t="str">
        <x:v>Draft</x:v>
      </x:c>
      <x:c r="B315" s="138" t="str">
        <x:v>Ferrule</x:v>
      </x:c>
      <x:c r="C315" s="138" t="str">
        <x:v>EN4SP_4SP_004</x:v>
      </x:c>
      <x:c r="D315" s="138" t="str">
        <x:v>EN4SP_4SP_004</x:v>
      </x:c>
      <x:c r="E315" s="138" t="str">
        <x:v>EA</x:v>
      </x:c>
      <x:c r="F315" s="139"/>
      <x:c r="G315" s="141" t="n">
        <x:v>1</x:v>
      </x:c>
      <x:c r="H315" s="141" t="n">
        <x:v>1</x:v>
      </x:c>
      <x:c r="I315" s="143"/>
      <x:c r="J315" s="141" t="n">
        <x:v>10</x:v>
      </x:c>
      <x:c r="K315" s="138" t="str">
        <x:v>China</x:v>
      </x:c>
      <x:c r="L315" t="str">
        <x:v>USD</x:v>
      </x:c>
      <x:c r="M315" s="126"/>
      <x:c r="N315"/>
      <x:c r="O315"/>
      <x:c r="P315" s="145"/>
      <x:c r="Q315" s="126"/>
      <x:c r="R315" s="149" t="n">
        <x:v>10.05</x:v>
      </x:c>
      <x:c r="S315" s="145"/>
      <x:c r="T315" s="145"/>
      <x:c r="U315" s="124"/>
      <x:c r="V315" s="124"/>
      <x:c r="W315" s="124"/>
      <x:c r="X315" s="124"/>
      <x:c r="Y315"/>
      <x:c r="Z315"/>
      <x:c r="AA315" s="116" t="str">
        <x:v>Net unit weight is not supplied in 03. Order-level RFQ minimum: USD 100. Retail estimate: 35% of median same-tail-size DHH hose-end retail; analog basis FJX-10-08W; observed 2026-08-15; https://www.discounthydraulichose.com/FJX-10-08W.html</x:v>
      </x:c>
      <x:c r="AB315" s="161" t="str">
        <x:v>Eligible</x:v>
      </x:c>
      <x:c r="AC315" s="161" t="str">
        <x:v>Pending</x:v>
      </x:c>
      <x:c r="AD315" t="str">
        <x:v>Units</x:v>
      </x:c>
      <x:c r="AE315" s="145"/>
      <x:c r="AF315" s="145"/>
      <x:c r="AG315" s="145"/>
      <x:c r="AH315" s="145"/>
      <x:c r="AI315" s="145"/>
      <x:c r="AJ315"/>
    </x:row>
    <x:row r="316" ht="30" customHeight="1">
      <x:c r="A316" s="138" t="str">
        <x:v>Draft</x:v>
      </x:c>
      <x:c r="B316" s="138" t="str">
        <x:v>Ferrule</x:v>
      </x:c>
      <x:c r="C316" s="138" t="str">
        <x:v>EN4SP_4SP_005</x:v>
      </x:c>
      <x:c r="D316" s="138" t="str">
        <x:v>EN4SP_4SP_005</x:v>
      </x:c>
      <x:c r="E316" s="138" t="str">
        <x:v>EA</x:v>
      </x:c>
      <x:c r="F316" s="139"/>
      <x:c r="G316" s="141" t="n">
        <x:v>1</x:v>
      </x:c>
      <x:c r="H316" s="141" t="n">
        <x:v>1</x:v>
      </x:c>
      <x:c r="I316" s="143"/>
      <x:c r="J316" s="141" t="n">
        <x:v>10</x:v>
      </x:c>
      <x:c r="K316" s="138" t="str">
        <x:v>China</x:v>
      </x:c>
      <x:c r="L316" t="str">
        <x:v>USD</x:v>
      </x:c>
      <x:c r="M316" s="126"/>
      <x:c r="N316"/>
      <x:c r="O316"/>
      <x:c r="P316" s="145"/>
      <x:c r="Q316" s="126"/>
      <x:c r="R316" s="149" t="n">
        <x:v>12.65</x:v>
      </x:c>
      <x:c r="S316" s="145"/>
      <x:c r="T316" s="145"/>
      <x:c r="U316" s="124"/>
      <x:c r="V316" s="124"/>
      <x:c r="W316" s="124"/>
      <x:c r="X316" s="124"/>
      <x:c r="Y316"/>
      <x:c r="Z316"/>
      <x:c r="AA316" s="116" t="str">
        <x:v>Net unit weight is not supplied in 03. Order-level RFQ minimum: USD 100. Retail estimate: 35% of median same-tail-size DHH hose-end retail; analog basis MF-12-12W; observed 2026-08-15; https://www.discounthydraulichose.com/MF-12-12W.html</x:v>
      </x:c>
      <x:c r="AB316" s="161" t="str">
        <x:v>Eligible</x:v>
      </x:c>
      <x:c r="AC316" s="161" t="str">
        <x:v>Pending</x:v>
      </x:c>
      <x:c r="AD316" t="str">
        <x:v>Units</x:v>
      </x:c>
      <x:c r="AE316" s="145"/>
      <x:c r="AF316" s="145"/>
      <x:c r="AG316" s="145"/>
      <x:c r="AH316" s="145"/>
      <x:c r="AI316" s="145"/>
      <x:c r="AJ316"/>
    </x:row>
    <x:row r="317" ht="30" customHeight="1">
      <x:c r="A317" s="138" t="str">
        <x:v>Draft</x:v>
      </x:c>
      <x:c r="B317" s="138" t="str">
        <x:v>Ferrule</x:v>
      </x:c>
      <x:c r="C317" s="138" t="str">
        <x:v>EN4SP_4SP_006</x:v>
      </x:c>
      <x:c r="D317" s="138" t="str">
        <x:v>EN4SP_4SP_006</x:v>
      </x:c>
      <x:c r="E317" s="138" t="str">
        <x:v>EA</x:v>
      </x:c>
      <x:c r="F317" s="139"/>
      <x:c r="G317" s="141" t="n">
        <x:v>1</x:v>
      </x:c>
      <x:c r="H317" s="141" t="n">
        <x:v>1</x:v>
      </x:c>
      <x:c r="I317" s="143"/>
      <x:c r="J317" s="141" t="n">
        <x:v>10</x:v>
      </x:c>
      <x:c r="K317" s="138" t="str">
        <x:v>China</x:v>
      </x:c>
      <x:c r="L317" t="str">
        <x:v>USD</x:v>
      </x:c>
      <x:c r="M317" s="126"/>
      <x:c r="N317"/>
      <x:c r="O317"/>
      <x:c r="P317" s="145"/>
      <x:c r="Q317" s="126"/>
      <x:c r="R317" s="149" t="n">
        <x:v>16.87</x:v>
      </x:c>
      <x:c r="S317" s="145"/>
      <x:c r="T317" s="145"/>
      <x:c r="U317" s="124"/>
      <x:c r="V317" s="124"/>
      <x:c r="W317" s="124"/>
      <x:c r="X317" s="124"/>
      <x:c r="Y317"/>
      <x:c r="Z317"/>
      <x:c r="AA317" s="116" t="str">
        <x:v>Net unit weight is not supplied in 03. Order-level RFQ minimum: USD 100. Retail estimate: 35% of median same-tail-size DHH hose-end retail; analog basis FJX-16-20W; observed 2026-08-15; https://www.discounthydraulichose.com/FJX-16-20W.html</x:v>
      </x:c>
      <x:c r="AB317" s="161" t="str">
        <x:v>Eligible</x:v>
      </x:c>
      <x:c r="AC317" s="161" t="str">
        <x:v>Pending</x:v>
      </x:c>
      <x:c r="AD317" t="str">
        <x:v>Units</x:v>
      </x:c>
      <x:c r="AE317" s="145"/>
      <x:c r="AF317" s="145"/>
      <x:c r="AG317" s="145"/>
      <x:c r="AH317" s="145"/>
      <x:c r="AI317" s="145"/>
      <x:c r="AJ317"/>
    </x:row>
    <x:row r="318" ht="30" customHeight="1">
      <x:c r="A318" s="138" t="str">
        <x:v>Draft</x:v>
      </x:c>
      <x:c r="B318" s="138" t="str">
        <x:v>Ferrule</x:v>
      </x:c>
      <x:c r="C318" s="138" t="str">
        <x:v>EN4SP_4SP_007</x:v>
      </x:c>
      <x:c r="D318" s="138" t="str">
        <x:v>EN4SP_4SP_007</x:v>
      </x:c>
      <x:c r="E318" s="138" t="str">
        <x:v>EA</x:v>
      </x:c>
      <x:c r="F318" s="139"/>
      <x:c r="G318" s="141" t="n">
        <x:v>1</x:v>
      </x:c>
      <x:c r="H318" s="141" t="n">
        <x:v>1</x:v>
      </x:c>
      <x:c r="I318" s="143"/>
      <x:c r="J318" s="141" t="n">
        <x:v>10</x:v>
      </x:c>
      <x:c r="K318" s="138" t="str">
        <x:v>China</x:v>
      </x:c>
      <x:c r="L318" t="str">
        <x:v>USD</x:v>
      </x:c>
      <x:c r="M318" s="126"/>
      <x:c r="N318"/>
      <x:c r="O318"/>
      <x:c r="P318" s="145"/>
      <x:c r="Q318" s="126"/>
      <x:c r="R318" s="149" t="n">
        <x:v>16.87</x:v>
      </x:c>
      <x:c r="S318" s="145"/>
      <x:c r="T318" s="145"/>
      <x:c r="U318" s="124"/>
      <x:c r="V318" s="124"/>
      <x:c r="W318" s="124"/>
      <x:c r="X318" s="124"/>
      <x:c r="Y318"/>
      <x:c r="Z318"/>
      <x:c r="AA318" s="116" t="str">
        <x:v>Net unit weight is not supplied in 03. Order-level RFQ minimum: USD 100. Retail estimate: 35% of median same-tail-size DHH hose-end retail; analog basis FJX-16-20W; observed 2026-08-15; https://www.discounthydraulichose.com/FJX-16-20W.html</x:v>
      </x:c>
      <x:c r="AB318" s="161" t="str">
        <x:v>Eligible</x:v>
      </x:c>
      <x:c r="AC318" s="161" t="str">
        <x:v>Pending</x:v>
      </x:c>
      <x:c r="AD318" t="str">
        <x:v>Units</x:v>
      </x:c>
      <x:c r="AE318" s="145"/>
      <x:c r="AF318" s="145"/>
      <x:c r="AG318" s="145"/>
      <x:c r="AH318" s="145"/>
      <x:c r="AI318" s="145"/>
      <x:c r="AJ318"/>
    </x:row>
    <x:row r="319" ht="30" customHeight="1">
      <x:c r="A319" s="138" t="str">
        <x:v>Draft</x:v>
      </x:c>
      <x:c r="B319" s="138" t="str">
        <x:v>Ferrule</x:v>
      </x:c>
      <x:c r="C319" s="138" t="str">
        <x:v>EN4SP_4SP_008</x:v>
      </x:c>
      <x:c r="D319" s="138" t="str">
        <x:v>EN4SP_4SP_008</x:v>
      </x:c>
      <x:c r="E319" s="138" t="str">
        <x:v>EA</x:v>
      </x:c>
      <x:c r="F319" s="139"/>
      <x:c r="G319" s="141" t="n">
        <x:v>1</x:v>
      </x:c>
      <x:c r="H319" s="141" t="n">
        <x:v>1</x:v>
      </x:c>
      <x:c r="I319" s="143"/>
      <x:c r="J319" s="141" t="n">
        <x:v>10</x:v>
      </x:c>
      <x:c r="K319" s="138" t="str">
        <x:v>China</x:v>
      </x:c>
      <x:c r="L319" t="str">
        <x:v>USD</x:v>
      </x:c>
      <x:c r="M319" s="126"/>
      <x:c r="N319"/>
      <x:c r="O319"/>
      <x:c r="P319" s="145"/>
      <x:c r="Q319" s="126"/>
      <x:c r="R319" s="149" t="n">
        <x:v>16.87</x:v>
      </x:c>
      <x:c r="S319" s="145"/>
      <x:c r="T319" s="145"/>
      <x:c r="U319" s="124"/>
      <x:c r="V319" s="124"/>
      <x:c r="W319" s="124"/>
      <x:c r="X319" s="124"/>
      <x:c r="Y319"/>
      <x:c r="Z319"/>
      <x:c r="AA319" s="116" t="str">
        <x:v>Net unit weight is not supplied in 03. Order-level RFQ minimum: USD 100. Retail estimate: 35% of median same-tail-size DHH hose-end retail; analog basis FJX-16-20W; observed 2026-08-15; https://www.discounthydraulichose.com/FJX-16-20W.html</x:v>
      </x:c>
      <x:c r="AB319" s="161" t="str">
        <x:v>Eligible</x:v>
      </x:c>
      <x:c r="AC319" s="161" t="str">
        <x:v>Pending</x:v>
      </x:c>
      <x:c r="AD319" t="str">
        <x:v>Units</x:v>
      </x:c>
      <x:c r="AE319" s="145"/>
      <x:c r="AF319" s="145"/>
      <x:c r="AG319" s="145"/>
      <x:c r="AH319" s="145"/>
      <x:c r="AI319" s="145"/>
      <x:c r="AJ319"/>
    </x:row>
    <x:row r="320" ht="30" customHeight="1">
      <x:c r="A320" s="138" t="str">
        <x:v>Draft</x:v>
      </x:c>
      <x:c r="B320" s="138" t="str">
        <x:v>Ferrule</x:v>
      </x:c>
      <x:c r="C320" s="138" t="str">
        <x:v>EN4SP_4SP_009</x:v>
      </x:c>
      <x:c r="D320" s="138" t="str">
        <x:v>EN4SP_4SP_009</x:v>
      </x:c>
      <x:c r="E320" s="138" t="str">
        <x:v>EA</x:v>
      </x:c>
      <x:c r="F320" s="139"/>
      <x:c r="G320" s="141" t="n">
        <x:v>1</x:v>
      </x:c>
      <x:c r="H320" s="141" t="n">
        <x:v>1</x:v>
      </x:c>
      <x:c r="I320" s="143"/>
      <x:c r="J320" s="141" t="n">
        <x:v>10</x:v>
      </x:c>
      <x:c r="K320" s="138" t="str">
        <x:v>China</x:v>
      </x:c>
      <x:c r="L320" t="str">
        <x:v>USD</x:v>
      </x:c>
      <x:c r="M320" s="126"/>
      <x:c r="N320"/>
      <x:c r="O320"/>
      <x:c r="P320" s="145"/>
      <x:c r="Q320" s="126"/>
      <x:c r="R320" s="149" t="n">
        <x:v>16.87</x:v>
      </x:c>
      <x:c r="S320" s="145"/>
      <x:c r="T320" s="145"/>
      <x:c r="U320" s="124"/>
      <x:c r="V320" s="124"/>
      <x:c r="W320" s="124"/>
      <x:c r="X320" s="124"/>
      <x:c r="Y320"/>
      <x:c r="Z320"/>
      <x:c r="AA320" s="116" t="str">
        <x:v>Net unit weight is not supplied in 03. Order-level RFQ minimum: USD 100. Retail estimate: 35% of median same-tail-size DHH hose-end retail; analog basis FJX-16-20W; observed 2026-08-15; https://www.discounthydraulichose.com/FJX-16-20W.html</x:v>
      </x:c>
      <x:c r="AB320" s="161" t="str">
        <x:v>Eligible</x:v>
      </x:c>
      <x:c r="AC320" s="161" t="str">
        <x:v>Pending</x:v>
      </x:c>
      <x:c r="AD320" t="str">
        <x:v>Units</x:v>
      </x:c>
      <x:c r="AE320" s="145"/>
      <x:c r="AF320" s="145"/>
      <x:c r="AG320" s="145"/>
      <x:c r="AH320" s="145"/>
      <x:c r="AI320" s="145"/>
      <x:c r="AJ320"/>
    </x:row>
    <x:row r="321" ht="30" customHeight="1">
      <x:c r="A321" s="138" t="str">
        <x:v>Draft</x:v>
      </x:c>
      <x:c r="B321" s="138" t="str">
        <x:v>Ferrule</x:v>
      </x:c>
      <x:c r="C321" s="138" t="str">
        <x:v>EN4SH_4SH_001</x:v>
      </x:c>
      <x:c r="D321" s="138" t="str">
        <x:v>EN4SH_4SH_001</x:v>
      </x:c>
      <x:c r="E321" s="138" t="str">
        <x:v>EA</x:v>
      </x:c>
      <x:c r="F321" s="139"/>
      <x:c r="G321" s="141" t="n">
        <x:v>1</x:v>
      </x:c>
      <x:c r="H321" s="141" t="n">
        <x:v>1</x:v>
      </x:c>
      <x:c r="I321" s="143"/>
      <x:c r="J321" s="141" t="n">
        <x:v>10</x:v>
      </x:c>
      <x:c r="K321" s="138" t="str">
        <x:v>China</x:v>
      </x:c>
      <x:c r="L321" t="str">
        <x:v>USD</x:v>
      </x:c>
      <x:c r="M321" s="126"/>
      <x:c r="N321"/>
      <x:c r="O321"/>
      <x:c r="P321" s="145"/>
      <x:c r="Q321" s="126"/>
      <x:c r="R321" s="149" t="n">
        <x:v>10.05</x:v>
      </x:c>
      <x:c r="S321" s="145"/>
      <x:c r="T321" s="145"/>
      <x:c r="U321" s="124"/>
      <x:c r="V321" s="124"/>
      <x:c r="W321" s="124"/>
      <x:c r="X321" s="124"/>
      <x:c r="Y321"/>
      <x:c r="Z321"/>
      <x:c r="AA321" s="116" t="str">
        <x:v>Net unit weight is not supplied in 03. Order-level RFQ minimum: USD 100. Retail estimate: 35% of median same-tail-size DHH hose-end retail; analog basis FJX-10-08W; observed 2026-08-15; https://www.discounthydraulichose.com/FJX-10-08W.html</x:v>
      </x:c>
      <x:c r="AB321" s="161" t="str">
        <x:v>Eligible</x:v>
      </x:c>
      <x:c r="AC321" s="161" t="str">
        <x:v>Pending</x:v>
      </x:c>
      <x:c r="AD321" t="str">
        <x:v>Units</x:v>
      </x:c>
      <x:c r="AE321" s="145"/>
      <x:c r="AF321" s="145"/>
      <x:c r="AG321" s="145"/>
      <x:c r="AH321" s="145"/>
      <x:c r="AI321" s="145"/>
      <x:c r="AJ321"/>
    </x:row>
    <x:row r="322" ht="30" customHeight="1">
      <x:c r="A322" s="138" t="str">
        <x:v>Draft</x:v>
      </x:c>
      <x:c r="B322" s="138" t="str">
        <x:v>Ferrule</x:v>
      </x:c>
      <x:c r="C322" s="138" t="str">
        <x:v>EN4SH_4SH_002</x:v>
      </x:c>
      <x:c r="D322" s="138" t="str">
        <x:v>EN4SH_4SH_002</x:v>
      </x:c>
      <x:c r="E322" s="138" t="str">
        <x:v>EA</x:v>
      </x:c>
      <x:c r="F322" s="139"/>
      <x:c r="G322" s="141" t="n">
        <x:v>1</x:v>
      </x:c>
      <x:c r="H322" s="141" t="n">
        <x:v>1</x:v>
      </x:c>
      <x:c r="I322" s="143"/>
      <x:c r="J322" s="141" t="n">
        <x:v>10</x:v>
      </x:c>
      <x:c r="K322" s="138" t="str">
        <x:v>China</x:v>
      </x:c>
      <x:c r="L322" t="str">
        <x:v>USD</x:v>
      </x:c>
      <x:c r="M322" s="126"/>
      <x:c r="N322"/>
      <x:c r="O322"/>
      <x:c r="P322" s="145"/>
      <x:c r="Q322" s="126"/>
      <x:c r="R322" s="149" t="n">
        <x:v>12.65</x:v>
      </x:c>
      <x:c r="S322" s="145"/>
      <x:c r="T322" s="145"/>
      <x:c r="U322" s="124"/>
      <x:c r="V322" s="124"/>
      <x:c r="W322" s="124"/>
      <x:c r="X322" s="124"/>
      <x:c r="Y322"/>
      <x:c r="Z322"/>
      <x:c r="AA322" s="116" t="str">
        <x:v>Net unit weight is not supplied in 03. Order-level RFQ minimum: USD 100. Retail estimate: 35% of median same-tail-size DHH hose-end retail; analog basis MF-12-12W; observed 2026-08-15; https://www.discounthydraulichose.com/MF-12-12W.html</x:v>
      </x:c>
      <x:c r="AB322" s="161" t="str">
        <x:v>Eligible</x:v>
      </x:c>
      <x:c r="AC322" s="161" t="str">
        <x:v>Pending</x:v>
      </x:c>
      <x:c r="AD322" t="str">
        <x:v>Units</x:v>
      </x:c>
      <x:c r="AE322" s="145"/>
      <x:c r="AF322" s="145"/>
      <x:c r="AG322" s="145"/>
      <x:c r="AH322" s="145"/>
      <x:c r="AI322" s="145"/>
      <x:c r="AJ322"/>
    </x:row>
    <x:row r="323" ht="30" customHeight="1">
      <x:c r="A323" s="138" t="str">
        <x:v>Draft</x:v>
      </x:c>
      <x:c r="B323" s="138" t="str">
        <x:v>Ferrule</x:v>
      </x:c>
      <x:c r="C323" s="138" t="str">
        <x:v>EN4SH_4SH_003</x:v>
      </x:c>
      <x:c r="D323" s="138" t="str">
        <x:v>EN4SH_4SH_003</x:v>
      </x:c>
      <x:c r="E323" s="138" t="str">
        <x:v>EA</x:v>
      </x:c>
      <x:c r="F323" s="139"/>
      <x:c r="G323" s="141" t="n">
        <x:v>1</x:v>
      </x:c>
      <x:c r="H323" s="141" t="n">
        <x:v>1</x:v>
      </x:c>
      <x:c r="I323" s="143"/>
      <x:c r="J323" s="141" t="n">
        <x:v>10</x:v>
      </x:c>
      <x:c r="K323" s="138" t="str">
        <x:v>China</x:v>
      </x:c>
      <x:c r="L323" t="str">
        <x:v>USD</x:v>
      </x:c>
      <x:c r="M323" s="126"/>
      <x:c r="N323"/>
      <x:c r="O323"/>
      <x:c r="P323" s="145"/>
      <x:c r="Q323" s="126"/>
      <x:c r="R323" s="149" t="n">
        <x:v>16.87</x:v>
      </x:c>
      <x:c r="S323" s="145"/>
      <x:c r="T323" s="145"/>
      <x:c r="U323" s="124"/>
      <x:c r="V323" s="124"/>
      <x:c r="W323" s="124"/>
      <x:c r="X323" s="124"/>
      <x:c r="Y323"/>
      <x:c r="Z323"/>
      <x:c r="AA323" s="116" t="str">
        <x:v>Net unit weight is not supplied in 03. Order-level RFQ minimum: USD 100. Retail estimate: 35% of median same-tail-size DHH hose-end retail; analog basis FJX-16-20W; observed 2026-08-15; https://www.discounthydraulichose.com/FJX-16-20W.html</x:v>
      </x:c>
      <x:c r="AB323" s="161" t="str">
        <x:v>Eligible</x:v>
      </x:c>
      <x:c r="AC323" s="161" t="str">
        <x:v>Pending</x:v>
      </x:c>
      <x:c r="AD323" t="str">
        <x:v>Units</x:v>
      </x:c>
      <x:c r="AE323" s="145"/>
      <x:c r="AF323" s="145"/>
      <x:c r="AG323" s="145"/>
      <x:c r="AH323" s="145"/>
      <x:c r="AI323" s="145"/>
      <x:c r="AJ323"/>
    </x:row>
    <x:row r="324" ht="30" customHeight="1">
      <x:c r="A324" s="138" t="str">
        <x:v>Draft</x:v>
      </x:c>
      <x:c r="B324" s="138" t="str">
        <x:v>Ferrule</x:v>
      </x:c>
      <x:c r="C324" s="138" t="str">
        <x:v>EN4SH_4SH_004</x:v>
      </x:c>
      <x:c r="D324" s="138" t="str">
        <x:v>EN4SH_4SH_004</x:v>
      </x:c>
      <x:c r="E324" s="138" t="str">
        <x:v>EA</x:v>
      </x:c>
      <x:c r="F324" s="139"/>
      <x:c r="G324" s="141" t="n">
        <x:v>1</x:v>
      </x:c>
      <x:c r="H324" s="141" t="n">
        <x:v>1</x:v>
      </x:c>
      <x:c r="I324" s="143"/>
      <x:c r="J324" s="141" t="n">
        <x:v>10</x:v>
      </x:c>
      <x:c r="K324" s="138" t="str">
        <x:v>China</x:v>
      </x:c>
      <x:c r="L324" t="str">
        <x:v>USD</x:v>
      </x:c>
      <x:c r="M324" s="126"/>
      <x:c r="N324"/>
      <x:c r="O324"/>
      <x:c r="P324" s="145"/>
      <x:c r="Q324" s="126"/>
      <x:c r="R324" s="149" t="n">
        <x:v>16.87</x:v>
      </x:c>
      <x:c r="S324" s="145"/>
      <x:c r="T324" s="145"/>
      <x:c r="U324" s="124"/>
      <x:c r="V324" s="124"/>
      <x:c r="W324" s="124"/>
      <x:c r="X324" s="124"/>
      <x:c r="Y324"/>
      <x:c r="Z324"/>
      <x:c r="AA324" s="116" t="str">
        <x:v>Net unit weight is not supplied in 03. Order-level RFQ minimum: USD 100. Retail estimate: 35% of median same-tail-size DHH hose-end retail; analog basis FJX-16-20W; observed 2026-08-15; https://www.discounthydraulichose.com/FJX-16-20W.html</x:v>
      </x:c>
      <x:c r="AB324" s="161" t="str">
        <x:v>Eligible</x:v>
      </x:c>
      <x:c r="AC324" s="161" t="str">
        <x:v>Pending</x:v>
      </x:c>
      <x:c r="AD324" t="str">
        <x:v>Units</x:v>
      </x:c>
      <x:c r="AE324" s="145"/>
      <x:c r="AF324" s="145"/>
      <x:c r="AG324" s="145"/>
      <x:c r="AH324" s="145"/>
      <x:c r="AI324" s="145"/>
      <x:c r="AJ324"/>
    </x:row>
    <x:row r="325" ht="30" customHeight="1">
      <x:c r="A325" s="138" t="str">
        <x:v>Draft</x:v>
      </x:c>
      <x:c r="B325" s="138" t="str">
        <x:v>Ferrule</x:v>
      </x:c>
      <x:c r="C325" s="138" t="str">
        <x:v>EN4SH_4SH_005</x:v>
      </x:c>
      <x:c r="D325" s="138" t="str">
        <x:v>EN4SH_4SH_005</x:v>
      </x:c>
      <x:c r="E325" s="138" t="str">
        <x:v>EA</x:v>
      </x:c>
      <x:c r="F325" s="139"/>
      <x:c r="G325" s="141" t="n">
        <x:v>1</x:v>
      </x:c>
      <x:c r="H325" s="141" t="n">
        <x:v>1</x:v>
      </x:c>
      <x:c r="I325" s="143"/>
      <x:c r="J325" s="141" t="n">
        <x:v>10</x:v>
      </x:c>
      <x:c r="K325" s="138" t="str">
        <x:v>China</x:v>
      </x:c>
      <x:c r="L325" t="str">
        <x:v>USD</x:v>
      </x:c>
      <x:c r="M325" s="126"/>
      <x:c r="N325"/>
      <x:c r="O325"/>
      <x:c r="P325" s="145"/>
      <x:c r="Q325" s="126"/>
      <x:c r="R325" s="149" t="n">
        <x:v>16.87</x:v>
      </x:c>
      <x:c r="S325" s="145"/>
      <x:c r="T325" s="145"/>
      <x:c r="U325" s="124"/>
      <x:c r="V325" s="124"/>
      <x:c r="W325" s="124"/>
      <x:c r="X325" s="124"/>
      <x:c r="Y325"/>
      <x:c r="Z325"/>
      <x:c r="AA325" s="116" t="str">
        <x:v>Net unit weight is not supplied in 03. Order-level RFQ minimum: USD 100. Retail estimate: 35% of median same-tail-size DHH hose-end retail; analog basis FJX-16-20W; observed 2026-08-15; https://www.discounthydraulichose.com/FJX-16-20W.html</x:v>
      </x:c>
      <x:c r="AB325" s="161" t="str">
        <x:v>Eligible</x:v>
      </x:c>
      <x:c r="AC325" s="161" t="str">
        <x:v>Pending</x:v>
      </x:c>
      <x:c r="AD325" t="str">
        <x:v>Units</x:v>
      </x:c>
      <x:c r="AE325" s="145"/>
      <x:c r="AF325" s="145"/>
      <x:c r="AG325" s="145"/>
      <x:c r="AH325" s="145"/>
      <x:c r="AI325" s="145"/>
      <x:c r="AJ325"/>
    </x:row>
    <x:row r="326" ht="30" customHeight="1">
      <x:c r="A326" s="138" t="str">
        <x:v>Draft</x:v>
      </x:c>
      <x:c r="B326" s="138" t="str">
        <x:v>Ferrule</x:v>
      </x:c>
      <x:c r="C326" s="138" t="str">
        <x:v>EN4SH_4SH_006</x:v>
      </x:c>
      <x:c r="D326" s="138" t="str">
        <x:v>EN4SH_4SH_006</x:v>
      </x:c>
      <x:c r="E326" s="138" t="str">
        <x:v>EA</x:v>
      </x:c>
      <x:c r="F326" s="139"/>
      <x:c r="G326" s="141" t="n">
        <x:v>1</x:v>
      </x:c>
      <x:c r="H326" s="141" t="n">
        <x:v>1</x:v>
      </x:c>
      <x:c r="I326" s="143"/>
      <x:c r="J326" s="141" t="n">
        <x:v>10</x:v>
      </x:c>
      <x:c r="K326" s="138" t="str">
        <x:v>China</x:v>
      </x:c>
      <x:c r="L326" t="str">
        <x:v>USD</x:v>
      </x:c>
      <x:c r="M326" s="126"/>
      <x:c r="N326"/>
      <x:c r="O326"/>
      <x:c r="P326" s="145"/>
      <x:c r="Q326" s="126"/>
      <x:c r="R326" s="149" t="n">
        <x:v>16.87</x:v>
      </x:c>
      <x:c r="S326" s="145"/>
      <x:c r="T326" s="145"/>
      <x:c r="U326" s="124"/>
      <x:c r="V326" s="124"/>
      <x:c r="W326" s="124"/>
      <x:c r="X326" s="124"/>
      <x:c r="Y326"/>
      <x:c r="Z326"/>
      <x:c r="AA326" s="116" t="str">
        <x:v>Net unit weight is not supplied in 03. Order-level RFQ minimum: USD 100. Retail estimate: 35% of median same-tail-size DHH hose-end retail; analog basis FJX-16-20W; observed 2026-08-15; https://www.discounthydraulichose.com/FJX-16-20W.html</x:v>
      </x:c>
      <x:c r="AB326" s="161" t="str">
        <x:v>Eligible</x:v>
      </x:c>
      <x:c r="AC326" s="161" t="str">
        <x:v>Pending</x:v>
      </x:c>
      <x:c r="AD326" t="str">
        <x:v>Units</x:v>
      </x:c>
      <x:c r="AE326" s="145"/>
      <x:c r="AF326" s="145"/>
      <x:c r="AG326" s="145"/>
      <x:c r="AH326" s="145"/>
      <x:c r="AI326" s="145"/>
      <x:c r="AJ326"/>
    </x:row>
    <x:row r="327" ht="30" customHeight="1">
      <x:c r="A327" s="138" t="str">
        <x:v>Draft</x:v>
      </x:c>
      <x:c r="B327" s="138" t="str">
        <x:v>Adapter</x:v>
      </x:c>
      <x:c r="C327" s="138" t="str">
        <x:v>ADP_ST_JIC_M_10_NPT_M_04</x:v>
      </x:c>
      <x:c r="D327" s="138" t="str">
        <x:v>ADP_ST_JIC_M_10_NPT_M_04</x:v>
      </x:c>
      <x:c r="E327" s="138" t="str">
        <x:v>EA</x:v>
      </x:c>
      <x:c r="F327" s="139"/>
      <x:c r="G327" s="141" t="n">
        <x:v>1</x:v>
      </x:c>
      <x:c r="H327" s="141" t="n">
        <x:v>1</x:v>
      </x:c>
      <x:c r="I327" s="143"/>
      <x:c r="J327" s="141" t="n">
        <x:v>10</x:v>
      </x:c>
      <x:c r="K327" s="138" t="str">
        <x:v>China</x:v>
      </x:c>
      <x:c r="L327" t="str">
        <x:v>USD</x:v>
      </x:c>
      <x:c r="M327" s="126"/>
      <x:c r="N327"/>
      <x:c r="O327"/>
      <x:c r="P327" s="145"/>
      <x:c r="Q327" s="126"/>
      <x:c r="R327" s="149" t="n">
        <x:v>10.2</x:v>
      </x:c>
      <x:c r="S327" s="145"/>
      <x:c r="T327" s="145"/>
      <x:c r="U327" s="124"/>
      <x:c r="V327" s="124"/>
      <x:c r="W327" s="124"/>
      <x:c r="X327" s="124"/>
      <x:c r="Y327"/>
      <x:c r="Z327"/>
      <x:c r="AA327" s="116" t="str">
        <x:v>Net unit weight is not supplied in 05. Order-level RFQ minimum: USD 100. Retail source: DHH exact 2404-10-04; direct each price; observed 2026-08-15; https://www.discounthydraulichose.com/2404-jic-37-male-x-nptf-male-pipe.html</x:v>
      </x:c>
      <x:c r="AB327" s="161" t="str">
        <x:v>Eligible</x:v>
      </x:c>
      <x:c r="AC327" s="161" t="str">
        <x:v>Pending</x:v>
      </x:c>
      <x:c r="AD327" t="str">
        <x:v>Units</x:v>
      </x:c>
      <x:c r="AE327" s="145"/>
      <x:c r="AF327" s="145"/>
      <x:c r="AG327" s="145"/>
      <x:c r="AH327" s="145"/>
      <x:c r="AI327" s="145"/>
      <x:c r="AJ327"/>
    </x:row>
    <x:row r="328" ht="30" customHeight="1">
      <x:c r="A328" s="138" t="str">
        <x:v>Draft</x:v>
      </x:c>
      <x:c r="B328" s="138" t="str">
        <x:v>Adapter</x:v>
      </x:c>
      <x:c r="C328" s="138" t="str">
        <x:v>ADP_ST_JIC_M_10_NPT_M_06</x:v>
      </x:c>
      <x:c r="D328" s="138" t="str">
        <x:v>ADP_ST_JIC_M_10_NPT_M_06</x:v>
      </x:c>
      <x:c r="E328" s="138" t="str">
        <x:v>EA</x:v>
      </x:c>
      <x:c r="F328" s="139"/>
      <x:c r="G328" s="141" t="n">
        <x:v>1</x:v>
      </x:c>
      <x:c r="H328" s="141" t="n">
        <x:v>1</x:v>
      </x:c>
      <x:c r="I328" s="143"/>
      <x:c r="J328" s="141" t="n">
        <x:v>10</x:v>
      </x:c>
      <x:c r="K328" s="138" t="str">
        <x:v>China</x:v>
      </x:c>
      <x:c r="L328" t="str">
        <x:v>USD</x:v>
      </x:c>
      <x:c r="M328" s="126"/>
      <x:c r="N328"/>
      <x:c r="O328"/>
      <x:c r="P328" s="145"/>
      <x:c r="Q328" s="126"/>
      <x:c r="R328" s="149" t="n">
        <x:v>4.57</x:v>
      </x:c>
      <x:c r="S328" s="145"/>
      <x:c r="T328" s="145"/>
      <x:c r="U328" s="124"/>
      <x:c r="V328" s="124"/>
      <x:c r="W328" s="124"/>
      <x:c r="X328" s="124"/>
      <x:c r="Y328"/>
      <x:c r="Z328"/>
      <x:c r="AA328" s="116" t="str">
        <x:v>Net unit weight is not supplied in 05. Order-level RFQ minimum: USD 100. Retail source: DHH exact 2404-10-06; direct each price; observed 2026-08-15; https://www.discounthydraulichose.com/2404-jic-37-male-x-nptf-male-pipe.html</x:v>
      </x:c>
      <x:c r="AB328" s="161" t="str">
        <x:v>Eligible</x:v>
      </x:c>
      <x:c r="AC328" s="161" t="str">
        <x:v>Pending</x:v>
      </x:c>
      <x:c r="AD328" t="str">
        <x:v>Units</x:v>
      </x:c>
      <x:c r="AE328" s="145"/>
      <x:c r="AF328" s="145"/>
      <x:c r="AG328" s="145"/>
      <x:c r="AH328" s="145"/>
      <x:c r="AI328" s="145"/>
      <x:c r="AJ328"/>
    </x:row>
    <x:row r="329" ht="30" customHeight="1">
      <x:c r="A329" s="138" t="str">
        <x:v>Draft</x:v>
      </x:c>
      <x:c r="B329" s="138" t="str">
        <x:v>Adapter</x:v>
      </x:c>
      <x:c r="C329" s="138" t="str">
        <x:v>ADP_ST_JIC_M_10_NPT_M_08</x:v>
      </x:c>
      <x:c r="D329" s="138" t="str">
        <x:v>ADP_ST_JIC_M_10_NPT_M_08</x:v>
      </x:c>
      <x:c r="E329" s="138" t="str">
        <x:v>EA</x:v>
      </x:c>
      <x:c r="F329" s="139"/>
      <x:c r="G329" s="141" t="n">
        <x:v>1</x:v>
      </x:c>
      <x:c r="H329" s="141" t="n">
        <x:v>1</x:v>
      </x:c>
      <x:c r="I329" s="143"/>
      <x:c r="J329" s="141" t="n">
        <x:v>10</x:v>
      </x:c>
      <x:c r="K329" s="138" t="str">
        <x:v>China</x:v>
      </x:c>
      <x:c r="L329" t="str">
        <x:v>USD</x:v>
      </x:c>
      <x:c r="M329" s="126"/>
      <x:c r="N329"/>
      <x:c r="O329"/>
      <x:c r="P329" s="145"/>
      <x:c r="Q329" s="126"/>
      <x:c r="R329" s="149" t="n">
        <x:v>2.42</x:v>
      </x:c>
      <x:c r="S329" s="145"/>
      <x:c r="T329" s="145"/>
      <x:c r="U329" s="124"/>
      <x:c r="V329" s="124"/>
      <x:c r="W329" s="124"/>
      <x:c r="X329" s="124"/>
      <x:c r="Y329"/>
      <x:c r="Z329"/>
      <x:c r="AA329" s="116" t="str">
        <x:v>Net unit weight is not supplied in 05. Order-level RFQ minimum: USD 100. Retail source: DHH exact 2404-10-08; direct each price; observed 2026-08-15; https://www.discounthydraulichose.com/2404-jic-37-male-x-nptf-male-pipe.html</x:v>
      </x:c>
      <x:c r="AB329" s="161" t="str">
        <x:v>Eligible</x:v>
      </x:c>
      <x:c r="AC329" s="161" t="str">
        <x:v>Pending</x:v>
      </x:c>
      <x:c r="AD329" t="str">
        <x:v>Units</x:v>
      </x:c>
      <x:c r="AE329" s="145"/>
      <x:c r="AF329" s="145"/>
      <x:c r="AG329" s="145"/>
      <x:c r="AH329" s="145"/>
      <x:c r="AI329" s="145"/>
      <x:c r="AJ329"/>
    </x:row>
    <x:row r="330" ht="30" customHeight="1">
      <x:c r="A330" s="138" t="str">
        <x:v>Draft</x:v>
      </x:c>
      <x:c r="B330" s="138" t="str">
        <x:v>Adapter</x:v>
      </x:c>
      <x:c r="C330" s="138" t="str">
        <x:v>ADP_ST_JIC_M_10_NPT_M_12</x:v>
      </x:c>
      <x:c r="D330" s="138" t="str">
        <x:v>ADP_ST_JIC_M_10_NPT_M_12</x:v>
      </x:c>
      <x:c r="E330" s="138" t="str">
        <x:v>EA</x:v>
      </x:c>
      <x:c r="F330" s="139"/>
      <x:c r="G330" s="141" t="n">
        <x:v>1</x:v>
      </x:c>
      <x:c r="H330" s="141" t="n">
        <x:v>1</x:v>
      </x:c>
      <x:c r="I330" s="143"/>
      <x:c r="J330" s="141" t="n">
        <x:v>10</x:v>
      </x:c>
      <x:c r="K330" s="138" t="str">
        <x:v>China</x:v>
      </x:c>
      <x:c r="L330" t="str">
        <x:v>USD</x:v>
      </x:c>
      <x:c r="M330" s="126"/>
      <x:c r="N330"/>
      <x:c r="O330"/>
      <x:c r="P330" s="145"/>
      <x:c r="Q330" s="126"/>
      <x:c r="R330" s="149" t="n">
        <x:v>3.68</x:v>
      </x:c>
      <x:c r="S330" s="145"/>
      <x:c r="T330" s="145"/>
      <x:c r="U330" s="124"/>
      <x:c r="V330" s="124"/>
      <x:c r="W330" s="124"/>
      <x:c r="X330" s="124"/>
      <x:c r="Y330"/>
      <x:c r="Z330"/>
      <x:c r="AA330" s="116" t="str">
        <x:v>Net unit weight is not supplied in 05. Order-level RFQ minimum: USD 100. Retail source: DHH exact 2404-10-12; direct each price; observed 2026-08-15; https://www.discounthydraulichose.com/2404-jic-37-male-x-nptf-male-pipe.html</x:v>
      </x:c>
      <x:c r="AB330" s="161" t="str">
        <x:v>Eligible</x:v>
      </x:c>
      <x:c r="AC330" s="161" t="str">
        <x:v>Pending</x:v>
      </x:c>
      <x:c r="AD330" t="str">
        <x:v>Units</x:v>
      </x:c>
      <x:c r="AE330" s="145"/>
      <x:c r="AF330" s="145"/>
      <x:c r="AG330" s="145"/>
      <x:c r="AH330" s="145"/>
      <x:c r="AI330" s="145"/>
      <x:c r="AJ330"/>
    </x:row>
    <x:row r="331" ht="30" customHeight="1">
      <x:c r="A331" s="138" t="str">
        <x:v>Draft</x:v>
      </x:c>
      <x:c r="B331" s="138" t="str">
        <x:v>Adapter</x:v>
      </x:c>
      <x:c r="C331" s="138" t="str">
        <x:v>ADP_ST_JIC_M_10_NPT_M_16</x:v>
      </x:c>
      <x:c r="D331" s="138" t="str">
        <x:v>ADP_ST_JIC_M_10_NPT_M_16</x:v>
      </x:c>
      <x:c r="E331" s="138" t="str">
        <x:v>EA</x:v>
      </x:c>
      <x:c r="F331" s="139"/>
      <x:c r="G331" s="141" t="n">
        <x:v>1</x:v>
      </x:c>
      <x:c r="H331" s="141" t="n">
        <x:v>1</x:v>
      </x:c>
      <x:c r="I331" s="143"/>
      <x:c r="J331" s="141" t="n">
        <x:v>10</x:v>
      </x:c>
      <x:c r="K331" s="138" t="str">
        <x:v>China</x:v>
      </x:c>
      <x:c r="L331" t="str">
        <x:v>USD</x:v>
      </x:c>
      <x:c r="M331" s="126"/>
      <x:c r="N331"/>
      <x:c r="O331"/>
      <x:c r="P331" s="145"/>
      <x:c r="Q331" s="126"/>
      <x:c r="R331" s="149" t="n">
        <x:v>10</x:v>
      </x:c>
      <x:c r="S331" s="145"/>
      <x:c r="T331" s="145"/>
      <x:c r="U331" s="124"/>
      <x:c r="V331" s="124"/>
      <x:c r="W331" s="124"/>
      <x:c r="X331" s="124"/>
      <x:c r="Y331"/>
      <x:c r="Z331"/>
      <x:c r="AA331" s="116" t="str">
        <x:v>Net unit weight is not supplied in 05. Order-level RFQ minimum: USD 100. Retail source: DHH exact 2404-10-16; direct each price; observed 2026-08-15; https://www.discounthydraulichose.com/2404-jic-37-male-x-nptf-male-pipe.html</x:v>
      </x:c>
      <x:c r="AB331" s="161" t="str">
        <x:v>Eligible</x:v>
      </x:c>
      <x:c r="AC331" s="161" t="str">
        <x:v>Pending</x:v>
      </x:c>
      <x:c r="AD331" t="str">
        <x:v>Units</x:v>
      </x:c>
      <x:c r="AE331" s="145"/>
      <x:c r="AF331" s="145"/>
      <x:c r="AG331" s="145"/>
      <x:c r="AH331" s="145"/>
      <x:c r="AI331" s="145"/>
      <x:c r="AJ331"/>
    </x:row>
    <x:row r="332" ht="30" customHeight="1">
      <x:c r="A332" s="138" t="str">
        <x:v>Draft</x:v>
      </x:c>
      <x:c r="B332" s="138" t="str">
        <x:v>Adapter</x:v>
      </x:c>
      <x:c r="C332" s="138" t="str">
        <x:v>ADP_ST_JIC_M_12_NPT_M_06</x:v>
      </x:c>
      <x:c r="D332" s="138" t="str">
        <x:v>ADP_ST_JIC_M_12_NPT_M_06</x:v>
      </x:c>
      <x:c r="E332" s="138" t="str">
        <x:v>EA</x:v>
      </x:c>
      <x:c r="F332" s="139"/>
      <x:c r="G332" s="141" t="n">
        <x:v>1</x:v>
      </x:c>
      <x:c r="H332" s="141" t="n">
        <x:v>1</x:v>
      </x:c>
      <x:c r="I332" s="143"/>
      <x:c r="J332" s="141" t="n">
        <x:v>10</x:v>
      </x:c>
      <x:c r="K332" s="138" t="str">
        <x:v>China</x:v>
      </x:c>
      <x:c r="L332" t="str">
        <x:v>USD</x:v>
      </x:c>
      <x:c r="M332" s="126"/>
      <x:c r="N332"/>
      <x:c r="O332"/>
      <x:c r="P332" s="145"/>
      <x:c r="Q332" s="126"/>
      <x:c r="R332" s="149" t="n">
        <x:v>7.9</x:v>
      </x:c>
      <x:c r="S332" s="145"/>
      <x:c r="T332" s="145"/>
      <x:c r="U332" s="124"/>
      <x:c r="V332" s="124"/>
      <x:c r="W332" s="124"/>
      <x:c r="X332" s="124"/>
      <x:c r="Y332"/>
      <x:c r="Z332"/>
      <x:c r="AA332" s="116" t="str">
        <x:v>Net unit weight is not supplied in 05. Order-level RFQ minimum: USD 100. Retail source: DHH exact 2404-12-06; direct each price; observed 2026-08-15; https://www.discounthydraulichose.com/2404-jic-37-male-x-nptf-male-pipe.html</x:v>
      </x:c>
      <x:c r="AB332" s="161" t="str">
        <x:v>Eligible</x:v>
      </x:c>
      <x:c r="AC332" s="161" t="str">
        <x:v>Pending</x:v>
      </x:c>
      <x:c r="AD332" t="str">
        <x:v>Units</x:v>
      </x:c>
      <x:c r="AE332" s="145"/>
      <x:c r="AF332" s="145"/>
      <x:c r="AG332" s="145"/>
      <x:c r="AH332" s="145"/>
      <x:c r="AI332" s="145"/>
      <x:c r="AJ332"/>
    </x:row>
    <x:row r="333" ht="30" customHeight="1">
      <x:c r="A333" s="138" t="str">
        <x:v>Draft</x:v>
      </x:c>
      <x:c r="B333" s="138" t="str">
        <x:v>Adapter</x:v>
      </x:c>
      <x:c r="C333" s="138" t="str">
        <x:v>ADP_ST_JIC_M_12_NPT_M_08</x:v>
      </x:c>
      <x:c r="D333" s="138" t="str">
        <x:v>ADP_ST_JIC_M_12_NPT_M_08</x:v>
      </x:c>
      <x:c r="E333" s="138" t="str">
        <x:v>EA</x:v>
      </x:c>
      <x:c r="F333" s="139"/>
      <x:c r="G333" s="141" t="n">
        <x:v>1</x:v>
      </x:c>
      <x:c r="H333" s="141" t="n">
        <x:v>1</x:v>
      </x:c>
      <x:c r="I333" s="143"/>
      <x:c r="J333" s="141" t="n">
        <x:v>10</x:v>
      </x:c>
      <x:c r="K333" s="138" t="str">
        <x:v>China</x:v>
      </x:c>
      <x:c r="L333" t="str">
        <x:v>USD</x:v>
      </x:c>
      <x:c r="M333" s="126"/>
      <x:c r="N333"/>
      <x:c r="O333"/>
      <x:c r="P333" s="145"/>
      <x:c r="Q333" s="126"/>
      <x:c r="R333" s="149" t="n">
        <x:v>3.58</x:v>
      </x:c>
      <x:c r="S333" s="145"/>
      <x:c r="T333" s="145"/>
      <x:c r="U333" s="124"/>
      <x:c r="V333" s="124"/>
      <x:c r="W333" s="124"/>
      <x:c r="X333" s="124"/>
      <x:c r="Y333"/>
      <x:c r="Z333"/>
      <x:c r="AA333" s="116" t="str">
        <x:v>Net unit weight is not supplied in 05. Order-level RFQ minimum: USD 100. Retail source: DHH exact 2404-12-08; direct each price; observed 2026-08-15; https://www.discounthydraulichose.com/2404-jic-37-male-x-nptf-male-pipe.html</x:v>
      </x:c>
      <x:c r="AB333" s="161" t="str">
        <x:v>Eligible</x:v>
      </x:c>
      <x:c r="AC333" s="161" t="str">
        <x:v>Pending</x:v>
      </x:c>
      <x:c r="AD333" t="str">
        <x:v>Units</x:v>
      </x:c>
      <x:c r="AE333" s="145"/>
      <x:c r="AF333" s="145"/>
      <x:c r="AG333" s="145"/>
      <x:c r="AH333" s="145"/>
      <x:c r="AI333" s="145"/>
      <x:c r="AJ333"/>
    </x:row>
    <x:row r="334" ht="30" customHeight="1">
      <x:c r="A334" s="138" t="str">
        <x:v>Draft</x:v>
      </x:c>
      <x:c r="B334" s="138" t="str">
        <x:v>Adapter</x:v>
      </x:c>
      <x:c r="C334" s="138" t="str">
        <x:v>ADP_ST_JIC_M_12_NPT_M_12</x:v>
      </x:c>
      <x:c r="D334" s="138" t="str">
        <x:v>ADP_ST_JIC_M_12_NPT_M_12</x:v>
      </x:c>
      <x:c r="E334" s="138" t="str">
        <x:v>EA</x:v>
      </x:c>
      <x:c r="F334" s="139"/>
      <x:c r="G334" s="141" t="n">
        <x:v>1</x:v>
      </x:c>
      <x:c r="H334" s="141" t="n">
        <x:v>1</x:v>
      </x:c>
      <x:c r="I334" s="143"/>
      <x:c r="J334" s="141" t="n">
        <x:v>10</x:v>
      </x:c>
      <x:c r="K334" s="138" t="str">
        <x:v>China</x:v>
      </x:c>
      <x:c r="L334" t="str">
        <x:v>USD</x:v>
      </x:c>
      <x:c r="M334" s="126"/>
      <x:c r="N334"/>
      <x:c r="O334"/>
      <x:c r="P334" s="145"/>
      <x:c r="Q334" s="126"/>
      <x:c r="R334" s="149" t="n">
        <x:v>3.79</x:v>
      </x:c>
      <x:c r="S334" s="145"/>
      <x:c r="T334" s="145"/>
      <x:c r="U334" s="124"/>
      <x:c r="V334" s="124"/>
      <x:c r="W334" s="124"/>
      <x:c r="X334" s="124"/>
      <x:c r="Y334"/>
      <x:c r="Z334"/>
      <x:c r="AA334" s="116" t="str">
        <x:v>Net unit weight is not supplied in 05. Order-level RFQ minimum: USD 100. Retail source: DHH exact 2404-12-12; direct each price; observed 2026-08-15; https://www.discounthydraulichose.com/2404-jic-37-male-x-nptf-male-pipe.html</x:v>
      </x:c>
      <x:c r="AB334" s="161" t="str">
        <x:v>Eligible</x:v>
      </x:c>
      <x:c r="AC334" s="161" t="str">
        <x:v>Pending</x:v>
      </x:c>
      <x:c r="AD334" t="str">
        <x:v>Units</x:v>
      </x:c>
      <x:c r="AE334" s="145"/>
      <x:c r="AF334" s="145"/>
      <x:c r="AG334" s="145"/>
      <x:c r="AH334" s="145"/>
      <x:c r="AI334" s="145"/>
      <x:c r="AJ334"/>
    </x:row>
    <x:row r="335" ht="30" customHeight="1">
      <x:c r="A335" s="138" t="str">
        <x:v>Draft</x:v>
      </x:c>
      <x:c r="B335" s="138" t="str">
        <x:v>Adapter</x:v>
      </x:c>
      <x:c r="C335" s="138" t="str">
        <x:v>ADP_ST_JIC_M_12_NPT_M_16</x:v>
      </x:c>
      <x:c r="D335" s="138" t="str">
        <x:v>ADP_ST_JIC_M_12_NPT_M_16</x:v>
      </x:c>
      <x:c r="E335" s="138" t="str">
        <x:v>EA</x:v>
      </x:c>
      <x:c r="F335" s="139"/>
      <x:c r="G335" s="141" t="n">
        <x:v>1</x:v>
      </x:c>
      <x:c r="H335" s="141" t="n">
        <x:v>1</x:v>
      </x:c>
      <x:c r="I335" s="143"/>
      <x:c r="J335" s="141" t="n">
        <x:v>10</x:v>
      </x:c>
      <x:c r="K335" s="138" t="str">
        <x:v>China</x:v>
      </x:c>
      <x:c r="L335" t="str">
        <x:v>USD</x:v>
      </x:c>
      <x:c r="M335" s="126"/>
      <x:c r="N335"/>
      <x:c r="O335"/>
      <x:c r="P335" s="145"/>
      <x:c r="Q335" s="126"/>
      <x:c r="R335" s="149" t="n">
        <x:v>16.17</x:v>
      </x:c>
      <x:c r="S335" s="145"/>
      <x:c r="T335" s="145"/>
      <x:c r="U335" s="124"/>
      <x:c r="V335" s="124"/>
      <x:c r="W335" s="124"/>
      <x:c r="X335" s="124"/>
      <x:c r="Y335"/>
      <x:c r="Z335"/>
      <x:c r="AA335" s="116" t="str">
        <x:v>Net unit weight is not supplied in 05. Order-level RFQ minimum: USD 100. Retail source: DHH exact 2404-12-16; direct each price; observed 2026-08-15; https://www.discounthydraulichose.com/2404-jic-37-male-x-nptf-male-pipe.html</x:v>
      </x:c>
      <x:c r="AB335" s="161" t="str">
        <x:v>Eligible</x:v>
      </x:c>
      <x:c r="AC335" s="161" t="str">
        <x:v>Pending</x:v>
      </x:c>
      <x:c r="AD335" t="str">
        <x:v>Units</x:v>
      </x:c>
      <x:c r="AE335" s="145"/>
      <x:c r="AF335" s="145"/>
      <x:c r="AG335" s="145"/>
      <x:c r="AH335" s="145"/>
      <x:c r="AI335" s="145"/>
      <x:c r="AJ335"/>
    </x:row>
    <x:row r="336" ht="30" customHeight="1">
      <x:c r="A336" s="138" t="str">
        <x:v>Draft</x:v>
      </x:c>
      <x:c r="B336" s="138" t="str">
        <x:v>Adapter</x:v>
      </x:c>
      <x:c r="C336" s="138" t="str">
        <x:v>ADP_ST_JIC_M_12_NPT_M_20</x:v>
      </x:c>
      <x:c r="D336" s="138" t="str">
        <x:v>ADP_ST_JIC_M_12_NPT_M_20</x:v>
      </x:c>
      <x:c r="E336" s="138" t="str">
        <x:v>EA</x:v>
      </x:c>
      <x:c r="F336" s="139"/>
      <x:c r="G336" s="141" t="n">
        <x:v>1</x:v>
      </x:c>
      <x:c r="H336" s="141" t="n">
        <x:v>1</x:v>
      </x:c>
      <x:c r="I336" s="143"/>
      <x:c r="J336" s="141" t="n">
        <x:v>10</x:v>
      </x:c>
      <x:c r="K336" s="138" t="str">
        <x:v>China</x:v>
      </x:c>
      <x:c r="L336" t="str">
        <x:v>USD</x:v>
      </x:c>
      <x:c r="M336" s="126"/>
      <x:c r="N336"/>
      <x:c r="O336"/>
      <x:c r="P336" s="145"/>
      <x:c r="Q336" s="126"/>
      <x:c r="R336" s="149" t="n">
        <x:v>18.83</x:v>
      </x:c>
      <x:c r="S336" s="145"/>
      <x:c r="T336" s="145"/>
      <x:c r="U336" s="124"/>
      <x:c r="V336" s="124"/>
      <x:c r="W336" s="124"/>
      <x:c r="X336" s="124"/>
      <x:c r="Y336"/>
      <x:c r="Z336"/>
      <x:c r="AA336" s="116" t="str">
        <x:v>Net unit weight is not supplied in 05. Order-level RFQ minimum: USD 100. Retail source: DHH exact 2404-12-20; direct each price; observed 2026-08-15; https://www.discounthydraulichose.com/2404-jic-37-male-x-nptf-male-pipe.html</x:v>
      </x:c>
      <x:c r="AB336" s="161" t="str">
        <x:v>Eligible</x:v>
      </x:c>
      <x:c r="AC336" s="161" t="str">
        <x:v>Pending</x:v>
      </x:c>
      <x:c r="AD336" t="str">
        <x:v>Units</x:v>
      </x:c>
      <x:c r="AE336" s="145"/>
      <x:c r="AF336" s="145"/>
      <x:c r="AG336" s="145"/>
      <x:c r="AH336" s="145"/>
      <x:c r="AI336" s="145"/>
      <x:c r="AJ336"/>
    </x:row>
    <x:row r="337" ht="30" customHeight="1">
      <x:c r="A337" s="138" t="str">
        <x:v>Draft</x:v>
      </x:c>
      <x:c r="B337" s="138" t="str">
        <x:v>Adapter</x:v>
      </x:c>
      <x:c r="C337" s="138" t="str">
        <x:v>ADP_ST_JIC_M_12_NPT_M_24</x:v>
      </x:c>
      <x:c r="D337" s="138" t="str">
        <x:v>ADP_ST_JIC_M_12_NPT_M_24</x:v>
      </x:c>
      <x:c r="E337" s="138" t="str">
        <x:v>EA</x:v>
      </x:c>
      <x:c r="F337" s="139"/>
      <x:c r="G337" s="141" t="n">
        <x:v>1</x:v>
      </x:c>
      <x:c r="H337" s="141" t="n">
        <x:v>1</x:v>
      </x:c>
      <x:c r="I337" s="143"/>
      <x:c r="J337" s="141" t="n">
        <x:v>10</x:v>
      </x:c>
      <x:c r="K337" s="138" t="str">
        <x:v>China</x:v>
      </x:c>
      <x:c r="L337" t="str">
        <x:v>USD</x:v>
      </x:c>
      <x:c r="M337" s="126"/>
      <x:c r="N337"/>
      <x:c r="O337"/>
      <x:c r="P337" s="145"/>
      <x:c r="Q337" s="126"/>
      <x:c r="R337" s="149" t="n">
        <x:v>19.95</x:v>
      </x:c>
      <x:c r="S337" s="145"/>
      <x:c r="T337" s="145"/>
      <x:c r="U337" s="124"/>
      <x:c r="V337" s="124"/>
      <x:c r="W337" s="124"/>
      <x:c r="X337" s="124"/>
      <x:c r="Y337"/>
      <x:c r="Z337"/>
      <x:c r="AA337" s="116" t="str">
        <x:v>Net unit weight is not supplied in 05. Order-level RFQ minimum: USD 100. Retail source: DHH exact 2404-12-24; direct each price; observed 2026-08-15; https://www.discounthydraulichose.com/2404-jic-37-male-x-nptf-male-pipe.html</x:v>
      </x:c>
      <x:c r="AB337" s="161" t="str">
        <x:v>Eligible</x:v>
      </x:c>
      <x:c r="AC337" s="161" t="str">
        <x:v>Pending</x:v>
      </x:c>
      <x:c r="AD337" t="str">
        <x:v>Units</x:v>
      </x:c>
      <x:c r="AE337" s="145"/>
      <x:c r="AF337" s="145"/>
      <x:c r="AG337" s="145"/>
      <x:c r="AH337" s="145"/>
      <x:c r="AI337" s="145"/>
      <x:c r="AJ337"/>
    </x:row>
    <x:row r="338" ht="30" customHeight="1">
      <x:c r="A338" s="138" t="str">
        <x:v>Draft</x:v>
      </x:c>
      <x:c r="B338" s="138" t="str">
        <x:v>Adapter</x:v>
      </x:c>
      <x:c r="C338" s="138" t="str">
        <x:v>ADP_ST_JIC_M_14_NPT_M_08</x:v>
      </x:c>
      <x:c r="D338" s="138" t="str">
        <x:v>ADP_ST_JIC_M_14_NPT_M_08</x:v>
      </x:c>
      <x:c r="E338" s="138" t="str">
        <x:v>EA</x:v>
      </x:c>
      <x:c r="F338" s="139"/>
      <x:c r="G338" s="141" t="n">
        <x:v>1</x:v>
      </x:c>
      <x:c r="H338" s="141" t="n">
        <x:v>1</x:v>
      </x:c>
      <x:c r="I338" s="143"/>
      <x:c r="J338" s="141" t="n">
        <x:v>10</x:v>
      </x:c>
      <x:c r="K338" s="138" t="str">
        <x:v>China</x:v>
      </x:c>
      <x:c r="L338" t="str">
        <x:v>USD</x:v>
      </x:c>
      <x:c r="M338" s="126"/>
      <x:c r="N338"/>
      <x:c r="O338"/>
      <x:c r="P338" s="145"/>
      <x:c r="Q338" s="126"/>
      <x:c r="R338" s="149" t="n">
        <x:v>24.4</x:v>
      </x:c>
      <x:c r="S338" s="145"/>
      <x:c r="T338" s="145"/>
      <x:c r="U338" s="124"/>
      <x:c r="V338" s="124"/>
      <x:c r="W338" s="124"/>
      <x:c r="X338" s="124"/>
      <x:c r="Y338"/>
      <x:c r="Z338"/>
      <x:c r="AA338" s="116" t="str">
        <x:v>Net unit weight is not supplied in 05. Order-level RFQ minimum: USD 100. Retail source: DHH exact 2404-14-08; direct each price; observed 2026-08-15; https://www.discounthydraulichose.com/2404-jic-37-male-x-nptf-male-pipe.html</x:v>
      </x:c>
      <x:c r="AB338" s="161" t="str">
        <x:v>Eligible</x:v>
      </x:c>
      <x:c r="AC338" s="161" t="str">
        <x:v>Pending</x:v>
      </x:c>
      <x:c r="AD338" t="str">
        <x:v>Units</x:v>
      </x:c>
      <x:c r="AE338" s="145"/>
      <x:c r="AF338" s="145"/>
      <x:c r="AG338" s="145"/>
      <x:c r="AH338" s="145"/>
      <x:c r="AI338" s="145"/>
      <x:c r="AJ338"/>
    </x:row>
    <x:row r="339" ht="30" customHeight="1">
      <x:c r="A339" s="138" t="str">
        <x:v>Draft</x:v>
      </x:c>
      <x:c r="B339" s="138" t="str">
        <x:v>Adapter</x:v>
      </x:c>
      <x:c r="C339" s="138" t="str">
        <x:v>ADP_ST_JIC_M_14_NPT_M_12</x:v>
      </x:c>
      <x:c r="D339" s="138" t="str">
        <x:v>ADP_ST_JIC_M_14_NPT_M_12</x:v>
      </x:c>
      <x:c r="E339" s="138" t="str">
        <x:v>EA</x:v>
      </x:c>
      <x:c r="F339" s="139"/>
      <x:c r="G339" s="141" t="n">
        <x:v>1</x:v>
      </x:c>
      <x:c r="H339" s="141" t="n">
        <x:v>1</x:v>
      </x:c>
      <x:c r="I339" s="143"/>
      <x:c r="J339" s="141" t="n">
        <x:v>10</x:v>
      </x:c>
      <x:c r="K339" s="138" t="str">
        <x:v>China</x:v>
      </x:c>
      <x:c r="L339" t="str">
        <x:v>USD</x:v>
      </x:c>
      <x:c r="M339" s="126"/>
      <x:c r="N339"/>
      <x:c r="O339"/>
      <x:c r="P339" s="145"/>
      <x:c r="Q339" s="126"/>
      <x:c r="R339" s="149" t="n">
        <x:v>6.43</x:v>
      </x:c>
      <x:c r="S339" s="145"/>
      <x:c r="T339" s="145"/>
      <x:c r="U339" s="124"/>
      <x:c r="V339" s="124"/>
      <x:c r="W339" s="124"/>
      <x:c r="X339" s="124"/>
      <x:c r="Y339"/>
      <x:c r="Z339"/>
      <x:c r="AA339" s="116" t="str">
        <x:v>Net unit weight is not supplied in 05. Order-level RFQ minimum: USD 100. Retail source: DHH exact 2404-14-12; direct each price; observed 2026-08-15; https://www.discounthydraulichose.com/2404-jic-37-male-x-nptf-male-pipe.html</x:v>
      </x:c>
      <x:c r="AB339" s="161" t="str">
        <x:v>Eligible</x:v>
      </x:c>
      <x:c r="AC339" s="161" t="str">
        <x:v>Pending</x:v>
      </x:c>
      <x:c r="AD339" t="str">
        <x:v>Units</x:v>
      </x:c>
      <x:c r="AE339" s="145"/>
      <x:c r="AF339" s="145"/>
      <x:c r="AG339" s="145"/>
      <x:c r="AH339" s="145"/>
      <x:c r="AI339" s="145"/>
      <x:c r="AJ339"/>
    </x:row>
    <x:row r="340" ht="30" customHeight="1">
      <x:c r="A340" s="138" t="str">
        <x:v>Draft</x:v>
      </x:c>
      <x:c r="B340" s="138" t="str">
        <x:v>Adapter</x:v>
      </x:c>
      <x:c r="C340" s="138" t="str">
        <x:v>ADP_ST_JIC_M_16_NPT_M_08</x:v>
      </x:c>
      <x:c r="D340" s="138" t="str">
        <x:v>ADP_ST_JIC_M_16_NPT_M_08</x:v>
      </x:c>
      <x:c r="E340" s="138" t="str">
        <x:v>EA</x:v>
      </x:c>
      <x:c r="F340" s="139"/>
      <x:c r="G340" s="141" t="n">
        <x:v>1</x:v>
      </x:c>
      <x:c r="H340" s="141" t="n">
        <x:v>1</x:v>
      </x:c>
      <x:c r="I340" s="143"/>
      <x:c r="J340" s="141" t="n">
        <x:v>10</x:v>
      </x:c>
      <x:c r="K340" s="138" t="str">
        <x:v>China</x:v>
      </x:c>
      <x:c r="L340" t="str">
        <x:v>USD</x:v>
      </x:c>
      <x:c r="M340" s="126"/>
      <x:c r="N340"/>
      <x:c r="O340"/>
      <x:c r="P340" s="145"/>
      <x:c r="Q340" s="126"/>
      <x:c r="R340" s="149" t="n">
        <x:v>8.3</x:v>
      </x:c>
      <x:c r="S340" s="145"/>
      <x:c r="T340" s="145"/>
      <x:c r="U340" s="124"/>
      <x:c r="V340" s="124"/>
      <x:c r="W340" s="124"/>
      <x:c r="X340" s="124"/>
      <x:c r="Y340"/>
      <x:c r="Z340"/>
      <x:c r="AA340" s="116" t="str">
        <x:v>Net unit weight is not supplied in 05. Order-level RFQ minimum: USD 100. Retail source: DHH exact 2404-16-08; direct each price; observed 2026-08-15; https://www.discounthydraulichose.com/2404-jic-37-male-x-nptf-male-pipe.html</x:v>
      </x:c>
      <x:c r="AB340" s="161" t="str">
        <x:v>Eligible</x:v>
      </x:c>
      <x:c r="AC340" s="161" t="str">
        <x:v>Pending</x:v>
      </x:c>
      <x:c r="AD340" t="str">
        <x:v>Units</x:v>
      </x:c>
      <x:c r="AE340" s="145"/>
      <x:c r="AF340" s="145"/>
      <x:c r="AG340" s="145"/>
      <x:c r="AH340" s="145"/>
      <x:c r="AI340" s="145"/>
      <x:c r="AJ340"/>
    </x:row>
    <x:row r="341" ht="30" customHeight="1">
      <x:c r="A341" s="138" t="str">
        <x:v>Draft</x:v>
      </x:c>
      <x:c r="B341" s="138" t="str">
        <x:v>Adapter</x:v>
      </x:c>
      <x:c r="C341" s="138" t="str">
        <x:v>ADP_ST_JIC_M_16_NPT_M_12</x:v>
      </x:c>
      <x:c r="D341" s="138" t="str">
        <x:v>ADP_ST_JIC_M_16_NPT_M_12</x:v>
      </x:c>
      <x:c r="E341" s="138" t="str">
        <x:v>EA</x:v>
      </x:c>
      <x:c r="F341" s="139"/>
      <x:c r="G341" s="141" t="n">
        <x:v>1</x:v>
      </x:c>
      <x:c r="H341" s="141" t="n">
        <x:v>1</x:v>
      </x:c>
      <x:c r="I341" s="143"/>
      <x:c r="J341" s="141" t="n">
        <x:v>10</x:v>
      </x:c>
      <x:c r="K341" s="138" t="str">
        <x:v>China</x:v>
      </x:c>
      <x:c r="L341" t="str">
        <x:v>USD</x:v>
      </x:c>
      <x:c r="M341" s="126"/>
      <x:c r="N341"/>
      <x:c r="O341"/>
      <x:c r="P341" s="145"/>
      <x:c r="Q341" s="126"/>
      <x:c r="R341" s="149" t="n">
        <x:v>5.39</x:v>
      </x:c>
      <x:c r="S341" s="145"/>
      <x:c r="T341" s="145"/>
      <x:c r="U341" s="124"/>
      <x:c r="V341" s="124"/>
      <x:c r="W341" s="124"/>
      <x:c r="X341" s="124"/>
      <x:c r="Y341"/>
      <x:c r="Z341"/>
      <x:c r="AA341" s="116" t="str">
        <x:v>Net unit weight is not supplied in 05. Order-level RFQ minimum: USD 100. Retail source: DHH exact 2404-16-12; direct each price; observed 2026-08-15; https://www.discounthydraulichose.com/2404-jic-37-male-x-nptf-male-pipe.html</x:v>
      </x:c>
      <x:c r="AB341" s="161" t="str">
        <x:v>Eligible</x:v>
      </x:c>
      <x:c r="AC341" s="161" t="str">
        <x:v>Pending</x:v>
      </x:c>
      <x:c r="AD341" t="str">
        <x:v>Units</x:v>
      </x:c>
      <x:c r="AE341" s="145"/>
      <x:c r="AF341" s="145"/>
      <x:c r="AG341" s="145"/>
      <x:c r="AH341" s="145"/>
      <x:c r="AI341" s="145"/>
      <x:c r="AJ341"/>
    </x:row>
    <x:row r="342" ht="30" customHeight="1">
      <x:c r="A342" s="138" t="str">
        <x:v>Draft</x:v>
      </x:c>
      <x:c r="B342" s="138" t="str">
        <x:v>Adapter</x:v>
      </x:c>
      <x:c r="C342" s="138" t="str">
        <x:v>ADP_ST_JIC_M_16_NPT_M_16</x:v>
      </x:c>
      <x:c r="D342" s="138" t="str">
        <x:v>ADP_ST_JIC_M_16_NPT_M_16</x:v>
      </x:c>
      <x:c r="E342" s="138" t="str">
        <x:v>EA</x:v>
      </x:c>
      <x:c r="F342" s="139"/>
      <x:c r="G342" s="141" t="n">
        <x:v>1</x:v>
      </x:c>
      <x:c r="H342" s="141" t="n">
        <x:v>1</x:v>
      </x:c>
      <x:c r="I342" s="143"/>
      <x:c r="J342" s="141" t="n">
        <x:v>10</x:v>
      </x:c>
      <x:c r="K342" s="138" t="str">
        <x:v>China</x:v>
      </x:c>
      <x:c r="L342" t="str">
        <x:v>USD</x:v>
      </x:c>
      <x:c r="M342" s="126"/>
      <x:c r="N342"/>
      <x:c r="O342"/>
      <x:c r="P342" s="145"/>
      <x:c r="Q342" s="126"/>
      <x:c r="R342" s="149" t="n">
        <x:v>4.56</x:v>
      </x:c>
      <x:c r="S342" s="145"/>
      <x:c r="T342" s="145"/>
      <x:c r="U342" s="124"/>
      <x:c r="V342" s="124"/>
      <x:c r="W342" s="124"/>
      <x:c r="X342" s="124"/>
      <x:c r="Y342"/>
      <x:c r="Z342"/>
      <x:c r="AA342" s="116" t="str">
        <x:v>Net unit weight is not supplied in 05. Order-level RFQ minimum: USD 100. Retail source: DHH exact 2404-16-16; direct each price; observed 2026-08-15; https://www.discounthydraulichose.com/2404-jic-37-male-x-nptf-male-pipe.html</x:v>
      </x:c>
      <x:c r="AB342" s="161" t="str">
        <x:v>Eligible</x:v>
      </x:c>
      <x:c r="AC342" s="161" t="str">
        <x:v>Pending</x:v>
      </x:c>
      <x:c r="AD342" t="str">
        <x:v>Units</x:v>
      </x:c>
      <x:c r="AE342" s="145"/>
      <x:c r="AF342" s="145"/>
      <x:c r="AG342" s="145"/>
      <x:c r="AH342" s="145"/>
      <x:c r="AI342" s="145"/>
      <x:c r="AJ342"/>
    </x:row>
    <x:row r="343" ht="30" customHeight="1">
      <x:c r="A343" s="138" t="str">
        <x:v>Draft</x:v>
      </x:c>
      <x:c r="B343" s="138" t="str">
        <x:v>Adapter</x:v>
      </x:c>
      <x:c r="C343" s="138" t="str">
        <x:v>ADP_ST_JIC_M_16_NPT_M_20</x:v>
      </x:c>
      <x:c r="D343" s="138" t="str">
        <x:v>ADP_ST_JIC_M_16_NPT_M_20</x:v>
      </x:c>
      <x:c r="E343" s="138" t="str">
        <x:v>EA</x:v>
      </x:c>
      <x:c r="F343" s="139"/>
      <x:c r="G343" s="141" t="n">
        <x:v>1</x:v>
      </x:c>
      <x:c r="H343" s="141" t="n">
        <x:v>1</x:v>
      </x:c>
      <x:c r="I343" s="143"/>
      <x:c r="J343" s="141" t="n">
        <x:v>10</x:v>
      </x:c>
      <x:c r="K343" s="138" t="str">
        <x:v>China</x:v>
      </x:c>
      <x:c r="L343" t="str">
        <x:v>USD</x:v>
      </x:c>
      <x:c r="M343" s="126"/>
      <x:c r="N343"/>
      <x:c r="O343"/>
      <x:c r="P343" s="145"/>
      <x:c r="Q343" s="126"/>
      <x:c r="R343" s="149" t="n">
        <x:v>8.54</x:v>
      </x:c>
      <x:c r="S343" s="145"/>
      <x:c r="T343" s="145"/>
      <x:c r="U343" s="124"/>
      <x:c r="V343" s="124"/>
      <x:c r="W343" s="124"/>
      <x:c r="X343" s="124"/>
      <x:c r="Y343"/>
      <x:c r="Z343"/>
      <x:c r="AA343" s="116" t="str">
        <x:v>Net unit weight is not supplied in 05. Order-level RFQ minimum: USD 100. Retail source: DHH exact 2404-16-20; direct each price; observed 2026-08-15; https://www.discounthydraulichose.com/2404-jic-37-male-x-nptf-male-pipe.html</x:v>
      </x:c>
      <x:c r="AB343" s="161" t="str">
        <x:v>Eligible</x:v>
      </x:c>
      <x:c r="AC343" s="161" t="str">
        <x:v>Pending</x:v>
      </x:c>
      <x:c r="AD343" t="str">
        <x:v>Units</x:v>
      </x:c>
      <x:c r="AE343" s="145"/>
      <x:c r="AF343" s="145"/>
      <x:c r="AG343" s="145"/>
      <x:c r="AH343" s="145"/>
      <x:c r="AI343" s="145"/>
      <x:c r="AJ343"/>
    </x:row>
    <x:row r="344" ht="30" customHeight="1">
      <x:c r="A344" s="138" t="str">
        <x:v>Draft</x:v>
      </x:c>
      <x:c r="B344" s="138" t="str">
        <x:v>Adapter</x:v>
      </x:c>
      <x:c r="C344" s="138" t="str">
        <x:v>ADP_ST_JIC_M_16_NPT_M_24</x:v>
      </x:c>
      <x:c r="D344" s="138" t="str">
        <x:v>ADP_ST_JIC_M_16_NPT_M_24</x:v>
      </x:c>
      <x:c r="E344" s="138" t="str">
        <x:v>EA</x:v>
      </x:c>
      <x:c r="F344" s="139"/>
      <x:c r="G344" s="141" t="n">
        <x:v>1</x:v>
      </x:c>
      <x:c r="H344" s="141" t="n">
        <x:v>1</x:v>
      </x:c>
      <x:c r="I344" s="143"/>
      <x:c r="J344" s="141" t="n">
        <x:v>10</x:v>
      </x:c>
      <x:c r="K344" s="138" t="str">
        <x:v>China</x:v>
      </x:c>
      <x:c r="L344" t="str">
        <x:v>USD</x:v>
      </x:c>
      <x:c r="M344" s="126"/>
      <x:c r="N344"/>
      <x:c r="O344"/>
      <x:c r="P344" s="145"/>
      <x:c r="Q344" s="126"/>
      <x:c r="R344" s="149" t="n">
        <x:v>27.33</x:v>
      </x:c>
      <x:c r="S344" s="145"/>
      <x:c r="T344" s="145"/>
      <x:c r="U344" s="124"/>
      <x:c r="V344" s="124"/>
      <x:c r="W344" s="124"/>
      <x:c r="X344" s="124"/>
      <x:c r="Y344"/>
      <x:c r="Z344"/>
      <x:c r="AA344" s="116" t="str">
        <x:v>Net unit weight is not supplied in 05. Order-level RFQ minimum: USD 100. Retail source: DHH exact 2404-16-24; direct each price; observed 2026-08-15; https://www.discounthydraulichose.com/2404-jic-37-male-x-nptf-male-pipe.html</x:v>
      </x:c>
      <x:c r="AB344" s="161" t="str">
        <x:v>Eligible</x:v>
      </x:c>
      <x:c r="AC344" s="161" t="str">
        <x:v>Pending</x:v>
      </x:c>
      <x:c r="AD344" t="str">
        <x:v>Units</x:v>
      </x:c>
      <x:c r="AE344" s="145"/>
      <x:c r="AF344" s="145"/>
      <x:c r="AG344" s="145"/>
      <x:c r="AH344" s="145"/>
      <x:c r="AI344" s="145"/>
      <x:c r="AJ344"/>
    </x:row>
    <x:row r="345" ht="30" customHeight="1">
      <x:c r="A345" s="138" t="str">
        <x:v>Draft</x:v>
      </x:c>
      <x:c r="B345" s="138" t="str">
        <x:v>Adapter</x:v>
      </x:c>
      <x:c r="C345" s="138" t="str">
        <x:v>ADP_ST_JIC_M_20_NPT_M_12</x:v>
      </x:c>
      <x:c r="D345" s="138" t="str">
        <x:v>ADP_ST_JIC_M_20_NPT_M_12</x:v>
      </x:c>
      <x:c r="E345" s="138" t="str">
        <x:v>EA</x:v>
      </x:c>
      <x:c r="F345" s="139"/>
      <x:c r="G345" s="141" t="n">
        <x:v>1</x:v>
      </x:c>
      <x:c r="H345" s="141" t="n">
        <x:v>1</x:v>
      </x:c>
      <x:c r="I345" s="143"/>
      <x:c r="J345" s="141" t="n">
        <x:v>10</x:v>
      </x:c>
      <x:c r="K345" s="138" t="str">
        <x:v>China</x:v>
      </x:c>
      <x:c r="L345" t="str">
        <x:v>USD</x:v>
      </x:c>
      <x:c r="M345" s="126"/>
      <x:c r="N345"/>
      <x:c r="O345"/>
      <x:c r="P345" s="145"/>
      <x:c r="Q345" s="126"/>
      <x:c r="R345" s="149" t="n">
        <x:v>17.83</x:v>
      </x:c>
      <x:c r="S345" s="145"/>
      <x:c r="T345" s="145"/>
      <x:c r="U345" s="124"/>
      <x:c r="V345" s="124"/>
      <x:c r="W345" s="124"/>
      <x:c r="X345" s="124"/>
      <x:c r="Y345"/>
      <x:c r="Z345"/>
      <x:c r="AA345" s="116" t="str">
        <x:v>Net unit weight is not supplied in 05. Order-level RFQ minimum: USD 100. Retail source: DHH exact 2404-20-12; direct each price; observed 2026-08-15; https://www.discounthydraulichose.com/2404-jic-37-male-x-nptf-male-pipe.html</x:v>
      </x:c>
      <x:c r="AB345" s="161" t="str">
        <x:v>Eligible</x:v>
      </x:c>
      <x:c r="AC345" s="161" t="str">
        <x:v>Pending</x:v>
      </x:c>
      <x:c r="AD345" t="str">
        <x:v>Units</x:v>
      </x:c>
      <x:c r="AE345" s="145"/>
      <x:c r="AF345" s="145"/>
      <x:c r="AG345" s="145"/>
      <x:c r="AH345" s="145"/>
      <x:c r="AI345" s="145"/>
      <x:c r="AJ345"/>
    </x:row>
    <x:row r="346" ht="30" customHeight="1">
      <x:c r="A346" s="138" t="str">
        <x:v>Draft</x:v>
      </x:c>
      <x:c r="B346" s="138" t="str">
        <x:v>Adapter</x:v>
      </x:c>
      <x:c r="C346" s="138" t="str">
        <x:v>ADP_ST_JIC_M_20_NPT_M_16</x:v>
      </x:c>
      <x:c r="D346" s="138" t="str">
        <x:v>ADP_ST_JIC_M_20_NPT_M_16</x:v>
      </x:c>
      <x:c r="E346" s="138" t="str">
        <x:v>EA</x:v>
      </x:c>
      <x:c r="F346" s="139"/>
      <x:c r="G346" s="141" t="n">
        <x:v>1</x:v>
      </x:c>
      <x:c r="H346" s="141" t="n">
        <x:v>1</x:v>
      </x:c>
      <x:c r="I346" s="143"/>
      <x:c r="J346" s="141" t="n">
        <x:v>10</x:v>
      </x:c>
      <x:c r="K346" s="138" t="str">
        <x:v>China</x:v>
      </x:c>
      <x:c r="L346" t="str">
        <x:v>USD</x:v>
      </x:c>
      <x:c r="M346" s="126"/>
      <x:c r="N346"/>
      <x:c r="O346"/>
      <x:c r="P346" s="145"/>
      <x:c r="Q346" s="126"/>
      <x:c r="R346" s="149" t="n">
        <x:v>10.07</x:v>
      </x:c>
      <x:c r="S346" s="145"/>
      <x:c r="T346" s="145"/>
      <x:c r="U346" s="124"/>
      <x:c r="V346" s="124"/>
      <x:c r="W346" s="124"/>
      <x:c r="X346" s="124"/>
      <x:c r="Y346"/>
      <x:c r="Z346"/>
      <x:c r="AA346" s="116" t="str">
        <x:v>Net unit weight is not supplied in 05. Order-level RFQ minimum: USD 100. Retail source: DHH exact 2404-20-16; direct each price; observed 2026-08-15; https://www.discounthydraulichose.com/2404-jic-37-male-x-nptf-male-pipe.html</x:v>
      </x:c>
      <x:c r="AB346" s="161" t="str">
        <x:v>Eligible</x:v>
      </x:c>
      <x:c r="AC346" s="161" t="str">
        <x:v>Pending</x:v>
      </x:c>
      <x:c r="AD346" t="str">
        <x:v>Units</x:v>
      </x:c>
      <x:c r="AE346" s="145"/>
      <x:c r="AF346" s="145"/>
      <x:c r="AG346" s="145"/>
      <x:c r="AH346" s="145"/>
      <x:c r="AI346" s="145"/>
      <x:c r="AJ346"/>
    </x:row>
    <x:row r="347" ht="30" customHeight="1">
      <x:c r="A347" s="138" t="str">
        <x:v>Draft</x:v>
      </x:c>
      <x:c r="B347" s="138" t="str">
        <x:v>Adapter</x:v>
      </x:c>
      <x:c r="C347" s="138" t="str">
        <x:v>ADP_ST_JIC_M_20_NPT_M_20</x:v>
      </x:c>
      <x:c r="D347" s="138" t="str">
        <x:v>ADP_ST_JIC_M_20_NPT_M_20</x:v>
      </x:c>
      <x:c r="E347" s="138" t="str">
        <x:v>EA</x:v>
      </x:c>
      <x:c r="F347" s="139"/>
      <x:c r="G347" s="141" t="n">
        <x:v>1</x:v>
      </x:c>
      <x:c r="H347" s="141" t="n">
        <x:v>1</x:v>
      </x:c>
      <x:c r="I347" s="143"/>
      <x:c r="J347" s="141" t="n">
        <x:v>10</x:v>
      </x:c>
      <x:c r="K347" s="138" t="str">
        <x:v>China</x:v>
      </x:c>
      <x:c r="L347" t="str">
        <x:v>USD</x:v>
      </x:c>
      <x:c r="M347" s="126"/>
      <x:c r="N347"/>
      <x:c r="O347"/>
      <x:c r="P347" s="145"/>
      <x:c r="Q347" s="126"/>
      <x:c r="R347" s="149" t="n">
        <x:v>10.19</x:v>
      </x:c>
      <x:c r="S347" s="145"/>
      <x:c r="T347" s="145"/>
      <x:c r="U347" s="124"/>
      <x:c r="V347" s="124"/>
      <x:c r="W347" s="124"/>
      <x:c r="X347" s="124"/>
      <x:c r="Y347"/>
      <x:c r="Z347"/>
      <x:c r="AA347" s="116" t="str">
        <x:v>Net unit weight is not supplied in 05. Order-level RFQ minimum: USD 100. Retail source: DHH exact 2404-20-20; direct each price; observed 2026-08-15; https://www.discounthydraulichose.com/2404-jic-37-male-x-nptf-male-pipe.html</x:v>
      </x:c>
      <x:c r="AB347" s="161" t="str">
        <x:v>Eligible</x:v>
      </x:c>
      <x:c r="AC347" s="161" t="str">
        <x:v>Pending</x:v>
      </x:c>
      <x:c r="AD347" t="str">
        <x:v>Units</x:v>
      </x:c>
      <x:c r="AE347" s="145"/>
      <x:c r="AF347" s="145"/>
      <x:c r="AG347" s="145"/>
      <x:c r="AH347" s="145"/>
      <x:c r="AI347" s="145"/>
      <x:c r="AJ347"/>
    </x:row>
    <x:row r="348" ht="30" customHeight="1">
      <x:c r="A348" s="138" t="str">
        <x:v>Draft</x:v>
      </x:c>
      <x:c r="B348" s="138" t="str">
        <x:v>Adapter</x:v>
      </x:c>
      <x:c r="C348" s="138" t="str">
        <x:v>ADP_ST_JIC_M_20_NPT_M_24</x:v>
      </x:c>
      <x:c r="D348" s="138" t="str">
        <x:v>ADP_ST_JIC_M_20_NPT_M_24</x:v>
      </x:c>
      <x:c r="E348" s="138" t="str">
        <x:v>EA</x:v>
      </x:c>
      <x:c r="F348" s="139"/>
      <x:c r="G348" s="141" t="n">
        <x:v>1</x:v>
      </x:c>
      <x:c r="H348" s="141" t="n">
        <x:v>1</x:v>
      </x:c>
      <x:c r="I348" s="143"/>
      <x:c r="J348" s="141" t="n">
        <x:v>10</x:v>
      </x:c>
      <x:c r="K348" s="138" t="str">
        <x:v>China</x:v>
      </x:c>
      <x:c r="L348" t="str">
        <x:v>USD</x:v>
      </x:c>
      <x:c r="M348" s="126"/>
      <x:c r="N348"/>
      <x:c r="O348"/>
      <x:c r="P348" s="145"/>
      <x:c r="Q348" s="126"/>
      <x:c r="R348" s="149" t="n">
        <x:v>23.96</x:v>
      </x:c>
      <x:c r="S348" s="145"/>
      <x:c r="T348" s="145"/>
      <x:c r="U348" s="124"/>
      <x:c r="V348" s="124"/>
      <x:c r="W348" s="124"/>
      <x:c r="X348" s="124"/>
      <x:c r="Y348"/>
      <x:c r="Z348"/>
      <x:c r="AA348" s="116" t="str">
        <x:v>Net unit weight is not supplied in 05. Order-level RFQ minimum: USD 100. Retail source: DHH exact 2404-20-24; direct each price; observed 2026-08-15; https://www.discounthydraulichose.com/2404-jic-37-male-x-nptf-male-pipe.html</x:v>
      </x:c>
      <x:c r="AB348" s="161" t="str">
        <x:v>Eligible</x:v>
      </x:c>
      <x:c r="AC348" s="161" t="str">
        <x:v>Pending</x:v>
      </x:c>
      <x:c r="AD348" t="str">
        <x:v>Units</x:v>
      </x:c>
      <x:c r="AE348" s="145"/>
      <x:c r="AF348" s="145"/>
      <x:c r="AG348" s="145"/>
      <x:c r="AH348" s="145"/>
      <x:c r="AI348" s="145"/>
      <x:c r="AJ348"/>
    </x:row>
    <x:row r="349" ht="30" customHeight="1">
      <x:c r="A349" s="138" t="str">
        <x:v>Draft</x:v>
      </x:c>
      <x:c r="B349" s="138" t="str">
        <x:v>Adapter</x:v>
      </x:c>
      <x:c r="C349" s="138" t="str">
        <x:v>ADP_ST_JIC_M_24_NPT_M_16</x:v>
      </x:c>
      <x:c r="D349" s="138" t="str">
        <x:v>ADP_ST_JIC_M_24_NPT_M_16</x:v>
      </x:c>
      <x:c r="E349" s="138" t="str">
        <x:v>EA</x:v>
      </x:c>
      <x:c r="F349" s="139"/>
      <x:c r="G349" s="141" t="n">
        <x:v>1</x:v>
      </x:c>
      <x:c r="H349" s="141" t="n">
        <x:v>1</x:v>
      </x:c>
      <x:c r="I349" s="143"/>
      <x:c r="J349" s="141" t="n">
        <x:v>10</x:v>
      </x:c>
      <x:c r="K349" s="138" t="str">
        <x:v>China</x:v>
      </x:c>
      <x:c r="L349" t="str">
        <x:v>USD</x:v>
      </x:c>
      <x:c r="M349" s="126"/>
      <x:c r="N349"/>
      <x:c r="O349"/>
      <x:c r="P349" s="145"/>
      <x:c r="Q349" s="126"/>
      <x:c r="R349" s="149" t="n">
        <x:v>23.63</x:v>
      </x:c>
      <x:c r="S349" s="145"/>
      <x:c r="T349" s="145"/>
      <x:c r="U349" s="124"/>
      <x:c r="V349" s="124"/>
      <x:c r="W349" s="124"/>
      <x:c r="X349" s="124"/>
      <x:c r="Y349"/>
      <x:c r="Z349"/>
      <x:c r="AA349" s="116" t="str">
        <x:v>Net unit weight is not supplied in 05. Order-level RFQ minimum: USD 100. Retail source: DHH exact 2404-24-16; direct each price; observed 2026-08-15; https://www.discounthydraulichose.com/2404-jic-37-male-x-nptf-male-pipe.html</x:v>
      </x:c>
      <x:c r="AB349" s="161" t="str">
        <x:v>Eligible</x:v>
      </x:c>
      <x:c r="AC349" s="161" t="str">
        <x:v>Pending</x:v>
      </x:c>
      <x:c r="AD349" t="str">
        <x:v>Units</x:v>
      </x:c>
      <x:c r="AE349" s="145"/>
      <x:c r="AF349" s="145"/>
      <x:c r="AG349" s="145"/>
      <x:c r="AH349" s="145"/>
      <x:c r="AI349" s="145"/>
      <x:c r="AJ349"/>
    </x:row>
    <x:row r="350" ht="30" customHeight="1">
      <x:c r="A350" s="138" t="str">
        <x:v>Draft</x:v>
      </x:c>
      <x:c r="B350" s="138" t="str">
        <x:v>Adapter</x:v>
      </x:c>
      <x:c r="C350" s="138" t="str">
        <x:v>ADP_ST_JIC_M_24_NPT_M_20</x:v>
      </x:c>
      <x:c r="D350" s="138" t="str">
        <x:v>ADP_ST_JIC_M_24_NPT_M_20</x:v>
      </x:c>
      <x:c r="E350" s="138" t="str">
        <x:v>EA</x:v>
      </x:c>
      <x:c r="F350" s="139"/>
      <x:c r="G350" s="141" t="n">
        <x:v>1</x:v>
      </x:c>
      <x:c r="H350" s="141" t="n">
        <x:v>1</x:v>
      </x:c>
      <x:c r="I350" s="143"/>
      <x:c r="J350" s="141" t="n">
        <x:v>10</x:v>
      </x:c>
      <x:c r="K350" s="138" t="str">
        <x:v>China</x:v>
      </x:c>
      <x:c r="L350" t="str">
        <x:v>USD</x:v>
      </x:c>
      <x:c r="M350" s="126"/>
      <x:c r="N350"/>
      <x:c r="O350"/>
      <x:c r="P350" s="145"/>
      <x:c r="Q350" s="126"/>
      <x:c r="R350" s="149" t="n">
        <x:v>13.38</x:v>
      </x:c>
      <x:c r="S350" s="145"/>
      <x:c r="T350" s="145"/>
      <x:c r="U350" s="124"/>
      <x:c r="V350" s="124"/>
      <x:c r="W350" s="124"/>
      <x:c r="X350" s="124"/>
      <x:c r="Y350"/>
      <x:c r="Z350"/>
      <x:c r="AA350" s="116" t="str">
        <x:v>Net unit weight is not supplied in 05. Order-level RFQ minimum: USD 100. Retail source: DHH exact 2404-24-20; direct each price; observed 2026-08-15; https://www.discounthydraulichose.com/2404-jic-37-male-x-nptf-male-pipe.html</x:v>
      </x:c>
      <x:c r="AB350" s="161" t="str">
        <x:v>Eligible</x:v>
      </x:c>
      <x:c r="AC350" s="161" t="str">
        <x:v>Pending</x:v>
      </x:c>
      <x:c r="AD350" t="str">
        <x:v>Units</x:v>
      </x:c>
      <x:c r="AE350" s="145"/>
      <x:c r="AF350" s="145"/>
      <x:c r="AG350" s="145"/>
      <x:c r="AH350" s="145"/>
      <x:c r="AI350" s="145"/>
      <x:c r="AJ350"/>
    </x:row>
    <x:row r="351" ht="30" customHeight="1">
      <x:c r="A351" s="138" t="str">
        <x:v>Draft</x:v>
      </x:c>
      <x:c r="B351" s="138" t="str">
        <x:v>Adapter</x:v>
      </x:c>
      <x:c r="C351" s="138" t="str">
        <x:v>ADP_ST_JIC_M_24_NPT_M_24</x:v>
      </x:c>
      <x:c r="D351" s="138" t="str">
        <x:v>ADP_ST_JIC_M_24_NPT_M_24</x:v>
      </x:c>
      <x:c r="E351" s="138" t="str">
        <x:v>EA</x:v>
      </x:c>
      <x:c r="F351" s="139"/>
      <x:c r="G351" s="141" t="n">
        <x:v>1</x:v>
      </x:c>
      <x:c r="H351" s="141" t="n">
        <x:v>1</x:v>
      </x:c>
      <x:c r="I351" s="143"/>
      <x:c r="J351" s="141" t="n">
        <x:v>10</x:v>
      </x:c>
      <x:c r="K351" s="138" t="str">
        <x:v>China</x:v>
      </x:c>
      <x:c r="L351" t="str">
        <x:v>USD</x:v>
      </x:c>
      <x:c r="M351" s="126"/>
      <x:c r="N351"/>
      <x:c r="O351"/>
      <x:c r="P351" s="145"/>
      <x:c r="Q351" s="126"/>
      <x:c r="R351" s="149" t="n">
        <x:v>12.22</x:v>
      </x:c>
      <x:c r="S351" s="145"/>
      <x:c r="T351" s="145"/>
      <x:c r="U351" s="124"/>
      <x:c r="V351" s="124"/>
      <x:c r="W351" s="124"/>
      <x:c r="X351" s="124"/>
      <x:c r="Y351"/>
      <x:c r="Z351"/>
      <x:c r="AA351" s="116" t="str">
        <x:v>Net unit weight is not supplied in 05. Order-level RFQ minimum: USD 100. Retail source: DHH exact 2404-24-24; direct each price; observed 2026-08-15; https://www.discounthydraulichose.com/2404-jic-37-male-x-nptf-male-pipe.html</x:v>
      </x:c>
      <x:c r="AB351" s="161" t="str">
        <x:v>Eligible</x:v>
      </x:c>
      <x:c r="AC351" s="161" t="str">
        <x:v>Pending</x:v>
      </x:c>
      <x:c r="AD351" t="str">
        <x:v>Units</x:v>
      </x:c>
      <x:c r="AE351" s="145"/>
      <x:c r="AF351" s="145"/>
      <x:c r="AG351" s="145"/>
      <x:c r="AH351" s="145"/>
      <x:c r="AI351" s="145"/>
      <x:c r="AJ351"/>
    </x:row>
    <x:row r="352" ht="30" customHeight="1">
      <x:c r="A352" s="138" t="str">
        <x:v>Draft</x:v>
      </x:c>
      <x:c r="B352" s="138" t="str">
        <x:v>Adapter</x:v>
      </x:c>
      <x:c r="C352" s="138" t="str">
        <x:v>ADP_ST_JIC_M_24_NPT_M_32</x:v>
      </x:c>
      <x:c r="D352" s="138" t="str">
        <x:v>ADP_ST_JIC_M_24_NPT_M_32</x:v>
      </x:c>
      <x:c r="E352" s="138" t="str">
        <x:v>EA</x:v>
      </x:c>
      <x:c r="F352" s="139"/>
      <x:c r="G352" s="141" t="n">
        <x:v>1</x:v>
      </x:c>
      <x:c r="H352" s="141" t="n">
        <x:v>1</x:v>
      </x:c>
      <x:c r="I352" s="143"/>
      <x:c r="J352" s="141" t="n">
        <x:v>10</x:v>
      </x:c>
      <x:c r="K352" s="138" t="str">
        <x:v>China</x:v>
      </x:c>
      <x:c r="L352" t="str">
        <x:v>USD</x:v>
      </x:c>
      <x:c r="M352" s="126"/>
      <x:c r="N352"/>
      <x:c r="O352"/>
      <x:c r="P352" s="145"/>
      <x:c r="Q352" s="126"/>
      <x:c r="R352" s="149" t="n">
        <x:v>78.79</x:v>
      </x:c>
      <x:c r="S352" s="145"/>
      <x:c r="T352" s="145"/>
      <x:c r="U352" s="124"/>
      <x:c r="V352" s="124"/>
      <x:c r="W352" s="124"/>
      <x:c r="X352" s="124"/>
      <x:c r="Y352"/>
      <x:c r="Z352"/>
      <x:c r="AA352" s="116" t="str">
        <x:v>Net unit weight is not supplied in 05. Order-level RFQ minimum: USD 100. Retail source: DHH exact 2404-24-32; direct each price; observed 2026-08-15; https://www.discounthydraulichose.com/2404-jic-37-male-x-nptf-male-pipe.html</x:v>
      </x:c>
      <x:c r="AB352" s="161" t="str">
        <x:v>Eligible</x:v>
      </x:c>
      <x:c r="AC352" s="161" t="str">
        <x:v>Pending</x:v>
      </x:c>
      <x:c r="AD352" t="str">
        <x:v>Units</x:v>
      </x:c>
      <x:c r="AE352" s="145"/>
      <x:c r="AF352" s="145"/>
      <x:c r="AG352" s="145"/>
      <x:c r="AH352" s="145"/>
      <x:c r="AI352" s="145"/>
      <x:c r="AJ352"/>
    </x:row>
    <x:row r="353" ht="30" customHeight="1">
      <x:c r="A353" s="138" t="str">
        <x:v>Draft</x:v>
      </x:c>
      <x:c r="B353" s="138" t="str">
        <x:v>Adapter</x:v>
      </x:c>
      <x:c r="C353" s="138" t="str">
        <x:v>ADP_ST_JIC_M_32_NPT_M_16</x:v>
      </x:c>
      <x:c r="D353" s="138" t="str">
        <x:v>ADP_ST_JIC_M_32_NPT_M_16</x:v>
      </x:c>
      <x:c r="E353" s="138" t="str">
        <x:v>EA</x:v>
      </x:c>
      <x:c r="F353" s="139"/>
      <x:c r="G353" s="141" t="n">
        <x:v>1</x:v>
      </x:c>
      <x:c r="H353" s="141" t="n">
        <x:v>1</x:v>
      </x:c>
      <x:c r="I353" s="143"/>
      <x:c r="J353" s="141" t="n">
        <x:v>10</x:v>
      </x:c>
      <x:c r="K353" s="138" t="str">
        <x:v>China</x:v>
      </x:c>
      <x:c r="L353" t="str">
        <x:v>USD</x:v>
      </x:c>
      <x:c r="M353" s="126"/>
      <x:c r="N353"/>
      <x:c r="O353"/>
      <x:c r="P353" s="145"/>
      <x:c r="Q353" s="126"/>
      <x:c r="R353" s="149" t="n">
        <x:v>70.85</x:v>
      </x:c>
      <x:c r="S353" s="145"/>
      <x:c r="T353" s="145"/>
      <x:c r="U353" s="124"/>
      <x:c r="V353" s="124"/>
      <x:c r="W353" s="124"/>
      <x:c r="X353" s="124"/>
      <x:c r="Y353"/>
      <x:c r="Z353"/>
      <x:c r="AA353" s="116" t="str">
        <x:v>Net unit weight is not supplied in 05. Order-level RFQ minimum: USD 100. Retail source: DHH exact 2404-32-16; direct each price; observed 2026-08-15; https://www.discounthydraulichose.com/2404-jic-37-male-x-nptf-male-pipe.html</x:v>
      </x:c>
      <x:c r="AB353" s="161" t="str">
        <x:v>Eligible</x:v>
      </x:c>
      <x:c r="AC353" s="161" t="str">
        <x:v>Pending</x:v>
      </x:c>
      <x:c r="AD353" t="str">
        <x:v>Units</x:v>
      </x:c>
      <x:c r="AE353" s="145"/>
      <x:c r="AF353" s="145"/>
      <x:c r="AG353" s="145"/>
      <x:c r="AH353" s="145"/>
      <x:c r="AI353" s="145"/>
      <x:c r="AJ353"/>
    </x:row>
    <x:row r="354" ht="30" customHeight="1">
      <x:c r="A354" s="138" t="str">
        <x:v>Draft</x:v>
      </x:c>
      <x:c r="B354" s="138" t="str">
        <x:v>Adapter</x:v>
      </x:c>
      <x:c r="C354" s="138" t="str">
        <x:v>ADP_ST_JIC_M_32_NPT_M_20</x:v>
      </x:c>
      <x:c r="D354" s="138" t="str">
        <x:v>ADP_ST_JIC_M_32_NPT_M_20</x:v>
      </x:c>
      <x:c r="E354" s="138" t="str">
        <x:v>EA</x:v>
      </x:c>
      <x:c r="F354" s="139"/>
      <x:c r="G354" s="141" t="n">
        <x:v>1</x:v>
      </x:c>
      <x:c r="H354" s="141" t="n">
        <x:v>1</x:v>
      </x:c>
      <x:c r="I354" s="143"/>
      <x:c r="J354" s="141" t="n">
        <x:v>10</x:v>
      </x:c>
      <x:c r="K354" s="138" t="str">
        <x:v>China</x:v>
      </x:c>
      <x:c r="L354" t="str">
        <x:v>USD</x:v>
      </x:c>
      <x:c r="M354" s="126"/>
      <x:c r="N354"/>
      <x:c r="O354"/>
      <x:c r="P354" s="145"/>
      <x:c r="Q354" s="126"/>
      <x:c r="R354" s="149" t="n">
        <x:v>120.26</x:v>
      </x:c>
      <x:c r="S354" s="145"/>
      <x:c r="T354" s="145"/>
      <x:c r="U354" s="124"/>
      <x:c r="V354" s="124"/>
      <x:c r="W354" s="124"/>
      <x:c r="X354" s="124"/>
      <x:c r="Y354"/>
      <x:c r="Z354"/>
      <x:c r="AA354" s="116" t="str">
        <x:v>Net unit weight is not supplied in 05. Order-level RFQ minimum: USD 100. Retail source: DHH exact 2404-32-20; direct each price; observed 2026-08-15; https://www.discounthydraulichose.com/2404-jic-37-male-x-nptf-male-pipe.html</x:v>
      </x:c>
      <x:c r="AB354" s="161" t="str">
        <x:v>Eligible</x:v>
      </x:c>
      <x:c r="AC354" s="161" t="str">
        <x:v>Pending</x:v>
      </x:c>
      <x:c r="AD354" t="str">
        <x:v>Units</x:v>
      </x:c>
      <x:c r="AE354" s="145"/>
      <x:c r="AF354" s="145"/>
      <x:c r="AG354" s="145"/>
      <x:c r="AH354" s="145"/>
      <x:c r="AI354" s="145"/>
      <x:c r="AJ354"/>
    </x:row>
    <x:row r="355" ht="30" customHeight="1">
      <x:c r="A355" s="138" t="str">
        <x:v>Draft</x:v>
      </x:c>
      <x:c r="B355" s="138" t="str">
        <x:v>Adapter</x:v>
      </x:c>
      <x:c r="C355" s="138" t="str">
        <x:v>ADP_ST_JIC_M_32_NPT_M_24</x:v>
      </x:c>
      <x:c r="D355" s="138" t="str">
        <x:v>ADP_ST_JIC_M_32_NPT_M_24</x:v>
      </x:c>
      <x:c r="E355" s="138" t="str">
        <x:v>EA</x:v>
      </x:c>
      <x:c r="F355" s="139"/>
      <x:c r="G355" s="141" t="n">
        <x:v>1</x:v>
      </x:c>
      <x:c r="H355" s="141" t="n">
        <x:v>1</x:v>
      </x:c>
      <x:c r="I355" s="143"/>
      <x:c r="J355" s="141" t="n">
        <x:v>10</x:v>
      </x:c>
      <x:c r="K355" s="138" t="str">
        <x:v>China</x:v>
      </x:c>
      <x:c r="L355" t="str">
        <x:v>USD</x:v>
      </x:c>
      <x:c r="M355" s="126"/>
      <x:c r="N355"/>
      <x:c r="O355"/>
      <x:c r="P355" s="145"/>
      <x:c r="Q355" s="126"/>
      <x:c r="R355" s="149" t="n">
        <x:v>68.47</x:v>
      </x:c>
      <x:c r="S355" s="145"/>
      <x:c r="T355" s="145"/>
      <x:c r="U355" s="124"/>
      <x:c r="V355" s="124"/>
      <x:c r="W355" s="124"/>
      <x:c r="X355" s="124"/>
      <x:c r="Y355"/>
      <x:c r="Z355"/>
      <x:c r="AA355" s="116" t="str">
        <x:v>Net unit weight is not supplied in 05. Order-level RFQ minimum: USD 100. Retail source: DHH exact 2404-32-24; direct each price; observed 2026-08-15; https://www.discounthydraulichose.com/2404-jic-37-male-x-nptf-male-pipe.html</x:v>
      </x:c>
      <x:c r="AB355" s="161" t="str">
        <x:v>Eligible</x:v>
      </x:c>
      <x:c r="AC355" s="161" t="str">
        <x:v>Pending</x:v>
      </x:c>
      <x:c r="AD355" t="str">
        <x:v>Units</x:v>
      </x:c>
      <x:c r="AE355" s="145"/>
      <x:c r="AF355" s="145"/>
      <x:c r="AG355" s="145"/>
      <x:c r="AH355" s="145"/>
      <x:c r="AI355" s="145"/>
      <x:c r="AJ355"/>
    </x:row>
    <x:row r="356" ht="30" customHeight="1">
      <x:c r="A356" s="138" t="str">
        <x:v>Draft</x:v>
      </x:c>
      <x:c r="B356" s="138" t="str">
        <x:v>Adapter</x:v>
      </x:c>
      <x:c r="C356" s="138" t="str">
        <x:v>ADP_ST_JIC_M_32_NPT_M_32</x:v>
      </x:c>
      <x:c r="D356" s="138" t="str">
        <x:v>ADP_ST_JIC_M_32_NPT_M_32</x:v>
      </x:c>
      <x:c r="E356" s="138" t="str">
        <x:v>EA</x:v>
      </x:c>
      <x:c r="F356" s="139"/>
      <x:c r="G356" s="141" t="n">
        <x:v>1</x:v>
      </x:c>
      <x:c r="H356" s="141" t="n">
        <x:v>1</x:v>
      </x:c>
      <x:c r="I356" s="143"/>
      <x:c r="J356" s="141" t="n">
        <x:v>10</x:v>
      </x:c>
      <x:c r="K356" s="138" t="str">
        <x:v>China</x:v>
      </x:c>
      <x:c r="L356" t="str">
        <x:v>USD</x:v>
      </x:c>
      <x:c r="M356" s="126"/>
      <x:c r="N356"/>
      <x:c r="O356"/>
      <x:c r="P356" s="145"/>
      <x:c r="Q356" s="126"/>
      <x:c r="R356" s="149" t="n">
        <x:v>27.3</x:v>
      </x:c>
      <x:c r="S356" s="145"/>
      <x:c r="T356" s="145"/>
      <x:c r="U356" s="124"/>
      <x:c r="V356" s="124"/>
      <x:c r="W356" s="124"/>
      <x:c r="X356" s="124"/>
      <x:c r="Y356"/>
      <x:c r="Z356"/>
      <x:c r="AA356" s="116" t="str">
        <x:v>Net unit weight is not supplied in 05. Order-level RFQ minimum: USD 100. Retail source: DHH exact 2404-32-32; direct each price; observed 2026-08-15; https://www.discounthydraulichose.com/2404-jic-37-male-x-nptf-male-pipe.html</x:v>
      </x:c>
      <x:c r="AB356" s="161" t="str">
        <x:v>Eligible</x:v>
      </x:c>
      <x:c r="AC356" s="161" t="str">
        <x:v>Pending</x:v>
      </x:c>
      <x:c r="AD356" t="str">
        <x:v>Units</x:v>
      </x:c>
      <x:c r="AE356" s="145"/>
      <x:c r="AF356" s="145"/>
      <x:c r="AG356" s="145"/>
      <x:c r="AH356" s="145"/>
      <x:c r="AI356" s="145"/>
      <x:c r="AJ356"/>
    </x:row>
    <x:row r="357" ht="30" customHeight="1">
      <x:c r="A357" s="138" t="str">
        <x:v>Draft</x:v>
      </x:c>
      <x:c r="B357" s="138" t="str">
        <x:v>Adapter</x:v>
      </x:c>
      <x:c r="C357" s="138" t="str">
        <x:v>ADP_ST_JIC_M_02_NPT_M_02</x:v>
      </x:c>
      <x:c r="D357" s="138" t="str">
        <x:v>ADP_ST_JIC_M_02_NPT_M_02</x:v>
      </x:c>
      <x:c r="E357" s="138" t="str">
        <x:v>EA</x:v>
      </x:c>
      <x:c r="F357" s="139"/>
      <x:c r="G357" s="141" t="n">
        <x:v>1</x:v>
      </x:c>
      <x:c r="H357" s="141" t="n">
        <x:v>1</x:v>
      </x:c>
      <x:c r="I357" s="143"/>
      <x:c r="J357" s="141" t="n">
        <x:v>10</x:v>
      </x:c>
      <x:c r="K357" s="138" t="str">
        <x:v>China</x:v>
      </x:c>
      <x:c r="L357" t="str">
        <x:v>USD</x:v>
      </x:c>
      <x:c r="M357" s="126"/>
      <x:c r="N357"/>
      <x:c r="O357"/>
      <x:c r="P357" s="145"/>
      <x:c r="Q357" s="126"/>
      <x:c r="R357" s="149" t="n">
        <x:v>2.26</x:v>
      </x:c>
      <x:c r="S357" s="145"/>
      <x:c r="T357" s="145"/>
      <x:c r="U357" s="124"/>
      <x:c r="V357" s="124"/>
      <x:c r="W357" s="124"/>
      <x:c r="X357" s="124"/>
      <x:c r="Y357"/>
      <x:c r="Z357"/>
      <x:c r="AA357" s="116" t="str">
        <x:v>Net unit weight is not supplied in 05. Order-level RFQ minimum: USD 100. Retail source: DHH exact 2404-02-02; direct each price; observed 2026-08-15; https://www.discounthydraulichose.com/2404-jic-37-male-x-nptf-male-pipe.html</x:v>
      </x:c>
      <x:c r="AB357" s="161" t="str">
        <x:v>Eligible</x:v>
      </x:c>
      <x:c r="AC357" s="161" t="str">
        <x:v>Pending</x:v>
      </x:c>
      <x:c r="AD357" t="str">
        <x:v>Units</x:v>
      </x:c>
      <x:c r="AE357" s="145"/>
      <x:c r="AF357" s="145"/>
      <x:c r="AG357" s="145"/>
      <x:c r="AH357" s="145"/>
      <x:c r="AI357" s="145"/>
      <x:c r="AJ357"/>
    </x:row>
    <x:row r="358" ht="30" customHeight="1">
      <x:c r="A358" s="138" t="str">
        <x:v>Draft</x:v>
      </x:c>
      <x:c r="B358" s="138" t="str">
        <x:v>Adapter</x:v>
      </x:c>
      <x:c r="C358" s="138" t="str">
        <x:v>ADP_ST_JIC_M_03_NPT_M_02</x:v>
      </x:c>
      <x:c r="D358" s="138" t="str">
        <x:v>ADP_ST_JIC_M_03_NPT_M_02</x:v>
      </x:c>
      <x:c r="E358" s="138" t="str">
        <x:v>EA</x:v>
      </x:c>
      <x:c r="F358" s="139"/>
      <x:c r="G358" s="141" t="n">
        <x:v>1</x:v>
      </x:c>
      <x:c r="H358" s="141" t="n">
        <x:v>1</x:v>
      </x:c>
      <x:c r="I358" s="143"/>
      <x:c r="J358" s="141" t="n">
        <x:v>10</x:v>
      </x:c>
      <x:c r="K358" s="138" t="str">
        <x:v>China</x:v>
      </x:c>
      <x:c r="L358" t="str">
        <x:v>USD</x:v>
      </x:c>
      <x:c r="M358" s="126"/>
      <x:c r="N358"/>
      <x:c r="O358"/>
      <x:c r="P358" s="145"/>
      <x:c r="Q358" s="126"/>
      <x:c r="R358" s="149" t="n">
        <x:v>1.04</x:v>
      </x:c>
      <x:c r="S358" s="145"/>
      <x:c r="T358" s="145"/>
      <x:c r="U358" s="124"/>
      <x:c r="V358" s="124"/>
      <x:c r="W358" s="124"/>
      <x:c r="X358" s="124"/>
      <x:c r="Y358"/>
      <x:c r="Z358"/>
      <x:c r="AA358" s="116" t="str">
        <x:v>Net unit weight is not supplied in 05. Order-level RFQ minimum: USD 100. Retail source: DHH exact 2404-03-02; direct each price; observed 2026-08-15; https://www.discounthydraulichose.com/2404-jic-37-male-x-nptf-male-pipe.html</x:v>
      </x:c>
      <x:c r="AB358" s="161" t="str">
        <x:v>Eligible</x:v>
      </x:c>
      <x:c r="AC358" s="161" t="str">
        <x:v>Pending</x:v>
      </x:c>
      <x:c r="AD358" t="str">
        <x:v>Units</x:v>
      </x:c>
      <x:c r="AE358" s="145"/>
      <x:c r="AF358" s="145"/>
      <x:c r="AG358" s="145"/>
      <x:c r="AH358" s="145"/>
      <x:c r="AI358" s="145"/>
      <x:c r="AJ358"/>
    </x:row>
    <x:row r="359" ht="30" customHeight="1">
      <x:c r="A359" s="138" t="str">
        <x:v>Draft</x:v>
      </x:c>
      <x:c r="B359" s="138" t="str">
        <x:v>Adapter</x:v>
      </x:c>
      <x:c r="C359" s="138" t="str">
        <x:v>ADP_ST_JIC_M_04_NPT_M_02</x:v>
      </x:c>
      <x:c r="D359" s="138" t="str">
        <x:v>ADP_ST_JIC_M_04_NPT_M_02</x:v>
      </x:c>
      <x:c r="E359" s="138" t="str">
        <x:v>EA</x:v>
      </x:c>
      <x:c r="F359" s="139"/>
      <x:c r="G359" s="141" t="n">
        <x:v>1</x:v>
      </x:c>
      <x:c r="H359" s="141" t="n">
        <x:v>1</x:v>
      </x:c>
      <x:c r="I359" s="143"/>
      <x:c r="J359" s="141" t="n">
        <x:v>10</x:v>
      </x:c>
      <x:c r="K359" s="138" t="str">
        <x:v>China</x:v>
      </x:c>
      <x:c r="L359" t="str">
        <x:v>USD</x:v>
      </x:c>
      <x:c r="M359" s="126"/>
      <x:c r="N359"/>
      <x:c r="O359"/>
      <x:c r="P359" s="145"/>
      <x:c r="Q359" s="126"/>
      <x:c r="R359" s="149" t="n">
        <x:v>1.02</x:v>
      </x:c>
      <x:c r="S359" s="145"/>
      <x:c r="T359" s="145"/>
      <x:c r="U359" s="124"/>
      <x:c r="V359" s="124"/>
      <x:c r="W359" s="124"/>
      <x:c r="X359" s="124"/>
      <x:c r="Y359"/>
      <x:c r="Z359"/>
      <x:c r="AA359" s="116" t="str">
        <x:v>Net unit weight is not supplied in 05. Order-level RFQ minimum: USD 100. Retail source: DHH exact 2404-04-02; direct each price; observed 2026-08-15; https://www.discounthydraulichose.com/2404-jic-37-male-x-nptf-male-pipe.html</x:v>
      </x:c>
      <x:c r="AB359" s="161" t="str">
        <x:v>Eligible</x:v>
      </x:c>
      <x:c r="AC359" s="161" t="str">
        <x:v>Pending</x:v>
      </x:c>
      <x:c r="AD359" t="str">
        <x:v>Units</x:v>
      </x:c>
      <x:c r="AE359" s="145"/>
      <x:c r="AF359" s="145"/>
      <x:c r="AG359" s="145"/>
      <x:c r="AH359" s="145"/>
      <x:c r="AI359" s="145"/>
      <x:c r="AJ359"/>
    </x:row>
    <x:row r="360" ht="30" customHeight="1">
      <x:c r="A360" s="138" t="str">
        <x:v>Draft</x:v>
      </x:c>
      <x:c r="B360" s="138" t="str">
        <x:v>Adapter</x:v>
      </x:c>
      <x:c r="C360" s="138" t="str">
        <x:v>ADP_ST_JIC_M_04_NPT_M_04</x:v>
      </x:c>
      <x:c r="D360" s="138" t="str">
        <x:v>ADP_ST_JIC_M_04_NPT_M_04</x:v>
      </x:c>
      <x:c r="E360" s="138" t="str">
        <x:v>EA</x:v>
      </x:c>
      <x:c r="F360" s="139"/>
      <x:c r="G360" s="141" t="n">
        <x:v>1</x:v>
      </x:c>
      <x:c r="H360" s="141" t="n">
        <x:v>1</x:v>
      </x:c>
      <x:c r="I360" s="143"/>
      <x:c r="J360" s="141" t="n">
        <x:v>10</x:v>
      </x:c>
      <x:c r="K360" s="138" t="str">
        <x:v>China</x:v>
      </x:c>
      <x:c r="L360" t="str">
        <x:v>USD</x:v>
      </x:c>
      <x:c r="M360" s="126"/>
      <x:c r="N360"/>
      <x:c r="O360"/>
      <x:c r="P360" s="145"/>
      <x:c r="Q360" s="126"/>
      <x:c r="R360" s="149" t="n">
        <x:v>1.38</x:v>
      </x:c>
      <x:c r="S360" s="145"/>
      <x:c r="T360" s="145"/>
      <x:c r="U360" s="124"/>
      <x:c r="V360" s="124"/>
      <x:c r="W360" s="124"/>
      <x:c r="X360" s="124"/>
      <x:c r="Y360"/>
      <x:c r="Z360"/>
      <x:c r="AA360" s="116" t="str">
        <x:v>Net unit weight is not supplied in 05. Order-level RFQ minimum: USD 100. Retail source: DHH exact 2404-04-04; direct each price; observed 2026-08-15; https://www.discounthydraulichose.com/2404-jic-37-male-x-nptf-male-pipe.html</x:v>
      </x:c>
      <x:c r="AB360" s="161" t="str">
        <x:v>Eligible</x:v>
      </x:c>
      <x:c r="AC360" s="161" t="str">
        <x:v>Pending</x:v>
      </x:c>
      <x:c r="AD360" t="str">
        <x:v>Units</x:v>
      </x:c>
      <x:c r="AE360" s="145"/>
      <x:c r="AF360" s="145"/>
      <x:c r="AG360" s="145"/>
      <x:c r="AH360" s="145"/>
      <x:c r="AI360" s="145"/>
      <x:c r="AJ360"/>
    </x:row>
    <x:row r="361" ht="30" customHeight="1">
      <x:c r="A361" s="138" t="str">
        <x:v>Draft</x:v>
      </x:c>
      <x:c r="B361" s="138" t="str">
        <x:v>Adapter</x:v>
      </x:c>
      <x:c r="C361" s="138" t="str">
        <x:v>ADP_ST_JIC_M_04_NPT_M_06</x:v>
      </x:c>
      <x:c r="D361" s="138" t="str">
        <x:v>ADP_ST_JIC_M_04_NPT_M_06</x:v>
      </x:c>
      <x:c r="E361" s="138" t="str">
        <x:v>EA</x:v>
      </x:c>
      <x:c r="F361" s="139"/>
      <x:c r="G361" s="141" t="n">
        <x:v>1</x:v>
      </x:c>
      <x:c r="H361" s="141" t="n">
        <x:v>1</x:v>
      </x:c>
      <x:c r="I361" s="143"/>
      <x:c r="J361" s="141" t="n">
        <x:v>10</x:v>
      </x:c>
      <x:c r="K361" s="138" t="str">
        <x:v>China</x:v>
      </x:c>
      <x:c r="L361" t="str">
        <x:v>USD</x:v>
      </x:c>
      <x:c r="M361" s="126"/>
      <x:c r="N361"/>
      <x:c r="O361"/>
      <x:c r="P361" s="145"/>
      <x:c r="Q361" s="126"/>
      <x:c r="R361" s="149" t="n">
        <x:v>1.57</x:v>
      </x:c>
      <x:c r="S361" s="145"/>
      <x:c r="T361" s="145"/>
      <x:c r="U361" s="124"/>
      <x:c r="V361" s="124"/>
      <x:c r="W361" s="124"/>
      <x:c r="X361" s="124"/>
      <x:c r="Y361"/>
      <x:c r="Z361"/>
      <x:c r="AA361" s="116" t="str">
        <x:v>Net unit weight is not supplied in 05. Order-level RFQ minimum: USD 100. Retail source: DHH exact 2404-04-06; direct each price; observed 2026-08-15; https://www.discounthydraulichose.com/2404-jic-37-male-x-nptf-male-pipe.html</x:v>
      </x:c>
      <x:c r="AB361" s="161" t="str">
        <x:v>Eligible</x:v>
      </x:c>
      <x:c r="AC361" s="161" t="str">
        <x:v>Pending</x:v>
      </x:c>
      <x:c r="AD361" t="str">
        <x:v>Units</x:v>
      </x:c>
      <x:c r="AE361" s="145"/>
      <x:c r="AF361" s="145"/>
      <x:c r="AG361" s="145"/>
      <x:c r="AH361" s="145"/>
      <x:c r="AI361" s="145"/>
      <x:c r="AJ361"/>
    </x:row>
    <x:row r="362" ht="30" customHeight="1">
      <x:c r="A362" s="138" t="str">
        <x:v>Draft</x:v>
      </x:c>
      <x:c r="B362" s="138" t="str">
        <x:v>Adapter</x:v>
      </x:c>
      <x:c r="C362" s="138" t="str">
        <x:v>ADP_ST_JIC_M_04_NPT_M_08</x:v>
      </x:c>
      <x:c r="D362" s="138" t="str">
        <x:v>ADP_ST_JIC_M_04_NPT_M_08</x:v>
      </x:c>
      <x:c r="E362" s="138" t="str">
        <x:v>EA</x:v>
      </x:c>
      <x:c r="F362" s="139"/>
      <x:c r="G362" s="141" t="n">
        <x:v>1</x:v>
      </x:c>
      <x:c r="H362" s="141" t="n">
        <x:v>1</x:v>
      </x:c>
      <x:c r="I362" s="143"/>
      <x:c r="J362" s="141" t="n">
        <x:v>10</x:v>
      </x:c>
      <x:c r="K362" s="138" t="str">
        <x:v>China</x:v>
      </x:c>
      <x:c r="L362" t="str">
        <x:v>USD</x:v>
      </x:c>
      <x:c r="M362" s="126"/>
      <x:c r="N362"/>
      <x:c r="O362"/>
      <x:c r="P362" s="145"/>
      <x:c r="Q362" s="126"/>
      <x:c r="R362" s="149" t="n">
        <x:v>3.76</x:v>
      </x:c>
      <x:c r="S362" s="145"/>
      <x:c r="T362" s="145"/>
      <x:c r="U362" s="124"/>
      <x:c r="V362" s="124"/>
      <x:c r="W362" s="124"/>
      <x:c r="X362" s="124"/>
      <x:c r="Y362"/>
      <x:c r="Z362"/>
      <x:c r="AA362" s="116" t="str">
        <x:v>Net unit weight is not supplied in 05. Order-level RFQ minimum: USD 100. Retail source: DHH exact 2404-04-08; direct each price; observed 2026-08-15; https://www.discounthydraulichose.com/2404-jic-37-male-x-nptf-male-pipe.html</x:v>
      </x:c>
      <x:c r="AB362" s="161" t="str">
        <x:v>Eligible</x:v>
      </x:c>
      <x:c r="AC362" s="161" t="str">
        <x:v>Pending</x:v>
      </x:c>
      <x:c r="AD362" t="str">
        <x:v>Units</x:v>
      </x:c>
      <x:c r="AE362" s="145"/>
      <x:c r="AF362" s="145"/>
      <x:c r="AG362" s="145"/>
      <x:c r="AH362" s="145"/>
      <x:c r="AI362" s="145"/>
      <x:c r="AJ362"/>
    </x:row>
    <x:row r="363" ht="30" customHeight="1">
      <x:c r="A363" s="138" t="str">
        <x:v>Draft</x:v>
      </x:c>
      <x:c r="B363" s="138" t="str">
        <x:v>Adapter</x:v>
      </x:c>
      <x:c r="C363" s="138" t="str">
        <x:v>ADP_ST_JIC_M_04_NPT_M_12</x:v>
      </x:c>
      <x:c r="D363" s="138" t="str">
        <x:v>ADP_ST_JIC_M_04_NPT_M_12</x:v>
      </x:c>
      <x:c r="E363" s="138" t="str">
        <x:v>EA</x:v>
      </x:c>
      <x:c r="F363" s="139"/>
      <x:c r="G363" s="141" t="n">
        <x:v>1</x:v>
      </x:c>
      <x:c r="H363" s="141" t="n">
        <x:v>1</x:v>
      </x:c>
      <x:c r="I363" s="143"/>
      <x:c r="J363" s="141" t="n">
        <x:v>10</x:v>
      </x:c>
      <x:c r="K363" s="138" t="str">
        <x:v>China</x:v>
      </x:c>
      <x:c r="L363" t="str">
        <x:v>USD</x:v>
      </x:c>
      <x:c r="M363" s="126"/>
      <x:c r="N363"/>
      <x:c r="O363"/>
      <x:c r="P363" s="145"/>
      <x:c r="Q363" s="126"/>
      <x:c r="R363" s="149" t="n">
        <x:v>7</x:v>
      </x:c>
      <x:c r="S363" s="145"/>
      <x:c r="T363" s="145"/>
      <x:c r="U363" s="124"/>
      <x:c r="V363" s="124"/>
      <x:c r="W363" s="124"/>
      <x:c r="X363" s="124"/>
      <x:c r="Y363"/>
      <x:c r="Z363"/>
      <x:c r="AA363" s="116" t="str">
        <x:v>Net unit weight is not supplied in 05. Order-level RFQ minimum: USD 100. Retail source: DHH exact 2404-04-12; direct each price; observed 2026-08-15; https://www.discounthydraulichose.com/2404-jic-37-male-x-nptf-male-pipe.html</x:v>
      </x:c>
      <x:c r="AB363" s="161" t="str">
        <x:v>Eligible</x:v>
      </x:c>
      <x:c r="AC363" s="161" t="str">
        <x:v>Pending</x:v>
      </x:c>
      <x:c r="AD363" t="str">
        <x:v>Units</x:v>
      </x:c>
      <x:c r="AE363" s="145"/>
      <x:c r="AF363" s="145"/>
      <x:c r="AG363" s="145"/>
      <x:c r="AH363" s="145"/>
      <x:c r="AI363" s="145"/>
      <x:c r="AJ363"/>
    </x:row>
    <x:row r="364" ht="30" customHeight="1">
      <x:c r="A364" s="138" t="str">
        <x:v>Draft</x:v>
      </x:c>
      <x:c r="B364" s="138" t="str">
        <x:v>Adapter</x:v>
      </x:c>
      <x:c r="C364" s="138" t="str">
        <x:v>ADP_ST_JIC_M_05_NPT_M_02</x:v>
      </x:c>
      <x:c r="D364" s="138" t="str">
        <x:v>ADP_ST_JIC_M_05_NPT_M_02</x:v>
      </x:c>
      <x:c r="E364" s="138" t="str">
        <x:v>EA</x:v>
      </x:c>
      <x:c r="F364" s="139"/>
      <x:c r="G364" s="141" t="n">
        <x:v>1</x:v>
      </x:c>
      <x:c r="H364" s="141" t="n">
        <x:v>1</x:v>
      </x:c>
      <x:c r="I364" s="143"/>
      <x:c r="J364" s="141" t="n">
        <x:v>10</x:v>
      </x:c>
      <x:c r="K364" s="138" t="str">
        <x:v>China</x:v>
      </x:c>
      <x:c r="L364" t="str">
        <x:v>USD</x:v>
      </x:c>
      <x:c r="M364" s="126"/>
      <x:c r="N364"/>
      <x:c r="O364"/>
      <x:c r="P364" s="145"/>
      <x:c r="Q364" s="126"/>
      <x:c r="R364" s="149" t="n">
        <x:v>1.49</x:v>
      </x:c>
      <x:c r="S364" s="145"/>
      <x:c r="T364" s="145"/>
      <x:c r="U364" s="124"/>
      <x:c r="V364" s="124"/>
      <x:c r="W364" s="124"/>
      <x:c r="X364" s="124"/>
      <x:c r="Y364"/>
      <x:c r="Z364"/>
      <x:c r="AA364" s="116" t="str">
        <x:v>Net unit weight is not supplied in 05. Order-level RFQ minimum: USD 100. Retail source: DHH exact 2404-05-02; direct each price; observed 2026-08-15; https://www.discounthydraulichose.com/2404-jic-37-male-x-nptf-male-pipe.html</x:v>
      </x:c>
      <x:c r="AB364" s="161" t="str">
        <x:v>Eligible</x:v>
      </x:c>
      <x:c r="AC364" s="161" t="str">
        <x:v>Pending</x:v>
      </x:c>
      <x:c r="AD364" t="str">
        <x:v>Units</x:v>
      </x:c>
      <x:c r="AE364" s="145"/>
      <x:c r="AF364" s="145"/>
      <x:c r="AG364" s="145"/>
      <x:c r="AH364" s="145"/>
      <x:c r="AI364" s="145"/>
      <x:c r="AJ364"/>
    </x:row>
    <x:row r="365" ht="30" customHeight="1">
      <x:c r="A365" s="138" t="str">
        <x:v>Draft</x:v>
      </x:c>
      <x:c r="B365" s="138" t="str">
        <x:v>Adapter</x:v>
      </x:c>
      <x:c r="C365" s="138" t="str">
        <x:v>ADP_ST_JIC_M_05_NPT_M_04</x:v>
      </x:c>
      <x:c r="D365" s="138" t="str">
        <x:v>ADP_ST_JIC_M_05_NPT_M_04</x:v>
      </x:c>
      <x:c r="E365" s="138" t="str">
        <x:v>EA</x:v>
      </x:c>
      <x:c r="F365" s="139"/>
      <x:c r="G365" s="141" t="n">
        <x:v>1</x:v>
      </x:c>
      <x:c r="H365" s="141" t="n">
        <x:v>1</x:v>
      </x:c>
      <x:c r="I365" s="143"/>
      <x:c r="J365" s="141" t="n">
        <x:v>10</x:v>
      </x:c>
      <x:c r="K365" s="138" t="str">
        <x:v>China</x:v>
      </x:c>
      <x:c r="L365" t="str">
        <x:v>USD</x:v>
      </x:c>
      <x:c r="M365" s="126"/>
      <x:c r="N365"/>
      <x:c r="O365"/>
      <x:c r="P365" s="145"/>
      <x:c r="Q365" s="126"/>
      <x:c r="R365" s="149" t="n">
        <x:v>1.6</x:v>
      </x:c>
      <x:c r="S365" s="145"/>
      <x:c r="T365" s="145"/>
      <x:c r="U365" s="124"/>
      <x:c r="V365" s="124"/>
      <x:c r="W365" s="124"/>
      <x:c r="X365" s="124"/>
      <x:c r="Y365"/>
      <x:c r="Z365"/>
      <x:c r="AA365" s="116" t="str">
        <x:v>Net unit weight is not supplied in 05. Order-level RFQ minimum: USD 100. Retail source: DHH exact 2404-05-04; direct each price; observed 2026-08-15; https://www.discounthydraulichose.com/2404-jic-37-male-x-nptf-male-pipe.html</x:v>
      </x:c>
      <x:c r="AB365" s="161" t="str">
        <x:v>Eligible</x:v>
      </x:c>
      <x:c r="AC365" s="161" t="str">
        <x:v>Pending</x:v>
      </x:c>
      <x:c r="AD365" t="str">
        <x:v>Units</x:v>
      </x:c>
      <x:c r="AE365" s="145"/>
      <x:c r="AF365" s="145"/>
      <x:c r="AG365" s="145"/>
      <x:c r="AH365" s="145"/>
      <x:c r="AI365" s="145"/>
      <x:c r="AJ365"/>
    </x:row>
    <x:row r="366" ht="30" customHeight="1">
      <x:c r="A366" s="138" t="str">
        <x:v>Draft</x:v>
      </x:c>
      <x:c r="B366" s="138" t="str">
        <x:v>Adapter</x:v>
      </x:c>
      <x:c r="C366" s="138" t="str">
        <x:v>ADP_ST_JIC_M_05_NPT_M_06</x:v>
      </x:c>
      <x:c r="D366" s="138" t="str">
        <x:v>ADP_ST_JIC_M_05_NPT_M_06</x:v>
      </x:c>
      <x:c r="E366" s="138" t="str">
        <x:v>EA</x:v>
      </x:c>
      <x:c r="F366" s="139"/>
      <x:c r="G366" s="141" t="n">
        <x:v>1</x:v>
      </x:c>
      <x:c r="H366" s="141" t="n">
        <x:v>1</x:v>
      </x:c>
      <x:c r="I366" s="143"/>
      <x:c r="J366" s="141" t="n">
        <x:v>10</x:v>
      </x:c>
      <x:c r="K366" s="138" t="str">
        <x:v>China</x:v>
      </x:c>
      <x:c r="L366" t="str">
        <x:v>USD</x:v>
      </x:c>
      <x:c r="M366" s="126"/>
      <x:c r="N366"/>
      <x:c r="O366"/>
      <x:c r="P366" s="145"/>
      <x:c r="Q366" s="126"/>
      <x:c r="R366" s="149" t="n">
        <x:v>2.19</x:v>
      </x:c>
      <x:c r="S366" s="145"/>
      <x:c r="T366" s="145"/>
      <x:c r="U366" s="124"/>
      <x:c r="V366" s="124"/>
      <x:c r="W366" s="124"/>
      <x:c r="X366" s="124"/>
      <x:c r="Y366"/>
      <x:c r="Z366"/>
      <x:c r="AA366" s="116" t="str">
        <x:v>Net unit weight is not supplied in 05. Order-level RFQ minimum: USD 100. Retail source: DHH exact 2404-05-06; direct each price; observed 2026-08-15; https://www.discounthydraulichose.com/2404-jic-37-male-x-nptf-male-pipe.html</x:v>
      </x:c>
      <x:c r="AB366" s="161" t="str">
        <x:v>Eligible</x:v>
      </x:c>
      <x:c r="AC366" s="161" t="str">
        <x:v>Pending</x:v>
      </x:c>
      <x:c r="AD366" t="str">
        <x:v>Units</x:v>
      </x:c>
      <x:c r="AE366" s="145"/>
      <x:c r="AF366" s="145"/>
      <x:c r="AG366" s="145"/>
      <x:c r="AH366" s="145"/>
      <x:c r="AI366" s="145"/>
      <x:c r="AJ366"/>
    </x:row>
    <x:row r="367" ht="30" customHeight="1">
      <x:c r="A367" s="138" t="str">
        <x:v>Draft</x:v>
      </x:c>
      <x:c r="B367" s="138" t="str">
        <x:v>Adapter</x:v>
      </x:c>
      <x:c r="C367" s="138" t="str">
        <x:v>ADP_ST_JIC_M_06_NPT_M_02</x:v>
      </x:c>
      <x:c r="D367" s="138" t="str">
        <x:v>ADP_ST_JIC_M_06_NPT_M_02</x:v>
      </x:c>
      <x:c r="E367" s="138" t="str">
        <x:v>EA</x:v>
      </x:c>
      <x:c r="F367" s="139"/>
      <x:c r="G367" s="141" t="n">
        <x:v>1</x:v>
      </x:c>
      <x:c r="H367" s="141" t="n">
        <x:v>1</x:v>
      </x:c>
      <x:c r="I367" s="143"/>
      <x:c r="J367" s="141" t="n">
        <x:v>10</x:v>
      </x:c>
      <x:c r="K367" s="138" t="str">
        <x:v>China</x:v>
      </x:c>
      <x:c r="L367" t="str">
        <x:v>USD</x:v>
      </x:c>
      <x:c r="M367" s="126"/>
      <x:c r="N367"/>
      <x:c r="O367"/>
      <x:c r="P367" s="145"/>
      <x:c r="Q367" s="126"/>
      <x:c r="R367" s="149" t="n">
        <x:v>1.22</x:v>
      </x:c>
      <x:c r="S367" s="145"/>
      <x:c r="T367" s="145"/>
      <x:c r="U367" s="124"/>
      <x:c r="V367" s="124"/>
      <x:c r="W367" s="124"/>
      <x:c r="X367" s="124"/>
      <x:c r="Y367"/>
      <x:c r="Z367"/>
      <x:c r="AA367" s="116" t="str">
        <x:v>Net unit weight is not supplied in 05. Order-level RFQ minimum: USD 100. Retail source: DHH exact 2404-06-02; direct each price; observed 2026-08-15; https://www.discounthydraulichose.com/2404-jic-37-male-x-nptf-male-pipe.html</x:v>
      </x:c>
      <x:c r="AB367" s="161" t="str">
        <x:v>Eligible</x:v>
      </x:c>
      <x:c r="AC367" s="161" t="str">
        <x:v>Pending</x:v>
      </x:c>
      <x:c r="AD367" t="str">
        <x:v>Units</x:v>
      </x:c>
      <x:c r="AE367" s="145"/>
      <x:c r="AF367" s="145"/>
      <x:c r="AG367" s="145"/>
      <x:c r="AH367" s="145"/>
      <x:c r="AI367" s="145"/>
      <x:c r="AJ367"/>
    </x:row>
    <x:row r="368" ht="30" customHeight="1">
      <x:c r="A368" s="138" t="str">
        <x:v>Draft</x:v>
      </x:c>
      <x:c r="B368" s="138" t="str">
        <x:v>Adapter</x:v>
      </x:c>
      <x:c r="C368" s="138" t="str">
        <x:v>ADP_ST_JIC_M_06_NPT_M_04</x:v>
      </x:c>
      <x:c r="D368" s="138" t="str">
        <x:v>ADP_ST_JIC_M_06_NPT_M_04</x:v>
      </x:c>
      <x:c r="E368" s="138" t="str">
        <x:v>EA</x:v>
      </x:c>
      <x:c r="F368" s="139"/>
      <x:c r="G368" s="141" t="n">
        <x:v>1</x:v>
      </x:c>
      <x:c r="H368" s="141" t="n">
        <x:v>1</x:v>
      </x:c>
      <x:c r="I368" s="143"/>
      <x:c r="J368" s="141" t="n">
        <x:v>10</x:v>
      </x:c>
      <x:c r="K368" s="138" t="str">
        <x:v>China</x:v>
      </x:c>
      <x:c r="L368" t="str">
        <x:v>USD</x:v>
      </x:c>
      <x:c r="M368" s="126"/>
      <x:c r="N368"/>
      <x:c r="O368"/>
      <x:c r="P368" s="145"/>
      <x:c r="Q368" s="126"/>
      <x:c r="R368" s="149" t="n">
        <x:v>1.28</x:v>
      </x:c>
      <x:c r="S368" s="145"/>
      <x:c r="T368" s="145"/>
      <x:c r="U368" s="124"/>
      <x:c r="V368" s="124"/>
      <x:c r="W368" s="124"/>
      <x:c r="X368" s="124"/>
      <x:c r="Y368"/>
      <x:c r="Z368"/>
      <x:c r="AA368" s="116" t="str">
        <x:v>Net unit weight is not supplied in 05. Order-level RFQ minimum: USD 100. Retail source: DHH exact 2404-06-04; direct each price; observed 2026-08-15; https://www.discounthydraulichose.com/2404-jic-37-male-x-nptf-male-pipe.html</x:v>
      </x:c>
      <x:c r="AB368" s="161" t="str">
        <x:v>Eligible</x:v>
      </x:c>
      <x:c r="AC368" s="161" t="str">
        <x:v>Pending</x:v>
      </x:c>
      <x:c r="AD368" t="str">
        <x:v>Units</x:v>
      </x:c>
      <x:c r="AE368" s="145"/>
      <x:c r="AF368" s="145"/>
      <x:c r="AG368" s="145"/>
      <x:c r="AH368" s="145"/>
      <x:c r="AI368" s="145"/>
      <x:c r="AJ368"/>
    </x:row>
    <x:row r="369" ht="30" customHeight="1">
      <x:c r="A369" s="138" t="str">
        <x:v>Draft</x:v>
      </x:c>
      <x:c r="B369" s="138" t="str">
        <x:v>Adapter</x:v>
      </x:c>
      <x:c r="C369" s="138" t="str">
        <x:v>ADP_ST_JIC_M_06_NPT_M_06</x:v>
      </x:c>
      <x:c r="D369" s="138" t="str">
        <x:v>ADP_ST_JIC_M_06_NPT_M_06</x:v>
      </x:c>
      <x:c r="E369" s="138" t="str">
        <x:v>EA</x:v>
      </x:c>
      <x:c r="F369" s="139"/>
      <x:c r="G369" s="141" t="n">
        <x:v>1</x:v>
      </x:c>
      <x:c r="H369" s="141" t="n">
        <x:v>1</x:v>
      </x:c>
      <x:c r="I369" s="143"/>
      <x:c r="J369" s="141" t="n">
        <x:v>10</x:v>
      </x:c>
      <x:c r="K369" s="138" t="str">
        <x:v>China</x:v>
      </x:c>
      <x:c r="L369" t="str">
        <x:v>USD</x:v>
      </x:c>
      <x:c r="M369" s="126"/>
      <x:c r="N369"/>
      <x:c r="O369"/>
      <x:c r="P369" s="145"/>
      <x:c r="Q369" s="126"/>
      <x:c r="R369" s="149" t="n">
        <x:v>1.22</x:v>
      </x:c>
      <x:c r="S369" s="145"/>
      <x:c r="T369" s="145"/>
      <x:c r="U369" s="124"/>
      <x:c r="V369" s="124"/>
      <x:c r="W369" s="124"/>
      <x:c r="X369" s="124"/>
      <x:c r="Y369"/>
      <x:c r="Z369"/>
      <x:c r="AA369" s="116" t="str">
        <x:v>Net unit weight is not supplied in 05. Order-level RFQ minimum: USD 100. Retail source: DHH exact 2404-06-06; direct each price; observed 2026-08-15; https://www.discounthydraulichose.com/2404-jic-37-male-x-nptf-male-pipe.html</x:v>
      </x:c>
      <x:c r="AB369" s="161" t="str">
        <x:v>Eligible</x:v>
      </x:c>
      <x:c r="AC369" s="161" t="str">
        <x:v>Pending</x:v>
      </x:c>
      <x:c r="AD369" t="str">
        <x:v>Units</x:v>
      </x:c>
      <x:c r="AE369" s="145"/>
      <x:c r="AF369" s="145"/>
      <x:c r="AG369" s="145"/>
      <x:c r="AH369" s="145"/>
      <x:c r="AI369" s="145"/>
      <x:c r="AJ369"/>
    </x:row>
    <x:row r="370" ht="30" customHeight="1">
      <x:c r="A370" s="138" t="str">
        <x:v>Draft</x:v>
      </x:c>
      <x:c r="B370" s="138" t="str">
        <x:v>Adapter</x:v>
      </x:c>
      <x:c r="C370" s="138" t="str">
        <x:v>ADP_ST_JIC_M_06_NPT_M_08</x:v>
      </x:c>
      <x:c r="D370" s="138" t="str">
        <x:v>ADP_ST_JIC_M_06_NPT_M_08</x:v>
      </x:c>
      <x:c r="E370" s="138" t="str">
        <x:v>EA</x:v>
      </x:c>
      <x:c r="F370" s="139"/>
      <x:c r="G370" s="141" t="n">
        <x:v>1</x:v>
      </x:c>
      <x:c r="H370" s="141" t="n">
        <x:v>1</x:v>
      </x:c>
      <x:c r="I370" s="143"/>
      <x:c r="J370" s="141" t="n">
        <x:v>10</x:v>
      </x:c>
      <x:c r="K370" s="138" t="str">
        <x:v>China</x:v>
      </x:c>
      <x:c r="L370" t="str">
        <x:v>USD</x:v>
      </x:c>
      <x:c r="M370" s="126"/>
      <x:c r="N370"/>
      <x:c r="O370"/>
      <x:c r="P370" s="145"/>
      <x:c r="Q370" s="126"/>
      <x:c r="R370" s="149" t="n">
        <x:v>2.17</x:v>
      </x:c>
      <x:c r="S370" s="145"/>
      <x:c r="T370" s="145"/>
      <x:c r="U370" s="124"/>
      <x:c r="V370" s="124"/>
      <x:c r="W370" s="124"/>
      <x:c r="X370" s="124"/>
      <x:c r="Y370"/>
      <x:c r="Z370"/>
      <x:c r="AA370" s="116" t="str">
        <x:v>Net unit weight is not supplied in 05. Order-level RFQ minimum: USD 100. Retail source: DHH exact 2404-06-08; direct each price; observed 2026-08-15; https://www.discounthydraulichose.com/2404-jic-37-male-x-nptf-male-pipe.html</x:v>
      </x:c>
      <x:c r="AB370" s="161" t="str">
        <x:v>Eligible</x:v>
      </x:c>
      <x:c r="AC370" s="161" t="str">
        <x:v>Pending</x:v>
      </x:c>
      <x:c r="AD370" t="str">
        <x:v>Units</x:v>
      </x:c>
      <x:c r="AE370" s="145"/>
      <x:c r="AF370" s="145"/>
      <x:c r="AG370" s="145"/>
      <x:c r="AH370" s="145"/>
      <x:c r="AI370" s="145"/>
      <x:c r="AJ370"/>
    </x:row>
    <x:row r="371" ht="30" customHeight="1">
      <x:c r="A371" s="138" t="str">
        <x:v>Draft</x:v>
      </x:c>
      <x:c r="B371" s="138" t="str">
        <x:v>Adapter</x:v>
      </x:c>
      <x:c r="C371" s="138" t="str">
        <x:v>ADP_ST_JIC_M_06_NPT_M_12</x:v>
      </x:c>
      <x:c r="D371" s="138" t="str">
        <x:v>ADP_ST_JIC_M_06_NPT_M_12</x:v>
      </x:c>
      <x:c r="E371" s="138" t="str">
        <x:v>EA</x:v>
      </x:c>
      <x:c r="F371" s="139"/>
      <x:c r="G371" s="141" t="n">
        <x:v>1</x:v>
      </x:c>
      <x:c r="H371" s="141" t="n">
        <x:v>1</x:v>
      </x:c>
      <x:c r="I371" s="143"/>
      <x:c r="J371" s="141" t="n">
        <x:v>10</x:v>
      </x:c>
      <x:c r="K371" s="138" t="str">
        <x:v>China</x:v>
      </x:c>
      <x:c r="L371" t="str">
        <x:v>USD</x:v>
      </x:c>
      <x:c r="M371" s="126"/>
      <x:c r="N371"/>
      <x:c r="O371"/>
      <x:c r="P371" s="145"/>
      <x:c r="Q371" s="126"/>
      <x:c r="R371" s="149" t="n">
        <x:v>5.07</x:v>
      </x:c>
      <x:c r="S371" s="145"/>
      <x:c r="T371" s="145"/>
      <x:c r="U371" s="124"/>
      <x:c r="V371" s="124"/>
      <x:c r="W371" s="124"/>
      <x:c r="X371" s="124"/>
      <x:c r="Y371"/>
      <x:c r="Z371"/>
      <x:c r="AA371" s="116" t="str">
        <x:v>Net unit weight is not supplied in 05. Order-level RFQ minimum: USD 100. Retail source: DHH exact 2404-06-12; direct each price; observed 2026-08-15; https://www.discounthydraulichose.com/2404-jic-37-male-x-nptf-male-pipe.html</x:v>
      </x:c>
      <x:c r="AB371" s="161" t="str">
        <x:v>Eligible</x:v>
      </x:c>
      <x:c r="AC371" s="161" t="str">
        <x:v>Pending</x:v>
      </x:c>
      <x:c r="AD371" t="str">
        <x:v>Units</x:v>
      </x:c>
      <x:c r="AE371" s="145"/>
      <x:c r="AF371" s="145"/>
      <x:c r="AG371" s="145"/>
      <x:c r="AH371" s="145"/>
      <x:c r="AI371" s="145"/>
      <x:c r="AJ371"/>
    </x:row>
    <x:row r="372" ht="30" customHeight="1">
      <x:c r="A372" s="138" t="str">
        <x:v>Draft</x:v>
      </x:c>
      <x:c r="B372" s="138" t="str">
        <x:v>Adapter</x:v>
      </x:c>
      <x:c r="C372" s="138" t="str">
        <x:v>ADP_ST_JIC_M_08_NPT_M_02</x:v>
      </x:c>
      <x:c r="D372" s="138" t="str">
        <x:v>ADP_ST_JIC_M_08_NPT_M_02</x:v>
      </x:c>
      <x:c r="E372" s="138" t="str">
        <x:v>EA</x:v>
      </x:c>
      <x:c r="F372" s="139"/>
      <x:c r="G372" s="141" t="n">
        <x:v>1</x:v>
      </x:c>
      <x:c r="H372" s="141" t="n">
        <x:v>1</x:v>
      </x:c>
      <x:c r="I372" s="143"/>
      <x:c r="J372" s="141" t="n">
        <x:v>10</x:v>
      </x:c>
      <x:c r="K372" s="138" t="str">
        <x:v>China</x:v>
      </x:c>
      <x:c r="L372" t="str">
        <x:v>USD</x:v>
      </x:c>
      <x:c r="M372" s="126"/>
      <x:c r="N372"/>
      <x:c r="O372"/>
      <x:c r="P372" s="145"/>
      <x:c r="Q372" s="126"/>
      <x:c r="R372" s="149" t="n">
        <x:v>3.98</x:v>
      </x:c>
      <x:c r="S372" s="145"/>
      <x:c r="T372" s="145"/>
      <x:c r="U372" s="124"/>
      <x:c r="V372" s="124"/>
      <x:c r="W372" s="124"/>
      <x:c r="X372" s="124"/>
      <x:c r="Y372"/>
      <x:c r="Z372"/>
      <x:c r="AA372" s="116" t="str">
        <x:v>Net unit weight is not supplied in 05. Order-level RFQ minimum: USD 100. Retail source: DHH exact 2404-08-02; direct each price; observed 2026-08-15; https://www.discounthydraulichose.com/2404-jic-37-male-x-nptf-male-pipe.html</x:v>
      </x:c>
      <x:c r="AB372" s="161" t="str">
        <x:v>Eligible</x:v>
      </x:c>
      <x:c r="AC372" s="161" t="str">
        <x:v>Pending</x:v>
      </x:c>
      <x:c r="AD372" t="str">
        <x:v>Units</x:v>
      </x:c>
      <x:c r="AE372" s="145"/>
      <x:c r="AF372" s="145"/>
      <x:c r="AG372" s="145"/>
      <x:c r="AH372" s="145"/>
      <x:c r="AI372" s="145"/>
      <x:c r="AJ372"/>
    </x:row>
    <x:row r="373" ht="30" customHeight="1">
      <x:c r="A373" s="138" t="str">
        <x:v>Draft</x:v>
      </x:c>
      <x:c r="B373" s="138" t="str">
        <x:v>Adapter</x:v>
      </x:c>
      <x:c r="C373" s="138" t="str">
        <x:v>ADP_ST_JIC_M_08_NPT_M_04</x:v>
      </x:c>
      <x:c r="D373" s="138" t="str">
        <x:v>ADP_ST_JIC_M_08_NPT_M_04</x:v>
      </x:c>
      <x:c r="E373" s="138" t="str">
        <x:v>EA</x:v>
      </x:c>
      <x:c r="F373" s="139"/>
      <x:c r="G373" s="141" t="n">
        <x:v>1</x:v>
      </x:c>
      <x:c r="H373" s="141" t="n">
        <x:v>1</x:v>
      </x:c>
      <x:c r="I373" s="143"/>
      <x:c r="J373" s="141" t="n">
        <x:v>10</x:v>
      </x:c>
      <x:c r="K373" s="138" t="str">
        <x:v>China</x:v>
      </x:c>
      <x:c r="L373" t="str">
        <x:v>USD</x:v>
      </x:c>
      <x:c r="M373" s="126"/>
      <x:c r="N373"/>
      <x:c r="O373"/>
      <x:c r="P373" s="145"/>
      <x:c r="Q373" s="126"/>
      <x:c r="R373" s="149" t="n">
        <x:v>1.86</x:v>
      </x:c>
      <x:c r="S373" s="145"/>
      <x:c r="T373" s="145"/>
      <x:c r="U373" s="124"/>
      <x:c r="V373" s="124"/>
      <x:c r="W373" s="124"/>
      <x:c r="X373" s="124"/>
      <x:c r="Y373"/>
      <x:c r="Z373"/>
      <x:c r="AA373" s="116" t="str">
        <x:v>Net unit weight is not supplied in 05. Order-level RFQ minimum: USD 100. Retail source: DHH exact 2404-08-04; direct each price; observed 2026-08-15; https://www.discounthydraulichose.com/2404-jic-37-male-x-nptf-male-pipe.html</x:v>
      </x:c>
      <x:c r="AB373" s="161" t="str">
        <x:v>Eligible</x:v>
      </x:c>
      <x:c r="AC373" s="161" t="str">
        <x:v>Pending</x:v>
      </x:c>
      <x:c r="AD373" t="str">
        <x:v>Units</x:v>
      </x:c>
      <x:c r="AE373" s="145"/>
      <x:c r="AF373" s="145"/>
      <x:c r="AG373" s="145"/>
      <x:c r="AH373" s="145"/>
      <x:c r="AI373" s="145"/>
      <x:c r="AJ373"/>
    </x:row>
    <x:row r="374" ht="30" customHeight="1">
      <x:c r="A374" s="138" t="str">
        <x:v>Draft</x:v>
      </x:c>
      <x:c r="B374" s="138" t="str">
        <x:v>Adapter</x:v>
      </x:c>
      <x:c r="C374" s="138" t="str">
        <x:v>ADP_ST_JIC_M_08_NPT_M_06</x:v>
      </x:c>
      <x:c r="D374" s="138" t="str">
        <x:v>ADP_ST_JIC_M_08_NPT_M_06</x:v>
      </x:c>
      <x:c r="E374" s="138" t="str">
        <x:v>EA</x:v>
      </x:c>
      <x:c r="F374" s="139"/>
      <x:c r="G374" s="141" t="n">
        <x:v>1</x:v>
      </x:c>
      <x:c r="H374" s="141" t="n">
        <x:v>1</x:v>
      </x:c>
      <x:c r="I374" s="143"/>
      <x:c r="J374" s="141" t="n">
        <x:v>10</x:v>
      </x:c>
      <x:c r="K374" s="138" t="str">
        <x:v>China</x:v>
      </x:c>
      <x:c r="L374" t="str">
        <x:v>USD</x:v>
      </x:c>
      <x:c r="M374" s="126"/>
      <x:c r="N374"/>
      <x:c r="O374"/>
      <x:c r="P374" s="145"/>
      <x:c r="Q374" s="126"/>
      <x:c r="R374" s="149" t="n">
        <x:v>1.16</x:v>
      </x:c>
      <x:c r="S374" s="145"/>
      <x:c r="T374" s="145"/>
      <x:c r="U374" s="124"/>
      <x:c r="V374" s="124"/>
      <x:c r="W374" s="124"/>
      <x:c r="X374" s="124"/>
      <x:c r="Y374"/>
      <x:c r="Z374"/>
      <x:c r="AA374" s="116" t="str">
        <x:v>Net unit weight is not supplied in 05. Order-level RFQ minimum: USD 100. Retail source: DHH exact 2404-08-06; direct each price; observed 2026-08-15; https://www.discounthydraulichose.com/2404-jic-37-male-x-nptf-male-pipe.html</x:v>
      </x:c>
      <x:c r="AB374" s="161" t="str">
        <x:v>Eligible</x:v>
      </x:c>
      <x:c r="AC374" s="161" t="str">
        <x:v>Pending</x:v>
      </x:c>
      <x:c r="AD374" t="str">
        <x:v>Units</x:v>
      </x:c>
      <x:c r="AE374" s="145"/>
      <x:c r="AF374" s="145"/>
      <x:c r="AG374" s="145"/>
      <x:c r="AH374" s="145"/>
      <x:c r="AI374" s="145"/>
      <x:c r="AJ374"/>
    </x:row>
    <x:row r="375" ht="30" customHeight="1">
      <x:c r="A375" s="138" t="str">
        <x:v>Draft</x:v>
      </x:c>
      <x:c r="B375" s="138" t="str">
        <x:v>Adapter</x:v>
      </x:c>
      <x:c r="C375" s="138" t="str">
        <x:v>ADP_ST_JIC_M_08_NPT_M_08</x:v>
      </x:c>
      <x:c r="D375" s="138" t="str">
        <x:v>ADP_ST_JIC_M_08_NPT_M_08</x:v>
      </x:c>
      <x:c r="E375" s="138" t="str">
        <x:v>EA</x:v>
      </x:c>
      <x:c r="F375" s="139"/>
      <x:c r="G375" s="141" t="n">
        <x:v>1</x:v>
      </x:c>
      <x:c r="H375" s="141" t="n">
        <x:v>1</x:v>
      </x:c>
      <x:c r="I375" s="143"/>
      <x:c r="J375" s="141" t="n">
        <x:v>10</x:v>
      </x:c>
      <x:c r="K375" s="138" t="str">
        <x:v>China</x:v>
      </x:c>
      <x:c r="L375" t="str">
        <x:v>USD</x:v>
      </x:c>
      <x:c r="M375" s="126"/>
      <x:c r="N375"/>
      <x:c r="O375"/>
      <x:c r="P375" s="145"/>
      <x:c r="Q375" s="126"/>
      <x:c r="R375" s="149" t="n">
        <x:v>2.29</x:v>
      </x:c>
      <x:c r="S375" s="145"/>
      <x:c r="T375" s="145"/>
      <x:c r="U375" s="124"/>
      <x:c r="V375" s="124"/>
      <x:c r="W375" s="124"/>
      <x:c r="X375" s="124"/>
      <x:c r="Y375"/>
      <x:c r="Z375"/>
      <x:c r="AA375" s="116" t="str">
        <x:v>Net unit weight is not supplied in 05. Order-level RFQ minimum: USD 100. Retail source: DHH exact 2404-08-08; direct each price; observed 2026-08-15; https://www.discounthydraulichose.com/2404-jic-37-male-x-nptf-male-pipe.html</x:v>
      </x:c>
      <x:c r="AB375" s="161" t="str">
        <x:v>Eligible</x:v>
      </x:c>
      <x:c r="AC375" s="161" t="str">
        <x:v>Pending</x:v>
      </x:c>
      <x:c r="AD375" t="str">
        <x:v>Units</x:v>
      </x:c>
      <x:c r="AE375" s="145"/>
      <x:c r="AF375" s="145"/>
      <x:c r="AG375" s="145"/>
      <x:c r="AH375" s="145"/>
      <x:c r="AI375" s="145"/>
      <x:c r="AJ375"/>
    </x:row>
    <x:row r="376" ht="30" customHeight="1">
      <x:c r="A376" s="138" t="str">
        <x:v>Draft</x:v>
      </x:c>
      <x:c r="B376" s="138" t="str">
        <x:v>Adapter</x:v>
      </x:c>
      <x:c r="C376" s="138" t="str">
        <x:v>ADP_ST_JIC_M_08_NPT_M_12</x:v>
      </x:c>
      <x:c r="D376" s="138" t="str">
        <x:v>ADP_ST_JIC_M_08_NPT_M_12</x:v>
      </x:c>
      <x:c r="E376" s="138" t="str">
        <x:v>EA</x:v>
      </x:c>
      <x:c r="F376" s="139"/>
      <x:c r="G376" s="141" t="n">
        <x:v>1</x:v>
      </x:c>
      <x:c r="H376" s="141" t="n">
        <x:v>1</x:v>
      </x:c>
      <x:c r="I376" s="143"/>
      <x:c r="J376" s="141" t="n">
        <x:v>10</x:v>
      </x:c>
      <x:c r="K376" s="138" t="str">
        <x:v>China</x:v>
      </x:c>
      <x:c r="L376" t="str">
        <x:v>USD</x:v>
      </x:c>
      <x:c r="M376" s="126"/>
      <x:c r="N376"/>
      <x:c r="O376"/>
      <x:c r="P376" s="145"/>
      <x:c r="Q376" s="126"/>
      <x:c r="R376" s="149" t="n">
        <x:v>3.22</x:v>
      </x:c>
      <x:c r="S376" s="145"/>
      <x:c r="T376" s="145"/>
      <x:c r="U376" s="124"/>
      <x:c r="V376" s="124"/>
      <x:c r="W376" s="124"/>
      <x:c r="X376" s="124"/>
      <x:c r="Y376"/>
      <x:c r="Z376"/>
      <x:c r="AA376" s="116" t="str">
        <x:v>Net unit weight is not supplied in 05. Order-level RFQ minimum: USD 100. Retail source: DHH exact 2404-08-12; direct each price; observed 2026-08-15; https://www.discounthydraulichose.com/2404-jic-37-male-x-nptf-male-pipe.html</x:v>
      </x:c>
      <x:c r="AB376" s="161" t="str">
        <x:v>Eligible</x:v>
      </x:c>
      <x:c r="AC376" s="161" t="str">
        <x:v>Pending</x:v>
      </x:c>
      <x:c r="AD376" t="str">
        <x:v>Units</x:v>
      </x:c>
      <x:c r="AE376" s="145"/>
      <x:c r="AF376" s="145"/>
      <x:c r="AG376" s="145"/>
      <x:c r="AH376" s="145"/>
      <x:c r="AI376" s="145"/>
      <x:c r="AJ376"/>
    </x:row>
    <x:row r="377" ht="30" customHeight="1">
      <x:c r="A377" s="138" t="str">
        <x:v>Draft</x:v>
      </x:c>
      <x:c r="B377" s="138" t="str">
        <x:v>Adapter</x:v>
      </x:c>
      <x:c r="C377" s="138" t="str">
        <x:v>ADP_ST_JIC_M_08_NPT_M_16</x:v>
      </x:c>
      <x:c r="D377" s="138" t="str">
        <x:v>ADP_ST_JIC_M_08_NPT_M_16</x:v>
      </x:c>
      <x:c r="E377" s="138" t="str">
        <x:v>EA</x:v>
      </x:c>
      <x:c r="F377" s="139"/>
      <x:c r="G377" s="141" t="n">
        <x:v>1</x:v>
      </x:c>
      <x:c r="H377" s="141" t="n">
        <x:v>1</x:v>
      </x:c>
      <x:c r="I377" s="143"/>
      <x:c r="J377" s="141" t="n">
        <x:v>10</x:v>
      </x:c>
      <x:c r="K377" s="138" t="str">
        <x:v>China</x:v>
      </x:c>
      <x:c r="L377" t="str">
        <x:v>USD</x:v>
      </x:c>
      <x:c r="M377" s="126"/>
      <x:c r="N377"/>
      <x:c r="O377"/>
      <x:c r="P377" s="145"/>
      <x:c r="Q377" s="126"/>
      <x:c r="R377" s="149" t="n">
        <x:v>9.2</x:v>
      </x:c>
      <x:c r="S377" s="145"/>
      <x:c r="T377" s="145"/>
      <x:c r="U377" s="124"/>
      <x:c r="V377" s="124"/>
      <x:c r="W377" s="124"/>
      <x:c r="X377" s="124"/>
      <x:c r="Y377"/>
      <x:c r="Z377"/>
      <x:c r="AA377" s="116" t="str">
        <x:v>Net unit weight is not supplied in 05. Order-level RFQ minimum: USD 100. Retail source: DHH exact 2404-08-16; direct each price; observed 2026-08-15; https://www.discounthydraulichose.com/2404-jic-37-male-x-nptf-male-pipe.html</x:v>
      </x:c>
      <x:c r="AB377" s="161" t="str">
        <x:v>Eligible</x:v>
      </x:c>
      <x:c r="AC377" s="161" t="str">
        <x:v>Pending</x:v>
      </x:c>
      <x:c r="AD377" t="str">
        <x:v>Units</x:v>
      </x:c>
      <x:c r="AE377" s="145"/>
      <x:c r="AF377" s="145"/>
      <x:c r="AG377" s="145"/>
      <x:c r="AH377" s="145"/>
      <x:c r="AI377" s="145"/>
      <x:c r="AJ377"/>
    </x:row>
    <x:row r="378" ht="30" customHeight="1">
      <x:c r="A378" s="138" t="str">
        <x:v>Draft</x:v>
      </x:c>
      <x:c r="B378" s="138" t="str">
        <x:v>Adapter</x:v>
      </x:c>
      <x:c r="C378" s="138" t="str">
        <x:v>ADP_ST_JIC_M_10_ORB_M_06</x:v>
      </x:c>
      <x:c r="D378" s="138" t="str">
        <x:v>ADP_ST_JIC_M_10_ORB_M_06</x:v>
      </x:c>
      <x:c r="E378" s="138" t="str">
        <x:v>EA</x:v>
      </x:c>
      <x:c r="F378" s="139"/>
      <x:c r="G378" s="141" t="n">
        <x:v>1</x:v>
      </x:c>
      <x:c r="H378" s="141" t="n">
        <x:v>1</x:v>
      </x:c>
      <x:c r="I378" s="143"/>
      <x:c r="J378" s="141" t="n">
        <x:v>10</x:v>
      </x:c>
      <x:c r="K378" s="138" t="str">
        <x:v>China</x:v>
      </x:c>
      <x:c r="L378" t="str">
        <x:v>USD</x:v>
      </x:c>
      <x:c r="M378" s="126"/>
      <x:c r="N378"/>
      <x:c r="O378"/>
      <x:c r="P378" s="145"/>
      <x:c r="Q378" s="126"/>
      <x:c r="R378" s="149" t="n">
        <x:v>4.9</x:v>
      </x:c>
      <x:c r="S378" s="145"/>
      <x:c r="T378" s="145"/>
      <x:c r="U378" s="124"/>
      <x:c r="V378" s="124"/>
      <x:c r="W378" s="124"/>
      <x:c r="X378" s="124"/>
      <x:c r="Y378"/>
      <x:c r="Z378"/>
      <x:c r="AA378" s="116" t="str">
        <x:v>Net unit weight is not supplied in 05. Order-level RFQ minimum: USD 100. Retail source: DHH exact 6400-10-06; direct each price; observed 2026-08-15; https://www.discounthydraulichose.com/6400-jic-37-x-straight-thread-orb.html</x:v>
      </x:c>
      <x:c r="AB378" s="161" t="str">
        <x:v>Eligible</x:v>
      </x:c>
      <x:c r="AC378" s="161" t="str">
        <x:v>Pending</x:v>
      </x:c>
      <x:c r="AD378" t="str">
        <x:v>Units</x:v>
      </x:c>
      <x:c r="AE378" s="145"/>
      <x:c r="AF378" s="145"/>
      <x:c r="AG378" s="145"/>
      <x:c r="AH378" s="145"/>
      <x:c r="AI378" s="145"/>
      <x:c r="AJ378"/>
    </x:row>
    <x:row r="379" ht="30" customHeight="1">
      <x:c r="A379" s="138" t="str">
        <x:v>Draft</x:v>
      </x:c>
      <x:c r="B379" s="138" t="str">
        <x:v>Adapter</x:v>
      </x:c>
      <x:c r="C379" s="138" t="str">
        <x:v>ADP_ST_JIC_M_10_ORB_M_08</x:v>
      </x:c>
      <x:c r="D379" s="138" t="str">
        <x:v>ADP_ST_JIC_M_10_ORB_M_08</x:v>
      </x:c>
      <x:c r="E379" s="138" t="str">
        <x:v>EA</x:v>
      </x:c>
      <x:c r="F379" s="139"/>
      <x:c r="G379" s="141" t="n">
        <x:v>1</x:v>
      </x:c>
      <x:c r="H379" s="141" t="n">
        <x:v>1</x:v>
      </x:c>
      <x:c r="I379" s="143"/>
      <x:c r="J379" s="141" t="n">
        <x:v>10</x:v>
      </x:c>
      <x:c r="K379" s="138" t="str">
        <x:v>China</x:v>
      </x:c>
      <x:c r="L379" t="str">
        <x:v>USD</x:v>
      </x:c>
      <x:c r="M379" s="126"/>
      <x:c r="N379"/>
      <x:c r="O379"/>
      <x:c r="P379" s="145"/>
      <x:c r="Q379" s="126"/>
      <x:c r="R379" s="149" t="n">
        <x:v>4.52</x:v>
      </x:c>
      <x:c r="S379" s="145"/>
      <x:c r="T379" s="145"/>
      <x:c r="U379" s="124"/>
      <x:c r="V379" s="124"/>
      <x:c r="W379" s="124"/>
      <x:c r="X379" s="124"/>
      <x:c r="Y379"/>
      <x:c r="Z379"/>
      <x:c r="AA379" s="116" t="str">
        <x:v>Net unit weight is not supplied in 05. Order-level RFQ minimum: USD 100. Retail source: DHH exact 6400-10-08; direct each price; observed 2026-08-15; https://www.discounthydraulichose.com/6400-jic-37-x-straight-thread-orb.html</x:v>
      </x:c>
      <x:c r="AB379" s="161" t="str">
        <x:v>Eligible</x:v>
      </x:c>
      <x:c r="AC379" s="161" t="str">
        <x:v>Pending</x:v>
      </x:c>
      <x:c r="AD379" t="str">
        <x:v>Units</x:v>
      </x:c>
      <x:c r="AE379" s="145"/>
      <x:c r="AF379" s="145"/>
      <x:c r="AG379" s="145"/>
      <x:c r="AH379" s="145"/>
      <x:c r="AI379" s="145"/>
      <x:c r="AJ379"/>
    </x:row>
    <x:row r="380" ht="30" customHeight="1">
      <x:c r="A380" s="138" t="str">
        <x:v>Draft</x:v>
      </x:c>
      <x:c r="B380" s="138" t="str">
        <x:v>Adapter</x:v>
      </x:c>
      <x:c r="C380" s="138" t="str">
        <x:v>ADP_ST_JIC_M_10_ORB_M_10</x:v>
      </x:c>
      <x:c r="D380" s="138" t="str">
        <x:v>ADP_ST_JIC_M_10_ORB_M_10</x:v>
      </x:c>
      <x:c r="E380" s="138" t="str">
        <x:v>EA</x:v>
      </x:c>
      <x:c r="F380" s="139"/>
      <x:c r="G380" s="141" t="n">
        <x:v>1</x:v>
      </x:c>
      <x:c r="H380" s="141" t="n">
        <x:v>1</x:v>
      </x:c>
      <x:c r="I380" s="143"/>
      <x:c r="J380" s="141" t="n">
        <x:v>10</x:v>
      </x:c>
      <x:c r="K380" s="138" t="str">
        <x:v>China</x:v>
      </x:c>
      <x:c r="L380" t="str">
        <x:v>USD</x:v>
      </x:c>
      <x:c r="M380" s="126"/>
      <x:c r="N380"/>
      <x:c r="O380"/>
      <x:c r="P380" s="145"/>
      <x:c r="Q380" s="126"/>
      <x:c r="R380" s="149" t="n">
        <x:v>3.23</x:v>
      </x:c>
      <x:c r="S380" s="145"/>
      <x:c r="T380" s="145"/>
      <x:c r="U380" s="124"/>
      <x:c r="V380" s="124"/>
      <x:c r="W380" s="124"/>
      <x:c r="X380" s="124"/>
      <x:c r="Y380"/>
      <x:c r="Z380"/>
      <x:c r="AA380" s="116" t="str">
        <x:v>Net unit weight is not supplied in 05. Order-level RFQ minimum: USD 100. Retail source: DHH exact 6400-10-10; direct each price; observed 2026-08-15; https://www.discounthydraulichose.com/6400-jic-37-x-straight-thread-orb.html</x:v>
      </x:c>
      <x:c r="AB380" s="161" t="str">
        <x:v>Eligible</x:v>
      </x:c>
      <x:c r="AC380" s="161" t="str">
        <x:v>Pending</x:v>
      </x:c>
      <x:c r="AD380" t="str">
        <x:v>Units</x:v>
      </x:c>
      <x:c r="AE380" s="145"/>
      <x:c r="AF380" s="145"/>
      <x:c r="AG380" s="145"/>
      <x:c r="AH380" s="145"/>
      <x:c r="AI380" s="145"/>
      <x:c r="AJ380"/>
    </x:row>
    <x:row r="381" ht="30" customHeight="1">
      <x:c r="A381" s="138" t="str">
        <x:v>Draft</x:v>
      </x:c>
      <x:c r="B381" s="138" t="str">
        <x:v>Adapter</x:v>
      </x:c>
      <x:c r="C381" s="138" t="str">
        <x:v>ADP_ST_JIC_M_10_ORB_M_12</x:v>
      </x:c>
      <x:c r="D381" s="138" t="str">
        <x:v>ADP_ST_JIC_M_10_ORB_M_12</x:v>
      </x:c>
      <x:c r="E381" s="138" t="str">
        <x:v>EA</x:v>
      </x:c>
      <x:c r="F381" s="139"/>
      <x:c r="G381" s="141" t="n">
        <x:v>1</x:v>
      </x:c>
      <x:c r="H381" s="141" t="n">
        <x:v>1</x:v>
      </x:c>
      <x:c r="I381" s="143"/>
      <x:c r="J381" s="141" t="n">
        <x:v>10</x:v>
      </x:c>
      <x:c r="K381" s="138" t="str">
        <x:v>China</x:v>
      </x:c>
      <x:c r="L381" t="str">
        <x:v>USD</x:v>
      </x:c>
      <x:c r="M381" s="126"/>
      <x:c r="N381"/>
      <x:c r="O381"/>
      <x:c r="P381" s="145"/>
      <x:c r="Q381" s="126"/>
      <x:c r="R381" s="149" t="n">
        <x:v>3.76</x:v>
      </x:c>
      <x:c r="S381" s="145"/>
      <x:c r="T381" s="145"/>
      <x:c r="U381" s="124"/>
      <x:c r="V381" s="124"/>
      <x:c r="W381" s="124"/>
      <x:c r="X381" s="124"/>
      <x:c r="Y381"/>
      <x:c r="Z381"/>
      <x:c r="AA381" s="116" t="str">
        <x:v>Net unit weight is not supplied in 05. Order-level RFQ minimum: USD 100. Retail source: DHH exact 6400-10-12; direct each price; observed 2026-08-15; https://www.discounthydraulichose.com/6400-jic-37-x-straight-thread-orb.html</x:v>
      </x:c>
      <x:c r="AB381" s="161" t="str">
        <x:v>Eligible</x:v>
      </x:c>
      <x:c r="AC381" s="161" t="str">
        <x:v>Pending</x:v>
      </x:c>
      <x:c r="AD381" t="str">
        <x:v>Units</x:v>
      </x:c>
      <x:c r="AE381" s="145"/>
      <x:c r="AF381" s="145"/>
      <x:c r="AG381" s="145"/>
      <x:c r="AH381" s="145"/>
      <x:c r="AI381" s="145"/>
      <x:c r="AJ381"/>
    </x:row>
    <x:row r="382" ht="30" customHeight="1">
      <x:c r="A382" s="138" t="str">
        <x:v>Draft</x:v>
      </x:c>
      <x:c r="B382" s="138" t="str">
        <x:v>Adapter</x:v>
      </x:c>
      <x:c r="C382" s="138" t="str">
        <x:v>ADP_ST_JIC_M_10_ORB_M_14</x:v>
      </x:c>
      <x:c r="D382" s="138" t="str">
        <x:v>ADP_ST_JIC_M_10_ORB_M_14</x:v>
      </x:c>
      <x:c r="E382" s="138" t="str">
        <x:v>EA</x:v>
      </x:c>
      <x:c r="F382" s="139"/>
      <x:c r="G382" s="141" t="n">
        <x:v>1</x:v>
      </x:c>
      <x:c r="H382" s="141" t="n">
        <x:v>1</x:v>
      </x:c>
      <x:c r="I382" s="143"/>
      <x:c r="J382" s="141" t="n">
        <x:v>10</x:v>
      </x:c>
      <x:c r="K382" s="138" t="str">
        <x:v>China</x:v>
      </x:c>
      <x:c r="L382" t="str">
        <x:v>USD</x:v>
      </x:c>
      <x:c r="M382" s="126"/>
      <x:c r="N382"/>
      <x:c r="O382"/>
      <x:c r="P382" s="145"/>
      <x:c r="Q382" s="126"/>
      <x:c r="R382" s="149" t="n">
        <x:v>15.16</x:v>
      </x:c>
      <x:c r="S382" s="145"/>
      <x:c r="T382" s="145"/>
      <x:c r="U382" s="124"/>
      <x:c r="V382" s="124"/>
      <x:c r="W382" s="124"/>
      <x:c r="X382" s="124"/>
      <x:c r="Y382"/>
      <x:c r="Z382"/>
      <x:c r="AA382" s="116" t="str">
        <x:v>Net unit weight is not supplied in 05. Order-level RFQ minimum: USD 100. Retail source: DHH exact 6400-10-14; direct each price; observed 2026-08-15; https://www.discounthydraulichose.com/6400-jic-37-x-straight-thread-orb.html</x:v>
      </x:c>
      <x:c r="AB382" s="161" t="str">
        <x:v>Eligible</x:v>
      </x:c>
      <x:c r="AC382" s="161" t="str">
        <x:v>Pending</x:v>
      </x:c>
      <x:c r="AD382" t="str">
        <x:v>Units</x:v>
      </x:c>
      <x:c r="AE382" s="145"/>
      <x:c r="AF382" s="145"/>
      <x:c r="AG382" s="145"/>
      <x:c r="AH382" s="145"/>
      <x:c r="AI382" s="145"/>
      <x:c r="AJ382"/>
    </x:row>
    <x:row r="383" ht="30" customHeight="1">
      <x:c r="A383" s="138" t="str">
        <x:v>Draft</x:v>
      </x:c>
      <x:c r="B383" s="138" t="str">
        <x:v>Adapter</x:v>
      </x:c>
      <x:c r="C383" s="138" t="str">
        <x:v>ADP_ST_JIC_M_10_ORB_M_16</x:v>
      </x:c>
      <x:c r="D383" s="138" t="str">
        <x:v>ADP_ST_JIC_M_10_ORB_M_16</x:v>
      </x:c>
      <x:c r="E383" s="138" t="str">
        <x:v>EA</x:v>
      </x:c>
      <x:c r="F383" s="139"/>
      <x:c r="G383" s="141" t="n">
        <x:v>1</x:v>
      </x:c>
      <x:c r="H383" s="141" t="n">
        <x:v>1</x:v>
      </x:c>
      <x:c r="I383" s="143"/>
      <x:c r="J383" s="141" t="n">
        <x:v>10</x:v>
      </x:c>
      <x:c r="K383" s="138" t="str">
        <x:v>China</x:v>
      </x:c>
      <x:c r="L383" t="str">
        <x:v>USD</x:v>
      </x:c>
      <x:c r="M383" s="126"/>
      <x:c r="N383"/>
      <x:c r="O383"/>
      <x:c r="P383" s="145"/>
      <x:c r="Q383" s="126"/>
      <x:c r="R383" s="149" t="n">
        <x:v>6.79</x:v>
      </x:c>
      <x:c r="S383" s="145"/>
      <x:c r="T383" s="145"/>
      <x:c r="U383" s="124"/>
      <x:c r="V383" s="124"/>
      <x:c r="W383" s="124"/>
      <x:c r="X383" s="124"/>
      <x:c r="Y383"/>
      <x:c r="Z383"/>
      <x:c r="AA383" s="116" t="str">
        <x:v>Net unit weight is not supplied in 05. Order-level RFQ minimum: USD 100. Retail source: DHH exact 6400-10-16; direct each price; observed 2026-08-15; https://www.discounthydraulichose.com/6400-jic-37-x-straight-thread-orb.html</x:v>
      </x:c>
      <x:c r="AB383" s="161" t="str">
        <x:v>Eligible</x:v>
      </x:c>
      <x:c r="AC383" s="161" t="str">
        <x:v>Pending</x:v>
      </x:c>
      <x:c r="AD383" t="str">
        <x:v>Units</x:v>
      </x:c>
      <x:c r="AE383" s="145"/>
      <x:c r="AF383" s="145"/>
      <x:c r="AG383" s="145"/>
      <x:c r="AH383" s="145"/>
      <x:c r="AI383" s="145"/>
      <x:c r="AJ383"/>
    </x:row>
    <x:row r="384" ht="30" customHeight="1">
      <x:c r="A384" s="138" t="str">
        <x:v>Draft</x:v>
      </x:c>
      <x:c r="B384" s="138" t="str">
        <x:v>Adapter</x:v>
      </x:c>
      <x:c r="C384" s="138" t="str">
        <x:v>ADP_ST_JIC_M_10_ORB_M_20</x:v>
      </x:c>
      <x:c r="D384" s="138" t="str">
        <x:v>ADP_ST_JIC_M_10_ORB_M_20</x:v>
      </x:c>
      <x:c r="E384" s="138" t="str">
        <x:v>EA</x:v>
      </x:c>
      <x:c r="F384" s="139"/>
      <x:c r="G384" s="141" t="n">
        <x:v>1</x:v>
      </x:c>
      <x:c r="H384" s="141" t="n">
        <x:v>1</x:v>
      </x:c>
      <x:c r="I384" s="143"/>
      <x:c r="J384" s="141" t="n">
        <x:v>10</x:v>
      </x:c>
      <x:c r="K384" s="138" t="str">
        <x:v>China</x:v>
      </x:c>
      <x:c r="L384" t="str">
        <x:v>USD</x:v>
      </x:c>
      <x:c r="M384" s="126"/>
      <x:c r="N384"/>
      <x:c r="O384"/>
      <x:c r="P384" s="145"/>
      <x:c r="Q384" s="126"/>
      <x:c r="R384" s="149" t="n">
        <x:v>75.16</x:v>
      </x:c>
      <x:c r="S384" s="145"/>
      <x:c r="T384" s="145"/>
      <x:c r="U384" s="124"/>
      <x:c r="V384" s="124"/>
      <x:c r="W384" s="124"/>
      <x:c r="X384" s="124"/>
      <x:c r="Y384"/>
      <x:c r="Z384"/>
      <x:c r="AA384" s="116" t="str">
        <x:v>Net unit weight is not supplied in 05. Order-level RFQ minimum: USD 100. Retail source: DHH exact 6400-10-20; direct each price; observed 2026-08-15; https://www.discounthydraulichose.com/6400-jic-37-x-straight-thread-orb.html</x:v>
      </x:c>
      <x:c r="AB384" s="161" t="str">
        <x:v>Eligible</x:v>
      </x:c>
      <x:c r="AC384" s="161" t="str">
        <x:v>Pending</x:v>
      </x:c>
      <x:c r="AD384" t="str">
        <x:v>Units</x:v>
      </x:c>
      <x:c r="AE384" s="145"/>
      <x:c r="AF384" s="145"/>
      <x:c r="AG384" s="145"/>
      <x:c r="AH384" s="145"/>
      <x:c r="AI384" s="145"/>
      <x:c r="AJ384"/>
    </x:row>
    <x:row r="385" ht="30" customHeight="1">
      <x:c r="A385" s="138" t="str">
        <x:v>Draft</x:v>
      </x:c>
      <x:c r="B385" s="138" t="str">
        <x:v>Adapter</x:v>
      </x:c>
      <x:c r="C385" s="138" t="str">
        <x:v>ADP_ST_JIC_M_12_ORB_M_06</x:v>
      </x:c>
      <x:c r="D385" s="138" t="str">
        <x:v>ADP_ST_JIC_M_12_ORB_M_06</x:v>
      </x:c>
      <x:c r="E385" s="138" t="str">
        <x:v>EA</x:v>
      </x:c>
      <x:c r="F385" s="139"/>
      <x:c r="G385" s="141" t="n">
        <x:v>1</x:v>
      </x:c>
      <x:c r="H385" s="141" t="n">
        <x:v>1</x:v>
      </x:c>
      <x:c r="I385" s="143"/>
      <x:c r="J385" s="141" t="n">
        <x:v>10</x:v>
      </x:c>
      <x:c r="K385" s="138" t="str">
        <x:v>China</x:v>
      </x:c>
      <x:c r="L385" t="str">
        <x:v>USD</x:v>
      </x:c>
      <x:c r="M385" s="126"/>
      <x:c r="N385"/>
      <x:c r="O385"/>
      <x:c r="P385" s="145"/>
      <x:c r="Q385" s="126"/>
      <x:c r="R385" s="149" t="n">
        <x:v>7.05</x:v>
      </x:c>
      <x:c r="S385" s="145"/>
      <x:c r="T385" s="145"/>
      <x:c r="U385" s="124"/>
      <x:c r="V385" s="124"/>
      <x:c r="W385" s="124"/>
      <x:c r="X385" s="124"/>
      <x:c r="Y385"/>
      <x:c r="Z385"/>
      <x:c r="AA385" s="116" t="str">
        <x:v>Net unit weight is not supplied in 05. Order-level RFQ minimum: USD 100. Retail source: DHH exact 6400-12-06; direct each price; observed 2026-08-15; https://www.discounthydraulichose.com/6400-jic-37-x-straight-thread-orb.html</x:v>
      </x:c>
      <x:c r="AB385" s="161" t="str">
        <x:v>Eligible</x:v>
      </x:c>
      <x:c r="AC385" s="161" t="str">
        <x:v>Pending</x:v>
      </x:c>
      <x:c r="AD385" t="str">
        <x:v>Units</x:v>
      </x:c>
      <x:c r="AE385" s="145"/>
      <x:c r="AF385" s="145"/>
      <x:c r="AG385" s="145"/>
      <x:c r="AH385" s="145"/>
      <x:c r="AI385" s="145"/>
      <x:c r="AJ385"/>
    </x:row>
    <x:row r="386" ht="30" customHeight="1">
      <x:c r="A386" s="138" t="str">
        <x:v>Draft</x:v>
      </x:c>
      <x:c r="B386" s="138" t="str">
        <x:v>Adapter</x:v>
      </x:c>
      <x:c r="C386" s="138" t="str">
        <x:v>ADP_ST_JIC_M_12_ORB_M_08</x:v>
      </x:c>
      <x:c r="D386" s="138" t="str">
        <x:v>ADP_ST_JIC_M_12_ORB_M_08</x:v>
      </x:c>
      <x:c r="E386" s="138" t="str">
        <x:v>EA</x:v>
      </x:c>
      <x:c r="F386" s="139"/>
      <x:c r="G386" s="141" t="n">
        <x:v>1</x:v>
      </x:c>
      <x:c r="H386" s="141" t="n">
        <x:v>1</x:v>
      </x:c>
      <x:c r="I386" s="143"/>
      <x:c r="J386" s="141" t="n">
        <x:v>10</x:v>
      </x:c>
      <x:c r="K386" s="138" t="str">
        <x:v>China</x:v>
      </x:c>
      <x:c r="L386" t="str">
        <x:v>USD</x:v>
      </x:c>
      <x:c r="M386" s="126"/>
      <x:c r="N386"/>
      <x:c r="O386"/>
      <x:c r="P386" s="145"/>
      <x:c r="Q386" s="126"/>
      <x:c r="R386" s="149" t="n">
        <x:v>4.71</x:v>
      </x:c>
      <x:c r="S386" s="145"/>
      <x:c r="T386" s="145"/>
      <x:c r="U386" s="124"/>
      <x:c r="V386" s="124"/>
      <x:c r="W386" s="124"/>
      <x:c r="X386" s="124"/>
      <x:c r="Y386"/>
      <x:c r="Z386"/>
      <x:c r="AA386" s="116" t="str">
        <x:v>Net unit weight is not supplied in 05. Order-level RFQ minimum: USD 100. Retail source: DHH exact 6400-12-08; direct each price; observed 2026-08-15; https://www.discounthydraulichose.com/6400-jic-37-x-straight-thread-orb.html</x:v>
      </x:c>
      <x:c r="AB386" s="161" t="str">
        <x:v>Eligible</x:v>
      </x:c>
      <x:c r="AC386" s="161" t="str">
        <x:v>Pending</x:v>
      </x:c>
      <x:c r="AD386" t="str">
        <x:v>Units</x:v>
      </x:c>
      <x:c r="AE386" s="145"/>
      <x:c r="AF386" s="145"/>
      <x:c r="AG386" s="145"/>
      <x:c r="AH386" s="145"/>
      <x:c r="AI386" s="145"/>
      <x:c r="AJ386"/>
    </x:row>
    <x:row r="387" ht="30" customHeight="1">
      <x:c r="A387" s="138" t="str">
        <x:v>Draft</x:v>
      </x:c>
      <x:c r="B387" s="138" t="str">
        <x:v>Adapter</x:v>
      </x:c>
      <x:c r="C387" s="138" t="str">
        <x:v>ADP_ST_JIC_M_12_ORB_M_10</x:v>
      </x:c>
      <x:c r="D387" s="138" t="str">
        <x:v>ADP_ST_JIC_M_12_ORB_M_10</x:v>
      </x:c>
      <x:c r="E387" s="138" t="str">
        <x:v>EA</x:v>
      </x:c>
      <x:c r="F387" s="139"/>
      <x:c r="G387" s="141" t="n">
        <x:v>1</x:v>
      </x:c>
      <x:c r="H387" s="141" t="n">
        <x:v>1</x:v>
      </x:c>
      <x:c r="I387" s="143"/>
      <x:c r="J387" s="141" t="n">
        <x:v>10</x:v>
      </x:c>
      <x:c r="K387" s="138" t="str">
        <x:v>China</x:v>
      </x:c>
      <x:c r="L387" t="str">
        <x:v>USD</x:v>
      </x:c>
      <x:c r="M387" s="126"/>
      <x:c r="N387"/>
      <x:c r="O387"/>
      <x:c r="P387" s="145"/>
      <x:c r="Q387" s="126"/>
      <x:c r="R387" s="149" t="n">
        <x:v>4.63</x:v>
      </x:c>
      <x:c r="S387" s="145"/>
      <x:c r="T387" s="145"/>
      <x:c r="U387" s="124"/>
      <x:c r="V387" s="124"/>
      <x:c r="W387" s="124"/>
      <x:c r="X387" s="124"/>
      <x:c r="Y387"/>
      <x:c r="Z387"/>
      <x:c r="AA387" s="116" t="str">
        <x:v>Net unit weight is not supplied in 05. Order-level RFQ minimum: USD 100. Retail source: DHH exact 6400-12-10; direct each price; observed 2026-08-15; https://www.discounthydraulichose.com/6400-jic-37-x-straight-thread-orb.html</x:v>
      </x:c>
      <x:c r="AB387" s="161" t="str">
        <x:v>Eligible</x:v>
      </x:c>
      <x:c r="AC387" s="161" t="str">
        <x:v>Pending</x:v>
      </x:c>
      <x:c r="AD387" t="str">
        <x:v>Units</x:v>
      </x:c>
      <x:c r="AE387" s="145"/>
      <x:c r="AF387" s="145"/>
      <x:c r="AG387" s="145"/>
      <x:c r="AH387" s="145"/>
      <x:c r="AI387" s="145"/>
      <x:c r="AJ387"/>
    </x:row>
    <x:row r="388" ht="30" customHeight="1">
      <x:c r="A388" s="138" t="str">
        <x:v>Draft</x:v>
      </x:c>
      <x:c r="B388" s="138" t="str">
        <x:v>Adapter</x:v>
      </x:c>
      <x:c r="C388" s="138" t="str">
        <x:v>ADP_ST_JIC_M_12_ORB_M_12</x:v>
      </x:c>
      <x:c r="D388" s="138" t="str">
        <x:v>ADP_ST_JIC_M_12_ORB_M_12</x:v>
      </x:c>
      <x:c r="E388" s="138" t="str">
        <x:v>EA</x:v>
      </x:c>
      <x:c r="F388" s="139"/>
      <x:c r="G388" s="141" t="n">
        <x:v>1</x:v>
      </x:c>
      <x:c r="H388" s="141" t="n">
        <x:v>1</x:v>
      </x:c>
      <x:c r="I388" s="143"/>
      <x:c r="J388" s="141" t="n">
        <x:v>10</x:v>
      </x:c>
      <x:c r="K388" s="138" t="str">
        <x:v>China</x:v>
      </x:c>
      <x:c r="L388" t="str">
        <x:v>USD</x:v>
      </x:c>
      <x:c r="M388" s="126"/>
      <x:c r="N388"/>
      <x:c r="O388"/>
      <x:c r="P388" s="145"/>
      <x:c r="Q388" s="126"/>
      <x:c r="R388" s="149" t="n">
        <x:v>3.64</x:v>
      </x:c>
      <x:c r="S388" s="145"/>
      <x:c r="T388" s="145"/>
      <x:c r="U388" s="124"/>
      <x:c r="V388" s="124"/>
      <x:c r="W388" s="124"/>
      <x:c r="X388" s="124"/>
      <x:c r="Y388"/>
      <x:c r="Z388"/>
      <x:c r="AA388" s="116" t="str">
        <x:v>Net unit weight is not supplied in 05. Order-level RFQ minimum: USD 100. Retail source: DHH exact 6400-12-12; direct each price; observed 2026-08-15; https://www.discounthydraulichose.com/6400-jic-37-x-straight-thread-orb.html</x:v>
      </x:c>
      <x:c r="AB388" s="161" t="str">
        <x:v>Eligible</x:v>
      </x:c>
      <x:c r="AC388" s="161" t="str">
        <x:v>Pending</x:v>
      </x:c>
      <x:c r="AD388" t="str">
        <x:v>Units</x:v>
      </x:c>
      <x:c r="AE388" s="145"/>
      <x:c r="AF388" s="145"/>
      <x:c r="AG388" s="145"/>
      <x:c r="AH388" s="145"/>
      <x:c r="AI388" s="145"/>
      <x:c r="AJ388"/>
    </x:row>
    <x:row r="389" ht="30" customHeight="1">
      <x:c r="A389" s="138" t="str">
        <x:v>Draft</x:v>
      </x:c>
      <x:c r="B389" s="138" t="str">
        <x:v>Adapter</x:v>
      </x:c>
      <x:c r="C389" s="138" t="str">
        <x:v>ADP_ST_JIC_M_12_ORB_M_14</x:v>
      </x:c>
      <x:c r="D389" s="138" t="str">
        <x:v>ADP_ST_JIC_M_12_ORB_M_14</x:v>
      </x:c>
      <x:c r="E389" s="138" t="str">
        <x:v>EA</x:v>
      </x:c>
      <x:c r="F389" s="139"/>
      <x:c r="G389" s="141" t="n">
        <x:v>1</x:v>
      </x:c>
      <x:c r="H389" s="141" t="n">
        <x:v>1</x:v>
      </x:c>
      <x:c r="I389" s="143"/>
      <x:c r="J389" s="141" t="n">
        <x:v>10</x:v>
      </x:c>
      <x:c r="K389" s="138" t="str">
        <x:v>China</x:v>
      </x:c>
      <x:c r="L389" t="str">
        <x:v>USD</x:v>
      </x:c>
      <x:c r="M389" s="126"/>
      <x:c r="N389"/>
      <x:c r="O389"/>
      <x:c r="P389" s="145"/>
      <x:c r="Q389" s="126"/>
      <x:c r="R389" s="149" t="n">
        <x:v>8.48</x:v>
      </x:c>
      <x:c r="S389" s="145"/>
      <x:c r="T389" s="145"/>
      <x:c r="U389" s="124"/>
      <x:c r="V389" s="124"/>
      <x:c r="W389" s="124"/>
      <x:c r="X389" s="124"/>
      <x:c r="Y389"/>
      <x:c r="Z389"/>
      <x:c r="AA389" s="116" t="str">
        <x:v>Net unit weight is not supplied in 05. Order-level RFQ minimum: USD 100. Retail source: DHH exact 6400-12-14; direct each price; observed 2026-08-15; https://www.discounthydraulichose.com/6400-jic-37-x-straight-thread-orb.html</x:v>
      </x:c>
      <x:c r="AB389" s="161" t="str">
        <x:v>Eligible</x:v>
      </x:c>
      <x:c r="AC389" s="161" t="str">
        <x:v>Pending</x:v>
      </x:c>
      <x:c r="AD389" t="str">
        <x:v>Units</x:v>
      </x:c>
      <x:c r="AE389" s="145"/>
      <x:c r="AF389" s="145"/>
      <x:c r="AG389" s="145"/>
      <x:c r="AH389" s="145"/>
      <x:c r="AI389" s="145"/>
      <x:c r="AJ389"/>
    </x:row>
    <x:row r="390" ht="30" customHeight="1">
      <x:c r="A390" s="138" t="str">
        <x:v>Draft</x:v>
      </x:c>
      <x:c r="B390" s="138" t="str">
        <x:v>Adapter</x:v>
      </x:c>
      <x:c r="C390" s="138" t="str">
        <x:v>ADP_ST_JIC_M_12_ORB_M_16</x:v>
      </x:c>
      <x:c r="D390" s="138" t="str">
        <x:v>ADP_ST_JIC_M_12_ORB_M_16</x:v>
      </x:c>
      <x:c r="E390" s="138" t="str">
        <x:v>EA</x:v>
      </x:c>
      <x:c r="F390" s="139"/>
      <x:c r="G390" s="141" t="n">
        <x:v>1</x:v>
      </x:c>
      <x:c r="H390" s="141" t="n">
        <x:v>1</x:v>
      </x:c>
      <x:c r="I390" s="143"/>
      <x:c r="J390" s="141" t="n">
        <x:v>10</x:v>
      </x:c>
      <x:c r="K390" s="138" t="str">
        <x:v>China</x:v>
      </x:c>
      <x:c r="L390" t="str">
        <x:v>USD</x:v>
      </x:c>
      <x:c r="M390" s="126"/>
      <x:c r="N390"/>
      <x:c r="O390"/>
      <x:c r="P390" s="145"/>
      <x:c r="Q390" s="126"/>
      <x:c r="R390" s="149" t="n">
        <x:v>6.1</x:v>
      </x:c>
      <x:c r="S390" s="145"/>
      <x:c r="T390" s="145"/>
      <x:c r="U390" s="124"/>
      <x:c r="V390" s="124"/>
      <x:c r="W390" s="124"/>
      <x:c r="X390" s="124"/>
      <x:c r="Y390"/>
      <x:c r="Z390"/>
      <x:c r="AA390" s="116" t="str">
        <x:v>Net unit weight is not supplied in 05. Order-level RFQ minimum: USD 100. Retail source: DHH exact 6400-12-16; direct each price; observed 2026-08-15; https://www.discounthydraulichose.com/6400-jic-37-x-straight-thread-orb.html</x:v>
      </x:c>
      <x:c r="AB390" s="161" t="str">
        <x:v>Eligible</x:v>
      </x:c>
      <x:c r="AC390" s="161" t="str">
        <x:v>Pending</x:v>
      </x:c>
      <x:c r="AD390" t="str">
        <x:v>Units</x:v>
      </x:c>
      <x:c r="AE390" s="145"/>
      <x:c r="AF390" s="145"/>
      <x:c r="AG390" s="145"/>
      <x:c r="AH390" s="145"/>
      <x:c r="AI390" s="145"/>
      <x:c r="AJ390"/>
    </x:row>
    <x:row r="391" ht="30" customHeight="1">
      <x:c r="A391" s="138" t="str">
        <x:v>Draft</x:v>
      </x:c>
      <x:c r="B391" s="138" t="str">
        <x:v>Adapter</x:v>
      </x:c>
      <x:c r="C391" s="138" t="str">
        <x:v>ADP_ST_JIC_M_12_ORB_M_20</x:v>
      </x:c>
      <x:c r="D391" s="138" t="str">
        <x:v>ADP_ST_JIC_M_12_ORB_M_20</x:v>
      </x:c>
      <x:c r="E391" s="138" t="str">
        <x:v>EA</x:v>
      </x:c>
      <x:c r="F391" s="139"/>
      <x:c r="G391" s="141" t="n">
        <x:v>1</x:v>
      </x:c>
      <x:c r="H391" s="141" t="n">
        <x:v>1</x:v>
      </x:c>
      <x:c r="I391" s="143"/>
      <x:c r="J391" s="141" t="n">
        <x:v>10</x:v>
      </x:c>
      <x:c r="K391" s="138" t="str">
        <x:v>China</x:v>
      </x:c>
      <x:c r="L391" t="str">
        <x:v>USD</x:v>
      </x:c>
      <x:c r="M391" s="126"/>
      <x:c r="N391"/>
      <x:c r="O391"/>
      <x:c r="P391" s="145"/>
      <x:c r="Q391" s="126"/>
      <x:c r="R391" s="149" t="n">
        <x:v>10.62</x:v>
      </x:c>
      <x:c r="S391" s="145"/>
      <x:c r="T391" s="145"/>
      <x:c r="U391" s="124"/>
      <x:c r="V391" s="124"/>
      <x:c r="W391" s="124"/>
      <x:c r="X391" s="124"/>
      <x:c r="Y391"/>
      <x:c r="Z391"/>
      <x:c r="AA391" s="116" t="str">
        <x:v>Net unit weight is not supplied in 05. Order-level RFQ minimum: USD 100. Retail source: DHH exact 6400-12-20; direct each price; observed 2026-08-15; https://www.discounthydraulichose.com/6400-jic-37-x-straight-thread-orb.html</x:v>
      </x:c>
      <x:c r="AB391" s="161" t="str">
        <x:v>Eligible</x:v>
      </x:c>
      <x:c r="AC391" s="161" t="str">
        <x:v>Pending</x:v>
      </x:c>
      <x:c r="AD391" t="str">
        <x:v>Units</x:v>
      </x:c>
      <x:c r="AE391" s="145"/>
      <x:c r="AF391" s="145"/>
      <x:c r="AG391" s="145"/>
      <x:c r="AH391" s="145"/>
      <x:c r="AI391" s="145"/>
      <x:c r="AJ391"/>
    </x:row>
    <x:row r="392" ht="30" customHeight="1">
      <x:c r="A392" s="138" t="str">
        <x:v>Draft</x:v>
      </x:c>
      <x:c r="B392" s="138" t="str">
        <x:v>Adapter</x:v>
      </x:c>
      <x:c r="C392" s="138" t="str">
        <x:v>ADP_ST_JIC_M_14_ORB_M_12</x:v>
      </x:c>
      <x:c r="D392" s="138" t="str">
        <x:v>ADP_ST_JIC_M_14_ORB_M_12</x:v>
      </x:c>
      <x:c r="E392" s="138" t="str">
        <x:v>EA</x:v>
      </x:c>
      <x:c r="F392" s="139"/>
      <x:c r="G392" s="141" t="n">
        <x:v>1</x:v>
      </x:c>
      <x:c r="H392" s="141" t="n">
        <x:v>1</x:v>
      </x:c>
      <x:c r="I392" s="143"/>
      <x:c r="J392" s="141" t="n">
        <x:v>10</x:v>
      </x:c>
      <x:c r="K392" s="138" t="str">
        <x:v>China</x:v>
      </x:c>
      <x:c r="L392" t="str">
        <x:v>USD</x:v>
      </x:c>
      <x:c r="M392" s="126"/>
      <x:c r="N392"/>
      <x:c r="O392"/>
      <x:c r="P392" s="145"/>
      <x:c r="Q392" s="126"/>
      <x:c r="R392" s="149" t="n">
        <x:v>9.55</x:v>
      </x:c>
      <x:c r="S392" s="145"/>
      <x:c r="T392" s="145"/>
      <x:c r="U392" s="124"/>
      <x:c r="V392" s="124"/>
      <x:c r="W392" s="124"/>
      <x:c r="X392" s="124"/>
      <x:c r="Y392"/>
      <x:c r="Z392"/>
      <x:c r="AA392" s="116" t="str">
        <x:v>Net unit weight is not supplied in 05. Order-level RFQ minimum: USD 100. Retail source: DHH exact 6400-14-12; direct each price; observed 2026-08-15; https://www.discounthydraulichose.com/6400-jic-37-x-straight-thread-orb.html</x:v>
      </x:c>
      <x:c r="AB392" s="161" t="str">
        <x:v>Eligible</x:v>
      </x:c>
      <x:c r="AC392" s="161" t="str">
        <x:v>Pending</x:v>
      </x:c>
      <x:c r="AD392" t="str">
        <x:v>Units</x:v>
      </x:c>
      <x:c r="AE392" s="145"/>
      <x:c r="AF392" s="145"/>
      <x:c r="AG392" s="145"/>
      <x:c r="AH392" s="145"/>
      <x:c r="AI392" s="145"/>
      <x:c r="AJ392"/>
    </x:row>
    <x:row r="393" ht="30" customHeight="1">
      <x:c r="A393" s="138" t="str">
        <x:v>Draft</x:v>
      </x:c>
      <x:c r="B393" s="138" t="str">
        <x:v>Adapter</x:v>
      </x:c>
      <x:c r="C393" s="138" t="str">
        <x:v>ADP_ST_JIC_M_14_ORB_M_14</x:v>
      </x:c>
      <x:c r="D393" s="138" t="str">
        <x:v>ADP_ST_JIC_M_14_ORB_M_14</x:v>
      </x:c>
      <x:c r="E393" s="138" t="str">
        <x:v>EA</x:v>
      </x:c>
      <x:c r="F393" s="139"/>
      <x:c r="G393" s="141" t="n">
        <x:v>1</x:v>
      </x:c>
      <x:c r="H393" s="141" t="n">
        <x:v>1</x:v>
      </x:c>
      <x:c r="I393" s="143"/>
      <x:c r="J393" s="141" t="n">
        <x:v>10</x:v>
      </x:c>
      <x:c r="K393" s="138" t="str">
        <x:v>China</x:v>
      </x:c>
      <x:c r="L393" t="str">
        <x:v>USD</x:v>
      </x:c>
      <x:c r="M393" s="126"/>
      <x:c r="N393"/>
      <x:c r="O393"/>
      <x:c r="P393" s="145"/>
      <x:c r="Q393" s="126"/>
      <x:c r="R393" s="149" t="n">
        <x:v>7.9</x:v>
      </x:c>
      <x:c r="S393" s="145"/>
      <x:c r="T393" s="145"/>
      <x:c r="U393" s="124"/>
      <x:c r="V393" s="124"/>
      <x:c r="W393" s="124"/>
      <x:c r="X393" s="124"/>
      <x:c r="Y393"/>
      <x:c r="Z393"/>
      <x:c r="AA393" s="116" t="str">
        <x:v>Net unit weight is not supplied in 05. Order-level RFQ minimum: USD 100. Retail source: DHH exact 6400-14-14; direct each price; observed 2026-08-15; https://www.discounthydraulichose.com/6400-jic-37-x-straight-thread-orb.html</x:v>
      </x:c>
      <x:c r="AB393" s="161" t="str">
        <x:v>Eligible</x:v>
      </x:c>
      <x:c r="AC393" s="161" t="str">
        <x:v>Pending</x:v>
      </x:c>
      <x:c r="AD393" t="str">
        <x:v>Units</x:v>
      </x:c>
      <x:c r="AE393" s="145"/>
      <x:c r="AF393" s="145"/>
      <x:c r="AG393" s="145"/>
      <x:c r="AH393" s="145"/>
      <x:c r="AI393" s="145"/>
      <x:c r="AJ393"/>
    </x:row>
    <x:row r="394" ht="30" customHeight="1">
      <x:c r="A394" s="138" t="str">
        <x:v>Draft</x:v>
      </x:c>
      <x:c r="B394" s="138" t="str">
        <x:v>Adapter</x:v>
      </x:c>
      <x:c r="C394" s="138" t="str">
        <x:v>ADP_ST_JIC_M_14_ORB_M_16</x:v>
      </x:c>
      <x:c r="D394" s="138" t="str">
        <x:v>ADP_ST_JIC_M_14_ORB_M_16</x:v>
      </x:c>
      <x:c r="E394" s="138" t="str">
        <x:v>EA</x:v>
      </x:c>
      <x:c r="F394" s="139"/>
      <x:c r="G394" s="141" t="n">
        <x:v>1</x:v>
      </x:c>
      <x:c r="H394" s="141" t="n">
        <x:v>1</x:v>
      </x:c>
      <x:c r="I394" s="143"/>
      <x:c r="J394" s="141" t="n">
        <x:v>10</x:v>
      </x:c>
      <x:c r="K394" s="138" t="str">
        <x:v>China</x:v>
      </x:c>
      <x:c r="L394" t="str">
        <x:v>USD</x:v>
      </x:c>
      <x:c r="M394" s="126"/>
      <x:c r="N394"/>
      <x:c r="O394"/>
      <x:c r="P394" s="145"/>
      <x:c r="Q394" s="126"/>
      <x:c r="R394" s="149" t="n">
        <x:v>13.59</x:v>
      </x:c>
      <x:c r="S394" s="145"/>
      <x:c r="T394" s="145"/>
      <x:c r="U394" s="124"/>
      <x:c r="V394" s="124"/>
      <x:c r="W394" s="124"/>
      <x:c r="X394" s="124"/>
      <x:c r="Y394"/>
      <x:c r="Z394"/>
      <x:c r="AA394" s="116" t="str">
        <x:v>Net unit weight is not supplied in 05. Order-level RFQ minimum: USD 100. Retail source: DHH exact 6400-14-16; direct each price; observed 2026-08-15; https://www.discounthydraulichose.com/6400-jic-37-x-straight-thread-orb.html</x:v>
      </x:c>
      <x:c r="AB394" s="161" t="str">
        <x:v>Eligible</x:v>
      </x:c>
      <x:c r="AC394" s="161" t="str">
        <x:v>Pending</x:v>
      </x:c>
      <x:c r="AD394" t="str">
        <x:v>Units</x:v>
      </x:c>
      <x:c r="AE394" s="145"/>
      <x:c r="AF394" s="145"/>
      <x:c r="AG394" s="145"/>
      <x:c r="AH394" s="145"/>
      <x:c r="AI394" s="145"/>
      <x:c r="AJ394"/>
    </x:row>
    <x:row r="395" ht="30" customHeight="1">
      <x:c r="A395" s="138" t="str">
        <x:v>Draft</x:v>
      </x:c>
      <x:c r="B395" s="138" t="str">
        <x:v>Adapter</x:v>
      </x:c>
      <x:c r="C395" s="138" t="str">
        <x:v>ADP_ST_JIC_M_16_ORB_M_08</x:v>
      </x:c>
      <x:c r="D395" s="138" t="str">
        <x:v>ADP_ST_JIC_M_16_ORB_M_08</x:v>
      </x:c>
      <x:c r="E395" s="138" t="str">
        <x:v>EA</x:v>
      </x:c>
      <x:c r="F395" s="139"/>
      <x:c r="G395" s="141" t="n">
        <x:v>1</x:v>
      </x:c>
      <x:c r="H395" s="141" t="n">
        <x:v>1</x:v>
      </x:c>
      <x:c r="I395" s="143"/>
      <x:c r="J395" s="141" t="n">
        <x:v>10</x:v>
      </x:c>
      <x:c r="K395" s="138" t="str">
        <x:v>China</x:v>
      </x:c>
      <x:c r="L395" t="str">
        <x:v>USD</x:v>
      </x:c>
      <x:c r="M395" s="126"/>
      <x:c r="N395"/>
      <x:c r="O395"/>
      <x:c r="P395" s="145"/>
      <x:c r="Q395" s="126"/>
      <x:c r="R395" s="149" t="n">
        <x:v>11.12</x:v>
      </x:c>
      <x:c r="S395" s="145"/>
      <x:c r="T395" s="145"/>
      <x:c r="U395" s="124"/>
      <x:c r="V395" s="124"/>
      <x:c r="W395" s="124"/>
      <x:c r="X395" s="124"/>
      <x:c r="Y395"/>
      <x:c r="Z395"/>
      <x:c r="AA395" s="116" t="str">
        <x:v>Net unit weight is not supplied in 05. Order-level RFQ minimum: USD 100. Retail source: DHH exact 6400-16-08; direct each price; observed 2026-08-15; https://www.discounthydraulichose.com/6400-jic-37-x-straight-thread-orb.html</x:v>
      </x:c>
      <x:c r="AB395" s="161" t="str">
        <x:v>Eligible</x:v>
      </x:c>
      <x:c r="AC395" s="161" t="str">
        <x:v>Pending</x:v>
      </x:c>
      <x:c r="AD395" t="str">
        <x:v>Units</x:v>
      </x:c>
      <x:c r="AE395" s="145"/>
      <x:c r="AF395" s="145"/>
      <x:c r="AG395" s="145"/>
      <x:c r="AH395" s="145"/>
      <x:c r="AI395" s="145"/>
      <x:c r="AJ395"/>
    </x:row>
    <x:row r="396" ht="30" customHeight="1">
      <x:c r="A396" s="138" t="str">
        <x:v>Draft</x:v>
      </x:c>
      <x:c r="B396" s="138" t="str">
        <x:v>Adapter</x:v>
      </x:c>
      <x:c r="C396" s="138" t="str">
        <x:v>ADP_ST_JIC_M_16_ORB_M_10</x:v>
      </x:c>
      <x:c r="D396" s="138" t="str">
        <x:v>ADP_ST_JIC_M_16_ORB_M_10</x:v>
      </x:c>
      <x:c r="E396" s="138" t="str">
        <x:v>EA</x:v>
      </x:c>
      <x:c r="F396" s="139"/>
      <x:c r="G396" s="141" t="n">
        <x:v>1</x:v>
      </x:c>
      <x:c r="H396" s="141" t="n">
        <x:v>1</x:v>
      </x:c>
      <x:c r="I396" s="143"/>
      <x:c r="J396" s="141" t="n">
        <x:v>10</x:v>
      </x:c>
      <x:c r="K396" s="138" t="str">
        <x:v>China</x:v>
      </x:c>
      <x:c r="L396" t="str">
        <x:v>USD</x:v>
      </x:c>
      <x:c r="M396" s="126"/>
      <x:c r="N396"/>
      <x:c r="O396"/>
      <x:c r="P396" s="145"/>
      <x:c r="Q396" s="126"/>
      <x:c r="R396" s="149" t="n">
        <x:v>12.14</x:v>
      </x:c>
      <x:c r="S396" s="145"/>
      <x:c r="T396" s="145"/>
      <x:c r="U396" s="124"/>
      <x:c r="V396" s="124"/>
      <x:c r="W396" s="124"/>
      <x:c r="X396" s="124"/>
      <x:c r="Y396"/>
      <x:c r="Z396"/>
      <x:c r="AA396" s="116" t="str">
        <x:v>Net unit weight is not supplied in 05. Order-level RFQ minimum: USD 100. Retail source: DHH exact 6400-16-10; direct each price; observed 2026-08-15; https://www.discounthydraulichose.com/6400-jic-37-x-straight-thread-orb.html</x:v>
      </x:c>
      <x:c r="AB396" s="161" t="str">
        <x:v>Eligible</x:v>
      </x:c>
      <x:c r="AC396" s="161" t="str">
        <x:v>Pending</x:v>
      </x:c>
      <x:c r="AD396" t="str">
        <x:v>Units</x:v>
      </x:c>
      <x:c r="AE396" s="145"/>
      <x:c r="AF396" s="145"/>
      <x:c r="AG396" s="145"/>
      <x:c r="AH396" s="145"/>
      <x:c r="AI396" s="145"/>
      <x:c r="AJ396"/>
    </x:row>
    <x:row r="397" ht="30" customHeight="1">
      <x:c r="A397" s="138" t="str">
        <x:v>Draft</x:v>
      </x:c>
      <x:c r="B397" s="138" t="str">
        <x:v>Adapter</x:v>
      </x:c>
      <x:c r="C397" s="138" t="str">
        <x:v>ADP_ST_JIC_M_16_ORB_M_12</x:v>
      </x:c>
      <x:c r="D397" s="138" t="str">
        <x:v>ADP_ST_JIC_M_16_ORB_M_12</x:v>
      </x:c>
      <x:c r="E397" s="138" t="str">
        <x:v>EA</x:v>
      </x:c>
      <x:c r="F397" s="139"/>
      <x:c r="G397" s="141" t="n">
        <x:v>1</x:v>
      </x:c>
      <x:c r="H397" s="141" t="n">
        <x:v>1</x:v>
      </x:c>
      <x:c r="I397" s="143"/>
      <x:c r="J397" s="141" t="n">
        <x:v>10</x:v>
      </x:c>
      <x:c r="K397" s="138" t="str">
        <x:v>China</x:v>
      </x:c>
      <x:c r="L397" t="str">
        <x:v>USD</x:v>
      </x:c>
      <x:c r="M397" s="126"/>
      <x:c r="N397"/>
      <x:c r="O397"/>
      <x:c r="P397" s="145"/>
      <x:c r="Q397" s="126"/>
      <x:c r="R397" s="149" t="n">
        <x:v>5.73</x:v>
      </x:c>
      <x:c r="S397" s="145"/>
      <x:c r="T397" s="145"/>
      <x:c r="U397" s="124"/>
      <x:c r="V397" s="124"/>
      <x:c r="W397" s="124"/>
      <x:c r="X397" s="124"/>
      <x:c r="Y397"/>
      <x:c r="Z397"/>
      <x:c r="AA397" s="116" t="str">
        <x:v>Net unit weight is not supplied in 05. Order-level RFQ minimum: USD 100. Retail source: DHH exact 6400-16-12; direct each price; observed 2026-08-15; https://www.discounthydraulichose.com/6400-jic-37-x-straight-thread-orb.html</x:v>
      </x:c>
      <x:c r="AB397" s="161" t="str">
        <x:v>Eligible</x:v>
      </x:c>
      <x:c r="AC397" s="161" t="str">
        <x:v>Pending</x:v>
      </x:c>
      <x:c r="AD397" t="str">
        <x:v>Units</x:v>
      </x:c>
      <x:c r="AE397" s="145"/>
      <x:c r="AF397" s="145"/>
      <x:c r="AG397" s="145"/>
      <x:c r="AH397" s="145"/>
      <x:c r="AI397" s="145"/>
      <x:c r="AJ397"/>
    </x:row>
    <x:row r="398" ht="30" customHeight="1">
      <x:c r="A398" s="138" t="str">
        <x:v>Draft</x:v>
      </x:c>
      <x:c r="B398" s="138" t="str">
        <x:v>Adapter</x:v>
      </x:c>
      <x:c r="C398" s="138" t="str">
        <x:v>ADP_ST_JIC_M_16_ORB_M_14</x:v>
      </x:c>
      <x:c r="D398" s="138" t="str">
        <x:v>ADP_ST_JIC_M_16_ORB_M_14</x:v>
      </x:c>
      <x:c r="E398" s="138" t="str">
        <x:v>EA</x:v>
      </x:c>
      <x:c r="F398" s="139"/>
      <x:c r="G398" s="141" t="n">
        <x:v>1</x:v>
      </x:c>
      <x:c r="H398" s="141" t="n">
        <x:v>1</x:v>
      </x:c>
      <x:c r="I398" s="143"/>
      <x:c r="J398" s="141" t="n">
        <x:v>10</x:v>
      </x:c>
      <x:c r="K398" s="138" t="str">
        <x:v>China</x:v>
      </x:c>
      <x:c r="L398" t="str">
        <x:v>USD</x:v>
      </x:c>
      <x:c r="M398" s="126"/>
      <x:c r="N398"/>
      <x:c r="O398"/>
      <x:c r="P398" s="145"/>
      <x:c r="Q398" s="126"/>
      <x:c r="R398" s="149" t="n">
        <x:v>12.18</x:v>
      </x:c>
      <x:c r="S398" s="145"/>
      <x:c r="T398" s="145"/>
      <x:c r="U398" s="124"/>
      <x:c r="V398" s="124"/>
      <x:c r="W398" s="124"/>
      <x:c r="X398" s="124"/>
      <x:c r="Y398"/>
      <x:c r="Z398"/>
      <x:c r="AA398" s="116" t="str">
        <x:v>Net unit weight is not supplied in 05. Order-level RFQ minimum: USD 100. Retail source: DHH exact 6400-16-14; direct each price; observed 2026-08-15; https://www.discounthydraulichose.com/6400-jic-37-x-straight-thread-orb.html</x:v>
      </x:c>
      <x:c r="AB398" s="161" t="str">
        <x:v>Eligible</x:v>
      </x:c>
      <x:c r="AC398" s="161" t="str">
        <x:v>Pending</x:v>
      </x:c>
      <x:c r="AD398" t="str">
        <x:v>Units</x:v>
      </x:c>
      <x:c r="AE398" s="145"/>
      <x:c r="AF398" s="145"/>
      <x:c r="AG398" s="145"/>
      <x:c r="AH398" s="145"/>
      <x:c r="AI398" s="145"/>
      <x:c r="AJ398"/>
    </x:row>
    <x:row r="399" ht="30" customHeight="1">
      <x:c r="A399" s="138" t="str">
        <x:v>Draft</x:v>
      </x:c>
      <x:c r="B399" s="138" t="str">
        <x:v>Adapter</x:v>
      </x:c>
      <x:c r="C399" s="138" t="str">
        <x:v>ADP_ST_JIC_M_16_ORB_M_16</x:v>
      </x:c>
      <x:c r="D399" s="138" t="str">
        <x:v>ADP_ST_JIC_M_16_ORB_M_16</x:v>
      </x:c>
      <x:c r="E399" s="138" t="str">
        <x:v>EA</x:v>
      </x:c>
      <x:c r="F399" s="139"/>
      <x:c r="G399" s="141" t="n">
        <x:v>1</x:v>
      </x:c>
      <x:c r="H399" s="141" t="n">
        <x:v>1</x:v>
      </x:c>
      <x:c r="I399" s="143"/>
      <x:c r="J399" s="141" t="n">
        <x:v>10</x:v>
      </x:c>
      <x:c r="K399" s="138" t="str">
        <x:v>China</x:v>
      </x:c>
      <x:c r="L399" t="str">
        <x:v>USD</x:v>
      </x:c>
      <x:c r="M399" s="126"/>
      <x:c r="N399"/>
      <x:c r="O399"/>
      <x:c r="P399" s="145"/>
      <x:c r="Q399" s="126"/>
      <x:c r="R399" s="149" t="n">
        <x:v>14.03</x:v>
      </x:c>
      <x:c r="S399" s="145"/>
      <x:c r="T399" s="145"/>
      <x:c r="U399" s="124"/>
      <x:c r="V399" s="124"/>
      <x:c r="W399" s="124"/>
      <x:c r="X399" s="124"/>
      <x:c r="Y399"/>
      <x:c r="Z399"/>
      <x:c r="AA399" s="116" t="str">
        <x:v>Net unit weight is not supplied in 05. Order-level RFQ minimum: USD 100. Retail source: DHH exact 6400-16-16; direct each price; observed 2026-08-15; https://www.discounthydraulichose.com/6400-jic-37-x-straight-thread-orb.html</x:v>
      </x:c>
      <x:c r="AB399" s="161" t="str">
        <x:v>Eligible</x:v>
      </x:c>
      <x:c r="AC399" s="161" t="str">
        <x:v>Pending</x:v>
      </x:c>
      <x:c r="AD399" t="str">
        <x:v>Units</x:v>
      </x:c>
      <x:c r="AE399" s="145"/>
      <x:c r="AF399" s="145"/>
      <x:c r="AG399" s="145"/>
      <x:c r="AH399" s="145"/>
      <x:c r="AI399" s="145"/>
      <x:c r="AJ399"/>
    </x:row>
    <x:row r="400" ht="30" customHeight="1">
      <x:c r="A400" s="138" t="str">
        <x:v>Draft</x:v>
      </x:c>
      <x:c r="B400" s="138" t="str">
        <x:v>Adapter</x:v>
      </x:c>
      <x:c r="C400" s="138" t="str">
        <x:v>ADP_ST_JIC_M_16_ORB_M_20</x:v>
      </x:c>
      <x:c r="D400" s="138" t="str">
        <x:v>ADP_ST_JIC_M_16_ORB_M_20</x:v>
      </x:c>
      <x:c r="E400" s="138" t="str">
        <x:v>EA</x:v>
      </x:c>
      <x:c r="F400" s="139"/>
      <x:c r="G400" s="141" t="n">
        <x:v>1</x:v>
      </x:c>
      <x:c r="H400" s="141" t="n">
        <x:v>1</x:v>
      </x:c>
      <x:c r="I400" s="143"/>
      <x:c r="J400" s="141" t="n">
        <x:v>10</x:v>
      </x:c>
      <x:c r="K400" s="138" t="str">
        <x:v>China</x:v>
      </x:c>
      <x:c r="L400" t="str">
        <x:v>USD</x:v>
      </x:c>
      <x:c r="M400" s="126"/>
      <x:c r="N400"/>
      <x:c r="O400"/>
      <x:c r="P400" s="145"/>
      <x:c r="Q400" s="126"/>
      <x:c r="R400" s="149" t="n">
        <x:v>13.61</x:v>
      </x:c>
      <x:c r="S400" s="145"/>
      <x:c r="T400" s="145"/>
      <x:c r="U400" s="124"/>
      <x:c r="V400" s="124"/>
      <x:c r="W400" s="124"/>
      <x:c r="X400" s="124"/>
      <x:c r="Y400"/>
      <x:c r="Z400"/>
      <x:c r="AA400" s="116" t="str">
        <x:v>Net unit weight is not supplied in 05. Order-level RFQ minimum: USD 100. Retail source: DHH exact 6400-16-20; direct each price; observed 2026-08-15; https://www.discounthydraulichose.com/6400-jic-37-x-straight-thread-orb.html</x:v>
      </x:c>
      <x:c r="AB400" s="161" t="str">
        <x:v>Eligible</x:v>
      </x:c>
      <x:c r="AC400" s="161" t="str">
        <x:v>Pending</x:v>
      </x:c>
      <x:c r="AD400" t="str">
        <x:v>Units</x:v>
      </x:c>
      <x:c r="AE400" s="145"/>
      <x:c r="AF400" s="145"/>
      <x:c r="AG400" s="145"/>
      <x:c r="AH400" s="145"/>
      <x:c r="AI400" s="145"/>
      <x:c r="AJ400"/>
    </x:row>
    <x:row r="401" ht="30" customHeight="1">
      <x:c r="A401" s="138" t="str">
        <x:v>Draft</x:v>
      </x:c>
      <x:c r="B401" s="138" t="str">
        <x:v>Adapter</x:v>
      </x:c>
      <x:c r="C401" s="138" t="str">
        <x:v>ADP_ST_JIC_M_16_ORB_M_24</x:v>
      </x:c>
      <x:c r="D401" s="138" t="str">
        <x:v>ADP_ST_JIC_M_16_ORB_M_24</x:v>
      </x:c>
      <x:c r="E401" s="138" t="str">
        <x:v>EA</x:v>
      </x:c>
      <x:c r="F401" s="139"/>
      <x:c r="G401" s="141" t="n">
        <x:v>1</x:v>
      </x:c>
      <x:c r="H401" s="141" t="n">
        <x:v>1</x:v>
      </x:c>
      <x:c r="I401" s="143"/>
      <x:c r="J401" s="141" t="n">
        <x:v>10</x:v>
      </x:c>
      <x:c r="K401" s="138" t="str">
        <x:v>China</x:v>
      </x:c>
      <x:c r="L401" t="str">
        <x:v>USD</x:v>
      </x:c>
      <x:c r="M401" s="126"/>
      <x:c r="N401"/>
      <x:c r="O401"/>
      <x:c r="P401" s="145"/>
      <x:c r="Q401" s="126"/>
      <x:c r="R401" s="149" t="n">
        <x:v>33.69</x:v>
      </x:c>
      <x:c r="S401" s="145"/>
      <x:c r="T401" s="145"/>
      <x:c r="U401" s="124"/>
      <x:c r="V401" s="124"/>
      <x:c r="W401" s="124"/>
      <x:c r="X401" s="124"/>
      <x:c r="Y401"/>
      <x:c r="Z401"/>
      <x:c r="AA401" s="116" t="str">
        <x:v>Net unit weight is not supplied in 05. Order-level RFQ minimum: USD 100. Retail source: DHH exact 6400-16-24; direct each price; observed 2026-08-15; https://www.discounthydraulichose.com/6400-jic-37-x-straight-thread-orb.html</x:v>
      </x:c>
      <x:c r="AB401" s="161" t="str">
        <x:v>Eligible</x:v>
      </x:c>
      <x:c r="AC401" s="161" t="str">
        <x:v>Pending</x:v>
      </x:c>
      <x:c r="AD401" t="str">
        <x:v>Units</x:v>
      </x:c>
      <x:c r="AE401" s="145"/>
      <x:c r="AF401" s="145"/>
      <x:c r="AG401" s="145"/>
      <x:c r="AH401" s="145"/>
      <x:c r="AI401" s="145"/>
      <x:c r="AJ401"/>
    </x:row>
    <x:row r="402" ht="30" customHeight="1">
      <x:c r="A402" s="138" t="str">
        <x:v>Draft</x:v>
      </x:c>
      <x:c r="B402" s="138" t="str">
        <x:v>Adapter</x:v>
      </x:c>
      <x:c r="C402" s="138" t="str">
        <x:v>ADP_ST_JIC_M_20_ORB_M_10</x:v>
      </x:c>
      <x:c r="D402" s="138" t="str">
        <x:v>ADP_ST_JIC_M_20_ORB_M_10</x:v>
      </x:c>
      <x:c r="E402" s="138" t="str">
        <x:v>EA</x:v>
      </x:c>
      <x:c r="F402" s="139"/>
      <x:c r="G402" s="141" t="n">
        <x:v>1</x:v>
      </x:c>
      <x:c r="H402" s="141" t="n">
        <x:v>1</x:v>
      </x:c>
      <x:c r="I402" s="143"/>
      <x:c r="J402" s="141" t="n">
        <x:v>10</x:v>
      </x:c>
      <x:c r="K402" s="138" t="str">
        <x:v>China</x:v>
      </x:c>
      <x:c r="L402" t="str">
        <x:v>USD</x:v>
      </x:c>
      <x:c r="M402" s="126"/>
      <x:c r="N402"/>
      <x:c r="O402"/>
      <x:c r="P402" s="145"/>
      <x:c r="Q402" s="126"/>
      <x:c r="R402" s="149" t="n">
        <x:v>22.43</x:v>
      </x:c>
      <x:c r="S402" s="145"/>
      <x:c r="T402" s="145"/>
      <x:c r="U402" s="124"/>
      <x:c r="V402" s="124"/>
      <x:c r="W402" s="124"/>
      <x:c r="X402" s="124"/>
      <x:c r="Y402"/>
      <x:c r="Z402"/>
      <x:c r="AA402" s="116" t="str">
        <x:v>Net unit weight is not supplied in 05. Order-level RFQ minimum: USD 100. Retail source: DHH exact 6400-20-10; direct each price; observed 2026-08-15; https://www.discounthydraulichose.com/6400-jic-37-x-straight-thread-orb.html</x:v>
      </x:c>
      <x:c r="AB402" s="161" t="str">
        <x:v>Eligible</x:v>
      </x:c>
      <x:c r="AC402" s="161" t="str">
        <x:v>Pending</x:v>
      </x:c>
      <x:c r="AD402" t="str">
        <x:v>Units</x:v>
      </x:c>
      <x:c r="AE402" s="145"/>
      <x:c r="AF402" s="145"/>
      <x:c r="AG402" s="145"/>
      <x:c r="AH402" s="145"/>
      <x:c r="AI402" s="145"/>
      <x:c r="AJ402"/>
    </x:row>
    <x:row r="403" ht="30" customHeight="1">
      <x:c r="A403" s="138" t="str">
        <x:v>Draft</x:v>
      </x:c>
      <x:c r="B403" s="138" t="str">
        <x:v>Adapter</x:v>
      </x:c>
      <x:c r="C403" s="138" t="str">
        <x:v>ADP_ST_JIC_M_20_ORB_M_12</x:v>
      </x:c>
      <x:c r="D403" s="138" t="str">
        <x:v>ADP_ST_JIC_M_20_ORB_M_12</x:v>
      </x:c>
      <x:c r="E403" s="138" t="str">
        <x:v>EA</x:v>
      </x:c>
      <x:c r="F403" s="139"/>
      <x:c r="G403" s="141" t="n">
        <x:v>1</x:v>
      </x:c>
      <x:c r="H403" s="141" t="n">
        <x:v>1</x:v>
      </x:c>
      <x:c r="I403" s="143"/>
      <x:c r="J403" s="141" t="n">
        <x:v>10</x:v>
      </x:c>
      <x:c r="K403" s="138" t="str">
        <x:v>China</x:v>
      </x:c>
      <x:c r="L403" t="str">
        <x:v>USD</x:v>
      </x:c>
      <x:c r="M403" s="126"/>
      <x:c r="N403"/>
      <x:c r="O403"/>
      <x:c r="P403" s="145"/>
      <x:c r="Q403" s="126"/>
      <x:c r="R403" s="149" t="n">
        <x:v>22.01</x:v>
      </x:c>
      <x:c r="S403" s="145"/>
      <x:c r="T403" s="145"/>
      <x:c r="U403" s="124"/>
      <x:c r="V403" s="124"/>
      <x:c r="W403" s="124"/>
      <x:c r="X403" s="124"/>
      <x:c r="Y403"/>
      <x:c r="Z403"/>
      <x:c r="AA403" s="116" t="str">
        <x:v>Net unit weight is not supplied in 05. Order-level RFQ minimum: USD 100. Retail source: DHH exact 6400-20-12; direct each price; observed 2026-08-15; https://www.discounthydraulichose.com/6400-jic-37-x-straight-thread-orb.html</x:v>
      </x:c>
      <x:c r="AB403" s="161" t="str">
        <x:v>Eligible</x:v>
      </x:c>
      <x:c r="AC403" s="161" t="str">
        <x:v>Pending</x:v>
      </x:c>
      <x:c r="AD403" t="str">
        <x:v>Units</x:v>
      </x:c>
      <x:c r="AE403" s="145"/>
      <x:c r="AF403" s="145"/>
      <x:c r="AG403" s="145"/>
      <x:c r="AH403" s="145"/>
      <x:c r="AI403" s="145"/>
      <x:c r="AJ403"/>
    </x:row>
    <x:row r="404" ht="30" customHeight="1">
      <x:c r="A404" s="138" t="str">
        <x:v>Draft</x:v>
      </x:c>
      <x:c r="B404" s="138" t="str">
        <x:v>Adapter</x:v>
      </x:c>
      <x:c r="C404" s="138" t="str">
        <x:v>ADP_ST_JIC_M_20_ORB_M_16</x:v>
      </x:c>
      <x:c r="D404" s="138" t="str">
        <x:v>ADP_ST_JIC_M_20_ORB_M_16</x:v>
      </x:c>
      <x:c r="E404" s="138" t="str">
        <x:v>EA</x:v>
      </x:c>
      <x:c r="F404" s="139"/>
      <x:c r="G404" s="141" t="n">
        <x:v>1</x:v>
      </x:c>
      <x:c r="H404" s="141" t="n">
        <x:v>1</x:v>
      </x:c>
      <x:c r="I404" s="143"/>
      <x:c r="J404" s="141" t="n">
        <x:v>10</x:v>
      </x:c>
      <x:c r="K404" s="138" t="str">
        <x:v>China</x:v>
      </x:c>
      <x:c r="L404" t="str">
        <x:v>USD</x:v>
      </x:c>
      <x:c r="M404" s="126"/>
      <x:c r="N404"/>
      <x:c r="O404"/>
      <x:c r="P404" s="145"/>
      <x:c r="Q404" s="126"/>
      <x:c r="R404" s="149" t="n">
        <x:v>8.34</x:v>
      </x:c>
      <x:c r="S404" s="145"/>
      <x:c r="T404" s="145"/>
      <x:c r="U404" s="124"/>
      <x:c r="V404" s="124"/>
      <x:c r="W404" s="124"/>
      <x:c r="X404" s="124"/>
      <x:c r="Y404"/>
      <x:c r="Z404"/>
      <x:c r="AA404" s="116" t="str">
        <x:v>Net unit weight is not supplied in 05. Order-level RFQ minimum: USD 100. Retail source: DHH exact 6400-20-16; direct each price; observed 2026-08-15; https://www.discounthydraulichose.com/6400-jic-37-x-straight-thread-orb.html</x:v>
      </x:c>
      <x:c r="AB404" s="161" t="str">
        <x:v>Eligible</x:v>
      </x:c>
      <x:c r="AC404" s="161" t="str">
        <x:v>Pending</x:v>
      </x:c>
      <x:c r="AD404" t="str">
        <x:v>Units</x:v>
      </x:c>
      <x:c r="AE404" s="145"/>
      <x:c r="AF404" s="145"/>
      <x:c r="AG404" s="145"/>
      <x:c r="AH404" s="145"/>
      <x:c r="AI404" s="145"/>
      <x:c r="AJ404"/>
    </x:row>
    <x:row r="405" ht="30" customHeight="1">
      <x:c r="A405" s="138" t="str">
        <x:v>Draft</x:v>
      </x:c>
      <x:c r="B405" s="138" t="str">
        <x:v>Adapter</x:v>
      </x:c>
      <x:c r="C405" s="138" t="str">
        <x:v>ADP_ST_JIC_M_20_ORB_M_20</x:v>
      </x:c>
      <x:c r="D405" s="138" t="str">
        <x:v>ADP_ST_JIC_M_20_ORB_M_20</x:v>
      </x:c>
      <x:c r="E405" s="138" t="str">
        <x:v>EA</x:v>
      </x:c>
      <x:c r="F405" s="139"/>
      <x:c r="G405" s="141" t="n">
        <x:v>1</x:v>
      </x:c>
      <x:c r="H405" s="141" t="n">
        <x:v>1</x:v>
      </x:c>
      <x:c r="I405" s="143"/>
      <x:c r="J405" s="141" t="n">
        <x:v>10</x:v>
      </x:c>
      <x:c r="K405" s="138" t="str">
        <x:v>China</x:v>
      </x:c>
      <x:c r="L405" t="str">
        <x:v>USD</x:v>
      </x:c>
      <x:c r="M405" s="126"/>
      <x:c r="N405"/>
      <x:c r="O405"/>
      <x:c r="P405" s="145"/>
      <x:c r="Q405" s="126"/>
      <x:c r="R405" s="149" t="n">
        <x:v>9.14</x:v>
      </x:c>
      <x:c r="S405" s="145"/>
      <x:c r="T405" s="145"/>
      <x:c r="U405" s="124"/>
      <x:c r="V405" s="124"/>
      <x:c r="W405" s="124"/>
      <x:c r="X405" s="124"/>
      <x:c r="Y405"/>
      <x:c r="Z405"/>
      <x:c r="AA405" s="116" t="str">
        <x:v>Net unit weight is not supplied in 05. Order-level RFQ minimum: USD 100. Retail source: DHH exact 6400-20-20; direct each price; observed 2026-08-15; https://www.discounthydraulichose.com/6400-jic-37-x-straight-thread-orb.html</x:v>
      </x:c>
      <x:c r="AB405" s="161" t="str">
        <x:v>Eligible</x:v>
      </x:c>
      <x:c r="AC405" s="161" t="str">
        <x:v>Pending</x:v>
      </x:c>
      <x:c r="AD405" t="str">
        <x:v>Units</x:v>
      </x:c>
      <x:c r="AE405" s="145"/>
      <x:c r="AF405" s="145"/>
      <x:c r="AG405" s="145"/>
      <x:c r="AH405" s="145"/>
      <x:c r="AI405" s="145"/>
      <x:c r="AJ405"/>
    </x:row>
    <x:row r="406" ht="30" customHeight="1">
      <x:c r="A406" s="138" t="str">
        <x:v>Draft</x:v>
      </x:c>
      <x:c r="B406" s="138" t="str">
        <x:v>Adapter</x:v>
      </x:c>
      <x:c r="C406" s="138" t="str">
        <x:v>ADP_ST_JIC_M_20_ORB_M_24</x:v>
      </x:c>
      <x:c r="D406" s="138" t="str">
        <x:v>ADP_ST_JIC_M_20_ORB_M_24</x:v>
      </x:c>
      <x:c r="E406" s="138" t="str">
        <x:v>EA</x:v>
      </x:c>
      <x:c r="F406" s="139"/>
      <x:c r="G406" s="141" t="n">
        <x:v>1</x:v>
      </x:c>
      <x:c r="H406" s="141" t="n">
        <x:v>1</x:v>
      </x:c>
      <x:c r="I406" s="143"/>
      <x:c r="J406" s="141" t="n">
        <x:v>10</x:v>
      </x:c>
      <x:c r="K406" s="138" t="str">
        <x:v>China</x:v>
      </x:c>
      <x:c r="L406" t="str">
        <x:v>USD</x:v>
      </x:c>
      <x:c r="M406" s="126"/>
      <x:c r="N406"/>
      <x:c r="O406"/>
      <x:c r="P406" s="145"/>
      <x:c r="Q406" s="126"/>
      <x:c r="R406" s="149" t="n">
        <x:v>17.77</x:v>
      </x:c>
      <x:c r="S406" s="145"/>
      <x:c r="T406" s="145"/>
      <x:c r="U406" s="124"/>
      <x:c r="V406" s="124"/>
      <x:c r="W406" s="124"/>
      <x:c r="X406" s="124"/>
      <x:c r="Y406"/>
      <x:c r="Z406"/>
      <x:c r="AA406" s="116" t="str">
        <x:v>Net unit weight is not supplied in 05. Order-level RFQ minimum: USD 100. Retail source: DHH exact 6400-20-24; direct each price; observed 2026-08-15; https://www.discounthydraulichose.com/6400-jic-37-x-straight-thread-orb.html</x:v>
      </x:c>
      <x:c r="AB406" s="161" t="str">
        <x:v>Eligible</x:v>
      </x:c>
      <x:c r="AC406" s="161" t="str">
        <x:v>Pending</x:v>
      </x:c>
      <x:c r="AD406" t="str">
        <x:v>Units</x:v>
      </x:c>
      <x:c r="AE406" s="145"/>
      <x:c r="AF406" s="145"/>
      <x:c r="AG406" s="145"/>
      <x:c r="AH406" s="145"/>
      <x:c r="AI406" s="145"/>
      <x:c r="AJ406"/>
    </x:row>
    <x:row r="407" ht="30" customHeight="1">
      <x:c r="A407" s="138" t="str">
        <x:v>Draft</x:v>
      </x:c>
      <x:c r="B407" s="138" t="str">
        <x:v>Adapter</x:v>
      </x:c>
      <x:c r="C407" s="138" t="str">
        <x:v>ADP_ST_JIC_M_24_ORB_M_16</x:v>
      </x:c>
      <x:c r="D407" s="138" t="str">
        <x:v>ADP_ST_JIC_M_24_ORB_M_16</x:v>
      </x:c>
      <x:c r="E407" s="138" t="str">
        <x:v>EA</x:v>
      </x:c>
      <x:c r="F407" s="139"/>
      <x:c r="G407" s="141" t="n">
        <x:v>1</x:v>
      </x:c>
      <x:c r="H407" s="141" t="n">
        <x:v>1</x:v>
      </x:c>
      <x:c r="I407" s="143"/>
      <x:c r="J407" s="141" t="n">
        <x:v>10</x:v>
      </x:c>
      <x:c r="K407" s="138" t="str">
        <x:v>China</x:v>
      </x:c>
      <x:c r="L407" t="str">
        <x:v>USD</x:v>
      </x:c>
      <x:c r="M407" s="126"/>
      <x:c r="N407"/>
      <x:c r="O407"/>
      <x:c r="P407" s="145"/>
      <x:c r="Q407" s="126"/>
      <x:c r="R407" s="149" t="n">
        <x:v>92.55</x:v>
      </x:c>
      <x:c r="S407" s="145"/>
      <x:c r="T407" s="145"/>
      <x:c r="U407" s="124"/>
      <x:c r="V407" s="124"/>
      <x:c r="W407" s="124"/>
      <x:c r="X407" s="124"/>
      <x:c r="Y407"/>
      <x:c r="Z407"/>
      <x:c r="AA407" s="116" t="str">
        <x:v>Net unit weight is not supplied in 05. Order-level RFQ minimum: USD 100. Retail source: DHH exact 6400-24-16; direct each price; observed 2026-08-15; https://www.discounthydraulichose.com/6400-jic-37-x-straight-thread-orb.html</x:v>
      </x:c>
      <x:c r="AB407" s="161" t="str">
        <x:v>Eligible</x:v>
      </x:c>
      <x:c r="AC407" s="161" t="str">
        <x:v>Pending</x:v>
      </x:c>
      <x:c r="AD407" t="str">
        <x:v>Units</x:v>
      </x:c>
      <x:c r="AE407" s="145"/>
      <x:c r="AF407" s="145"/>
      <x:c r="AG407" s="145"/>
      <x:c r="AH407" s="145"/>
      <x:c r="AI407" s="145"/>
      <x:c r="AJ407"/>
    </x:row>
    <x:row r="408" ht="30" customHeight="1">
      <x:c r="A408" s="138" t="str">
        <x:v>Draft</x:v>
      </x:c>
      <x:c r="B408" s="138" t="str">
        <x:v>Adapter</x:v>
      </x:c>
      <x:c r="C408" s="138" t="str">
        <x:v>ADP_ST_JIC_M_24_ORB_M_20</x:v>
      </x:c>
      <x:c r="D408" s="138" t="str">
        <x:v>ADP_ST_JIC_M_24_ORB_M_20</x:v>
      </x:c>
      <x:c r="E408" s="138" t="str">
        <x:v>EA</x:v>
      </x:c>
      <x:c r="F408" s="139"/>
      <x:c r="G408" s="141" t="n">
        <x:v>1</x:v>
      </x:c>
      <x:c r="H408" s="141" t="n">
        <x:v>1</x:v>
      </x:c>
      <x:c r="I408" s="143"/>
      <x:c r="J408" s="141" t="n">
        <x:v>10</x:v>
      </x:c>
      <x:c r="K408" s="138" t="str">
        <x:v>China</x:v>
      </x:c>
      <x:c r="L408" t="str">
        <x:v>USD</x:v>
      </x:c>
      <x:c r="M408" s="126"/>
      <x:c r="N408"/>
      <x:c r="O408"/>
      <x:c r="P408" s="145"/>
      <x:c r="Q408" s="126"/>
      <x:c r="R408" s="149" t="n">
        <x:v>21.6</x:v>
      </x:c>
      <x:c r="S408" s="145"/>
      <x:c r="T408" s="145"/>
      <x:c r="U408" s="124"/>
      <x:c r="V408" s="124"/>
      <x:c r="W408" s="124"/>
      <x:c r="X408" s="124"/>
      <x:c r="Y408"/>
      <x:c r="Z408"/>
      <x:c r="AA408" s="116" t="str">
        <x:v>Net unit weight is not supplied in 05. Order-level RFQ minimum: USD 100. Retail source: DHH exact 6400-24-20; direct each price; observed 2026-08-15; https://www.discounthydraulichose.com/6400-jic-37-x-straight-thread-orb.html</x:v>
      </x:c>
      <x:c r="AB408" s="161" t="str">
        <x:v>Eligible</x:v>
      </x:c>
      <x:c r="AC408" s="161" t="str">
        <x:v>Pending</x:v>
      </x:c>
      <x:c r="AD408" t="str">
        <x:v>Units</x:v>
      </x:c>
      <x:c r="AE408" s="145"/>
      <x:c r="AF408" s="145"/>
      <x:c r="AG408" s="145"/>
      <x:c r="AH408" s="145"/>
      <x:c r="AI408" s="145"/>
      <x:c r="AJ408"/>
    </x:row>
    <x:row r="409" ht="30" customHeight="1">
      <x:c r="A409" s="138" t="str">
        <x:v>Draft</x:v>
      </x:c>
      <x:c r="B409" s="138" t="str">
        <x:v>Adapter</x:v>
      </x:c>
      <x:c r="C409" s="138" t="str">
        <x:v>ADP_ST_JIC_M_24_ORB_M_24</x:v>
      </x:c>
      <x:c r="D409" s="138" t="str">
        <x:v>ADP_ST_JIC_M_24_ORB_M_24</x:v>
      </x:c>
      <x:c r="E409" s="138" t="str">
        <x:v>EA</x:v>
      </x:c>
      <x:c r="F409" s="139"/>
      <x:c r="G409" s="141" t="n">
        <x:v>1</x:v>
      </x:c>
      <x:c r="H409" s="141" t="n">
        <x:v>1</x:v>
      </x:c>
      <x:c r="I409" s="143"/>
      <x:c r="J409" s="141" t="n">
        <x:v>10</x:v>
      </x:c>
      <x:c r="K409" s="138" t="str">
        <x:v>China</x:v>
      </x:c>
      <x:c r="L409" t="str">
        <x:v>USD</x:v>
      </x:c>
      <x:c r="M409" s="126"/>
      <x:c r="N409"/>
      <x:c r="O409"/>
      <x:c r="P409" s="145"/>
      <x:c r="Q409" s="126"/>
      <x:c r="R409" s="149" t="n">
        <x:v>14.42</x:v>
      </x:c>
      <x:c r="S409" s="145"/>
      <x:c r="T409" s="145"/>
      <x:c r="U409" s="124"/>
      <x:c r="V409" s="124"/>
      <x:c r="W409" s="124"/>
      <x:c r="X409" s="124"/>
      <x:c r="Y409"/>
      <x:c r="Z409"/>
      <x:c r="AA409" s="116" t="str">
        <x:v>Net unit weight is not supplied in 05. Order-level RFQ minimum: USD 100. Retail source: DHH exact 6400-24-24; direct each price; observed 2026-08-15; https://www.discounthydraulichose.com/6400-jic-37-x-straight-thread-orb.html</x:v>
      </x:c>
      <x:c r="AB409" s="161" t="str">
        <x:v>Eligible</x:v>
      </x:c>
      <x:c r="AC409" s="161" t="str">
        <x:v>Pending</x:v>
      </x:c>
      <x:c r="AD409" t="str">
        <x:v>Units</x:v>
      </x:c>
      <x:c r="AE409" s="145"/>
      <x:c r="AF409" s="145"/>
      <x:c r="AG409" s="145"/>
      <x:c r="AH409" s="145"/>
      <x:c r="AI409" s="145"/>
      <x:c r="AJ409"/>
    </x:row>
    <x:row r="410" ht="30" customHeight="1">
      <x:c r="A410" s="138" t="str">
        <x:v>Draft</x:v>
      </x:c>
      <x:c r="B410" s="138" t="str">
        <x:v>Adapter</x:v>
      </x:c>
      <x:c r="C410" s="138" t="str">
        <x:v>ADP_ST_JIC_M_24_ORB_M_32</x:v>
      </x:c>
      <x:c r="D410" s="138" t="str">
        <x:v>ADP_ST_JIC_M_24_ORB_M_32</x:v>
      </x:c>
      <x:c r="E410" s="138" t="str">
        <x:v>EA</x:v>
      </x:c>
      <x:c r="F410" s="139"/>
      <x:c r="G410" s="141" t="n">
        <x:v>1</x:v>
      </x:c>
      <x:c r="H410" s="141" t="n">
        <x:v>1</x:v>
      </x:c>
      <x:c r="I410" s="143"/>
      <x:c r="J410" s="141" t="n">
        <x:v>10</x:v>
      </x:c>
      <x:c r="K410" s="138" t="str">
        <x:v>China</x:v>
      </x:c>
      <x:c r="L410" t="str">
        <x:v>USD</x:v>
      </x:c>
      <x:c r="M410" s="126"/>
      <x:c r="N410"/>
      <x:c r="O410"/>
      <x:c r="P410" s="145"/>
      <x:c r="Q410" s="126"/>
      <x:c r="R410" s="149" t="n">
        <x:v>60.19</x:v>
      </x:c>
      <x:c r="S410" s="145"/>
      <x:c r="T410" s="145"/>
      <x:c r="U410" s="124"/>
      <x:c r="V410" s="124"/>
      <x:c r="W410" s="124"/>
      <x:c r="X410" s="124"/>
      <x:c r="Y410"/>
      <x:c r="Z410"/>
      <x:c r="AA410" s="116" t="str">
        <x:v>Net unit weight is not supplied in 05. Order-level RFQ minimum: USD 100. Retail source: DHH exact 6400-24-32; direct each price; observed 2026-08-15; https://www.discounthydraulichose.com/6400-jic-37-x-straight-thread-orb.html</x:v>
      </x:c>
      <x:c r="AB410" s="161" t="str">
        <x:v>Eligible</x:v>
      </x:c>
      <x:c r="AC410" s="161" t="str">
        <x:v>Pending</x:v>
      </x:c>
      <x:c r="AD410" t="str">
        <x:v>Units</x:v>
      </x:c>
      <x:c r="AE410" s="145"/>
      <x:c r="AF410" s="145"/>
      <x:c r="AG410" s="145"/>
      <x:c r="AH410" s="145"/>
      <x:c r="AI410" s="145"/>
      <x:c r="AJ410"/>
    </x:row>
    <x:row r="411" ht="30" customHeight="1">
      <x:c r="A411" s="138" t="str">
        <x:v>Draft</x:v>
      </x:c>
      <x:c r="B411" s="138" t="str">
        <x:v>Adapter</x:v>
      </x:c>
      <x:c r="C411" s="138" t="str">
        <x:v>ADP_ST_JIC_M_32_ORB_M_24</x:v>
      </x:c>
      <x:c r="D411" s="138" t="str">
        <x:v>ADP_ST_JIC_M_32_ORB_M_24</x:v>
      </x:c>
      <x:c r="E411" s="138" t="str">
        <x:v>EA</x:v>
      </x:c>
      <x:c r="F411" s="139"/>
      <x:c r="G411" s="141" t="n">
        <x:v>1</x:v>
      </x:c>
      <x:c r="H411" s="141" t="n">
        <x:v>1</x:v>
      </x:c>
      <x:c r="I411" s="143"/>
      <x:c r="J411" s="141" t="n">
        <x:v>10</x:v>
      </x:c>
      <x:c r="K411" s="138" t="str">
        <x:v>China</x:v>
      </x:c>
      <x:c r="L411" t="str">
        <x:v>USD</x:v>
      </x:c>
      <x:c r="M411" s="126"/>
      <x:c r="N411"/>
      <x:c r="O411"/>
      <x:c r="P411" s="145"/>
      <x:c r="Q411" s="126"/>
      <x:c r="R411" s="149" t="n">
        <x:v>60.88</x:v>
      </x:c>
      <x:c r="S411" s="145"/>
      <x:c r="T411" s="145"/>
      <x:c r="U411" s="124"/>
      <x:c r="V411" s="124"/>
      <x:c r="W411" s="124"/>
      <x:c r="X411" s="124"/>
      <x:c r="Y411"/>
      <x:c r="Z411"/>
      <x:c r="AA411" s="116" t="str">
        <x:v>Net unit weight is not supplied in 05. Order-level RFQ minimum: USD 100. Retail source: DHH exact 6400-32-24; direct each price; observed 2026-08-15; https://www.discounthydraulichose.com/6400-jic-37-x-straight-thread-orb.html</x:v>
      </x:c>
      <x:c r="AB411" s="161" t="str">
        <x:v>Eligible</x:v>
      </x:c>
      <x:c r="AC411" s="161" t="str">
        <x:v>Pending</x:v>
      </x:c>
      <x:c r="AD411" t="str">
        <x:v>Units</x:v>
      </x:c>
      <x:c r="AE411" s="145"/>
      <x:c r="AF411" s="145"/>
      <x:c r="AG411" s="145"/>
      <x:c r="AH411" s="145"/>
      <x:c r="AI411" s="145"/>
      <x:c r="AJ411"/>
    </x:row>
    <x:row r="412" ht="30" customHeight="1">
      <x:c r="A412" s="138" t="str">
        <x:v>Draft</x:v>
      </x:c>
      <x:c r="B412" s="138" t="str">
        <x:v>Adapter</x:v>
      </x:c>
      <x:c r="C412" s="138" t="str">
        <x:v>ADP_ST_JIC_M_32_ORB_M_32</x:v>
      </x:c>
      <x:c r="D412" s="138" t="str">
        <x:v>ADP_ST_JIC_M_32_ORB_M_32</x:v>
      </x:c>
      <x:c r="E412" s="138" t="str">
        <x:v>EA</x:v>
      </x:c>
      <x:c r="F412" s="139"/>
      <x:c r="G412" s="141" t="n">
        <x:v>1</x:v>
      </x:c>
      <x:c r="H412" s="141" t="n">
        <x:v>1</x:v>
      </x:c>
      <x:c r="I412" s="143"/>
      <x:c r="J412" s="141" t="n">
        <x:v>10</x:v>
      </x:c>
      <x:c r="K412" s="138" t="str">
        <x:v>China</x:v>
      </x:c>
      <x:c r="L412" t="str">
        <x:v>USD</x:v>
      </x:c>
      <x:c r="M412" s="126"/>
      <x:c r="N412"/>
      <x:c r="O412"/>
      <x:c r="P412" s="145"/>
      <x:c r="Q412" s="126"/>
      <x:c r="R412" s="149" t="n">
        <x:v>43.5</x:v>
      </x:c>
      <x:c r="S412" s="145"/>
      <x:c r="T412" s="145"/>
      <x:c r="U412" s="124"/>
      <x:c r="V412" s="124"/>
      <x:c r="W412" s="124"/>
      <x:c r="X412" s="124"/>
      <x:c r="Y412"/>
      <x:c r="Z412"/>
      <x:c r="AA412" s="116" t="str">
        <x:v>Net unit weight is not supplied in 05. Order-level RFQ minimum: USD 100. Retail source: DHH exact 6400-32-32; direct each price; observed 2026-08-15; https://www.discounthydraulichose.com/6400-jic-37-x-straight-thread-orb.html</x:v>
      </x:c>
      <x:c r="AB412" s="161" t="str">
        <x:v>Eligible</x:v>
      </x:c>
      <x:c r="AC412" s="161" t="str">
        <x:v>Pending</x:v>
      </x:c>
      <x:c r="AD412" t="str">
        <x:v>Units</x:v>
      </x:c>
      <x:c r="AE412" s="145"/>
      <x:c r="AF412" s="145"/>
      <x:c r="AG412" s="145"/>
      <x:c r="AH412" s="145"/>
      <x:c r="AI412" s="145"/>
      <x:c r="AJ412"/>
    </x:row>
    <x:row r="413" ht="30" customHeight="1">
      <x:c r="A413" s="138" t="str">
        <x:v>Draft</x:v>
      </x:c>
      <x:c r="B413" s="138" t="str">
        <x:v>Adapter</x:v>
      </x:c>
      <x:c r="C413" s="138" t="str">
        <x:v>ADP_ST_JIC_M_02_ORB_M_02</x:v>
      </x:c>
      <x:c r="D413" s="138" t="str">
        <x:v>ADP_ST_JIC_M_02_ORB_M_02</x:v>
      </x:c>
      <x:c r="E413" s="138" t="str">
        <x:v>EA</x:v>
      </x:c>
      <x:c r="F413" s="139"/>
      <x:c r="G413" s="141" t="n">
        <x:v>1</x:v>
      </x:c>
      <x:c r="H413" s="141" t="n">
        <x:v>1</x:v>
      </x:c>
      <x:c r="I413" s="143"/>
      <x:c r="J413" s="141" t="n">
        <x:v>10</x:v>
      </x:c>
      <x:c r="K413" s="138" t="str">
        <x:v>China</x:v>
      </x:c>
      <x:c r="L413" t="str">
        <x:v>USD</x:v>
      </x:c>
      <x:c r="M413" s="126"/>
      <x:c r="N413"/>
      <x:c r="O413"/>
      <x:c r="P413" s="145"/>
      <x:c r="Q413" s="126"/>
      <x:c r="R413" s="149" t="n">
        <x:v>5.76</x:v>
      </x:c>
      <x:c r="S413" s="145"/>
      <x:c r="T413" s="145"/>
      <x:c r="U413" s="124"/>
      <x:c r="V413" s="124"/>
      <x:c r="W413" s="124"/>
      <x:c r="X413" s="124"/>
      <x:c r="Y413"/>
      <x:c r="Z413"/>
      <x:c r="AA413" s="116" t="str">
        <x:v>Net unit weight is not supplied in 05. Order-level RFQ minimum: USD 100. Retail source: DHH exact 6400-02-02; direct each price; observed 2026-08-15; https://www.discounthydraulichose.com/6400-jic-37-x-straight-thread-orb.html</x:v>
      </x:c>
      <x:c r="AB413" s="161" t="str">
        <x:v>Eligible</x:v>
      </x:c>
      <x:c r="AC413" s="161" t="str">
        <x:v>Pending</x:v>
      </x:c>
      <x:c r="AD413" t="str">
        <x:v>Units</x:v>
      </x:c>
      <x:c r="AE413" s="145"/>
      <x:c r="AF413" s="145"/>
      <x:c r="AG413" s="145"/>
      <x:c r="AH413" s="145"/>
      <x:c r="AI413" s="145"/>
      <x:c r="AJ413"/>
    </x:row>
    <x:row r="414" ht="30" customHeight="1">
      <x:c r="A414" s="138" t="str">
        <x:v>Draft</x:v>
      </x:c>
      <x:c r="B414" s="138" t="str">
        <x:v>Adapter</x:v>
      </x:c>
      <x:c r="C414" s="138" t="str">
        <x:v>ADP_ST_JIC_M_03_ORB_M_03</x:v>
      </x:c>
      <x:c r="D414" s="138" t="str">
        <x:v>ADP_ST_JIC_M_03_ORB_M_03</x:v>
      </x:c>
      <x:c r="E414" s="138" t="str">
        <x:v>EA</x:v>
      </x:c>
      <x:c r="F414" s="139"/>
      <x:c r="G414" s="141" t="n">
        <x:v>1</x:v>
      </x:c>
      <x:c r="H414" s="141" t="n">
        <x:v>1</x:v>
      </x:c>
      <x:c r="I414" s="143"/>
      <x:c r="J414" s="141" t="n">
        <x:v>10</x:v>
      </x:c>
      <x:c r="K414" s="138" t="str">
        <x:v>China</x:v>
      </x:c>
      <x:c r="L414" t="str">
        <x:v>USD</x:v>
      </x:c>
      <x:c r="M414" s="126"/>
      <x:c r="N414"/>
      <x:c r="O414"/>
      <x:c r="P414" s="145"/>
      <x:c r="Q414" s="126"/>
      <x:c r="R414" s="149" t="n">
        <x:v>3.7</x:v>
      </x:c>
      <x:c r="S414" s="145"/>
      <x:c r="T414" s="145"/>
      <x:c r="U414" s="124"/>
      <x:c r="V414" s="124"/>
      <x:c r="W414" s="124"/>
      <x:c r="X414" s="124"/>
      <x:c r="Y414"/>
      <x:c r="Z414"/>
      <x:c r="AA414" s="116" t="str">
        <x:v>Net unit weight is not supplied in 05. Order-level RFQ minimum: USD 100. Retail source: DHH exact 6400-03-03; direct each price; observed 2026-08-15; https://www.discounthydraulichose.com/6400-jic-37-x-straight-thread-orb.html</x:v>
      </x:c>
      <x:c r="AB414" s="161" t="str">
        <x:v>Eligible</x:v>
      </x:c>
      <x:c r="AC414" s="161" t="str">
        <x:v>Pending</x:v>
      </x:c>
      <x:c r="AD414" t="str">
        <x:v>Units</x:v>
      </x:c>
      <x:c r="AE414" s="145"/>
      <x:c r="AF414" s="145"/>
      <x:c r="AG414" s="145"/>
      <x:c r="AH414" s="145"/>
      <x:c r="AI414" s="145"/>
      <x:c r="AJ414"/>
    </x:row>
    <x:row r="415" ht="30" customHeight="1">
      <x:c r="A415" s="138" t="str">
        <x:v>Draft</x:v>
      </x:c>
      <x:c r="B415" s="138" t="str">
        <x:v>Adapter</x:v>
      </x:c>
      <x:c r="C415" s="138" t="str">
        <x:v>ADP_ST_JIC_M_04_ORB_M_02</x:v>
      </x:c>
      <x:c r="D415" s="138" t="str">
        <x:v>ADP_ST_JIC_M_04_ORB_M_02</x:v>
      </x:c>
      <x:c r="E415" s="138" t="str">
        <x:v>EA</x:v>
      </x:c>
      <x:c r="F415" s="139"/>
      <x:c r="G415" s="141" t="n">
        <x:v>1</x:v>
      </x:c>
      <x:c r="H415" s="141" t="n">
        <x:v>1</x:v>
      </x:c>
      <x:c r="I415" s="143"/>
      <x:c r="J415" s="141" t="n">
        <x:v>10</x:v>
      </x:c>
      <x:c r="K415" s="138" t="str">
        <x:v>China</x:v>
      </x:c>
      <x:c r="L415" t="str">
        <x:v>USD</x:v>
      </x:c>
      <x:c r="M415" s="126"/>
      <x:c r="N415"/>
      <x:c r="O415"/>
      <x:c r="P415" s="145"/>
      <x:c r="Q415" s="126"/>
      <x:c r="R415" s="149" t="n">
        <x:v>15.2</x:v>
      </x:c>
      <x:c r="S415" s="145"/>
      <x:c r="T415" s="145"/>
      <x:c r="U415" s="124"/>
      <x:c r="V415" s="124"/>
      <x:c r="W415" s="124"/>
      <x:c r="X415" s="124"/>
      <x:c r="Y415"/>
      <x:c r="Z415"/>
      <x:c r="AA415" s="116" t="str">
        <x:v>Net unit weight is not supplied in 05. Order-level RFQ minimum: USD 100. Retail source: DHH exact 6400-04-02; direct each price; observed 2026-08-15; https://www.discounthydraulichose.com/6400-jic-37-x-straight-thread-orb.html</x:v>
      </x:c>
      <x:c r="AB415" s="161" t="str">
        <x:v>Eligible</x:v>
      </x:c>
      <x:c r="AC415" s="161" t="str">
        <x:v>Pending</x:v>
      </x:c>
      <x:c r="AD415" t="str">
        <x:v>Units</x:v>
      </x:c>
      <x:c r="AE415" s="145"/>
      <x:c r="AF415" s="145"/>
      <x:c r="AG415" s="145"/>
      <x:c r="AH415" s="145"/>
      <x:c r="AI415" s="145"/>
      <x:c r="AJ415"/>
    </x:row>
    <x:row r="416" ht="30" customHeight="1">
      <x:c r="A416" s="138" t="str">
        <x:v>Draft</x:v>
      </x:c>
      <x:c r="B416" s="138" t="str">
        <x:v>Adapter</x:v>
      </x:c>
      <x:c r="C416" s="138" t="str">
        <x:v>ADP_ST_JIC_M_04_ORB_M_03</x:v>
      </x:c>
      <x:c r="D416" s="138" t="str">
        <x:v>ADP_ST_JIC_M_04_ORB_M_03</x:v>
      </x:c>
      <x:c r="E416" s="138" t="str">
        <x:v>EA</x:v>
      </x:c>
      <x:c r="F416" s="139"/>
      <x:c r="G416" s="141" t="n">
        <x:v>1</x:v>
      </x:c>
      <x:c r="H416" s="141" t="n">
        <x:v>1</x:v>
      </x:c>
      <x:c r="I416" s="143"/>
      <x:c r="J416" s="141" t="n">
        <x:v>10</x:v>
      </x:c>
      <x:c r="K416" s="138" t="str">
        <x:v>China</x:v>
      </x:c>
      <x:c r="L416" t="str">
        <x:v>USD</x:v>
      </x:c>
      <x:c r="M416" s="126"/>
      <x:c r="N416"/>
      <x:c r="O416"/>
      <x:c r="P416" s="145"/>
      <x:c r="Q416" s="126"/>
      <x:c r="R416" s="149" t="n">
        <x:v>6.65</x:v>
      </x:c>
      <x:c r="S416" s="145"/>
      <x:c r="T416" s="145"/>
      <x:c r="U416" s="124"/>
      <x:c r="V416" s="124"/>
      <x:c r="W416" s="124"/>
      <x:c r="X416" s="124"/>
      <x:c r="Y416"/>
      <x:c r="Z416"/>
      <x:c r="AA416" s="116" t="str">
        <x:v>Net unit weight is not supplied in 05. Order-level RFQ minimum: USD 100. Retail source: DHH exact 6400-04-03; direct each price; observed 2026-08-15; https://www.discounthydraulichose.com/6400-jic-37-x-straight-thread-orb.html</x:v>
      </x:c>
      <x:c r="AB416" s="161" t="str">
        <x:v>Eligible</x:v>
      </x:c>
      <x:c r="AC416" s="161" t="str">
        <x:v>Pending</x:v>
      </x:c>
      <x:c r="AD416" t="str">
        <x:v>Units</x:v>
      </x:c>
      <x:c r="AE416" s="145"/>
      <x:c r="AF416" s="145"/>
      <x:c r="AG416" s="145"/>
      <x:c r="AH416" s="145"/>
      <x:c r="AI416" s="145"/>
      <x:c r="AJ416"/>
    </x:row>
    <x:row r="417" ht="30" customHeight="1">
      <x:c r="A417" s="138" t="str">
        <x:v>Draft</x:v>
      </x:c>
      <x:c r="B417" s="138" t="str">
        <x:v>Adapter</x:v>
      </x:c>
      <x:c r="C417" s="138" t="str">
        <x:v>ADP_ST_JIC_M_04_ORB_M_04</x:v>
      </x:c>
      <x:c r="D417" s="138" t="str">
        <x:v>ADP_ST_JIC_M_04_ORB_M_04</x:v>
      </x:c>
      <x:c r="E417" s="138" t="str">
        <x:v>EA</x:v>
      </x:c>
      <x:c r="F417" s="139"/>
      <x:c r="G417" s="141" t="n">
        <x:v>1</x:v>
      </x:c>
      <x:c r="H417" s="141" t="n">
        <x:v>1</x:v>
      </x:c>
      <x:c r="I417" s="143"/>
      <x:c r="J417" s="141" t="n">
        <x:v>10</x:v>
      </x:c>
      <x:c r="K417" s="138" t="str">
        <x:v>China</x:v>
      </x:c>
      <x:c r="L417" t="str">
        <x:v>USD</x:v>
      </x:c>
      <x:c r="M417" s="126"/>
      <x:c r="N417"/>
      <x:c r="O417"/>
      <x:c r="P417" s="145"/>
      <x:c r="Q417" s="126"/>
      <x:c r="R417" s="149" t="n">
        <x:v>1.5</x:v>
      </x:c>
      <x:c r="S417" s="145"/>
      <x:c r="T417" s="145"/>
      <x:c r="U417" s="124"/>
      <x:c r="V417" s="124"/>
      <x:c r="W417" s="124"/>
      <x:c r="X417" s="124"/>
      <x:c r="Y417"/>
      <x:c r="Z417"/>
      <x:c r="AA417" s="116" t="str">
        <x:v>Net unit weight is not supplied in 05. Order-level RFQ minimum: USD 100. Retail source: DHH exact 6400-04-04; direct each price; observed 2026-08-15; https://www.discounthydraulichose.com/6400-jic-37-x-straight-thread-orb.html</x:v>
      </x:c>
      <x:c r="AB417" s="161" t="str">
        <x:v>Eligible</x:v>
      </x:c>
      <x:c r="AC417" s="161" t="str">
        <x:v>Pending</x:v>
      </x:c>
      <x:c r="AD417" t="str">
        <x:v>Units</x:v>
      </x:c>
      <x:c r="AE417" s="145"/>
      <x:c r="AF417" s="145"/>
      <x:c r="AG417" s="145"/>
      <x:c r="AH417" s="145"/>
      <x:c r="AI417" s="145"/>
      <x:c r="AJ417"/>
    </x:row>
    <x:row r="418" ht="30" customHeight="1">
      <x:c r="A418" s="138" t="str">
        <x:v>Draft</x:v>
      </x:c>
      <x:c r="B418" s="138" t="str">
        <x:v>Adapter</x:v>
      </x:c>
      <x:c r="C418" s="138" t="str">
        <x:v>ADP_ST_JIC_M_04_ORB_M_05</x:v>
      </x:c>
      <x:c r="D418" s="138" t="str">
        <x:v>ADP_ST_JIC_M_04_ORB_M_05</x:v>
      </x:c>
      <x:c r="E418" s="138" t="str">
        <x:v>EA</x:v>
      </x:c>
      <x:c r="F418" s="139"/>
      <x:c r="G418" s="141" t="n">
        <x:v>1</x:v>
      </x:c>
      <x:c r="H418" s="141" t="n">
        <x:v>1</x:v>
      </x:c>
      <x:c r="I418" s="143"/>
      <x:c r="J418" s="141" t="n">
        <x:v>10</x:v>
      </x:c>
      <x:c r="K418" s="138" t="str">
        <x:v>China</x:v>
      </x:c>
      <x:c r="L418" t="str">
        <x:v>USD</x:v>
      </x:c>
      <x:c r="M418" s="126"/>
      <x:c r="N418"/>
      <x:c r="O418"/>
      <x:c r="P418" s="145"/>
      <x:c r="Q418" s="126"/>
      <x:c r="R418" s="149" t="n">
        <x:v>2.35</x:v>
      </x:c>
      <x:c r="S418" s="145"/>
      <x:c r="T418" s="145"/>
      <x:c r="U418" s="124"/>
      <x:c r="V418" s="124"/>
      <x:c r="W418" s="124"/>
      <x:c r="X418" s="124"/>
      <x:c r="Y418"/>
      <x:c r="Z418"/>
      <x:c r="AA418" s="116" t="str">
        <x:v>Net unit weight is not supplied in 05. Order-level RFQ minimum: USD 100. Retail source: DHH exact 6400-04-05; direct each price; observed 2026-08-15; https://www.discounthydraulichose.com/6400-jic-37-x-straight-thread-orb.html</x:v>
      </x:c>
      <x:c r="AB418" s="161" t="str">
        <x:v>Eligible</x:v>
      </x:c>
      <x:c r="AC418" s="161" t="str">
        <x:v>Pending</x:v>
      </x:c>
      <x:c r="AD418" t="str">
        <x:v>Units</x:v>
      </x:c>
      <x:c r="AE418" s="145"/>
      <x:c r="AF418" s="145"/>
      <x:c r="AG418" s="145"/>
      <x:c r="AH418" s="145"/>
      <x:c r="AI418" s="145"/>
      <x:c r="AJ418"/>
    </x:row>
    <x:row r="419" ht="30" customHeight="1">
      <x:c r="A419" s="138" t="str">
        <x:v>Draft</x:v>
      </x:c>
      <x:c r="B419" s="138" t="str">
        <x:v>Adapter</x:v>
      </x:c>
      <x:c r="C419" s="138" t="str">
        <x:v>ADP_ST_JIC_M_04_ORB_M_06</x:v>
      </x:c>
      <x:c r="D419" s="138" t="str">
        <x:v>ADP_ST_JIC_M_04_ORB_M_06</x:v>
      </x:c>
      <x:c r="E419" s="138" t="str">
        <x:v>EA</x:v>
      </x:c>
      <x:c r="F419" s="139"/>
      <x:c r="G419" s="141" t="n">
        <x:v>1</x:v>
      </x:c>
      <x:c r="H419" s="141" t="n">
        <x:v>1</x:v>
      </x:c>
      <x:c r="I419" s="143"/>
      <x:c r="J419" s="141" t="n">
        <x:v>10</x:v>
      </x:c>
      <x:c r="K419" s="138" t="str">
        <x:v>China</x:v>
      </x:c>
      <x:c r="L419" t="str">
        <x:v>USD</x:v>
      </x:c>
      <x:c r="M419" s="126"/>
      <x:c r="N419"/>
      <x:c r="O419"/>
      <x:c r="P419" s="145"/>
      <x:c r="Q419" s="126"/>
      <x:c r="R419" s="149" t="n">
        <x:v>1.95</x:v>
      </x:c>
      <x:c r="S419" s="145"/>
      <x:c r="T419" s="145"/>
      <x:c r="U419" s="124"/>
      <x:c r="V419" s="124"/>
      <x:c r="W419" s="124"/>
      <x:c r="X419" s="124"/>
      <x:c r="Y419"/>
      <x:c r="Z419"/>
      <x:c r="AA419" s="116" t="str">
        <x:v>Net unit weight is not supplied in 05. Order-level RFQ minimum: USD 100. Retail source: DHH exact 6400-04-06; direct each price; observed 2026-08-15; https://www.discounthydraulichose.com/6400-jic-37-x-straight-thread-orb.html</x:v>
      </x:c>
      <x:c r="AB419" s="161" t="str">
        <x:v>Eligible</x:v>
      </x:c>
      <x:c r="AC419" s="161" t="str">
        <x:v>Pending</x:v>
      </x:c>
      <x:c r="AD419" t="str">
        <x:v>Units</x:v>
      </x:c>
      <x:c r="AE419" s="145"/>
      <x:c r="AF419" s="145"/>
      <x:c r="AG419" s="145"/>
      <x:c r="AH419" s="145"/>
      <x:c r="AI419" s="145"/>
      <x:c r="AJ419"/>
    </x:row>
    <x:row r="420" ht="30" customHeight="1">
      <x:c r="A420" s="138" t="str">
        <x:v>Draft</x:v>
      </x:c>
      <x:c r="B420" s="138" t="str">
        <x:v>Adapter</x:v>
      </x:c>
      <x:c r="C420" s="138" t="str">
        <x:v>ADP_ST_JIC_M_04_ORB_M_08</x:v>
      </x:c>
      <x:c r="D420" s="138" t="str">
        <x:v>ADP_ST_JIC_M_04_ORB_M_08</x:v>
      </x:c>
      <x:c r="E420" s="138" t="str">
        <x:v>EA</x:v>
      </x:c>
      <x:c r="F420" s="139"/>
      <x:c r="G420" s="141" t="n">
        <x:v>1</x:v>
      </x:c>
      <x:c r="H420" s="141" t="n">
        <x:v>1</x:v>
      </x:c>
      <x:c r="I420" s="143"/>
      <x:c r="J420" s="141" t="n">
        <x:v>10</x:v>
      </x:c>
      <x:c r="K420" s="138" t="str">
        <x:v>China</x:v>
      </x:c>
      <x:c r="L420" t="str">
        <x:v>USD</x:v>
      </x:c>
      <x:c r="M420" s="126"/>
      <x:c r="N420"/>
      <x:c r="O420"/>
      <x:c r="P420" s="145"/>
      <x:c r="Q420" s="126"/>
      <x:c r="R420" s="149" t="n">
        <x:v>2.66</x:v>
      </x:c>
      <x:c r="S420" s="145"/>
      <x:c r="T420" s="145"/>
      <x:c r="U420" s="124"/>
      <x:c r="V420" s="124"/>
      <x:c r="W420" s="124"/>
      <x:c r="X420" s="124"/>
      <x:c r="Y420"/>
      <x:c r="Z420"/>
      <x:c r="AA420" s="116" t="str">
        <x:v>Net unit weight is not supplied in 05. Order-level RFQ minimum: USD 100. Retail source: DHH exact 6400-04-08; direct each price; observed 2026-08-15; https://www.discounthydraulichose.com/6400-jic-37-x-straight-thread-orb.html</x:v>
      </x:c>
      <x:c r="AB420" s="161" t="str">
        <x:v>Eligible</x:v>
      </x:c>
      <x:c r="AC420" s="161" t="str">
        <x:v>Pending</x:v>
      </x:c>
      <x:c r="AD420" t="str">
        <x:v>Units</x:v>
      </x:c>
      <x:c r="AE420" s="145"/>
      <x:c r="AF420" s="145"/>
      <x:c r="AG420" s="145"/>
      <x:c r="AH420" s="145"/>
      <x:c r="AI420" s="145"/>
      <x:c r="AJ420"/>
    </x:row>
    <x:row r="421" ht="30" customHeight="1">
      <x:c r="A421" s="138" t="str">
        <x:v>Draft</x:v>
      </x:c>
      <x:c r="B421" s="138" t="str">
        <x:v>Adapter</x:v>
      </x:c>
      <x:c r="C421" s="138" t="str">
        <x:v>ADP_ST_JIC_M_04_ORB_M_10</x:v>
      </x:c>
      <x:c r="D421" s="138" t="str">
        <x:v>ADP_ST_JIC_M_04_ORB_M_10</x:v>
      </x:c>
      <x:c r="E421" s="138" t="str">
        <x:v>EA</x:v>
      </x:c>
      <x:c r="F421" s="139"/>
      <x:c r="G421" s="141" t="n">
        <x:v>1</x:v>
      </x:c>
      <x:c r="H421" s="141" t="n">
        <x:v>1</x:v>
      </x:c>
      <x:c r="I421" s="143"/>
      <x:c r="J421" s="141" t="n">
        <x:v>10</x:v>
      </x:c>
      <x:c r="K421" s="138" t="str">
        <x:v>China</x:v>
      </x:c>
      <x:c r="L421" t="str">
        <x:v>USD</x:v>
      </x:c>
      <x:c r="M421" s="126"/>
      <x:c r="N421"/>
      <x:c r="O421"/>
      <x:c r="P421" s="145"/>
      <x:c r="Q421" s="126"/>
      <x:c r="R421" s="149" t="n">
        <x:v>4.74</x:v>
      </x:c>
      <x:c r="S421" s="145"/>
      <x:c r="T421" s="145"/>
      <x:c r="U421" s="124"/>
      <x:c r="V421" s="124"/>
      <x:c r="W421" s="124"/>
      <x:c r="X421" s="124"/>
      <x:c r="Y421"/>
      <x:c r="Z421"/>
      <x:c r="AA421" s="116" t="str">
        <x:v>Net unit weight is not supplied in 05. Order-level RFQ minimum: USD 100. Retail source: DHH exact 6400-04-10; direct each price; observed 2026-08-15; https://www.discounthydraulichose.com/6400-jic-37-x-straight-thread-orb.html</x:v>
      </x:c>
      <x:c r="AB421" s="161" t="str">
        <x:v>Eligible</x:v>
      </x:c>
      <x:c r="AC421" s="161" t="str">
        <x:v>Pending</x:v>
      </x:c>
      <x:c r="AD421" t="str">
        <x:v>Units</x:v>
      </x:c>
      <x:c r="AE421" s="145"/>
      <x:c r="AF421" s="145"/>
      <x:c r="AG421" s="145"/>
      <x:c r="AH421" s="145"/>
      <x:c r="AI421" s="145"/>
      <x:c r="AJ421"/>
    </x:row>
    <x:row r="422" ht="30" customHeight="1">
      <x:c r="A422" s="138" t="str">
        <x:v>Draft</x:v>
      </x:c>
      <x:c r="B422" s="138" t="str">
        <x:v>Adapter</x:v>
      </x:c>
      <x:c r="C422" s="138" t="str">
        <x:v>ADP_ST_JIC_M_04_ORB_M_12</x:v>
      </x:c>
      <x:c r="D422" s="138" t="str">
        <x:v>ADP_ST_JIC_M_04_ORB_M_12</x:v>
      </x:c>
      <x:c r="E422" s="138" t="str">
        <x:v>EA</x:v>
      </x:c>
      <x:c r="F422" s="139"/>
      <x:c r="G422" s="141" t="n">
        <x:v>1</x:v>
      </x:c>
      <x:c r="H422" s="141" t="n">
        <x:v>1</x:v>
      </x:c>
      <x:c r="I422" s="143"/>
      <x:c r="J422" s="141" t="n">
        <x:v>10</x:v>
      </x:c>
      <x:c r="K422" s="138" t="str">
        <x:v>China</x:v>
      </x:c>
      <x:c r="L422" t="str">
        <x:v>USD</x:v>
      </x:c>
      <x:c r="M422" s="126"/>
      <x:c r="N422"/>
      <x:c r="O422"/>
      <x:c r="P422" s="145"/>
      <x:c r="Q422" s="126"/>
      <x:c r="R422" s="149" t="n">
        <x:v>17.55</x:v>
      </x:c>
      <x:c r="S422" s="145"/>
      <x:c r="T422" s="145"/>
      <x:c r="U422" s="124"/>
      <x:c r="V422" s="124"/>
      <x:c r="W422" s="124"/>
      <x:c r="X422" s="124"/>
      <x:c r="Y422"/>
      <x:c r="Z422"/>
      <x:c r="AA422" s="116" t="str">
        <x:v>Net unit weight is not supplied in 05. Order-level RFQ minimum: USD 100. Retail source: DHH exact 6400-04-12; direct each price; observed 2026-08-15; https://www.discounthydraulichose.com/6400-jic-37-x-straight-thread-orb.html</x:v>
      </x:c>
      <x:c r="AB422" s="161" t="str">
        <x:v>Eligible</x:v>
      </x:c>
      <x:c r="AC422" s="161" t="str">
        <x:v>Pending</x:v>
      </x:c>
      <x:c r="AD422" t="str">
        <x:v>Units</x:v>
      </x:c>
      <x:c r="AE422" s="145"/>
      <x:c r="AF422" s="145"/>
      <x:c r="AG422" s="145"/>
      <x:c r="AH422" s="145"/>
      <x:c r="AI422" s="145"/>
      <x:c r="AJ422"/>
    </x:row>
    <x:row r="423" ht="30" customHeight="1">
      <x:c r="A423" s="138" t="str">
        <x:v>Draft</x:v>
      </x:c>
      <x:c r="B423" s="138" t="str">
        <x:v>Adapter</x:v>
      </x:c>
      <x:c r="C423" s="138" t="str">
        <x:v>ADP_ST_JIC_M_05_ORB_M_04</x:v>
      </x:c>
      <x:c r="D423" s="138" t="str">
        <x:v>ADP_ST_JIC_M_05_ORB_M_04</x:v>
      </x:c>
      <x:c r="E423" s="138" t="str">
        <x:v>EA</x:v>
      </x:c>
      <x:c r="F423" s="139"/>
      <x:c r="G423" s="141" t="n">
        <x:v>1</x:v>
      </x:c>
      <x:c r="H423" s="141" t="n">
        <x:v>1</x:v>
      </x:c>
      <x:c r="I423" s="143"/>
      <x:c r="J423" s="141" t="n">
        <x:v>10</x:v>
      </x:c>
      <x:c r="K423" s="138" t="str">
        <x:v>China</x:v>
      </x:c>
      <x:c r="L423" t="str">
        <x:v>USD</x:v>
      </x:c>
      <x:c r="M423" s="126"/>
      <x:c r="N423"/>
      <x:c r="O423"/>
      <x:c r="P423" s="145"/>
      <x:c r="Q423" s="126"/>
      <x:c r="R423" s="149" t="n">
        <x:v>3.21</x:v>
      </x:c>
      <x:c r="S423" s="145"/>
      <x:c r="T423" s="145"/>
      <x:c r="U423" s="124"/>
      <x:c r="V423" s="124"/>
      <x:c r="W423" s="124"/>
      <x:c r="X423" s="124"/>
      <x:c r="Y423"/>
      <x:c r="Z423"/>
      <x:c r="AA423" s="116" t="str">
        <x:v>Net unit weight is not supplied in 05. Order-level RFQ minimum: USD 100. Retail source: DHH exact 6400-05-04; direct each price; observed 2026-08-15; https://www.discounthydraulichose.com/6400-jic-37-x-straight-thread-orb.html</x:v>
      </x:c>
      <x:c r="AB423" s="161" t="str">
        <x:v>Eligible</x:v>
      </x:c>
      <x:c r="AC423" s="161" t="str">
        <x:v>Pending</x:v>
      </x:c>
      <x:c r="AD423" t="str">
        <x:v>Units</x:v>
      </x:c>
      <x:c r="AE423" s="145"/>
      <x:c r="AF423" s="145"/>
      <x:c r="AG423" s="145"/>
      <x:c r="AH423" s="145"/>
      <x:c r="AI423" s="145"/>
      <x:c r="AJ423"/>
    </x:row>
    <x:row r="424" ht="30" customHeight="1">
      <x:c r="A424" s="138" t="str">
        <x:v>Draft</x:v>
      </x:c>
      <x:c r="B424" s="138" t="str">
        <x:v>Adapter</x:v>
      </x:c>
      <x:c r="C424" s="138" t="str">
        <x:v>ADP_ST_JIC_M_05_ORB_M_05</x:v>
      </x:c>
      <x:c r="D424" s="138" t="str">
        <x:v>ADP_ST_JIC_M_05_ORB_M_05</x:v>
      </x:c>
      <x:c r="E424" s="138" t="str">
        <x:v>EA</x:v>
      </x:c>
      <x:c r="F424" s="139"/>
      <x:c r="G424" s="141" t="n">
        <x:v>1</x:v>
      </x:c>
      <x:c r="H424" s="141" t="n">
        <x:v>1</x:v>
      </x:c>
      <x:c r="I424" s="143"/>
      <x:c r="J424" s="141" t="n">
        <x:v>10</x:v>
      </x:c>
      <x:c r="K424" s="138" t="str">
        <x:v>China</x:v>
      </x:c>
      <x:c r="L424" t="str">
        <x:v>USD</x:v>
      </x:c>
      <x:c r="M424" s="126"/>
      <x:c r="N424"/>
      <x:c r="O424"/>
      <x:c r="P424" s="145"/>
      <x:c r="Q424" s="126"/>
      <x:c r="R424" s="149" t="n">
        <x:v>1.9</x:v>
      </x:c>
      <x:c r="S424" s="145"/>
      <x:c r="T424" s="145"/>
      <x:c r="U424" s="124"/>
      <x:c r="V424" s="124"/>
      <x:c r="W424" s="124"/>
      <x:c r="X424" s="124"/>
      <x:c r="Y424"/>
      <x:c r="Z424"/>
      <x:c r="AA424" s="116" t="str">
        <x:v>Net unit weight is not supplied in 05. Order-level RFQ minimum: USD 100. Retail source: DHH exact 6400-05-05; direct each price; observed 2026-08-15; https://www.discounthydraulichose.com/6400-jic-37-x-straight-thread-orb.html</x:v>
      </x:c>
      <x:c r="AB424" s="161" t="str">
        <x:v>Eligible</x:v>
      </x:c>
      <x:c r="AC424" s="161" t="str">
        <x:v>Pending</x:v>
      </x:c>
      <x:c r="AD424" t="str">
        <x:v>Units</x:v>
      </x:c>
      <x:c r="AE424" s="145"/>
      <x:c r="AF424" s="145"/>
      <x:c r="AG424" s="145"/>
      <x:c r="AH424" s="145"/>
      <x:c r="AI424" s="145"/>
      <x:c r="AJ424"/>
    </x:row>
    <x:row r="425" ht="30" customHeight="1">
      <x:c r="A425" s="138" t="str">
        <x:v>Draft</x:v>
      </x:c>
      <x:c r="B425" s="138" t="str">
        <x:v>Adapter</x:v>
      </x:c>
      <x:c r="C425" s="138" t="str">
        <x:v>ADP_ST_JIC_M_05_ORB_M_06</x:v>
      </x:c>
      <x:c r="D425" s="138" t="str">
        <x:v>ADP_ST_JIC_M_05_ORB_M_06</x:v>
      </x:c>
      <x:c r="E425" s="138" t="str">
        <x:v>EA</x:v>
      </x:c>
      <x:c r="F425" s="139"/>
      <x:c r="G425" s="141" t="n">
        <x:v>1</x:v>
      </x:c>
      <x:c r="H425" s="141" t="n">
        <x:v>1</x:v>
      </x:c>
      <x:c r="I425" s="143"/>
      <x:c r="J425" s="141" t="n">
        <x:v>10</x:v>
      </x:c>
      <x:c r="K425" s="138" t="str">
        <x:v>China</x:v>
      </x:c>
      <x:c r="L425" t="str">
        <x:v>USD</x:v>
      </x:c>
      <x:c r="M425" s="126"/>
      <x:c r="N425"/>
      <x:c r="O425"/>
      <x:c r="P425" s="145"/>
      <x:c r="Q425" s="126"/>
      <x:c r="R425" s="149" t="n">
        <x:v>3.41</x:v>
      </x:c>
      <x:c r="S425" s="145"/>
      <x:c r="T425" s="145"/>
      <x:c r="U425" s="124"/>
      <x:c r="V425" s="124"/>
      <x:c r="W425" s="124"/>
      <x:c r="X425" s="124"/>
      <x:c r="Y425"/>
      <x:c r="Z425"/>
      <x:c r="AA425" s="116" t="str">
        <x:v>Net unit weight is not supplied in 05. Order-level RFQ minimum: USD 100. Retail source: DHH exact 6400-05-06; direct each price; observed 2026-08-15; https://www.discounthydraulichose.com/6400-jic-37-x-straight-thread-orb.html</x:v>
      </x:c>
      <x:c r="AB425" s="161" t="str">
        <x:v>Eligible</x:v>
      </x:c>
      <x:c r="AC425" s="161" t="str">
        <x:v>Pending</x:v>
      </x:c>
      <x:c r="AD425" t="str">
        <x:v>Units</x:v>
      </x:c>
      <x:c r="AE425" s="145"/>
      <x:c r="AF425" s="145"/>
      <x:c r="AG425" s="145"/>
      <x:c r="AH425" s="145"/>
      <x:c r="AI425" s="145"/>
      <x:c r="AJ425"/>
    </x:row>
    <x:row r="426" ht="30" customHeight="1">
      <x:c r="A426" s="138" t="str">
        <x:v>Draft</x:v>
      </x:c>
      <x:c r="B426" s="138" t="str">
        <x:v>Adapter</x:v>
      </x:c>
      <x:c r="C426" s="138" t="str">
        <x:v>ADP_ST_JIC_M_05_ORB_M_08</x:v>
      </x:c>
      <x:c r="D426" s="138" t="str">
        <x:v>ADP_ST_JIC_M_05_ORB_M_08</x:v>
      </x:c>
      <x:c r="E426" s="138" t="str">
        <x:v>EA</x:v>
      </x:c>
      <x:c r="F426" s="139"/>
      <x:c r="G426" s="141" t="n">
        <x:v>1</x:v>
      </x:c>
      <x:c r="H426" s="141" t="n">
        <x:v>1</x:v>
      </x:c>
      <x:c r="I426" s="143"/>
      <x:c r="J426" s="141" t="n">
        <x:v>10</x:v>
      </x:c>
      <x:c r="K426" s="138" t="str">
        <x:v>China</x:v>
      </x:c>
      <x:c r="L426" t="str">
        <x:v>USD</x:v>
      </x:c>
      <x:c r="M426" s="126"/>
      <x:c r="N426"/>
      <x:c r="O426"/>
      <x:c r="P426" s="145"/>
      <x:c r="Q426" s="126"/>
      <x:c r="R426" s="149" t="n">
        <x:v>22.53</x:v>
      </x:c>
      <x:c r="S426" s="145"/>
      <x:c r="T426" s="145"/>
      <x:c r="U426" s="124"/>
      <x:c r="V426" s="124"/>
      <x:c r="W426" s="124"/>
      <x:c r="X426" s="124"/>
      <x:c r="Y426"/>
      <x:c r="Z426"/>
      <x:c r="AA426" s="116" t="str">
        <x:v>Net unit weight is not supplied in 05. Order-level RFQ minimum: USD 100. Retail source: DHH exact 6400-05-08; direct each price; observed 2026-08-15; https://www.discounthydraulichose.com/6400-jic-37-x-straight-thread-orb.html</x:v>
      </x:c>
      <x:c r="AB426" s="161" t="str">
        <x:v>Eligible</x:v>
      </x:c>
      <x:c r="AC426" s="161" t="str">
        <x:v>Pending</x:v>
      </x:c>
      <x:c r="AD426" t="str">
        <x:v>Units</x:v>
      </x:c>
      <x:c r="AE426" s="145"/>
      <x:c r="AF426" s="145"/>
      <x:c r="AG426" s="145"/>
      <x:c r="AH426" s="145"/>
      <x:c r="AI426" s="145"/>
      <x:c r="AJ426"/>
    </x:row>
    <x:row r="427" ht="30" customHeight="1">
      <x:c r="A427" s="138" t="str">
        <x:v>Draft</x:v>
      </x:c>
      <x:c r="B427" s="138" t="str">
        <x:v>Adapter</x:v>
      </x:c>
      <x:c r="C427" s="138" t="str">
        <x:v>ADP_ST_JIC_M_06_ORB_M_04</x:v>
      </x:c>
      <x:c r="D427" s="138" t="str">
        <x:v>ADP_ST_JIC_M_06_ORB_M_04</x:v>
      </x:c>
      <x:c r="E427" s="138" t="str">
        <x:v>EA</x:v>
      </x:c>
      <x:c r="F427" s="139"/>
      <x:c r="G427" s="141" t="n">
        <x:v>1</x:v>
      </x:c>
      <x:c r="H427" s="141" t="n">
        <x:v>1</x:v>
      </x:c>
      <x:c r="I427" s="143"/>
      <x:c r="J427" s="141" t="n">
        <x:v>10</x:v>
      </x:c>
      <x:c r="K427" s="138" t="str">
        <x:v>China</x:v>
      </x:c>
      <x:c r="L427" t="str">
        <x:v>USD</x:v>
      </x:c>
      <x:c r="M427" s="126"/>
      <x:c r="N427"/>
      <x:c r="O427"/>
      <x:c r="P427" s="145"/>
      <x:c r="Q427" s="126"/>
      <x:c r="R427" s="149" t="n">
        <x:v>2.02</x:v>
      </x:c>
      <x:c r="S427" s="145"/>
      <x:c r="T427" s="145"/>
      <x:c r="U427" s="124"/>
      <x:c r="V427" s="124"/>
      <x:c r="W427" s="124"/>
      <x:c r="X427" s="124"/>
      <x:c r="Y427"/>
      <x:c r="Z427"/>
      <x:c r="AA427" s="116" t="str">
        <x:v>Net unit weight is not supplied in 05. Order-level RFQ minimum: USD 100. Retail source: DHH exact 6400-06-04; direct each price; observed 2026-08-15; https://www.discounthydraulichose.com/6400-jic-37-x-straight-thread-orb.html</x:v>
      </x:c>
      <x:c r="AB427" s="161" t="str">
        <x:v>Eligible</x:v>
      </x:c>
      <x:c r="AC427" s="161" t="str">
        <x:v>Pending</x:v>
      </x:c>
      <x:c r="AD427" t="str">
        <x:v>Units</x:v>
      </x:c>
      <x:c r="AE427" s="145"/>
      <x:c r="AF427" s="145"/>
      <x:c r="AG427" s="145"/>
      <x:c r="AH427" s="145"/>
      <x:c r="AI427" s="145"/>
      <x:c r="AJ427"/>
    </x:row>
    <x:row r="428" ht="30" customHeight="1">
      <x:c r="A428" s="138" t="str">
        <x:v>Draft</x:v>
      </x:c>
      <x:c r="B428" s="138" t="str">
        <x:v>Adapter</x:v>
      </x:c>
      <x:c r="C428" s="138" t="str">
        <x:v>ADP_ST_JIC_M_06_ORB_M_05</x:v>
      </x:c>
      <x:c r="D428" s="138" t="str">
        <x:v>ADP_ST_JIC_M_06_ORB_M_05</x:v>
      </x:c>
      <x:c r="E428" s="138" t="str">
        <x:v>EA</x:v>
      </x:c>
      <x:c r="F428" s="139"/>
      <x:c r="G428" s="141" t="n">
        <x:v>1</x:v>
      </x:c>
      <x:c r="H428" s="141" t="n">
        <x:v>1</x:v>
      </x:c>
      <x:c r="I428" s="143"/>
      <x:c r="J428" s="141" t="n">
        <x:v>10</x:v>
      </x:c>
      <x:c r="K428" s="138" t="str">
        <x:v>China</x:v>
      </x:c>
      <x:c r="L428" t="str">
        <x:v>USD</x:v>
      </x:c>
      <x:c r="M428" s="126"/>
      <x:c r="N428"/>
      <x:c r="O428"/>
      <x:c r="P428" s="145"/>
      <x:c r="Q428" s="126"/>
      <x:c r="R428" s="149" t="n">
        <x:v>2.33</x:v>
      </x:c>
      <x:c r="S428" s="145"/>
      <x:c r="T428" s="145"/>
      <x:c r="U428" s="124"/>
      <x:c r="V428" s="124"/>
      <x:c r="W428" s="124"/>
      <x:c r="X428" s="124"/>
      <x:c r="Y428"/>
      <x:c r="Z428"/>
      <x:c r="AA428" s="116" t="str">
        <x:v>Net unit weight is not supplied in 05. Order-level RFQ minimum: USD 100. Retail source: DHH exact 6400-06-05; direct each price; observed 2026-08-15; https://www.discounthydraulichose.com/6400-jic-37-x-straight-thread-orb.html</x:v>
      </x:c>
      <x:c r="AB428" s="161" t="str">
        <x:v>Eligible</x:v>
      </x:c>
      <x:c r="AC428" s="161" t="str">
        <x:v>Pending</x:v>
      </x:c>
      <x:c r="AD428" t="str">
        <x:v>Units</x:v>
      </x:c>
      <x:c r="AE428" s="145"/>
      <x:c r="AF428" s="145"/>
      <x:c r="AG428" s="145"/>
      <x:c r="AH428" s="145"/>
      <x:c r="AI428" s="145"/>
      <x:c r="AJ428"/>
    </x:row>
    <x:row r="429" ht="30" customHeight="1">
      <x:c r="A429" s="138" t="str">
        <x:v>Draft</x:v>
      </x:c>
      <x:c r="B429" s="138" t="str">
        <x:v>Adapter</x:v>
      </x:c>
      <x:c r="C429" s="138" t="str">
        <x:v>ADP_ST_JIC_M_06_ORB_M_06</x:v>
      </x:c>
      <x:c r="D429" s="138" t="str">
        <x:v>ADP_ST_JIC_M_06_ORB_M_06</x:v>
      </x:c>
      <x:c r="E429" s="138" t="str">
        <x:v>EA</x:v>
      </x:c>
      <x:c r="F429" s="139"/>
      <x:c r="G429" s="141" t="n">
        <x:v>1</x:v>
      </x:c>
      <x:c r="H429" s="141" t="n">
        <x:v>1</x:v>
      </x:c>
      <x:c r="I429" s="143"/>
      <x:c r="J429" s="141" t="n">
        <x:v>10</x:v>
      </x:c>
      <x:c r="K429" s="138" t="str">
        <x:v>China</x:v>
      </x:c>
      <x:c r="L429" t="str">
        <x:v>USD</x:v>
      </x:c>
      <x:c r="M429" s="126"/>
      <x:c r="N429"/>
      <x:c r="O429"/>
      <x:c r="P429" s="145"/>
      <x:c r="Q429" s="126"/>
      <x:c r="R429" s="149" t="n">
        <x:v>2.32</x:v>
      </x:c>
      <x:c r="S429" s="145"/>
      <x:c r="T429" s="145"/>
      <x:c r="U429" s="124"/>
      <x:c r="V429" s="124"/>
      <x:c r="W429" s="124"/>
      <x:c r="X429" s="124"/>
      <x:c r="Y429"/>
      <x:c r="Z429"/>
      <x:c r="AA429" s="116" t="str">
        <x:v>Net unit weight is not supplied in 05. Order-level RFQ minimum: USD 100. Retail source: DHH exact 6400-06-06; direct each price; observed 2026-08-15; https://www.discounthydraulichose.com/6400-jic-37-x-straight-thread-orb.html</x:v>
      </x:c>
      <x:c r="AB429" s="161" t="str">
        <x:v>Eligible</x:v>
      </x:c>
      <x:c r="AC429" s="161" t="str">
        <x:v>Pending</x:v>
      </x:c>
      <x:c r="AD429" t="str">
        <x:v>Units</x:v>
      </x:c>
      <x:c r="AE429" s="145"/>
      <x:c r="AF429" s="145"/>
      <x:c r="AG429" s="145"/>
      <x:c r="AH429" s="145"/>
      <x:c r="AI429" s="145"/>
      <x:c r="AJ429"/>
    </x:row>
    <x:row r="430" ht="30" customHeight="1">
      <x:c r="A430" s="138" t="str">
        <x:v>Draft</x:v>
      </x:c>
      <x:c r="B430" s="138" t="str">
        <x:v>Adapter</x:v>
      </x:c>
      <x:c r="C430" s="138" t="str">
        <x:v>ADP_ST_JIC_M_06_ORB_M_08</x:v>
      </x:c>
      <x:c r="D430" s="138" t="str">
        <x:v>ADP_ST_JIC_M_06_ORB_M_08</x:v>
      </x:c>
      <x:c r="E430" s="138" t="str">
        <x:v>EA</x:v>
      </x:c>
      <x:c r="F430" s="139"/>
      <x:c r="G430" s="141" t="n">
        <x:v>1</x:v>
      </x:c>
      <x:c r="H430" s="141" t="n">
        <x:v>1</x:v>
      </x:c>
      <x:c r="I430" s="143"/>
      <x:c r="J430" s="141" t="n">
        <x:v>10</x:v>
      </x:c>
      <x:c r="K430" s="138" t="str">
        <x:v>China</x:v>
      </x:c>
      <x:c r="L430" t="str">
        <x:v>USD</x:v>
      </x:c>
      <x:c r="M430" s="126"/>
      <x:c r="N430"/>
      <x:c r="O430"/>
      <x:c r="P430" s="145"/>
      <x:c r="Q430" s="126"/>
      <x:c r="R430" s="149" t="n">
        <x:v>3</x:v>
      </x:c>
      <x:c r="S430" s="145"/>
      <x:c r="T430" s="145"/>
      <x:c r="U430" s="124"/>
      <x:c r="V430" s="124"/>
      <x:c r="W430" s="124"/>
      <x:c r="X430" s="124"/>
      <x:c r="Y430"/>
      <x:c r="Z430"/>
      <x:c r="AA430" s="116" t="str">
        <x:v>Net unit weight is not supplied in 05. Order-level RFQ minimum: USD 100. Retail source: DHH exact 6400-06-08; direct each price; observed 2026-08-15; https://www.discounthydraulichose.com/6400-jic-37-x-straight-thread-orb.html</x:v>
      </x:c>
      <x:c r="AB430" s="161" t="str">
        <x:v>Eligible</x:v>
      </x:c>
      <x:c r="AC430" s="161" t="str">
        <x:v>Pending</x:v>
      </x:c>
      <x:c r="AD430" t="str">
        <x:v>Units</x:v>
      </x:c>
      <x:c r="AE430" s="145"/>
      <x:c r="AF430" s="145"/>
      <x:c r="AG430" s="145"/>
      <x:c r="AH430" s="145"/>
      <x:c r="AI430" s="145"/>
      <x:c r="AJ430"/>
    </x:row>
    <x:row r="431" ht="30" customHeight="1">
      <x:c r="A431" s="138" t="str">
        <x:v>Draft</x:v>
      </x:c>
      <x:c r="B431" s="138" t="str">
        <x:v>Adapter</x:v>
      </x:c>
      <x:c r="C431" s="138" t="str">
        <x:v>ADP_ST_JIC_M_06_ORB_M_10</x:v>
      </x:c>
      <x:c r="D431" s="138" t="str">
        <x:v>ADP_ST_JIC_M_06_ORB_M_10</x:v>
      </x:c>
      <x:c r="E431" s="138" t="str">
        <x:v>EA</x:v>
      </x:c>
      <x:c r="F431" s="139"/>
      <x:c r="G431" s="141" t="n">
        <x:v>1</x:v>
      </x:c>
      <x:c r="H431" s="141" t="n">
        <x:v>1</x:v>
      </x:c>
      <x:c r="I431" s="143"/>
      <x:c r="J431" s="141" t="n">
        <x:v>10</x:v>
      </x:c>
      <x:c r="K431" s="138" t="str">
        <x:v>China</x:v>
      </x:c>
      <x:c r="L431" t="str">
        <x:v>USD</x:v>
      </x:c>
      <x:c r="M431" s="126"/>
      <x:c r="N431"/>
      <x:c r="O431"/>
      <x:c r="P431" s="145"/>
      <x:c r="Q431" s="126"/>
      <x:c r="R431" s="149" t="n">
        <x:v>3.11</x:v>
      </x:c>
      <x:c r="S431" s="145"/>
      <x:c r="T431" s="145"/>
      <x:c r="U431" s="124"/>
      <x:c r="V431" s="124"/>
      <x:c r="W431" s="124"/>
      <x:c r="X431" s="124"/>
      <x:c r="Y431"/>
      <x:c r="Z431"/>
      <x:c r="AA431" s="116" t="str">
        <x:v>Net unit weight is not supplied in 05. Order-level RFQ minimum: USD 100. Retail source: DHH exact 6400-06-10; direct each price; observed 2026-08-15; https://www.discounthydraulichose.com/6400-jic-37-x-straight-thread-orb.html</x:v>
      </x:c>
      <x:c r="AB431" s="161" t="str">
        <x:v>Eligible</x:v>
      </x:c>
      <x:c r="AC431" s="161" t="str">
        <x:v>Pending</x:v>
      </x:c>
      <x:c r="AD431" t="str">
        <x:v>Units</x:v>
      </x:c>
      <x:c r="AE431" s="145"/>
      <x:c r="AF431" s="145"/>
      <x:c r="AG431" s="145"/>
      <x:c r="AH431" s="145"/>
      <x:c r="AI431" s="145"/>
      <x:c r="AJ431"/>
    </x:row>
    <x:row r="432" ht="30" customHeight="1">
      <x:c r="A432" s="138" t="str">
        <x:v>Draft</x:v>
      </x:c>
      <x:c r="B432" s="138" t="str">
        <x:v>Adapter</x:v>
      </x:c>
      <x:c r="C432" s="138" t="str">
        <x:v>ADP_ST_JIC_M_06_ORB_M_12</x:v>
      </x:c>
      <x:c r="D432" s="138" t="str">
        <x:v>ADP_ST_JIC_M_06_ORB_M_12</x:v>
      </x:c>
      <x:c r="E432" s="138" t="str">
        <x:v>EA</x:v>
      </x:c>
      <x:c r="F432" s="139"/>
      <x:c r="G432" s="141" t="n">
        <x:v>1</x:v>
      </x:c>
      <x:c r="H432" s="141" t="n">
        <x:v>1</x:v>
      </x:c>
      <x:c r="I432" s="143"/>
      <x:c r="J432" s="141" t="n">
        <x:v>10</x:v>
      </x:c>
      <x:c r="K432" s="138" t="str">
        <x:v>China</x:v>
      </x:c>
      <x:c r="L432" t="str">
        <x:v>USD</x:v>
      </x:c>
      <x:c r="M432" s="126"/>
      <x:c r="N432"/>
      <x:c r="O432"/>
      <x:c r="P432" s="145"/>
      <x:c r="Q432" s="126"/>
      <x:c r="R432" s="149" t="n">
        <x:v>4.61</x:v>
      </x:c>
      <x:c r="S432" s="145"/>
      <x:c r="T432" s="145"/>
      <x:c r="U432" s="124"/>
      <x:c r="V432" s="124"/>
      <x:c r="W432" s="124"/>
      <x:c r="X432" s="124"/>
      <x:c r="Y432"/>
      <x:c r="Z432"/>
      <x:c r="AA432" s="116" t="str">
        <x:v>Net unit weight is not supplied in 05. Order-level RFQ minimum: USD 100. Retail source: DHH exact 6400-06-12; direct each price; observed 2026-08-15; https://www.discounthydraulichose.com/6400-jic-37-x-straight-thread-orb.html</x:v>
      </x:c>
      <x:c r="AB432" s="161" t="str">
        <x:v>Eligible</x:v>
      </x:c>
      <x:c r="AC432" s="161" t="str">
        <x:v>Pending</x:v>
      </x:c>
      <x:c r="AD432" t="str">
        <x:v>Units</x:v>
      </x:c>
      <x:c r="AE432" s="145"/>
      <x:c r="AF432" s="145"/>
      <x:c r="AG432" s="145"/>
      <x:c r="AH432" s="145"/>
      <x:c r="AI432" s="145"/>
      <x:c r="AJ432"/>
    </x:row>
    <x:row r="433" ht="30" customHeight="1">
      <x:c r="A433" s="138" t="str">
        <x:v>Draft</x:v>
      </x:c>
      <x:c r="B433" s="138" t="str">
        <x:v>Adapter</x:v>
      </x:c>
      <x:c r="C433" s="138" t="str">
        <x:v>ADP_ST_JIC_M_06_ORB_M_16</x:v>
      </x:c>
      <x:c r="D433" s="138" t="str">
        <x:v>ADP_ST_JIC_M_06_ORB_M_16</x:v>
      </x:c>
      <x:c r="E433" s="138" t="str">
        <x:v>EA</x:v>
      </x:c>
      <x:c r="F433" s="139"/>
      <x:c r="G433" s="141" t="n">
        <x:v>1</x:v>
      </x:c>
      <x:c r="H433" s="141" t="n">
        <x:v>1</x:v>
      </x:c>
      <x:c r="I433" s="143"/>
      <x:c r="J433" s="141" t="n">
        <x:v>10</x:v>
      </x:c>
      <x:c r="K433" s="138" t="str">
        <x:v>China</x:v>
      </x:c>
      <x:c r="L433" t="str">
        <x:v>USD</x:v>
      </x:c>
      <x:c r="M433" s="126"/>
      <x:c r="N433"/>
      <x:c r="O433"/>
      <x:c r="P433" s="145"/>
      <x:c r="Q433" s="126"/>
      <x:c r="R433" s="149" t="n">
        <x:v>21.01</x:v>
      </x:c>
      <x:c r="S433" s="145"/>
      <x:c r="T433" s="145"/>
      <x:c r="U433" s="124"/>
      <x:c r="V433" s="124"/>
      <x:c r="W433" s="124"/>
      <x:c r="X433" s="124"/>
      <x:c r="Y433"/>
      <x:c r="Z433"/>
      <x:c r="AA433" s="116" t="str">
        <x:v>Net unit weight is not supplied in 05. Order-level RFQ minimum: USD 100. Retail source: DHH exact 6400-06-16; direct each price; observed 2026-08-15; https://www.discounthydraulichose.com/6400-jic-37-x-straight-thread-orb.html</x:v>
      </x:c>
      <x:c r="AB433" s="161" t="str">
        <x:v>Eligible</x:v>
      </x:c>
      <x:c r="AC433" s="161" t="str">
        <x:v>Pending</x:v>
      </x:c>
      <x:c r="AD433" t="str">
        <x:v>Units</x:v>
      </x:c>
      <x:c r="AE433" s="145"/>
      <x:c r="AF433" s="145"/>
      <x:c r="AG433" s="145"/>
      <x:c r="AH433" s="145"/>
      <x:c r="AI433" s="145"/>
      <x:c r="AJ433"/>
    </x:row>
    <x:row r="434" ht="30" customHeight="1">
      <x:c r="A434" s="138" t="str">
        <x:v>Draft</x:v>
      </x:c>
      <x:c r="B434" s="138" t="str">
        <x:v>Adapter</x:v>
      </x:c>
      <x:c r="C434" s="138" t="str">
        <x:v>ADP_ST_JIC_M_08_ORB_M_04</x:v>
      </x:c>
      <x:c r="D434" s="138" t="str">
        <x:v>ADP_ST_JIC_M_08_ORB_M_04</x:v>
      </x:c>
      <x:c r="E434" s="138" t="str">
        <x:v>EA</x:v>
      </x:c>
      <x:c r="F434" s="139"/>
      <x:c r="G434" s="141" t="n">
        <x:v>1</x:v>
      </x:c>
      <x:c r="H434" s="141" t="n">
        <x:v>1</x:v>
      </x:c>
      <x:c r="I434" s="143"/>
      <x:c r="J434" s="141" t="n">
        <x:v>10</x:v>
      </x:c>
      <x:c r="K434" s="138" t="str">
        <x:v>China</x:v>
      </x:c>
      <x:c r="L434" t="str">
        <x:v>USD</x:v>
      </x:c>
      <x:c r="M434" s="126"/>
      <x:c r="N434"/>
      <x:c r="O434"/>
      <x:c r="P434" s="145"/>
      <x:c r="Q434" s="126"/>
      <x:c r="R434" s="149" t="n">
        <x:v>10.11</x:v>
      </x:c>
      <x:c r="S434" s="145"/>
      <x:c r="T434" s="145"/>
      <x:c r="U434" s="124"/>
      <x:c r="V434" s="124"/>
      <x:c r="W434" s="124"/>
      <x:c r="X434" s="124"/>
      <x:c r="Y434"/>
      <x:c r="Z434"/>
      <x:c r="AA434" s="116" t="str">
        <x:v>Net unit weight is not supplied in 05. Order-level RFQ minimum: USD 100. Retail source: DHH exact 6400-08-04; direct each price; observed 2026-08-15; https://www.discounthydraulichose.com/6400-jic-37-x-straight-thread-orb.html</x:v>
      </x:c>
      <x:c r="AB434" s="161" t="str">
        <x:v>Eligible</x:v>
      </x:c>
      <x:c r="AC434" s="161" t="str">
        <x:v>Pending</x:v>
      </x:c>
      <x:c r="AD434" t="str">
        <x:v>Units</x:v>
      </x:c>
      <x:c r="AE434" s="145"/>
      <x:c r="AF434" s="145"/>
      <x:c r="AG434" s="145"/>
      <x:c r="AH434" s="145"/>
      <x:c r="AI434" s="145"/>
      <x:c r="AJ434"/>
    </x:row>
    <x:row r="435" ht="30" customHeight="1">
      <x:c r="A435" s="138" t="str">
        <x:v>Draft</x:v>
      </x:c>
      <x:c r="B435" s="138" t="str">
        <x:v>Adapter</x:v>
      </x:c>
      <x:c r="C435" s="138" t="str">
        <x:v>ADP_ST_JIC_M_08_ORB_M_05</x:v>
      </x:c>
      <x:c r="D435" s="138" t="str">
        <x:v>ADP_ST_JIC_M_08_ORB_M_05</x:v>
      </x:c>
      <x:c r="E435" s="138" t="str">
        <x:v>EA</x:v>
      </x:c>
      <x:c r="F435" s="139"/>
      <x:c r="G435" s="141" t="n">
        <x:v>1</x:v>
      </x:c>
      <x:c r="H435" s="141" t="n">
        <x:v>1</x:v>
      </x:c>
      <x:c r="I435" s="143"/>
      <x:c r="J435" s="141" t="n">
        <x:v>10</x:v>
      </x:c>
      <x:c r="K435" s="138" t="str">
        <x:v>China</x:v>
      </x:c>
      <x:c r="L435" t="str">
        <x:v>USD</x:v>
      </x:c>
      <x:c r="M435" s="126"/>
      <x:c r="N435"/>
      <x:c r="O435"/>
      <x:c r="P435" s="145"/>
      <x:c r="Q435" s="126"/>
      <x:c r="R435" s="149" t="n">
        <x:v>42.71</x:v>
      </x:c>
      <x:c r="S435" s="145"/>
      <x:c r="T435" s="145"/>
      <x:c r="U435" s="124"/>
      <x:c r="V435" s="124"/>
      <x:c r="W435" s="124"/>
      <x:c r="X435" s="124"/>
      <x:c r="Y435"/>
      <x:c r="Z435"/>
      <x:c r="AA435" s="116" t="str">
        <x:v>Net unit weight is not supplied in 05. Order-level RFQ minimum: USD 100. Retail source: DHH exact 6400-08-05; direct each price; observed 2026-08-15; https://www.discounthydraulichose.com/6400-jic-37-x-straight-thread-orb.html</x:v>
      </x:c>
      <x:c r="AB435" s="161" t="str">
        <x:v>Eligible</x:v>
      </x:c>
      <x:c r="AC435" s="161" t="str">
        <x:v>Pending</x:v>
      </x:c>
      <x:c r="AD435" t="str">
        <x:v>Units</x:v>
      </x:c>
      <x:c r="AE435" s="145"/>
      <x:c r="AF435" s="145"/>
      <x:c r="AG435" s="145"/>
      <x:c r="AH435" s="145"/>
      <x:c r="AI435" s="145"/>
      <x:c r="AJ435"/>
    </x:row>
    <x:row r="436" ht="30" customHeight="1">
      <x:c r="A436" s="138" t="str">
        <x:v>Draft</x:v>
      </x:c>
      <x:c r="B436" s="138" t="str">
        <x:v>Adapter</x:v>
      </x:c>
      <x:c r="C436" s="138" t="str">
        <x:v>ADP_ST_JIC_M_08_ORB_M_06</x:v>
      </x:c>
      <x:c r="D436" s="138" t="str">
        <x:v>ADP_ST_JIC_M_08_ORB_M_06</x:v>
      </x:c>
      <x:c r="E436" s="138" t="str">
        <x:v>EA</x:v>
      </x:c>
      <x:c r="F436" s="139"/>
      <x:c r="G436" s="141" t="n">
        <x:v>1</x:v>
      </x:c>
      <x:c r="H436" s="141" t="n">
        <x:v>1</x:v>
      </x:c>
      <x:c r="I436" s="143"/>
      <x:c r="J436" s="141" t="n">
        <x:v>10</x:v>
      </x:c>
      <x:c r="K436" s="138" t="str">
        <x:v>China</x:v>
      </x:c>
      <x:c r="L436" t="str">
        <x:v>USD</x:v>
      </x:c>
      <x:c r="M436" s="126"/>
      <x:c r="N436"/>
      <x:c r="O436"/>
      <x:c r="P436" s="145"/>
      <x:c r="Q436" s="126"/>
      <x:c r="R436" s="149" t="n">
        <x:v>2.47</x:v>
      </x:c>
      <x:c r="S436" s="145"/>
      <x:c r="T436" s="145"/>
      <x:c r="U436" s="124"/>
      <x:c r="V436" s="124"/>
      <x:c r="W436" s="124"/>
      <x:c r="X436" s="124"/>
      <x:c r="Y436"/>
      <x:c r="Z436"/>
      <x:c r="AA436" s="116" t="str">
        <x:v>Net unit weight is not supplied in 05. Order-level RFQ minimum: USD 100. Retail source: DHH exact 6400-08-06; direct each price; observed 2026-08-15; https://www.discounthydraulichose.com/6400-jic-37-x-straight-thread-orb.html</x:v>
      </x:c>
      <x:c r="AB436" s="161" t="str">
        <x:v>Eligible</x:v>
      </x:c>
      <x:c r="AC436" s="161" t="str">
        <x:v>Pending</x:v>
      </x:c>
      <x:c r="AD436" t="str">
        <x:v>Units</x:v>
      </x:c>
      <x:c r="AE436" s="145"/>
      <x:c r="AF436" s="145"/>
      <x:c r="AG436" s="145"/>
      <x:c r="AH436" s="145"/>
      <x:c r="AI436" s="145"/>
      <x:c r="AJ436"/>
    </x:row>
    <x:row r="437" ht="30" customHeight="1">
      <x:c r="A437" s="138" t="str">
        <x:v>Draft</x:v>
      </x:c>
      <x:c r="B437" s="138" t="str">
        <x:v>Adapter</x:v>
      </x:c>
      <x:c r="C437" s="138" t="str">
        <x:v>ADP_ST_JIC_M_08_ORB_M_08</x:v>
      </x:c>
      <x:c r="D437" s="138" t="str">
        <x:v>ADP_ST_JIC_M_08_ORB_M_08</x:v>
      </x:c>
      <x:c r="E437" s="138" t="str">
        <x:v>EA</x:v>
      </x:c>
      <x:c r="F437" s="139"/>
      <x:c r="G437" s="141" t="n">
        <x:v>1</x:v>
      </x:c>
      <x:c r="H437" s="141" t="n">
        <x:v>1</x:v>
      </x:c>
      <x:c r="I437" s="143"/>
      <x:c r="J437" s="141" t="n">
        <x:v>10</x:v>
      </x:c>
      <x:c r="K437" s="138" t="str">
        <x:v>China</x:v>
      </x:c>
      <x:c r="L437" t="str">
        <x:v>USD</x:v>
      </x:c>
      <x:c r="M437" s="126"/>
      <x:c r="N437"/>
      <x:c r="O437"/>
      <x:c r="P437" s="145"/>
      <x:c r="Q437" s="126"/>
      <x:c r="R437" s="149" t="n">
        <x:v>2.89</x:v>
      </x:c>
      <x:c r="S437" s="145"/>
      <x:c r="T437" s="145"/>
      <x:c r="U437" s="124"/>
      <x:c r="V437" s="124"/>
      <x:c r="W437" s="124"/>
      <x:c r="X437" s="124"/>
      <x:c r="Y437"/>
      <x:c r="Z437"/>
      <x:c r="AA437" s="116" t="str">
        <x:v>Net unit weight is not supplied in 05. Order-level RFQ minimum: USD 100. Retail source: DHH exact 6400-08-08; direct each price; observed 2026-08-15; https://www.discounthydraulichose.com/6400-jic-37-x-straight-thread-orb.html</x:v>
      </x:c>
      <x:c r="AB437" s="161" t="str">
        <x:v>Eligible</x:v>
      </x:c>
      <x:c r="AC437" s="161" t="str">
        <x:v>Pending</x:v>
      </x:c>
      <x:c r="AD437" t="str">
        <x:v>Units</x:v>
      </x:c>
      <x:c r="AE437" s="145"/>
      <x:c r="AF437" s="145"/>
      <x:c r="AG437" s="145"/>
      <x:c r="AH437" s="145"/>
      <x:c r="AI437" s="145"/>
      <x:c r="AJ437"/>
    </x:row>
    <x:row r="438" ht="30" customHeight="1">
      <x:c r="A438" s="138" t="str">
        <x:v>Draft</x:v>
      </x:c>
      <x:c r="B438" s="138" t="str">
        <x:v>Adapter</x:v>
      </x:c>
      <x:c r="C438" s="138" t="str">
        <x:v>ADP_ST_JIC_M_08_ORB_M_10</x:v>
      </x:c>
      <x:c r="D438" s="138" t="str">
        <x:v>ADP_ST_JIC_M_08_ORB_M_10</x:v>
      </x:c>
      <x:c r="E438" s="138" t="str">
        <x:v>EA</x:v>
      </x:c>
      <x:c r="F438" s="139"/>
      <x:c r="G438" s="141" t="n">
        <x:v>1</x:v>
      </x:c>
      <x:c r="H438" s="141" t="n">
        <x:v>1</x:v>
      </x:c>
      <x:c r="I438" s="143"/>
      <x:c r="J438" s="141" t="n">
        <x:v>10</x:v>
      </x:c>
      <x:c r="K438" s="138" t="str">
        <x:v>China</x:v>
      </x:c>
      <x:c r="L438" t="str">
        <x:v>USD</x:v>
      </x:c>
      <x:c r="M438" s="126"/>
      <x:c r="N438"/>
      <x:c r="O438"/>
      <x:c r="P438" s="145"/>
      <x:c r="Q438" s="126"/>
      <x:c r="R438" s="149" t="n">
        <x:v>2.6</x:v>
      </x:c>
      <x:c r="S438" s="145"/>
      <x:c r="T438" s="145"/>
      <x:c r="U438" s="124"/>
      <x:c r="V438" s="124"/>
      <x:c r="W438" s="124"/>
      <x:c r="X438" s="124"/>
      <x:c r="Y438"/>
      <x:c r="Z438"/>
      <x:c r="AA438" s="116" t="str">
        <x:v>Net unit weight is not supplied in 05. Order-level RFQ minimum: USD 100. Retail source: DHH exact 6400-08-10; direct each price; observed 2026-08-15; https://www.discounthydraulichose.com/6400-jic-37-x-straight-thread-orb.html</x:v>
      </x:c>
      <x:c r="AB438" s="161" t="str">
        <x:v>Eligible</x:v>
      </x:c>
      <x:c r="AC438" s="161" t="str">
        <x:v>Pending</x:v>
      </x:c>
      <x:c r="AD438" t="str">
        <x:v>Units</x:v>
      </x:c>
      <x:c r="AE438" s="145"/>
      <x:c r="AF438" s="145"/>
      <x:c r="AG438" s="145"/>
      <x:c r="AH438" s="145"/>
      <x:c r="AI438" s="145"/>
      <x:c r="AJ438"/>
    </x:row>
    <x:row r="439" ht="30" customHeight="1">
      <x:c r="A439" s="138" t="str">
        <x:v>Draft</x:v>
      </x:c>
      <x:c r="B439" s="138" t="str">
        <x:v>Adapter</x:v>
      </x:c>
      <x:c r="C439" s="138" t="str">
        <x:v>ADP_ST_JIC_M_08_ORB_M_12</x:v>
      </x:c>
      <x:c r="D439" s="138" t="str">
        <x:v>ADP_ST_JIC_M_08_ORB_M_12</x:v>
      </x:c>
      <x:c r="E439" s="138" t="str">
        <x:v>EA</x:v>
      </x:c>
      <x:c r="F439" s="139"/>
      <x:c r="G439" s="141" t="n">
        <x:v>1</x:v>
      </x:c>
      <x:c r="H439" s="141" t="n">
        <x:v>1</x:v>
      </x:c>
      <x:c r="I439" s="143"/>
      <x:c r="J439" s="141" t="n">
        <x:v>10</x:v>
      </x:c>
      <x:c r="K439" s="138" t="str">
        <x:v>China</x:v>
      </x:c>
      <x:c r="L439" t="str">
        <x:v>USD</x:v>
      </x:c>
      <x:c r="M439" s="126"/>
      <x:c r="N439"/>
      <x:c r="O439"/>
      <x:c r="P439" s="145"/>
      <x:c r="Q439" s="126"/>
      <x:c r="R439" s="149" t="n">
        <x:v>3.54</x:v>
      </x:c>
      <x:c r="S439" s="145"/>
      <x:c r="T439" s="145"/>
      <x:c r="U439" s="124"/>
      <x:c r="V439" s="124"/>
      <x:c r="W439" s="124"/>
      <x:c r="X439" s="124"/>
      <x:c r="Y439"/>
      <x:c r="Z439"/>
      <x:c r="AA439" s="116" t="str">
        <x:v>Net unit weight is not supplied in 05. Order-level RFQ minimum: USD 100. Retail source: DHH exact 6400-08-12; direct each price; observed 2026-08-15; https://www.discounthydraulichose.com/6400-jic-37-x-straight-thread-orb.html</x:v>
      </x:c>
      <x:c r="AB439" s="161" t="str">
        <x:v>Eligible</x:v>
      </x:c>
      <x:c r="AC439" s="161" t="str">
        <x:v>Pending</x:v>
      </x:c>
      <x:c r="AD439" t="str">
        <x:v>Units</x:v>
      </x:c>
      <x:c r="AE439" s="145"/>
      <x:c r="AF439" s="145"/>
      <x:c r="AG439" s="145"/>
      <x:c r="AH439" s="145"/>
      <x:c r="AI439" s="145"/>
      <x:c r="AJ439"/>
    </x:row>
    <x:row r="440" ht="30" customHeight="1">
      <x:c r="A440" s="138" t="str">
        <x:v>Draft</x:v>
      </x:c>
      <x:c r="B440" s="138" t="str">
        <x:v>Adapter</x:v>
      </x:c>
      <x:c r="C440" s="138" t="str">
        <x:v>ADP_ST_JIC_M_08_ORB_M_16</x:v>
      </x:c>
      <x:c r="D440" s="138" t="str">
        <x:v>ADP_ST_JIC_M_08_ORB_M_16</x:v>
      </x:c>
      <x:c r="E440" s="138" t="str">
        <x:v>EA</x:v>
      </x:c>
      <x:c r="F440" s="139"/>
      <x:c r="G440" s="141" t="n">
        <x:v>1</x:v>
      </x:c>
      <x:c r="H440" s="141" t="n">
        <x:v>1</x:v>
      </x:c>
      <x:c r="I440" s="143"/>
      <x:c r="J440" s="141" t="n">
        <x:v>10</x:v>
      </x:c>
      <x:c r="K440" s="138" t="str">
        <x:v>China</x:v>
      </x:c>
      <x:c r="L440" t="str">
        <x:v>USD</x:v>
      </x:c>
      <x:c r="M440" s="126"/>
      <x:c r="N440"/>
      <x:c r="O440"/>
      <x:c r="P440" s="145"/>
      <x:c r="Q440" s="126"/>
      <x:c r="R440" s="149" t="n">
        <x:v>7.97</x:v>
      </x:c>
      <x:c r="S440" s="145"/>
      <x:c r="T440" s="145"/>
      <x:c r="U440" s="124"/>
      <x:c r="V440" s="124"/>
      <x:c r="W440" s="124"/>
      <x:c r="X440" s="124"/>
      <x:c r="Y440"/>
      <x:c r="Z440"/>
      <x:c r="AA440" s="116" t="str">
        <x:v>Net unit weight is not supplied in 05. Order-level RFQ minimum: USD 100. Retail source: DHH exact 6400-08-16; direct each price; observed 2026-08-15; https://www.discounthydraulichose.com/6400-jic-37-x-straight-thread-orb.html</x:v>
      </x:c>
      <x:c r="AB440" s="161" t="str">
        <x:v>Eligible</x:v>
      </x:c>
      <x:c r="AC440" s="161" t="str">
        <x:v>Pending</x:v>
      </x:c>
      <x:c r="AD440" t="str">
        <x:v>Units</x:v>
      </x:c>
      <x:c r="AE440" s="145"/>
      <x:c r="AF440" s="145"/>
      <x:c r="AG440" s="145"/>
      <x:c r="AH440" s="145"/>
      <x:c r="AI440" s="145"/>
      <x:c r="AJ440"/>
    </x:row>
    <x:row r="441" ht="30" customHeight="1">
      <x:c r="A441" s="138" t="str">
        <x:v>Draft</x:v>
      </x:c>
      <x:c r="B441" s="138" t="str">
        <x:v>Adapter</x:v>
      </x:c>
      <x:c r="C441" s="138" t="str">
        <x:v>ADP_ST_ORFS_M_10_NPT_M_08</x:v>
      </x:c>
      <x:c r="D441" s="138" t="str">
        <x:v>ADP_ST_ORFS_M_10_NPT_M_08</x:v>
      </x:c>
      <x:c r="E441" s="138" t="str">
        <x:v>EA</x:v>
      </x:c>
      <x:c r="F441" s="139"/>
      <x:c r="G441" s="141" t="n">
        <x:v>1</x:v>
      </x:c>
      <x:c r="H441" s="141" t="n">
        <x:v>1</x:v>
      </x:c>
      <x:c r="I441" s="143"/>
      <x:c r="J441" s="141" t="n">
        <x:v>10</x:v>
      </x:c>
      <x:c r="K441" s="138" t="str">
        <x:v>China</x:v>
      </x:c>
      <x:c r="L441" t="str">
        <x:v>USD</x:v>
      </x:c>
      <x:c r="M441" s="126"/>
      <x:c r="N441"/>
      <x:c r="O441"/>
      <x:c r="P441" s="145"/>
      <x:c r="Q441" s="126"/>
      <x:c r="R441" s="149" t="n">
        <x:v>4.17</x:v>
      </x:c>
      <x:c r="S441" s="145"/>
      <x:c r="T441" s="145"/>
      <x:c r="U441" s="124"/>
      <x:c r="V441" s="124"/>
      <x:c r="W441" s="124"/>
      <x:c r="X441" s="124"/>
      <x:c r="Y441"/>
      <x:c r="Z441"/>
      <x:c r="AA441" s="116" t="str">
        <x:v>Net unit weight is not supplied in 05. Order-level RFQ minimum: USD 100. Retail source: DHH exact FS2404-10-08; direct each price; observed 2026-08-15; https://www.discounthydraulichose.com/fs2404-face-seal-x-male-pipe.html</x:v>
      </x:c>
      <x:c r="AB441" s="161" t="str">
        <x:v>Eligible</x:v>
      </x:c>
      <x:c r="AC441" s="161" t="str">
        <x:v>Pending</x:v>
      </x:c>
      <x:c r="AD441" t="str">
        <x:v>Units</x:v>
      </x:c>
      <x:c r="AE441" s="145"/>
      <x:c r="AF441" s="145"/>
      <x:c r="AG441" s="145"/>
      <x:c r="AH441" s="145"/>
      <x:c r="AI441" s="145"/>
      <x:c r="AJ441"/>
    </x:row>
    <x:row r="442" ht="30" customHeight="1">
      <x:c r="A442" s="138" t="str">
        <x:v>Draft</x:v>
      </x:c>
      <x:c r="B442" s="138" t="str">
        <x:v>Adapter</x:v>
      </x:c>
      <x:c r="C442" s="138" t="str">
        <x:v>ADP_ST_ORFS_M_10_NPT_M_12</x:v>
      </x:c>
      <x:c r="D442" s="138" t="str">
        <x:v>ADP_ST_ORFS_M_10_NPT_M_12</x:v>
      </x:c>
      <x:c r="E442" s="138" t="str">
        <x:v>EA</x:v>
      </x:c>
      <x:c r="F442" s="139"/>
      <x:c r="G442" s="141" t="n">
        <x:v>1</x:v>
      </x:c>
      <x:c r="H442" s="141" t="n">
        <x:v>1</x:v>
      </x:c>
      <x:c r="I442" s="143"/>
      <x:c r="J442" s="141" t="n">
        <x:v>10</x:v>
      </x:c>
      <x:c r="K442" s="138" t="str">
        <x:v>China</x:v>
      </x:c>
      <x:c r="L442" t="str">
        <x:v>USD</x:v>
      </x:c>
      <x:c r="M442" s="126"/>
      <x:c r="N442"/>
      <x:c r="O442"/>
      <x:c r="P442" s="145"/>
      <x:c r="Q442" s="126"/>
      <x:c r="R442" s="149" t="n">
        <x:v>6.85</x:v>
      </x:c>
      <x:c r="S442" s="145"/>
      <x:c r="T442" s="145"/>
      <x:c r="U442" s="124"/>
      <x:c r="V442" s="124"/>
      <x:c r="W442" s="124"/>
      <x:c r="X442" s="124"/>
      <x:c r="Y442"/>
      <x:c r="Z442"/>
      <x:c r="AA442" s="116" t="str">
        <x:v>Net unit weight is not supplied in 05. Order-level RFQ minimum: USD 100. Retail source: DHH exact FS2404-10-12; direct each price; observed 2026-08-15; https://www.discounthydraulichose.com/fs2404-face-seal-x-male-pipe.html</x:v>
      </x:c>
      <x:c r="AB442" s="161" t="str">
        <x:v>Eligible</x:v>
      </x:c>
      <x:c r="AC442" s="161" t="str">
        <x:v>Pending</x:v>
      </x:c>
      <x:c r="AD442" t="str">
        <x:v>Units</x:v>
      </x:c>
      <x:c r="AE442" s="145"/>
      <x:c r="AF442" s="145"/>
      <x:c r="AG442" s="145"/>
      <x:c r="AH442" s="145"/>
      <x:c r="AI442" s="145"/>
      <x:c r="AJ442"/>
    </x:row>
    <x:row r="443" ht="30" customHeight="1">
      <x:c r="A443" s="138" t="str">
        <x:v>Draft</x:v>
      </x:c>
      <x:c r="B443" s="138" t="str">
        <x:v>Adapter</x:v>
      </x:c>
      <x:c r="C443" s="138" t="str">
        <x:v>ADP_ST_ORFS_M_12_NPT_M_08</x:v>
      </x:c>
      <x:c r="D443" s="138" t="str">
        <x:v>ADP_ST_ORFS_M_12_NPT_M_08</x:v>
      </x:c>
      <x:c r="E443" s="138" t="str">
        <x:v>EA</x:v>
      </x:c>
      <x:c r="F443" s="139"/>
      <x:c r="G443" s="141" t="n">
        <x:v>1</x:v>
      </x:c>
      <x:c r="H443" s="141" t="n">
        <x:v>1</x:v>
      </x:c>
      <x:c r="I443" s="143"/>
      <x:c r="J443" s="141" t="n">
        <x:v>10</x:v>
      </x:c>
      <x:c r="K443" s="138" t="str">
        <x:v>China</x:v>
      </x:c>
      <x:c r="L443" t="str">
        <x:v>USD</x:v>
      </x:c>
      <x:c r="M443" s="126"/>
      <x:c r="N443"/>
      <x:c r="O443"/>
      <x:c r="P443" s="145"/>
      <x:c r="Q443" s="126"/>
      <x:c r="R443" s="149" t="n">
        <x:v>5.04</x:v>
      </x:c>
      <x:c r="S443" s="145"/>
      <x:c r="T443" s="145"/>
      <x:c r="U443" s="124"/>
      <x:c r="V443" s="124"/>
      <x:c r="W443" s="124"/>
      <x:c r="X443" s="124"/>
      <x:c r="Y443"/>
      <x:c r="Z443"/>
      <x:c r="AA443" s="116" t="str">
        <x:v>Net unit weight is not supplied in 05. Order-level RFQ minimum: USD 100. Retail source: DHH exact FS2404-12-08; direct each price; observed 2026-08-15; https://www.discounthydraulichose.com/fs2404-face-seal-x-male-pipe.html</x:v>
      </x:c>
      <x:c r="AB443" s="161" t="str">
        <x:v>Eligible</x:v>
      </x:c>
      <x:c r="AC443" s="161" t="str">
        <x:v>Pending</x:v>
      </x:c>
      <x:c r="AD443" t="str">
        <x:v>Units</x:v>
      </x:c>
      <x:c r="AE443" s="145"/>
      <x:c r="AF443" s="145"/>
      <x:c r="AG443" s="145"/>
      <x:c r="AH443" s="145"/>
      <x:c r="AI443" s="145"/>
      <x:c r="AJ443"/>
    </x:row>
    <x:row r="444" ht="30" customHeight="1">
      <x:c r="A444" s="138" t="str">
        <x:v>Draft</x:v>
      </x:c>
      <x:c r="B444" s="138" t="str">
        <x:v>Adapter</x:v>
      </x:c>
      <x:c r="C444" s="138" t="str">
        <x:v>ADP_ST_ORFS_M_12_NPT_M_12</x:v>
      </x:c>
      <x:c r="D444" s="138" t="str">
        <x:v>ADP_ST_ORFS_M_12_NPT_M_12</x:v>
      </x:c>
      <x:c r="E444" s="138" t="str">
        <x:v>EA</x:v>
      </x:c>
      <x:c r="F444" s="139"/>
      <x:c r="G444" s="141" t="n">
        <x:v>1</x:v>
      </x:c>
      <x:c r="H444" s="141" t="n">
        <x:v>1</x:v>
      </x:c>
      <x:c r="I444" s="143"/>
      <x:c r="J444" s="141" t="n">
        <x:v>10</x:v>
      </x:c>
      <x:c r="K444" s="138" t="str">
        <x:v>China</x:v>
      </x:c>
      <x:c r="L444" t="str">
        <x:v>USD</x:v>
      </x:c>
      <x:c r="M444" s="126"/>
      <x:c r="N444"/>
      <x:c r="O444"/>
      <x:c r="P444" s="145"/>
      <x:c r="Q444" s="126"/>
      <x:c r="R444" s="149" t="n">
        <x:v>6.04</x:v>
      </x:c>
      <x:c r="S444" s="145"/>
      <x:c r="T444" s="145"/>
      <x:c r="U444" s="124"/>
      <x:c r="V444" s="124"/>
      <x:c r="W444" s="124"/>
      <x:c r="X444" s="124"/>
      <x:c r="Y444"/>
      <x:c r="Z444"/>
      <x:c r="AA444" s="116" t="str">
        <x:v>Net unit weight is not supplied in 05. Order-level RFQ minimum: USD 100. Retail source: DHH exact FS2404-12-12; direct each price; observed 2026-08-15; https://www.discounthydraulichose.com/fs2404-face-seal-x-male-pipe.html</x:v>
      </x:c>
      <x:c r="AB444" s="161" t="str">
        <x:v>Eligible</x:v>
      </x:c>
      <x:c r="AC444" s="161" t="str">
        <x:v>Pending</x:v>
      </x:c>
      <x:c r="AD444" t="str">
        <x:v>Units</x:v>
      </x:c>
      <x:c r="AE444" s="145"/>
      <x:c r="AF444" s="145"/>
      <x:c r="AG444" s="145"/>
      <x:c r="AH444" s="145"/>
      <x:c r="AI444" s="145"/>
      <x:c r="AJ444"/>
    </x:row>
    <x:row r="445" ht="30" customHeight="1">
      <x:c r="A445" s="138" t="str">
        <x:v>Draft</x:v>
      </x:c>
      <x:c r="B445" s="138" t="str">
        <x:v>Adapter</x:v>
      </x:c>
      <x:c r="C445" s="138" t="str">
        <x:v>ADP_ST_ORFS_M_12_NPT_M_16</x:v>
      </x:c>
      <x:c r="D445" s="138" t="str">
        <x:v>ADP_ST_ORFS_M_12_NPT_M_16</x:v>
      </x:c>
      <x:c r="E445" s="138" t="str">
        <x:v>EA</x:v>
      </x:c>
      <x:c r="F445" s="139"/>
      <x:c r="G445" s="141" t="n">
        <x:v>1</x:v>
      </x:c>
      <x:c r="H445" s="141" t="n">
        <x:v>1</x:v>
      </x:c>
      <x:c r="I445" s="143"/>
      <x:c r="J445" s="141" t="n">
        <x:v>10</x:v>
      </x:c>
      <x:c r="K445" s="138" t="str">
        <x:v>China</x:v>
      </x:c>
      <x:c r="L445" t="str">
        <x:v>USD</x:v>
      </x:c>
      <x:c r="M445" s="126"/>
      <x:c r="N445"/>
      <x:c r="O445"/>
      <x:c r="P445" s="145"/>
      <x:c r="Q445" s="126"/>
      <x:c r="R445" s="149" t="n">
        <x:v>9.43</x:v>
      </x:c>
      <x:c r="S445" s="145"/>
      <x:c r="T445" s="145"/>
      <x:c r="U445" s="124"/>
      <x:c r="V445" s="124"/>
      <x:c r="W445" s="124"/>
      <x:c r="X445" s="124"/>
      <x:c r="Y445"/>
      <x:c r="Z445"/>
      <x:c r="AA445" s="116" t="str">
        <x:v>Net unit weight is not supplied in 05. Order-level RFQ minimum: USD 100. Retail source: DHH exact FS2404-12-16; direct each price; observed 2026-08-15; https://www.discounthydraulichose.com/fs2404-face-seal-x-male-pipe.html</x:v>
      </x:c>
      <x:c r="AB445" s="161" t="str">
        <x:v>Eligible</x:v>
      </x:c>
      <x:c r="AC445" s="161" t="str">
        <x:v>Pending</x:v>
      </x:c>
      <x:c r="AD445" t="str">
        <x:v>Units</x:v>
      </x:c>
      <x:c r="AE445" s="145"/>
      <x:c r="AF445" s="145"/>
      <x:c r="AG445" s="145"/>
      <x:c r="AH445" s="145"/>
      <x:c r="AI445" s="145"/>
      <x:c r="AJ445"/>
    </x:row>
    <x:row r="446" ht="30" customHeight="1">
      <x:c r="A446" s="138" t="str">
        <x:v>Draft</x:v>
      </x:c>
      <x:c r="B446" s="138" t="str">
        <x:v>Adapter</x:v>
      </x:c>
      <x:c r="C446" s="138" t="str">
        <x:v>ADP_ST_ORFS_M_16_NPT_M_12</x:v>
      </x:c>
      <x:c r="D446" s="138" t="str">
        <x:v>ADP_ST_ORFS_M_16_NPT_M_12</x:v>
      </x:c>
      <x:c r="E446" s="138" t="str">
        <x:v>EA</x:v>
      </x:c>
      <x:c r="F446" s="139"/>
      <x:c r="G446" s="141" t="n">
        <x:v>1</x:v>
      </x:c>
      <x:c r="H446" s="141" t="n">
        <x:v>1</x:v>
      </x:c>
      <x:c r="I446" s="143"/>
      <x:c r="J446" s="141" t="n">
        <x:v>10</x:v>
      </x:c>
      <x:c r="K446" s="138" t="str">
        <x:v>China</x:v>
      </x:c>
      <x:c r="L446" t="str">
        <x:v>USD</x:v>
      </x:c>
      <x:c r="M446" s="126"/>
      <x:c r="N446"/>
      <x:c r="O446"/>
      <x:c r="P446" s="145"/>
      <x:c r="Q446" s="126"/>
      <x:c r="R446" s="149" t="n">
        <x:v>11.73</x:v>
      </x:c>
      <x:c r="S446" s="145"/>
      <x:c r="T446" s="145"/>
      <x:c r="U446" s="124"/>
      <x:c r="V446" s="124"/>
      <x:c r="W446" s="124"/>
      <x:c r="X446" s="124"/>
      <x:c r="Y446"/>
      <x:c r="Z446"/>
      <x:c r="AA446" s="116" t="str">
        <x:v>Net unit weight is not supplied in 05. Order-level RFQ minimum: USD 100. Retail source: DHH exact FS2404-16-12; direct each price; observed 2026-08-15; https://www.discounthydraulichose.com/fs2404-face-seal-x-male-pipe.html</x:v>
      </x:c>
      <x:c r="AB446" s="161" t="str">
        <x:v>Eligible</x:v>
      </x:c>
      <x:c r="AC446" s="161" t="str">
        <x:v>Pending</x:v>
      </x:c>
      <x:c r="AD446" t="str">
        <x:v>Units</x:v>
      </x:c>
      <x:c r="AE446" s="145"/>
      <x:c r="AF446" s="145"/>
      <x:c r="AG446" s="145"/>
      <x:c r="AH446" s="145"/>
      <x:c r="AI446" s="145"/>
      <x:c r="AJ446"/>
    </x:row>
    <x:row r="447" ht="30" customHeight="1">
      <x:c r="A447" s="138" t="str">
        <x:v>Draft</x:v>
      </x:c>
      <x:c r="B447" s="138" t="str">
        <x:v>Adapter</x:v>
      </x:c>
      <x:c r="C447" s="138" t="str">
        <x:v>ADP_ST_ORFS_M_16_NPT_M_16</x:v>
      </x:c>
      <x:c r="D447" s="138" t="str">
        <x:v>ADP_ST_ORFS_M_16_NPT_M_16</x:v>
      </x:c>
      <x:c r="E447" s="138" t="str">
        <x:v>EA</x:v>
      </x:c>
      <x:c r="F447" s="139"/>
      <x:c r="G447" s="141" t="n">
        <x:v>1</x:v>
      </x:c>
      <x:c r="H447" s="141" t="n">
        <x:v>1</x:v>
      </x:c>
      <x:c r="I447" s="143"/>
      <x:c r="J447" s="141" t="n">
        <x:v>10</x:v>
      </x:c>
      <x:c r="K447" s="138" t="str">
        <x:v>China</x:v>
      </x:c>
      <x:c r="L447" t="str">
        <x:v>USD</x:v>
      </x:c>
      <x:c r="M447" s="126"/>
      <x:c r="N447"/>
      <x:c r="O447"/>
      <x:c r="P447" s="145"/>
      <x:c r="Q447" s="126"/>
      <x:c r="R447" s="149" t="n">
        <x:v>9</x:v>
      </x:c>
      <x:c r="S447" s="145"/>
      <x:c r="T447" s="145"/>
      <x:c r="U447" s="124"/>
      <x:c r="V447" s="124"/>
      <x:c r="W447" s="124"/>
      <x:c r="X447" s="124"/>
      <x:c r="Y447"/>
      <x:c r="Z447"/>
      <x:c r="AA447" s="116" t="str">
        <x:v>Net unit weight is not supplied in 05. Order-level RFQ minimum: USD 100. Retail source: DHH exact FS2404-16-16; direct each price; observed 2026-08-15; https://www.discounthydraulichose.com/fs2404-face-seal-x-male-pipe.html</x:v>
      </x:c>
      <x:c r="AB447" s="161" t="str">
        <x:v>Eligible</x:v>
      </x:c>
      <x:c r="AC447" s="161" t="str">
        <x:v>Pending</x:v>
      </x:c>
      <x:c r="AD447" t="str">
        <x:v>Units</x:v>
      </x:c>
      <x:c r="AE447" s="145"/>
      <x:c r="AF447" s="145"/>
      <x:c r="AG447" s="145"/>
      <x:c r="AH447" s="145"/>
      <x:c r="AI447" s="145"/>
      <x:c r="AJ447"/>
    </x:row>
    <x:row r="448" ht="30" customHeight="1">
      <x:c r="A448" s="138" t="str">
        <x:v>Draft</x:v>
      </x:c>
      <x:c r="B448" s="138" t="str">
        <x:v>Adapter</x:v>
      </x:c>
      <x:c r="C448" s="138" t="str">
        <x:v>ADP_ST_ORFS_M_16_NPT_M_20</x:v>
      </x:c>
      <x:c r="D448" s="138" t="str">
        <x:v>ADP_ST_ORFS_M_16_NPT_M_20</x:v>
      </x:c>
      <x:c r="E448" s="138" t="str">
        <x:v>EA</x:v>
      </x:c>
      <x:c r="F448" s="139"/>
      <x:c r="G448" s="141" t="n">
        <x:v>1</x:v>
      </x:c>
      <x:c r="H448" s="141" t="n">
        <x:v>1</x:v>
      </x:c>
      <x:c r="I448" s="143"/>
      <x:c r="J448" s="141" t="n">
        <x:v>10</x:v>
      </x:c>
      <x:c r="K448" s="138" t="str">
        <x:v>China</x:v>
      </x:c>
      <x:c r="L448" t="str">
        <x:v>USD</x:v>
      </x:c>
      <x:c r="M448" s="126"/>
      <x:c r="N448"/>
      <x:c r="O448"/>
      <x:c r="P448" s="145"/>
      <x:c r="Q448" s="126"/>
      <x:c r="R448" s="149" t="n">
        <x:v>47.11</x:v>
      </x:c>
      <x:c r="S448" s="145"/>
      <x:c r="T448" s="145"/>
      <x:c r="U448" s="124"/>
      <x:c r="V448" s="124"/>
      <x:c r="W448" s="124"/>
      <x:c r="X448" s="124"/>
      <x:c r="Y448"/>
      <x:c r="Z448"/>
      <x:c r="AA448" s="116" t="str">
        <x:v>Net unit weight is not supplied in 05. Order-level RFQ minimum: USD 100. Retail source: DHH exact FS2404-16-20; direct each price; observed 2026-08-15; https://www.discounthydraulichose.com/fs2404-face-seal-x-male-pipe.html</x:v>
      </x:c>
      <x:c r="AB448" s="161" t="str">
        <x:v>Eligible</x:v>
      </x:c>
      <x:c r="AC448" s="161" t="str">
        <x:v>Pending</x:v>
      </x:c>
      <x:c r="AD448" t="str">
        <x:v>Units</x:v>
      </x:c>
      <x:c r="AE448" s="145"/>
      <x:c r="AF448" s="145"/>
      <x:c r="AG448" s="145"/>
      <x:c r="AH448" s="145"/>
      <x:c r="AI448" s="145"/>
      <x:c r="AJ448"/>
    </x:row>
    <x:row r="449" ht="30" customHeight="1">
      <x:c r="A449" s="138" t="str">
        <x:v>Draft</x:v>
      </x:c>
      <x:c r="B449" s="138" t="str">
        <x:v>Adapter</x:v>
      </x:c>
      <x:c r="C449" s="138" t="str">
        <x:v>ADP_ST_ORFS_M_20_NPT_M_16</x:v>
      </x:c>
      <x:c r="D449" s="138" t="str">
        <x:v>ADP_ST_ORFS_M_20_NPT_M_16</x:v>
      </x:c>
      <x:c r="E449" s="138" t="str">
        <x:v>EA</x:v>
      </x:c>
      <x:c r="F449" s="139"/>
      <x:c r="G449" s="141" t="n">
        <x:v>1</x:v>
      </x:c>
      <x:c r="H449" s="141" t="n">
        <x:v>1</x:v>
      </x:c>
      <x:c r="I449" s="143"/>
      <x:c r="J449" s="141" t="n">
        <x:v>10</x:v>
      </x:c>
      <x:c r="K449" s="138" t="str">
        <x:v>China</x:v>
      </x:c>
      <x:c r="L449" t="str">
        <x:v>USD</x:v>
      </x:c>
      <x:c r="M449" s="126"/>
      <x:c r="N449"/>
      <x:c r="O449"/>
      <x:c r="P449" s="145"/>
      <x:c r="Q449" s="126"/>
      <x:c r="R449" s="149" t="n">
        <x:v>17.65</x:v>
      </x:c>
      <x:c r="S449" s="145"/>
      <x:c r="T449" s="145"/>
      <x:c r="U449" s="124"/>
      <x:c r="V449" s="124"/>
      <x:c r="W449" s="124"/>
      <x:c r="X449" s="124"/>
      <x:c r="Y449"/>
      <x:c r="Z449"/>
      <x:c r="AA449" s="116" t="str">
        <x:v>Net unit weight is not supplied in 05. Order-level RFQ minimum: USD 100. Retail source: DHH exact FS2404-20-16; direct each price; observed 2026-08-15; https://www.discounthydraulichose.com/fs2404-face-seal-x-male-pipe.html</x:v>
      </x:c>
      <x:c r="AB449" s="161" t="str">
        <x:v>Eligible</x:v>
      </x:c>
      <x:c r="AC449" s="161" t="str">
        <x:v>Pending</x:v>
      </x:c>
      <x:c r="AD449" t="str">
        <x:v>Units</x:v>
      </x:c>
      <x:c r="AE449" s="145"/>
      <x:c r="AF449" s="145"/>
      <x:c r="AG449" s="145"/>
      <x:c r="AH449" s="145"/>
      <x:c r="AI449" s="145"/>
      <x:c r="AJ449"/>
    </x:row>
    <x:row r="450" ht="30" customHeight="1">
      <x:c r="A450" s="138" t="str">
        <x:v>Draft</x:v>
      </x:c>
      <x:c r="B450" s="138" t="str">
        <x:v>Adapter</x:v>
      </x:c>
      <x:c r="C450" s="138" t="str">
        <x:v>ADP_ST_ORFS_M_20_NPT_M_20</x:v>
      </x:c>
      <x:c r="D450" s="138" t="str">
        <x:v>ADP_ST_ORFS_M_20_NPT_M_20</x:v>
      </x:c>
      <x:c r="E450" s="138" t="str">
        <x:v>EA</x:v>
      </x:c>
      <x:c r="F450" s="139"/>
      <x:c r="G450" s="141" t="n">
        <x:v>1</x:v>
      </x:c>
      <x:c r="H450" s="141" t="n">
        <x:v>1</x:v>
      </x:c>
      <x:c r="I450" s="143"/>
      <x:c r="J450" s="141" t="n">
        <x:v>10</x:v>
      </x:c>
      <x:c r="K450" s="138" t="str">
        <x:v>China</x:v>
      </x:c>
      <x:c r="L450" t="str">
        <x:v>USD</x:v>
      </x:c>
      <x:c r="M450" s="126"/>
      <x:c r="N450"/>
      <x:c r="O450"/>
      <x:c r="P450" s="145"/>
      <x:c r="Q450" s="126"/>
      <x:c r="R450" s="149" t="n">
        <x:v>15.82</x:v>
      </x:c>
      <x:c r="S450" s="145"/>
      <x:c r="T450" s="145"/>
      <x:c r="U450" s="124"/>
      <x:c r="V450" s="124"/>
      <x:c r="W450" s="124"/>
      <x:c r="X450" s="124"/>
      <x:c r="Y450"/>
      <x:c r="Z450"/>
      <x:c r="AA450" s="116" t="str">
        <x:v>Net unit weight is not supplied in 05. Order-level RFQ minimum: USD 100. Retail source: DHH exact FS2404-20-20; direct each price; observed 2026-08-15; https://www.discounthydraulichose.com/fs2404-face-seal-x-male-pipe.html</x:v>
      </x:c>
      <x:c r="AB450" s="161" t="str">
        <x:v>Eligible</x:v>
      </x:c>
      <x:c r="AC450" s="161" t="str">
        <x:v>Pending</x:v>
      </x:c>
      <x:c r="AD450" t="str">
        <x:v>Units</x:v>
      </x:c>
      <x:c r="AE450" s="145"/>
      <x:c r="AF450" s="145"/>
      <x:c r="AG450" s="145"/>
      <x:c r="AH450" s="145"/>
      <x:c r="AI450" s="145"/>
      <x:c r="AJ450"/>
    </x:row>
    <x:row r="451" ht="30" customHeight="1">
      <x:c r="A451" s="138" t="str">
        <x:v>Draft</x:v>
      </x:c>
      <x:c r="B451" s="138" t="str">
        <x:v>Adapter</x:v>
      </x:c>
      <x:c r="C451" s="138" t="str">
        <x:v>ADP_ST_ORFS_M_24_NPT_M_24</x:v>
      </x:c>
      <x:c r="D451" s="138" t="str">
        <x:v>ADP_ST_ORFS_M_24_NPT_M_24</x:v>
      </x:c>
      <x:c r="E451" s="138" t="str">
        <x:v>EA</x:v>
      </x:c>
      <x:c r="F451" s="139"/>
      <x:c r="G451" s="141" t="n">
        <x:v>1</x:v>
      </x:c>
      <x:c r="H451" s="141" t="n">
        <x:v>1</x:v>
      </x:c>
      <x:c r="I451" s="143"/>
      <x:c r="J451" s="141" t="n">
        <x:v>10</x:v>
      </x:c>
      <x:c r="K451" s="138" t="str">
        <x:v>China</x:v>
      </x:c>
      <x:c r="L451" t="str">
        <x:v>USD</x:v>
      </x:c>
      <x:c r="M451" s="126"/>
      <x:c r="N451"/>
      <x:c r="O451"/>
      <x:c r="P451" s="145"/>
      <x:c r="Q451" s="126"/>
      <x:c r="R451" s="149" t="n">
        <x:v>25.11</x:v>
      </x:c>
      <x:c r="S451" s="145"/>
      <x:c r="T451" s="145"/>
      <x:c r="U451" s="124"/>
      <x:c r="V451" s="124"/>
      <x:c r="W451" s="124"/>
      <x:c r="X451" s="124"/>
      <x:c r="Y451"/>
      <x:c r="Z451"/>
      <x:c r="AA451" s="116" t="str">
        <x:v>Net unit weight is not supplied in 05. Order-level RFQ minimum: USD 100. Retail source: DHH exact FS2404-24-24; direct each price; observed 2026-08-15; https://www.discounthydraulichose.com/fs2404-face-seal-x-male-pipe.html</x:v>
      </x:c>
      <x:c r="AB451" s="161" t="str">
        <x:v>Eligible</x:v>
      </x:c>
      <x:c r="AC451" s="161" t="str">
        <x:v>Pending</x:v>
      </x:c>
      <x:c r="AD451" t="str">
        <x:v>Units</x:v>
      </x:c>
      <x:c r="AE451" s="145"/>
      <x:c r="AF451" s="145"/>
      <x:c r="AG451" s="145"/>
      <x:c r="AH451" s="145"/>
      <x:c r="AI451" s="145"/>
      <x:c r="AJ451"/>
    </x:row>
    <x:row r="452" ht="30" customHeight="1">
      <x:c r="A452" s="138" t="str">
        <x:v>Draft</x:v>
      </x:c>
      <x:c r="B452" s="138" t="str">
        <x:v>Adapter</x:v>
      </x:c>
      <x:c r="C452" s="138" t="str">
        <x:v>ADP_ST_ORFS_M_04_NPT_M_02</x:v>
      </x:c>
      <x:c r="D452" s="138" t="str">
        <x:v>ADP_ST_ORFS_M_04_NPT_M_02</x:v>
      </x:c>
      <x:c r="E452" s="138" t="str">
        <x:v>EA</x:v>
      </x:c>
      <x:c r="F452" s="139"/>
      <x:c r="G452" s="141" t="n">
        <x:v>1</x:v>
      </x:c>
      <x:c r="H452" s="141" t="n">
        <x:v>1</x:v>
      </x:c>
      <x:c r="I452" s="143"/>
      <x:c r="J452" s="141" t="n">
        <x:v>10</x:v>
      </x:c>
      <x:c r="K452" s="138" t="str">
        <x:v>China</x:v>
      </x:c>
      <x:c r="L452" t="str">
        <x:v>USD</x:v>
      </x:c>
      <x:c r="M452" s="126"/>
      <x:c r="N452"/>
      <x:c r="O452"/>
      <x:c r="P452" s="145"/>
      <x:c r="Q452" s="126"/>
      <x:c r="R452" s="149" t="n">
        <x:v>1.82</x:v>
      </x:c>
      <x:c r="S452" s="145"/>
      <x:c r="T452" s="145"/>
      <x:c r="U452" s="124"/>
      <x:c r="V452" s="124"/>
      <x:c r="W452" s="124"/>
      <x:c r="X452" s="124"/>
      <x:c r="Y452"/>
      <x:c r="Z452"/>
      <x:c r="AA452" s="116" t="str">
        <x:v>Net unit weight is not supplied in 05. Order-level RFQ minimum: USD 100. Retail source: DHH exact FS2404-04-02; direct each price; observed 2026-08-15; https://www.discounthydraulichose.com/fs2404-face-seal-x-male-pipe.html</x:v>
      </x:c>
      <x:c r="AB452" s="161" t="str">
        <x:v>Eligible</x:v>
      </x:c>
      <x:c r="AC452" s="161" t="str">
        <x:v>Pending</x:v>
      </x:c>
      <x:c r="AD452" t="str">
        <x:v>Units</x:v>
      </x:c>
      <x:c r="AE452" s="145"/>
      <x:c r="AF452" s="145"/>
      <x:c r="AG452" s="145"/>
      <x:c r="AH452" s="145"/>
      <x:c r="AI452" s="145"/>
      <x:c r="AJ452"/>
    </x:row>
    <x:row r="453" ht="30" customHeight="1">
      <x:c r="A453" s="138" t="str">
        <x:v>Draft</x:v>
      </x:c>
      <x:c r="B453" s="138" t="str">
        <x:v>Adapter</x:v>
      </x:c>
      <x:c r="C453" s="138" t="str">
        <x:v>ADP_ST_ORFS_M_04_NPT_M_04</x:v>
      </x:c>
      <x:c r="D453" s="138" t="str">
        <x:v>ADP_ST_ORFS_M_04_NPT_M_04</x:v>
      </x:c>
      <x:c r="E453" s="138" t="str">
        <x:v>EA</x:v>
      </x:c>
      <x:c r="F453" s="139"/>
      <x:c r="G453" s="141" t="n">
        <x:v>1</x:v>
      </x:c>
      <x:c r="H453" s="141" t="n">
        <x:v>1</x:v>
      </x:c>
      <x:c r="I453" s="143"/>
      <x:c r="J453" s="141" t="n">
        <x:v>10</x:v>
      </x:c>
      <x:c r="K453" s="138" t="str">
        <x:v>China</x:v>
      </x:c>
      <x:c r="L453" t="str">
        <x:v>USD</x:v>
      </x:c>
      <x:c r="M453" s="126"/>
      <x:c r="N453"/>
      <x:c r="O453"/>
      <x:c r="P453" s="145"/>
      <x:c r="Q453" s="126"/>
      <x:c r="R453" s="149" t="n">
        <x:v>1.91</x:v>
      </x:c>
      <x:c r="S453" s="145"/>
      <x:c r="T453" s="145"/>
      <x:c r="U453" s="124"/>
      <x:c r="V453" s="124"/>
      <x:c r="W453" s="124"/>
      <x:c r="X453" s="124"/>
      <x:c r="Y453"/>
      <x:c r="Z453"/>
      <x:c r="AA453" s="116" t="str">
        <x:v>Net unit weight is not supplied in 05. Order-level RFQ minimum: USD 100. Retail source: DHH exact FS2404-04-04; direct each price; observed 2026-08-15; https://www.discounthydraulichose.com/fs2404-face-seal-x-male-pipe.html</x:v>
      </x:c>
      <x:c r="AB453" s="161" t="str">
        <x:v>Eligible</x:v>
      </x:c>
      <x:c r="AC453" s="161" t="str">
        <x:v>Pending</x:v>
      </x:c>
      <x:c r="AD453" t="str">
        <x:v>Units</x:v>
      </x:c>
      <x:c r="AE453" s="145"/>
      <x:c r="AF453" s="145"/>
      <x:c r="AG453" s="145"/>
      <x:c r="AH453" s="145"/>
      <x:c r="AI453" s="145"/>
      <x:c r="AJ453"/>
    </x:row>
    <x:row r="454" ht="30" customHeight="1">
      <x:c r="A454" s="138" t="str">
        <x:v>Draft</x:v>
      </x:c>
      <x:c r="B454" s="138" t="str">
        <x:v>Adapter</x:v>
      </x:c>
      <x:c r="C454" s="138" t="str">
        <x:v>ADP_ST_ORFS_M_04_NPT_M_06</x:v>
      </x:c>
      <x:c r="D454" s="138" t="str">
        <x:v>ADP_ST_ORFS_M_04_NPT_M_06</x:v>
      </x:c>
      <x:c r="E454" s="138" t="str">
        <x:v>EA</x:v>
      </x:c>
      <x:c r="F454" s="139"/>
      <x:c r="G454" s="141" t="n">
        <x:v>1</x:v>
      </x:c>
      <x:c r="H454" s="141" t="n">
        <x:v>1</x:v>
      </x:c>
      <x:c r="I454" s="143"/>
      <x:c r="J454" s="141" t="n">
        <x:v>10</x:v>
      </x:c>
      <x:c r="K454" s="138" t="str">
        <x:v>China</x:v>
      </x:c>
      <x:c r="L454" t="str">
        <x:v>USD</x:v>
      </x:c>
      <x:c r="M454" s="126"/>
      <x:c r="N454"/>
      <x:c r="O454"/>
      <x:c r="P454" s="145"/>
      <x:c r="Q454" s="126"/>
      <x:c r="R454" s="149" t="n">
        <x:v>2.37</x:v>
      </x:c>
      <x:c r="S454" s="145"/>
      <x:c r="T454" s="145"/>
      <x:c r="U454" s="124"/>
      <x:c r="V454" s="124"/>
      <x:c r="W454" s="124"/>
      <x:c r="X454" s="124"/>
      <x:c r="Y454"/>
      <x:c r="Z454"/>
      <x:c r="AA454" s="116" t="str">
        <x:v>Net unit weight is not supplied in 05. Order-level RFQ minimum: USD 100. Retail source: DHH exact FS2404-04-06; direct each price; observed 2026-08-15; https://www.discounthydraulichose.com/fs2404-face-seal-x-male-pipe.html</x:v>
      </x:c>
      <x:c r="AB454" s="161" t="str">
        <x:v>Eligible</x:v>
      </x:c>
      <x:c r="AC454" s="161" t="str">
        <x:v>Pending</x:v>
      </x:c>
      <x:c r="AD454" t="str">
        <x:v>Units</x:v>
      </x:c>
      <x:c r="AE454" s="145"/>
      <x:c r="AF454" s="145"/>
      <x:c r="AG454" s="145"/>
      <x:c r="AH454" s="145"/>
      <x:c r="AI454" s="145"/>
      <x:c r="AJ454"/>
    </x:row>
    <x:row r="455" ht="30" customHeight="1">
      <x:c r="A455" s="138" t="str">
        <x:v>Draft</x:v>
      </x:c>
      <x:c r="B455" s="138" t="str">
        <x:v>Adapter</x:v>
      </x:c>
      <x:c r="C455" s="138" t="str">
        <x:v>ADP_ST_ORFS_M_06_NPT_M_02</x:v>
      </x:c>
      <x:c r="D455" s="138" t="str">
        <x:v>ADP_ST_ORFS_M_06_NPT_M_02</x:v>
      </x:c>
      <x:c r="E455" s="138" t="str">
        <x:v>EA</x:v>
      </x:c>
      <x:c r="F455" s="139"/>
      <x:c r="G455" s="141" t="n">
        <x:v>1</x:v>
      </x:c>
      <x:c r="H455" s="141" t="n">
        <x:v>1</x:v>
      </x:c>
      <x:c r="I455" s="143"/>
      <x:c r="J455" s="141" t="n">
        <x:v>10</x:v>
      </x:c>
      <x:c r="K455" s="138" t="str">
        <x:v>China</x:v>
      </x:c>
      <x:c r="L455" t="str">
        <x:v>USD</x:v>
      </x:c>
      <x:c r="M455" s="126"/>
      <x:c r="N455"/>
      <x:c r="O455"/>
      <x:c r="P455" s="145"/>
      <x:c r="Q455" s="126"/>
      <x:c r="R455" s="149" t="n">
        <x:v>3.62</x:v>
      </x:c>
      <x:c r="S455" s="145"/>
      <x:c r="T455" s="145"/>
      <x:c r="U455" s="124"/>
      <x:c r="V455" s="124"/>
      <x:c r="W455" s="124"/>
      <x:c r="X455" s="124"/>
      <x:c r="Y455"/>
      <x:c r="Z455"/>
      <x:c r="AA455" s="116" t="str">
        <x:v>Net unit weight is not supplied in 05. Order-level RFQ minimum: USD 100. Retail source: DHH exact FS2404-06-02; direct each price; observed 2026-08-15; https://www.discounthydraulichose.com/fs2404-face-seal-x-male-pipe.html</x:v>
      </x:c>
      <x:c r="AB455" s="161" t="str">
        <x:v>Eligible</x:v>
      </x:c>
      <x:c r="AC455" s="161" t="str">
        <x:v>Pending</x:v>
      </x:c>
      <x:c r="AD455" t="str">
        <x:v>Units</x:v>
      </x:c>
      <x:c r="AE455" s="145"/>
      <x:c r="AF455" s="145"/>
      <x:c r="AG455" s="145"/>
      <x:c r="AH455" s="145"/>
      <x:c r="AI455" s="145"/>
      <x:c r="AJ455"/>
    </x:row>
    <x:row r="456" ht="30" customHeight="1">
      <x:c r="A456" s="138" t="str">
        <x:v>Draft</x:v>
      </x:c>
      <x:c r="B456" s="138" t="str">
        <x:v>Adapter</x:v>
      </x:c>
      <x:c r="C456" s="138" t="str">
        <x:v>ADP_ST_ORFS_M_06_NPT_M_04</x:v>
      </x:c>
      <x:c r="D456" s="138" t="str">
        <x:v>ADP_ST_ORFS_M_06_NPT_M_04</x:v>
      </x:c>
      <x:c r="E456" s="138" t="str">
        <x:v>EA</x:v>
      </x:c>
      <x:c r="F456" s="139"/>
      <x:c r="G456" s="141" t="n">
        <x:v>1</x:v>
      </x:c>
      <x:c r="H456" s="141" t="n">
        <x:v>1</x:v>
      </x:c>
      <x:c r="I456" s="143"/>
      <x:c r="J456" s="141" t="n">
        <x:v>10</x:v>
      </x:c>
      <x:c r="K456" s="138" t="str">
        <x:v>China</x:v>
      </x:c>
      <x:c r="L456" t="str">
        <x:v>USD</x:v>
      </x:c>
      <x:c r="M456" s="126"/>
      <x:c r="N456"/>
      <x:c r="O456"/>
      <x:c r="P456" s="145"/>
      <x:c r="Q456" s="126"/>
      <x:c r="R456" s="149" t="n">
        <x:v>2.11</x:v>
      </x:c>
      <x:c r="S456" s="145"/>
      <x:c r="T456" s="145"/>
      <x:c r="U456" s="124"/>
      <x:c r="V456" s="124"/>
      <x:c r="W456" s="124"/>
      <x:c r="X456" s="124"/>
      <x:c r="Y456"/>
      <x:c r="Z456"/>
      <x:c r="AA456" s="116" t="str">
        <x:v>Net unit weight is not supplied in 05. Order-level RFQ minimum: USD 100. Retail source: DHH exact FS2404-06-04; direct each price; observed 2026-08-15; https://www.discounthydraulichose.com/fs2404-face-seal-x-male-pipe.html</x:v>
      </x:c>
      <x:c r="AB456" s="161" t="str">
        <x:v>Eligible</x:v>
      </x:c>
      <x:c r="AC456" s="161" t="str">
        <x:v>Pending</x:v>
      </x:c>
      <x:c r="AD456" t="str">
        <x:v>Units</x:v>
      </x:c>
      <x:c r="AE456" s="145"/>
      <x:c r="AF456" s="145"/>
      <x:c r="AG456" s="145"/>
      <x:c r="AH456" s="145"/>
      <x:c r="AI456" s="145"/>
      <x:c r="AJ456"/>
    </x:row>
    <x:row r="457" ht="30" customHeight="1">
      <x:c r="A457" s="138" t="str">
        <x:v>Draft</x:v>
      </x:c>
      <x:c r="B457" s="138" t="str">
        <x:v>Adapter</x:v>
      </x:c>
      <x:c r="C457" s="138" t="str">
        <x:v>ADP_ST_ORFS_M_06_NPT_M_06</x:v>
      </x:c>
      <x:c r="D457" s="138" t="str">
        <x:v>ADP_ST_ORFS_M_06_NPT_M_06</x:v>
      </x:c>
      <x:c r="E457" s="138" t="str">
        <x:v>EA</x:v>
      </x:c>
      <x:c r="F457" s="139"/>
      <x:c r="G457" s="141" t="n">
        <x:v>1</x:v>
      </x:c>
      <x:c r="H457" s="141" t="n">
        <x:v>1</x:v>
      </x:c>
      <x:c r="I457" s="143"/>
      <x:c r="J457" s="141" t="n">
        <x:v>10</x:v>
      </x:c>
      <x:c r="K457" s="138" t="str">
        <x:v>China</x:v>
      </x:c>
      <x:c r="L457" t="str">
        <x:v>USD</x:v>
      </x:c>
      <x:c r="M457" s="126"/>
      <x:c r="N457"/>
      <x:c r="O457"/>
      <x:c r="P457" s="145"/>
      <x:c r="Q457" s="126"/>
      <x:c r="R457" s="149" t="n">
        <x:v>2.24</x:v>
      </x:c>
      <x:c r="S457" s="145"/>
      <x:c r="T457" s="145"/>
      <x:c r="U457" s="124"/>
      <x:c r="V457" s="124"/>
      <x:c r="W457" s="124"/>
      <x:c r="X457" s="124"/>
      <x:c r="Y457"/>
      <x:c r="Z457"/>
      <x:c r="AA457" s="116" t="str">
        <x:v>Net unit weight is not supplied in 05. Order-level RFQ minimum: USD 100. Retail source: DHH exact FS2404-06-06; direct each price; observed 2026-08-15; https://www.discounthydraulichose.com/fs2404-face-seal-x-male-pipe.html</x:v>
      </x:c>
      <x:c r="AB457" s="161" t="str">
        <x:v>Eligible</x:v>
      </x:c>
      <x:c r="AC457" s="161" t="str">
        <x:v>Pending</x:v>
      </x:c>
      <x:c r="AD457" t="str">
        <x:v>Units</x:v>
      </x:c>
      <x:c r="AE457" s="145"/>
      <x:c r="AF457" s="145"/>
      <x:c r="AG457" s="145"/>
      <x:c r="AH457" s="145"/>
      <x:c r="AI457" s="145"/>
      <x:c r="AJ457"/>
    </x:row>
    <x:row r="458" ht="30" customHeight="1">
      <x:c r="A458" s="138" t="str">
        <x:v>Draft</x:v>
      </x:c>
      <x:c r="B458" s="138" t="str">
        <x:v>Adapter</x:v>
      </x:c>
      <x:c r="C458" s="138" t="str">
        <x:v>ADP_ST_ORFS_M_06_NPT_M_08</x:v>
      </x:c>
      <x:c r="D458" s="138" t="str">
        <x:v>ADP_ST_ORFS_M_06_NPT_M_08</x:v>
      </x:c>
      <x:c r="E458" s="138" t="str">
        <x:v>EA</x:v>
      </x:c>
      <x:c r="F458" s="139"/>
      <x:c r="G458" s="141" t="n">
        <x:v>1</x:v>
      </x:c>
      <x:c r="H458" s="141" t="n">
        <x:v>1</x:v>
      </x:c>
      <x:c r="I458" s="143"/>
      <x:c r="J458" s="141" t="n">
        <x:v>10</x:v>
      </x:c>
      <x:c r="K458" s="138" t="str">
        <x:v>China</x:v>
      </x:c>
      <x:c r="L458" t="str">
        <x:v>USD</x:v>
      </x:c>
      <x:c r="M458" s="126"/>
      <x:c r="N458"/>
      <x:c r="O458"/>
      <x:c r="P458" s="145"/>
      <x:c r="Q458" s="126"/>
      <x:c r="R458" s="149" t="n">
        <x:v>3.9</x:v>
      </x:c>
      <x:c r="S458" s="145"/>
      <x:c r="T458" s="145"/>
      <x:c r="U458" s="124"/>
      <x:c r="V458" s="124"/>
      <x:c r="W458" s="124"/>
      <x:c r="X458" s="124"/>
      <x:c r="Y458"/>
      <x:c r="Z458"/>
      <x:c r="AA458" s="116" t="str">
        <x:v>Net unit weight is not supplied in 05. Order-level RFQ minimum: USD 100. Retail source: DHH exact FS2404-06-08; direct each price; observed 2026-08-15; https://www.discounthydraulichose.com/fs2404-face-seal-x-male-pipe.html</x:v>
      </x:c>
      <x:c r="AB458" s="161" t="str">
        <x:v>Eligible</x:v>
      </x:c>
      <x:c r="AC458" s="161" t="str">
        <x:v>Pending</x:v>
      </x:c>
      <x:c r="AD458" t="str">
        <x:v>Units</x:v>
      </x:c>
      <x:c r="AE458" s="145"/>
      <x:c r="AF458" s="145"/>
      <x:c r="AG458" s="145"/>
      <x:c r="AH458" s="145"/>
      <x:c r="AI458" s="145"/>
      <x:c r="AJ458"/>
    </x:row>
    <x:row r="459" ht="30" customHeight="1">
      <x:c r="A459" s="138" t="str">
        <x:v>Draft</x:v>
      </x:c>
      <x:c r="B459" s="138" t="str">
        <x:v>Adapter</x:v>
      </x:c>
      <x:c r="C459" s="138" t="str">
        <x:v>ADP_ST_ORFS_M_08_NPT_M_04</x:v>
      </x:c>
      <x:c r="D459" s="138" t="str">
        <x:v>ADP_ST_ORFS_M_08_NPT_M_04</x:v>
      </x:c>
      <x:c r="E459" s="138" t="str">
        <x:v>EA</x:v>
      </x:c>
      <x:c r="F459" s="139"/>
      <x:c r="G459" s="141" t="n">
        <x:v>1</x:v>
      </x:c>
      <x:c r="H459" s="141" t="n">
        <x:v>1</x:v>
      </x:c>
      <x:c r="I459" s="143"/>
      <x:c r="J459" s="141" t="n">
        <x:v>10</x:v>
      </x:c>
      <x:c r="K459" s="138" t="str">
        <x:v>China</x:v>
      </x:c>
      <x:c r="L459" t="str">
        <x:v>USD</x:v>
      </x:c>
      <x:c r="M459" s="126"/>
      <x:c r="N459"/>
      <x:c r="O459"/>
      <x:c r="P459" s="145"/>
      <x:c r="Q459" s="126"/>
      <x:c r="R459" s="149" t="n">
        <x:v>6.03</x:v>
      </x:c>
      <x:c r="S459" s="145"/>
      <x:c r="T459" s="145"/>
      <x:c r="U459" s="124"/>
      <x:c r="V459" s="124"/>
      <x:c r="W459" s="124"/>
      <x:c r="X459" s="124"/>
      <x:c r="Y459"/>
      <x:c r="Z459"/>
      <x:c r="AA459" s="116" t="str">
        <x:v>Net unit weight is not supplied in 05. Order-level RFQ minimum: USD 100. Retail source: DHH exact FS2404-08-04; direct each price; observed 2026-08-15; https://www.discounthydraulichose.com/fs2404-face-seal-x-male-pipe.html</x:v>
      </x:c>
      <x:c r="AB459" s="161" t="str">
        <x:v>Eligible</x:v>
      </x:c>
      <x:c r="AC459" s="161" t="str">
        <x:v>Pending</x:v>
      </x:c>
      <x:c r="AD459" t="str">
        <x:v>Units</x:v>
      </x:c>
      <x:c r="AE459" s="145"/>
      <x:c r="AF459" s="145"/>
      <x:c r="AG459" s="145"/>
      <x:c r="AH459" s="145"/>
      <x:c r="AI459" s="145"/>
      <x:c r="AJ459"/>
    </x:row>
    <x:row r="460" ht="30" customHeight="1">
      <x:c r="A460" s="138" t="str">
        <x:v>Draft</x:v>
      </x:c>
      <x:c r="B460" s="138" t="str">
        <x:v>Adapter</x:v>
      </x:c>
      <x:c r="C460" s="138" t="str">
        <x:v>ADP_ST_ORFS_M_08_NPT_M_06</x:v>
      </x:c>
      <x:c r="D460" s="138" t="str">
        <x:v>ADP_ST_ORFS_M_08_NPT_M_06</x:v>
      </x:c>
      <x:c r="E460" s="138" t="str">
        <x:v>EA</x:v>
      </x:c>
      <x:c r="F460" s="139"/>
      <x:c r="G460" s="141" t="n">
        <x:v>1</x:v>
      </x:c>
      <x:c r="H460" s="141" t="n">
        <x:v>1</x:v>
      </x:c>
      <x:c r="I460" s="143"/>
      <x:c r="J460" s="141" t="n">
        <x:v>10</x:v>
      </x:c>
      <x:c r="K460" s="138" t="str">
        <x:v>China</x:v>
      </x:c>
      <x:c r="L460" t="str">
        <x:v>USD</x:v>
      </x:c>
      <x:c r="M460" s="126"/>
      <x:c r="N460"/>
      <x:c r="O460"/>
      <x:c r="P460" s="145"/>
      <x:c r="Q460" s="126"/>
      <x:c r="R460" s="149" t="n">
        <x:v>2.66</x:v>
      </x:c>
      <x:c r="S460" s="145"/>
      <x:c r="T460" s="145"/>
      <x:c r="U460" s="124"/>
      <x:c r="V460" s="124"/>
      <x:c r="W460" s="124"/>
      <x:c r="X460" s="124"/>
      <x:c r="Y460"/>
      <x:c r="Z460"/>
      <x:c r="AA460" s="116" t="str">
        <x:v>Net unit weight is not supplied in 05. Order-level RFQ minimum: USD 100. Retail source: DHH exact FS2404-08-06; direct each price; observed 2026-08-15; https://www.discounthydraulichose.com/fs2404-face-seal-x-male-pipe.html</x:v>
      </x:c>
      <x:c r="AB460" s="161" t="str">
        <x:v>Eligible</x:v>
      </x:c>
      <x:c r="AC460" s="161" t="str">
        <x:v>Pending</x:v>
      </x:c>
      <x:c r="AD460" t="str">
        <x:v>Units</x:v>
      </x:c>
      <x:c r="AE460" s="145"/>
      <x:c r="AF460" s="145"/>
      <x:c r="AG460" s="145"/>
      <x:c r="AH460" s="145"/>
      <x:c r="AI460" s="145"/>
      <x:c r="AJ460"/>
    </x:row>
    <x:row r="461" ht="30" customHeight="1">
      <x:c r="A461" s="138" t="str">
        <x:v>Draft</x:v>
      </x:c>
      <x:c r="B461" s="138" t="str">
        <x:v>Adapter</x:v>
      </x:c>
      <x:c r="C461" s="138" t="str">
        <x:v>ADP_ST_ORFS_M_08_NPT_M_08</x:v>
      </x:c>
      <x:c r="D461" s="138" t="str">
        <x:v>ADP_ST_ORFS_M_08_NPT_M_08</x:v>
      </x:c>
      <x:c r="E461" s="138" t="str">
        <x:v>EA</x:v>
      </x:c>
      <x:c r="F461" s="139"/>
      <x:c r="G461" s="141" t="n">
        <x:v>1</x:v>
      </x:c>
      <x:c r="H461" s="141" t="n">
        <x:v>1</x:v>
      </x:c>
      <x:c r="I461" s="143"/>
      <x:c r="J461" s="141" t="n">
        <x:v>10</x:v>
      </x:c>
      <x:c r="K461" s="138" t="str">
        <x:v>China</x:v>
      </x:c>
      <x:c r="L461" t="str">
        <x:v>USD</x:v>
      </x:c>
      <x:c r="M461" s="126"/>
      <x:c r="N461"/>
      <x:c r="O461"/>
      <x:c r="P461" s="145"/>
      <x:c r="Q461" s="126"/>
      <x:c r="R461" s="149" t="n">
        <x:v>3.25</x:v>
      </x:c>
      <x:c r="S461" s="145"/>
      <x:c r="T461" s="145"/>
      <x:c r="U461" s="124"/>
      <x:c r="V461" s="124"/>
      <x:c r="W461" s="124"/>
      <x:c r="X461" s="124"/>
      <x:c r="Y461"/>
      <x:c r="Z461"/>
      <x:c r="AA461" s="116" t="str">
        <x:v>Net unit weight is not supplied in 05. Order-level RFQ minimum: USD 100. Retail source: DHH exact FS2404-08-08; direct each price; observed 2026-08-15; https://www.discounthydraulichose.com/fs2404-face-seal-x-male-pipe.html</x:v>
      </x:c>
      <x:c r="AB461" s="161" t="str">
        <x:v>Eligible</x:v>
      </x:c>
      <x:c r="AC461" s="161" t="str">
        <x:v>Pending</x:v>
      </x:c>
      <x:c r="AD461" t="str">
        <x:v>Units</x:v>
      </x:c>
      <x:c r="AE461" s="145"/>
      <x:c r="AF461" s="145"/>
      <x:c r="AG461" s="145"/>
      <x:c r="AH461" s="145"/>
      <x:c r="AI461" s="145"/>
      <x:c r="AJ461"/>
    </x:row>
    <x:row r="462" ht="30" customHeight="1">
      <x:c r="A462" s="138" t="str">
        <x:v>Draft</x:v>
      </x:c>
      <x:c r="B462" s="138" t="str">
        <x:v>Adapter</x:v>
      </x:c>
      <x:c r="C462" s="138" t="str">
        <x:v>ADP_ST_ORFS_M_08_NPT_M_12</x:v>
      </x:c>
      <x:c r="D462" s="138" t="str">
        <x:v>ADP_ST_ORFS_M_08_NPT_M_12</x:v>
      </x:c>
      <x:c r="E462" s="138" t="str">
        <x:v>EA</x:v>
      </x:c>
      <x:c r="F462" s="139"/>
      <x:c r="G462" s="141" t="n">
        <x:v>1</x:v>
      </x:c>
      <x:c r="H462" s="141" t="n">
        <x:v>1</x:v>
      </x:c>
      <x:c r="I462" s="143"/>
      <x:c r="J462" s="141" t="n">
        <x:v>10</x:v>
      </x:c>
      <x:c r="K462" s="138" t="str">
        <x:v>China</x:v>
      </x:c>
      <x:c r="L462" t="str">
        <x:v>USD</x:v>
      </x:c>
      <x:c r="M462" s="126"/>
      <x:c r="N462"/>
      <x:c r="O462"/>
      <x:c r="P462" s="145"/>
      <x:c r="Q462" s="126"/>
      <x:c r="R462" s="149" t="n">
        <x:v>5.47</x:v>
      </x:c>
      <x:c r="S462" s="145"/>
      <x:c r="T462" s="145"/>
      <x:c r="U462" s="124"/>
      <x:c r="V462" s="124"/>
      <x:c r="W462" s="124"/>
      <x:c r="X462" s="124"/>
      <x:c r="Y462"/>
      <x:c r="Z462"/>
      <x:c r="AA462" s="116" t="str">
        <x:v>Net unit weight is not supplied in 05. Order-level RFQ minimum: USD 100. Retail source: DHH exact FS2404-08-12; direct each price; observed 2026-08-15; https://www.discounthydraulichose.com/fs2404-face-seal-x-male-pipe.html</x:v>
      </x:c>
      <x:c r="AB462" s="161" t="str">
        <x:v>Eligible</x:v>
      </x:c>
      <x:c r="AC462" s="161" t="str">
        <x:v>Pending</x:v>
      </x:c>
      <x:c r="AD462" t="str">
        <x:v>Units</x:v>
      </x:c>
      <x:c r="AE462" s="145"/>
      <x:c r="AF462" s="145"/>
      <x:c r="AG462" s="145"/>
      <x:c r="AH462" s="145"/>
      <x:c r="AI462" s="145"/>
      <x:c r="AJ462"/>
    </x:row>
    <x:row r="463" ht="30" customHeight="1">
      <x:c r="A463" s="138" t="str">
        <x:v>Draft</x:v>
      </x:c>
      <x:c r="B463" s="138" t="str">
        <x:v>Quick Coupler</x:v>
      </x:c>
      <x:c r="C463" s="138" t="str">
        <x:v>QDC_16028_SOC_04_FNPT_04</x:v>
      </x:c>
      <x:c r="D463" s="138" t="str">
        <x:v>QDC_16028_SOC_04_FNPT_04</x:v>
      </x:c>
      <x:c r="E463" s="138" t="str">
        <x:v>EA</x:v>
      </x:c>
      <x:c r="F463" s="139"/>
      <x:c r="G463" s="141" t="n">
        <x:v>1</x:v>
      </x:c>
      <x:c r="H463" s="141" t="n">
        <x:v>1</x:v>
      </x:c>
      <x:c r="I463" s="143"/>
      <x:c r="J463" s="141" t="n">
        <x:v>10</x:v>
      </x:c>
      <x:c r="K463" s="138" t="str">
        <x:v>China</x:v>
      </x:c>
      <x:c r="L463" t="str">
        <x:v>USD</x:v>
      </x:c>
      <x:c r="M463" s="126"/>
      <x:c r="N463"/>
      <x:c r="O463"/>
      <x:c r="P463" s="145"/>
      <x:c r="Q463" s="126"/>
      <x:c r="R463" s="149" t="n">
        <x:v>15.43</x:v>
      </x:c>
      <x:c r="S463" s="145"/>
      <x:c r="T463" s="145"/>
      <x:c r="U463" s="124"/>
      <x:c r="V463" s="124"/>
      <x:c r="W463" s="124"/>
      <x:c r="X463" s="124"/>
      <x:c r="Y463"/>
      <x:c r="Z463"/>
      <x:c r="AA463" s="116" t="str">
        <x:v>Net unit weight missing in 06. Order-level RFQ minimum: USD 100. Retail source: DHH 2HTF2-HT2F2 less HT2F2; derived from exact set less exact plug coupler/socket price; observed 2026-08-15; https://www.discounthydraulichose.com/iso-16028-coupler-sets.html</x:v>
      </x:c>
      <x:c r="AB463" s="161" t="str">
        <x:v>Eligible</x:v>
      </x:c>
      <x:c r="AC463" s="161" t="str">
        <x:v>Pending</x:v>
      </x:c>
      <x:c r="AD463" t="str">
        <x:v>Units</x:v>
      </x:c>
      <x:c r="AE463" s="145"/>
      <x:c r="AF463" s="145"/>
      <x:c r="AG463" s="145"/>
      <x:c r="AH463" s="145"/>
      <x:c r="AI463" s="145"/>
      <x:c r="AJ463"/>
    </x:row>
    <x:row r="464" ht="30" customHeight="1">
      <x:c r="A464" s="138" t="str">
        <x:v>Draft</x:v>
      </x:c>
      <x:c r="B464" s="138" t="str">
        <x:v>Quick Plug</x:v>
      </x:c>
      <x:c r="C464" s="138" t="str">
        <x:v>QDC_16028_PLG_04_FNPT_04</x:v>
      </x:c>
      <x:c r="D464" s="138" t="str">
        <x:v>QDC_16028_PLG_04_FNPT_04</x:v>
      </x:c>
      <x:c r="E464" s="138" t="str">
        <x:v>EA</x:v>
      </x:c>
      <x:c r="F464" s="139"/>
      <x:c r="G464" s="141" t="n">
        <x:v>1</x:v>
      </x:c>
      <x:c r="H464" s="141" t="n">
        <x:v>1</x:v>
      </x:c>
      <x:c r="I464" s="143"/>
      <x:c r="J464" s="141" t="n">
        <x:v>10</x:v>
      </x:c>
      <x:c r="K464" s="138" t="str">
        <x:v>China</x:v>
      </x:c>
      <x:c r="L464" t="str">
        <x:v>USD</x:v>
      </x:c>
      <x:c r="M464" s="126"/>
      <x:c r="N464"/>
      <x:c r="O464"/>
      <x:c r="P464" s="145"/>
      <x:c r="Q464" s="126"/>
      <x:c r="R464" s="149" t="n">
        <x:v>33.08</x:v>
      </x:c>
      <x:c r="S464" s="145"/>
      <x:c r="T464" s="145"/>
      <x:c r="U464" s="124"/>
      <x:c r="V464" s="124"/>
      <x:c r="W464" s="124"/>
      <x:c r="X464" s="124"/>
      <x:c r="Y464"/>
      <x:c r="Z464"/>
      <x:c r="AA464" s="116" t="str">
        <x:v>Net unit weight missing in 06. Order-level RFQ minimum: USD 100. Retail source: DHH HT2F2; direct plug/nipple price; observed 2026-08-15; https://www.discounthydraulichose.com/iso-16028-male-couplers.html</x:v>
      </x:c>
      <x:c r="AB464" s="161" t="str">
        <x:v>Eligible</x:v>
      </x:c>
      <x:c r="AC464" s="161" t="str">
        <x:v>Pending</x:v>
      </x:c>
      <x:c r="AD464" t="str">
        <x:v>Units</x:v>
      </x:c>
      <x:c r="AE464" s="145"/>
      <x:c r="AF464" s="145"/>
      <x:c r="AG464" s="145"/>
      <x:c r="AH464" s="145"/>
      <x:c r="AI464" s="145"/>
      <x:c r="AJ464"/>
    </x:row>
    <x:row r="465" ht="30" customHeight="1">
      <x:c r="A465" s="138" t="str">
        <x:v>Draft</x:v>
      </x:c>
      <x:c r="B465" s="138" t="str">
        <x:v>Quick Coupler</x:v>
      </x:c>
      <x:c r="C465" s="138" t="str">
        <x:v>QDC_16028_SET_04_FNPT_04</x:v>
      </x:c>
      <x:c r="D465" s="138" t="str">
        <x:v>QDC_16028_SET_04_FNPT_04</x:v>
      </x:c>
      <x:c r="E465" s="138" t="str">
        <x:v>SET</x:v>
      </x:c>
      <x:c r="F465" s="139"/>
      <x:c r="G465" s="141" t="n">
        <x:v>1</x:v>
      </x:c>
      <x:c r="H465" s="141" t="n">
        <x:v>1</x:v>
      </x:c>
      <x:c r="I465" s="143"/>
      <x:c r="J465" s="141" t="n">
        <x:v>10</x:v>
      </x:c>
      <x:c r="K465" s="138" t="str">
        <x:v>China</x:v>
      </x:c>
      <x:c r="L465" t="str">
        <x:v>USD</x:v>
      </x:c>
      <x:c r="M465" s="126"/>
      <x:c r="N465"/>
      <x:c r="O465"/>
      <x:c r="P465" s="145"/>
      <x:c r="Q465" s="126"/>
      <x:c r="R465" s="149" t="n">
        <x:v>48.51</x:v>
      </x:c>
      <x:c r="S465" s="145"/>
      <x:c r="T465" s="145"/>
      <x:c r="U465" s="124"/>
      <x:c r="V465" s="124"/>
      <x:c r="W465" s="124"/>
      <x:c r="X465" s="124"/>
      <x:c r="Y465"/>
      <x:c r="Z465"/>
      <x:c r="AA465" s="116" t="str">
        <x:v>Net unit weight missing in 06. Order-level RFQ minimum: USD 100. Retail source: DHH 2HTF2-HT2F2; direct complete pair price; observed 2026-08-15; https://www.discounthydraulichose.com/iso-16028-coupler-sets.html</x:v>
      </x:c>
      <x:c r="AB465" s="161" t="str">
        <x:v>Eligible</x:v>
      </x:c>
      <x:c r="AC465" s="161" t="str">
        <x:v>Pending</x:v>
      </x:c>
      <x:c r="AD465" t="str">
        <x:v>Units</x:v>
      </x:c>
      <x:c r="AE465" s="145"/>
      <x:c r="AF465" s="145"/>
      <x:c r="AG465" s="145"/>
      <x:c r="AH465" s="145"/>
      <x:c r="AI465" s="145"/>
      <x:c r="AJ465"/>
    </x:row>
    <x:row r="466" ht="30" customHeight="1">
      <x:c r="A466" s="138" t="str">
        <x:v>Draft</x:v>
      </x:c>
      <x:c r="B466" s="138" t="str">
        <x:v>Quick Coupler</x:v>
      </x:c>
      <x:c r="C466" s="138" t="str">
        <x:v>QDC_16028_SOC_06_FNPT_06</x:v>
      </x:c>
      <x:c r="D466" s="138" t="str">
        <x:v>QDC_16028_SOC_06_FNPT_06</x:v>
      </x:c>
      <x:c r="E466" s="138" t="str">
        <x:v>EA</x:v>
      </x:c>
      <x:c r="F466" s="139"/>
      <x:c r="G466" s="141" t="n">
        <x:v>1</x:v>
      </x:c>
      <x:c r="H466" s="141" t="n">
        <x:v>1</x:v>
      </x:c>
      <x:c r="I466" s="143"/>
      <x:c r="J466" s="141" t="n">
        <x:v>10</x:v>
      </x:c>
      <x:c r="K466" s="138" t="str">
        <x:v>China</x:v>
      </x:c>
      <x:c r="L466" t="str">
        <x:v>USD</x:v>
      </x:c>
      <x:c r="M466" s="126"/>
      <x:c r="N466"/>
      <x:c r="O466"/>
      <x:c r="P466" s="145"/>
      <x:c r="Q466" s="126"/>
      <x:c r="R466" s="149" t="n">
        <x:v>42.15</x:v>
      </x:c>
      <x:c r="S466" s="145"/>
      <x:c r="T466" s="145"/>
      <x:c r="U466" s="124"/>
      <x:c r="V466" s="124"/>
      <x:c r="W466" s="124"/>
      <x:c r="X466" s="124"/>
      <x:c r="Y466"/>
      <x:c r="Z466"/>
      <x:c r="AA466" s="116" t="str">
        <x:v>Net unit weight missing in 06. Order-level RFQ minimum: USD 100. Retail source: DHH 3HTF3-HT3F3 less HT3F3; derived from exact set less exact plug coupler/socket price; observed 2026-08-15; https://www.discounthydraulichose.com/iso-16028-coupler-sets.html</x:v>
      </x:c>
      <x:c r="AB466" s="161" t="str">
        <x:v>Eligible</x:v>
      </x:c>
      <x:c r="AC466" s="161" t="str">
        <x:v>Pending</x:v>
      </x:c>
      <x:c r="AD466" t="str">
        <x:v>Units</x:v>
      </x:c>
      <x:c r="AE466" s="145"/>
      <x:c r="AF466" s="145"/>
      <x:c r="AG466" s="145"/>
      <x:c r="AH466" s="145"/>
      <x:c r="AI466" s="145"/>
      <x:c r="AJ466"/>
    </x:row>
    <x:row r="467" ht="30" customHeight="1">
      <x:c r="A467" s="138" t="str">
        <x:v>Draft</x:v>
      </x:c>
      <x:c r="B467" s="138" t="str">
        <x:v>Quick Plug</x:v>
      </x:c>
      <x:c r="C467" s="138" t="str">
        <x:v>QDC_16028_PLG_06_FNPT_06</x:v>
      </x:c>
      <x:c r="D467" s="138" t="str">
        <x:v>QDC_16028_PLG_06_FNPT_06</x:v>
      </x:c>
      <x:c r="E467" s="138" t="str">
        <x:v>EA</x:v>
      </x:c>
      <x:c r="F467" s="139"/>
      <x:c r="G467" s="141" t="n">
        <x:v>1</x:v>
      </x:c>
      <x:c r="H467" s="141" t="n">
        <x:v>1</x:v>
      </x:c>
      <x:c r="I467" s="143"/>
      <x:c r="J467" s="141" t="n">
        <x:v>10</x:v>
      </x:c>
      <x:c r="K467" s="138" t="str">
        <x:v>China</x:v>
      </x:c>
      <x:c r="L467" t="str">
        <x:v>USD</x:v>
      </x:c>
      <x:c r="M467" s="126"/>
      <x:c r="N467"/>
      <x:c r="O467"/>
      <x:c r="P467" s="145"/>
      <x:c r="Q467" s="126"/>
      <x:c r="R467" s="149" t="n">
        <x:v>16.28</x:v>
      </x:c>
      <x:c r="S467" s="145"/>
      <x:c r="T467" s="145"/>
      <x:c r="U467" s="124"/>
      <x:c r="V467" s="124"/>
      <x:c r="W467" s="124"/>
      <x:c r="X467" s="124"/>
      <x:c r="Y467"/>
      <x:c r="Z467"/>
      <x:c r="AA467" s="116" t="str">
        <x:v>Net unit weight missing in 06. Order-level RFQ minimum: USD 100. Retail source: DHH HT3F3; direct plug/nipple price; observed 2026-08-15; https://www.discounthydraulichose.com/iso-16028-male-couplers.html</x:v>
      </x:c>
      <x:c r="AB467" s="161" t="str">
        <x:v>Eligible</x:v>
      </x:c>
      <x:c r="AC467" s="161" t="str">
        <x:v>Pending</x:v>
      </x:c>
      <x:c r="AD467" t="str">
        <x:v>Units</x:v>
      </x:c>
      <x:c r="AE467" s="145"/>
      <x:c r="AF467" s="145"/>
      <x:c r="AG467" s="145"/>
      <x:c r="AH467" s="145"/>
      <x:c r="AI467" s="145"/>
      <x:c r="AJ467"/>
    </x:row>
    <x:row r="468" ht="30" customHeight="1">
      <x:c r="A468" s="138" t="str">
        <x:v>Draft</x:v>
      </x:c>
      <x:c r="B468" s="138" t="str">
        <x:v>Quick Coupler</x:v>
      </x:c>
      <x:c r="C468" s="138" t="str">
        <x:v>QDC_16028_SET_06_FNPT_06</x:v>
      </x:c>
      <x:c r="D468" s="138" t="str">
        <x:v>QDC_16028_SET_06_FNPT_06</x:v>
      </x:c>
      <x:c r="E468" s="138" t="str">
        <x:v>SET</x:v>
      </x:c>
      <x:c r="F468" s="139"/>
      <x:c r="G468" s="141" t="n">
        <x:v>1</x:v>
      </x:c>
      <x:c r="H468" s="141" t="n">
        <x:v>1</x:v>
      </x:c>
      <x:c r="I468" s="143"/>
      <x:c r="J468" s="141" t="n">
        <x:v>10</x:v>
      </x:c>
      <x:c r="K468" s="138" t="str">
        <x:v>China</x:v>
      </x:c>
      <x:c r="L468" t="str">
        <x:v>USD</x:v>
      </x:c>
      <x:c r="M468" s="126"/>
      <x:c r="N468"/>
      <x:c r="O468"/>
      <x:c r="P468" s="145"/>
      <x:c r="Q468" s="126"/>
      <x:c r="R468" s="149" t="n">
        <x:v>58.43</x:v>
      </x:c>
      <x:c r="S468" s="145"/>
      <x:c r="T468" s="145"/>
      <x:c r="U468" s="124"/>
      <x:c r="V468" s="124"/>
      <x:c r="W468" s="124"/>
      <x:c r="X468" s="124"/>
      <x:c r="Y468"/>
      <x:c r="Z468"/>
      <x:c r="AA468" s="116" t="str">
        <x:v>Net unit weight missing in 06. Order-level RFQ minimum: USD 100. Retail source: DHH 3HTF3-HT3F3; direct complete pair price; observed 2026-08-15; https://www.discounthydraulichose.com/iso-16028-coupler-sets.html</x:v>
      </x:c>
      <x:c r="AB468" s="161" t="str">
        <x:v>Eligible</x:v>
      </x:c>
      <x:c r="AC468" s="161" t="str">
        <x:v>Pending</x:v>
      </x:c>
      <x:c r="AD468" t="str">
        <x:v>Units</x:v>
      </x:c>
      <x:c r="AE468" s="145"/>
      <x:c r="AF468" s="145"/>
      <x:c r="AG468" s="145"/>
      <x:c r="AH468" s="145"/>
      <x:c r="AI468" s="145"/>
      <x:c r="AJ468"/>
    </x:row>
    <x:row r="469" ht="30" customHeight="1">
      <x:c r="A469" s="138" t="str">
        <x:v>Draft</x:v>
      </x:c>
      <x:c r="B469" s="138" t="str">
        <x:v>Quick Coupler</x:v>
      </x:c>
      <x:c r="C469" s="138" t="str">
        <x:v>QDC_16028_SOC_06_FNPT_08</x:v>
      </x:c>
      <x:c r="D469" s="138" t="str">
        <x:v>QDC_16028_SOC_06_FNPT_08</x:v>
      </x:c>
      <x:c r="E469" s="138" t="str">
        <x:v>EA</x:v>
      </x:c>
      <x:c r="F469" s="139"/>
      <x:c r="G469" s="141" t="n">
        <x:v>1</x:v>
      </x:c>
      <x:c r="H469" s="141" t="n">
        <x:v>1</x:v>
      </x:c>
      <x:c r="I469" s="143"/>
      <x:c r="J469" s="141" t="n">
        <x:v>10</x:v>
      </x:c>
      <x:c r="K469" s="138" t="str">
        <x:v>China</x:v>
      </x:c>
      <x:c r="L469" t="str">
        <x:v>USD</x:v>
      </x:c>
      <x:c r="M469" s="126"/>
      <x:c r="N469"/>
      <x:c r="O469"/>
      <x:c r="P469" s="145"/>
      <x:c r="Q469" s="126"/>
      <x:c r="R469" s="149" t="n">
        <x:v>25.65</x:v>
      </x:c>
      <x:c r="S469" s="145"/>
      <x:c r="T469" s="145"/>
      <x:c r="U469" s="124"/>
      <x:c r="V469" s="124"/>
      <x:c r="W469" s="124"/>
      <x:c r="X469" s="124"/>
      <x:c r="Y469"/>
      <x:c r="Z469"/>
      <x:c r="AA469" s="116" t="str">
        <x:v>Net unit weight missing in 06. Order-level RFQ minimum: USD 100. Retail source: DHH 3HTF4-HT3F4 less HT3F4; derived from exact set less exact plug coupler/socket price; observed 2026-08-15; https://www.discounthydraulichose.com/iso-16028-coupler-sets.html</x:v>
      </x:c>
      <x:c r="AB469" s="161" t="str">
        <x:v>Eligible</x:v>
      </x:c>
      <x:c r="AC469" s="161" t="str">
        <x:v>Pending</x:v>
      </x:c>
      <x:c r="AD469" t="str">
        <x:v>Units</x:v>
      </x:c>
      <x:c r="AE469" s="145"/>
      <x:c r="AF469" s="145"/>
      <x:c r="AG469" s="145"/>
      <x:c r="AH469" s="145"/>
      <x:c r="AI469" s="145"/>
      <x:c r="AJ469"/>
    </x:row>
    <x:row r="470" ht="30" customHeight="1">
      <x:c r="A470" s="138" t="str">
        <x:v>Draft</x:v>
      </x:c>
      <x:c r="B470" s="138" t="str">
        <x:v>Quick Plug</x:v>
      </x:c>
      <x:c r="C470" s="138" t="str">
        <x:v>QDC_16028_PLG_06_FNPT_08</x:v>
      </x:c>
      <x:c r="D470" s="138" t="str">
        <x:v>QDC_16028_PLG_06_FNPT_08</x:v>
      </x:c>
      <x:c r="E470" s="138" t="str">
        <x:v>EA</x:v>
      </x:c>
      <x:c r="F470" s="139"/>
      <x:c r="G470" s="141" t="n">
        <x:v>1</x:v>
      </x:c>
      <x:c r="H470" s="141" t="n">
        <x:v>1</x:v>
      </x:c>
      <x:c r="I470" s="143"/>
      <x:c r="J470" s="141" t="n">
        <x:v>10</x:v>
      </x:c>
      <x:c r="K470" s="138" t="str">
        <x:v>China</x:v>
      </x:c>
      <x:c r="L470" t="str">
        <x:v>USD</x:v>
      </x:c>
      <x:c r="M470" s="126"/>
      <x:c r="N470"/>
      <x:c r="O470"/>
      <x:c r="P470" s="145"/>
      <x:c r="Q470" s="126"/>
      <x:c r="R470" s="149" t="n">
        <x:v>25.06</x:v>
      </x:c>
      <x:c r="S470" s="145"/>
      <x:c r="T470" s="145"/>
      <x:c r="U470" s="124"/>
      <x:c r="V470" s="124"/>
      <x:c r="W470" s="124"/>
      <x:c r="X470" s="124"/>
      <x:c r="Y470"/>
      <x:c r="Z470"/>
      <x:c r="AA470" s="116" t="str">
        <x:v>Net unit weight missing in 06. Order-level RFQ minimum: USD 100. Retail source: DHH HT3F4; direct plug/nipple price; observed 2026-08-15; https://www.discounthydraulichose.com/iso-16028-male-couplers.html</x:v>
      </x:c>
      <x:c r="AB470" s="161" t="str">
        <x:v>Eligible</x:v>
      </x:c>
      <x:c r="AC470" s="161" t="str">
        <x:v>Pending</x:v>
      </x:c>
      <x:c r="AD470" t="str">
        <x:v>Units</x:v>
      </x:c>
      <x:c r="AE470" s="145"/>
      <x:c r="AF470" s="145"/>
      <x:c r="AG470" s="145"/>
      <x:c r="AH470" s="145"/>
      <x:c r="AI470" s="145"/>
      <x:c r="AJ470"/>
    </x:row>
    <x:row r="471" ht="30" customHeight="1">
      <x:c r="A471" s="138" t="str">
        <x:v>Draft</x:v>
      </x:c>
      <x:c r="B471" s="138" t="str">
        <x:v>Quick Coupler</x:v>
      </x:c>
      <x:c r="C471" s="138" t="str">
        <x:v>QDC_16028_SET_06_FNPT_08</x:v>
      </x:c>
      <x:c r="D471" s="138" t="str">
        <x:v>QDC_16028_SET_06_FNPT_08</x:v>
      </x:c>
      <x:c r="E471" s="138" t="str">
        <x:v>SET</x:v>
      </x:c>
      <x:c r="F471" s="139"/>
      <x:c r="G471" s="141" t="n">
        <x:v>1</x:v>
      </x:c>
      <x:c r="H471" s="141" t="n">
        <x:v>1</x:v>
      </x:c>
      <x:c r="I471" s="143"/>
      <x:c r="J471" s="141" t="n">
        <x:v>10</x:v>
      </x:c>
      <x:c r="K471" s="138" t="str">
        <x:v>China</x:v>
      </x:c>
      <x:c r="L471" t="str">
        <x:v>USD</x:v>
      </x:c>
      <x:c r="M471" s="126"/>
      <x:c r="N471"/>
      <x:c r="O471"/>
      <x:c r="P471" s="145"/>
      <x:c r="Q471" s="126"/>
      <x:c r="R471" s="149" t="n">
        <x:v>50.71</x:v>
      </x:c>
      <x:c r="S471" s="145"/>
      <x:c r="T471" s="145"/>
      <x:c r="U471" s="124"/>
      <x:c r="V471" s="124"/>
      <x:c r="W471" s="124"/>
      <x:c r="X471" s="124"/>
      <x:c r="Y471"/>
      <x:c r="Z471"/>
      <x:c r="AA471" s="116" t="str">
        <x:v>Net unit weight missing in 06. Order-level RFQ minimum: USD 100. Retail source: DHH 3HTF4-HT3F4; direct complete pair price; observed 2026-08-15; https://www.discounthydraulichose.com/iso-16028-coupler-sets.html</x:v>
      </x:c>
      <x:c r="AB471" s="161" t="str">
        <x:v>Eligible</x:v>
      </x:c>
      <x:c r="AC471" s="161" t="str">
        <x:v>Pending</x:v>
      </x:c>
      <x:c r="AD471" t="str">
        <x:v>Units</x:v>
      </x:c>
      <x:c r="AE471" s="145"/>
      <x:c r="AF471" s="145"/>
      <x:c r="AG471" s="145"/>
      <x:c r="AH471" s="145"/>
      <x:c r="AI471" s="145"/>
      <x:c r="AJ471"/>
    </x:row>
    <x:row r="472" ht="30" customHeight="1">
      <x:c r="A472" s="138" t="str">
        <x:v>Draft</x:v>
      </x:c>
      <x:c r="B472" s="138" t="str">
        <x:v>Quick Coupler</x:v>
      </x:c>
      <x:c r="C472" s="138" t="str">
        <x:v>QDC_16028_SOC_08_FNPT_08</x:v>
      </x:c>
      <x:c r="D472" s="138" t="str">
        <x:v>QDC_16028_SOC_08_FNPT_08</x:v>
      </x:c>
      <x:c r="E472" s="138" t="str">
        <x:v>EA</x:v>
      </x:c>
      <x:c r="F472" s="139"/>
      <x:c r="G472" s="141" t="n">
        <x:v>1</x:v>
      </x:c>
      <x:c r="H472" s="141" t="n">
        <x:v>1</x:v>
      </x:c>
      <x:c r="I472" s="143"/>
      <x:c r="J472" s="141" t="n">
        <x:v>10</x:v>
      </x:c>
      <x:c r="K472" s="138" t="str">
        <x:v>China</x:v>
      </x:c>
      <x:c r="L472" t="str">
        <x:v>USD</x:v>
      </x:c>
      <x:c r="M472" s="126"/>
      <x:c r="N472"/>
      <x:c r="O472"/>
      <x:c r="P472" s="145"/>
      <x:c r="Q472" s="126"/>
      <x:c r="R472" s="149" t="n">
        <x:v>23.05</x:v>
      </x:c>
      <x:c r="S472" s="145"/>
      <x:c r="T472" s="145"/>
      <x:c r="U472" s="124"/>
      <x:c r="V472" s="124"/>
      <x:c r="W472" s="124"/>
      <x:c r="X472" s="124"/>
      <x:c r="Y472"/>
      <x:c r="Z472"/>
      <x:c r="AA472" s="116" t="str">
        <x:v>Net unit weight missing in 06. Order-level RFQ minimum: USD 100. Retail source: DHH 4HTF4-HT4F4 less HT4F4; derived from exact set less exact plug coupler/socket price; observed 2026-08-15; https://www.discounthydraulichose.com/iso-16028-coupler-sets.html</x:v>
      </x:c>
      <x:c r="AB472" s="161" t="str">
        <x:v>Eligible</x:v>
      </x:c>
      <x:c r="AC472" s="161" t="str">
        <x:v>Pending</x:v>
      </x:c>
      <x:c r="AD472" t="str">
        <x:v>Units</x:v>
      </x:c>
      <x:c r="AE472" s="145"/>
      <x:c r="AF472" s="145"/>
      <x:c r="AG472" s="145"/>
      <x:c r="AH472" s="145"/>
      <x:c r="AI472" s="145"/>
      <x:c r="AJ472"/>
    </x:row>
    <x:row r="473" ht="30" customHeight="1">
      <x:c r="A473" s="138" t="str">
        <x:v>Draft</x:v>
      </x:c>
      <x:c r="B473" s="138" t="str">
        <x:v>Quick Plug</x:v>
      </x:c>
      <x:c r="C473" s="138" t="str">
        <x:v>QDC_16028_PLG_08_FNPT_08</x:v>
      </x:c>
      <x:c r="D473" s="138" t="str">
        <x:v>QDC_16028_PLG_08_FNPT_08</x:v>
      </x:c>
      <x:c r="E473" s="138" t="str">
        <x:v>EA</x:v>
      </x:c>
      <x:c r="F473" s="139"/>
      <x:c r="G473" s="141" t="n">
        <x:v>1</x:v>
      </x:c>
      <x:c r="H473" s="141" t="n">
        <x:v>1</x:v>
      </x:c>
      <x:c r="I473" s="143"/>
      <x:c r="J473" s="141" t="n">
        <x:v>10</x:v>
      </x:c>
      <x:c r="K473" s="138" t="str">
        <x:v>China</x:v>
      </x:c>
      <x:c r="L473" t="str">
        <x:v>USD</x:v>
      </x:c>
      <x:c r="M473" s="126"/>
      <x:c r="N473"/>
      <x:c r="O473"/>
      <x:c r="P473" s="145"/>
      <x:c r="Q473" s="126"/>
      <x:c r="R473" s="149" t="n">
        <x:v>22.04</x:v>
      </x:c>
      <x:c r="S473" s="145"/>
      <x:c r="T473" s="145"/>
      <x:c r="U473" s="124"/>
      <x:c r="V473" s="124"/>
      <x:c r="W473" s="124"/>
      <x:c r="X473" s="124"/>
      <x:c r="Y473"/>
      <x:c r="Z473"/>
      <x:c r="AA473" s="116" t="str">
        <x:v>Net unit weight missing in 06. Order-level RFQ minimum: USD 100. Retail source: DHH HT4F4; direct plug/nipple price; observed 2026-08-15; https://www.discounthydraulichose.com/iso-16028-male-couplers.html</x:v>
      </x:c>
      <x:c r="AB473" s="161" t="str">
        <x:v>Eligible</x:v>
      </x:c>
      <x:c r="AC473" s="161" t="str">
        <x:v>Pending</x:v>
      </x:c>
      <x:c r="AD473" t="str">
        <x:v>Units</x:v>
      </x:c>
      <x:c r="AE473" s="145"/>
      <x:c r="AF473" s="145"/>
      <x:c r="AG473" s="145"/>
      <x:c r="AH473" s="145"/>
      <x:c r="AI473" s="145"/>
      <x:c r="AJ473"/>
    </x:row>
    <x:row r="474" ht="30" customHeight="1">
      <x:c r="A474" s="138" t="str">
        <x:v>Draft</x:v>
      </x:c>
      <x:c r="B474" s="138" t="str">
        <x:v>Quick Coupler</x:v>
      </x:c>
      <x:c r="C474" s="138" t="str">
        <x:v>QDC_16028_SET_08_FNPT_08</x:v>
      </x:c>
      <x:c r="D474" s="138" t="str">
        <x:v>QDC_16028_SET_08_FNPT_08</x:v>
      </x:c>
      <x:c r="E474" s="138" t="str">
        <x:v>SET</x:v>
      </x:c>
      <x:c r="F474" s="139"/>
      <x:c r="G474" s="141" t="n">
        <x:v>1</x:v>
      </x:c>
      <x:c r="H474" s="141" t="n">
        <x:v>1</x:v>
      </x:c>
      <x:c r="I474" s="143"/>
      <x:c r="J474" s="141" t="n">
        <x:v>10</x:v>
      </x:c>
      <x:c r="K474" s="138" t="str">
        <x:v>China</x:v>
      </x:c>
      <x:c r="L474" t="str">
        <x:v>USD</x:v>
      </x:c>
      <x:c r="M474" s="126"/>
      <x:c r="N474"/>
      <x:c r="O474"/>
      <x:c r="P474" s="145"/>
      <x:c r="Q474" s="126"/>
      <x:c r="R474" s="149" t="n">
        <x:v>45.09</x:v>
      </x:c>
      <x:c r="S474" s="145"/>
      <x:c r="T474" s="145"/>
      <x:c r="U474" s="124"/>
      <x:c r="V474" s="124"/>
      <x:c r="W474" s="124"/>
      <x:c r="X474" s="124"/>
      <x:c r="Y474"/>
      <x:c r="Z474"/>
      <x:c r="AA474" s="116" t="str">
        <x:v>Net unit weight missing in 06. Order-level RFQ minimum: USD 100. Retail source: DHH 4HTF4-HT4F4; direct complete pair price; observed 2026-08-15; https://www.discounthydraulichose.com/iso-16028-coupler-sets.html</x:v>
      </x:c>
      <x:c r="AB474" s="161" t="str">
        <x:v>Eligible</x:v>
      </x:c>
      <x:c r="AC474" s="161" t="str">
        <x:v>Pending</x:v>
      </x:c>
      <x:c r="AD474" t="str">
        <x:v>Units</x:v>
      </x:c>
      <x:c r="AE474" s="145"/>
      <x:c r="AF474" s="145"/>
      <x:c r="AG474" s="145"/>
      <x:c r="AH474" s="145"/>
      <x:c r="AI474" s="145"/>
      <x:c r="AJ474"/>
    </x:row>
    <x:row r="475" ht="30" customHeight="1">
      <x:c r="A475" s="138" t="str">
        <x:v>Draft</x:v>
      </x:c>
      <x:c r="B475" s="138" t="str">
        <x:v>Quick Coupler</x:v>
      </x:c>
      <x:c r="C475" s="138" t="str">
        <x:v>QDC_16028_SOC_08_FNPT_12</x:v>
      </x:c>
      <x:c r="D475" s="138" t="str">
        <x:v>QDC_16028_SOC_08_FNPT_12</x:v>
      </x:c>
      <x:c r="E475" s="138" t="str">
        <x:v>EA</x:v>
      </x:c>
      <x:c r="F475" s="139"/>
      <x:c r="G475" s="141" t="n">
        <x:v>1</x:v>
      </x:c>
      <x:c r="H475" s="141" t="n">
        <x:v>1</x:v>
      </x:c>
      <x:c r="I475" s="143"/>
      <x:c r="J475" s="141" t="n">
        <x:v>10</x:v>
      </x:c>
      <x:c r="K475" s="138" t="str">
        <x:v>China</x:v>
      </x:c>
      <x:c r="L475" t="str">
        <x:v>USD</x:v>
      </x:c>
      <x:c r="M475" s="126"/>
      <x:c r="N475"/>
      <x:c r="O475"/>
      <x:c r="P475" s="145"/>
      <x:c r="Q475" s="126"/>
      <x:c r="R475" s="149" t="n">
        <x:v>52.92</x:v>
      </x:c>
      <x:c r="S475" s="145"/>
      <x:c r="T475" s="145"/>
      <x:c r="U475" s="124"/>
      <x:c r="V475" s="124"/>
      <x:c r="W475" s="124"/>
      <x:c r="X475" s="124"/>
      <x:c r="Y475"/>
      <x:c r="Z475"/>
      <x:c r="AA475" s="116" t="str">
        <x:v>Net unit weight missing in 06. Order-level RFQ minimum: USD 100. Retail source: DHH 4HTF6-HT4F6 less HT4F6; derived from exact set less exact plug coupler/socket price; observed 2026-08-15; https://www.discounthydraulichose.com/iso-16028-coupler-sets.html</x:v>
      </x:c>
      <x:c r="AB475" s="161" t="str">
        <x:v>Eligible</x:v>
      </x:c>
      <x:c r="AC475" s="161" t="str">
        <x:v>Pending</x:v>
      </x:c>
      <x:c r="AD475" t="str">
        <x:v>Units</x:v>
      </x:c>
      <x:c r="AE475" s="145"/>
      <x:c r="AF475" s="145"/>
      <x:c r="AG475" s="145"/>
      <x:c r="AH475" s="145"/>
      <x:c r="AI475" s="145"/>
      <x:c r="AJ475"/>
    </x:row>
    <x:row r="476" ht="30" customHeight="1">
      <x:c r="A476" s="138" t="str">
        <x:v>Draft</x:v>
      </x:c>
      <x:c r="B476" s="138" t="str">
        <x:v>Quick Plug</x:v>
      </x:c>
      <x:c r="C476" s="138" t="str">
        <x:v>QDC_16028_PLG_08_FNPT_12</x:v>
      </x:c>
      <x:c r="D476" s="138" t="str">
        <x:v>QDC_16028_PLG_08_FNPT_12</x:v>
      </x:c>
      <x:c r="E476" s="138" t="str">
        <x:v>EA</x:v>
      </x:c>
      <x:c r="F476" s="139"/>
      <x:c r="G476" s="141" t="n">
        <x:v>1</x:v>
      </x:c>
      <x:c r="H476" s="141" t="n">
        <x:v>1</x:v>
      </x:c>
      <x:c r="I476" s="143"/>
      <x:c r="J476" s="141" t="n">
        <x:v>10</x:v>
      </x:c>
      <x:c r="K476" s="138" t="str">
        <x:v>China</x:v>
      </x:c>
      <x:c r="L476" t="str">
        <x:v>USD</x:v>
      </x:c>
      <x:c r="M476" s="126"/>
      <x:c r="N476"/>
      <x:c r="O476"/>
      <x:c r="P476" s="145"/>
      <x:c r="Q476" s="126"/>
      <x:c r="R476" s="149" t="n">
        <x:v>23.15</x:v>
      </x:c>
      <x:c r="S476" s="145"/>
      <x:c r="T476" s="145"/>
      <x:c r="U476" s="124"/>
      <x:c r="V476" s="124"/>
      <x:c r="W476" s="124"/>
      <x:c r="X476" s="124"/>
      <x:c r="Y476"/>
      <x:c r="Z476"/>
      <x:c r="AA476" s="116" t="str">
        <x:v>Net unit weight missing in 06. Order-level RFQ minimum: USD 100. Retail source: DHH HT4F6; direct plug/nipple price; observed 2026-08-15; https://www.discounthydraulichose.com/iso-16028-male-couplers.html</x:v>
      </x:c>
      <x:c r="AB476" s="161" t="str">
        <x:v>Eligible</x:v>
      </x:c>
      <x:c r="AC476" s="161" t="str">
        <x:v>Pending</x:v>
      </x:c>
      <x:c r="AD476" t="str">
        <x:v>Units</x:v>
      </x:c>
      <x:c r="AE476" s="145"/>
      <x:c r="AF476" s="145"/>
      <x:c r="AG476" s="145"/>
      <x:c r="AH476" s="145"/>
      <x:c r="AI476" s="145"/>
      <x:c r="AJ476"/>
    </x:row>
    <x:row r="477" ht="30" customHeight="1">
      <x:c r="A477" s="138" t="str">
        <x:v>Draft</x:v>
      </x:c>
      <x:c r="B477" s="138" t="str">
        <x:v>Quick Coupler</x:v>
      </x:c>
      <x:c r="C477" s="138" t="str">
        <x:v>QDC_16028_SET_08_FNPT_12</x:v>
      </x:c>
      <x:c r="D477" s="138" t="str">
        <x:v>QDC_16028_SET_08_FNPT_12</x:v>
      </x:c>
      <x:c r="E477" s="138" t="str">
        <x:v>SET</x:v>
      </x:c>
      <x:c r="F477" s="139"/>
      <x:c r="G477" s="141" t="n">
        <x:v>1</x:v>
      </x:c>
      <x:c r="H477" s="141" t="n">
        <x:v>1</x:v>
      </x:c>
      <x:c r="I477" s="143"/>
      <x:c r="J477" s="141" t="n">
        <x:v>10</x:v>
      </x:c>
      <x:c r="K477" s="138" t="str">
        <x:v>China</x:v>
      </x:c>
      <x:c r="L477" t="str">
        <x:v>USD</x:v>
      </x:c>
      <x:c r="M477" s="126"/>
      <x:c r="N477"/>
      <x:c r="O477"/>
      <x:c r="P477" s="145"/>
      <x:c r="Q477" s="126"/>
      <x:c r="R477" s="149" t="n">
        <x:v>76.07</x:v>
      </x:c>
      <x:c r="S477" s="145"/>
      <x:c r="T477" s="145"/>
      <x:c r="U477" s="124"/>
      <x:c r="V477" s="124"/>
      <x:c r="W477" s="124"/>
      <x:c r="X477" s="124"/>
      <x:c r="Y477"/>
      <x:c r="Z477"/>
      <x:c r="AA477" s="116" t="str">
        <x:v>Net unit weight missing in 06. Order-level RFQ minimum: USD 100. Retail source: DHH 4HTF6-HT4F6; direct complete pair price; observed 2026-08-15; https://www.discounthydraulichose.com/iso-16028-coupler-sets.html</x:v>
      </x:c>
      <x:c r="AB477" s="161" t="str">
        <x:v>Eligible</x:v>
      </x:c>
      <x:c r="AC477" s="161" t="str">
        <x:v>Pending</x:v>
      </x:c>
      <x:c r="AD477" t="str">
        <x:v>Units</x:v>
      </x:c>
      <x:c r="AE477" s="145"/>
      <x:c r="AF477" s="145"/>
      <x:c r="AG477" s="145"/>
      <x:c r="AH477" s="145"/>
      <x:c r="AI477" s="145"/>
      <x:c r="AJ477"/>
    </x:row>
    <x:row r="478" ht="30" customHeight="1">
      <x:c r="A478" s="138" t="str">
        <x:v>Draft</x:v>
      </x:c>
      <x:c r="B478" s="138" t="str">
        <x:v>Quick Coupler</x:v>
      </x:c>
      <x:c r="C478" s="138" t="str">
        <x:v>QDC_16028_SOC_12_FNPT_12</x:v>
      </x:c>
      <x:c r="D478" s="138" t="str">
        <x:v>QDC_16028_SOC_12_FNPT_12</x:v>
      </x:c>
      <x:c r="E478" s="138" t="str">
        <x:v>EA</x:v>
      </x:c>
      <x:c r="F478" s="139"/>
      <x:c r="G478" s="141" t="n">
        <x:v>1</x:v>
      </x:c>
      <x:c r="H478" s="141" t="n">
        <x:v>1</x:v>
      </x:c>
      <x:c r="I478" s="143"/>
      <x:c r="J478" s="141" t="n">
        <x:v>10</x:v>
      </x:c>
      <x:c r="K478" s="138" t="str">
        <x:v>China</x:v>
      </x:c>
      <x:c r="L478" t="str">
        <x:v>USD</x:v>
      </x:c>
      <x:c r="M478" s="126"/>
      <x:c r="N478"/>
      <x:c r="O478"/>
      <x:c r="P478" s="145"/>
      <x:c r="Q478" s="126"/>
      <x:c r="R478" s="149" t="n">
        <x:v>96.39</x:v>
      </x:c>
      <x:c r="S478" s="145"/>
      <x:c r="T478" s="145"/>
      <x:c r="U478" s="124"/>
      <x:c r="V478" s="124"/>
      <x:c r="W478" s="124"/>
      <x:c r="X478" s="124"/>
      <x:c r="Y478"/>
      <x:c r="Z478"/>
      <x:c r="AA478" s="116" t="str">
        <x:v>Net unit weight missing in 06. Order-level RFQ minimum: USD 100. Retail source: DHH 6HTF6-HT6F6 less HT6F6; derived from exact set less exact plug coupler/socket price; observed 2026-08-15; https://www.discounthydraulichose.com/iso-16028-coupler-sets.html</x:v>
      </x:c>
      <x:c r="AB478" s="161" t="str">
        <x:v>Eligible</x:v>
      </x:c>
      <x:c r="AC478" s="161" t="str">
        <x:v>Pending</x:v>
      </x:c>
      <x:c r="AD478" t="str">
        <x:v>Units</x:v>
      </x:c>
      <x:c r="AE478" s="145"/>
      <x:c r="AF478" s="145"/>
      <x:c r="AG478" s="145"/>
      <x:c r="AH478" s="145"/>
      <x:c r="AI478" s="145"/>
      <x:c r="AJ478"/>
    </x:row>
    <x:row r="479" ht="30" customHeight="1">
      <x:c r="A479" s="138" t="str">
        <x:v>Draft</x:v>
      </x:c>
      <x:c r="B479" s="138" t="str">
        <x:v>Quick Plug</x:v>
      </x:c>
      <x:c r="C479" s="138" t="str">
        <x:v>QDC_16028_PLG_12_FNPT_12</x:v>
      </x:c>
      <x:c r="D479" s="138" t="str">
        <x:v>QDC_16028_PLG_12_FNPT_12</x:v>
      </x:c>
      <x:c r="E479" s="138" t="str">
        <x:v>EA</x:v>
      </x:c>
      <x:c r="F479" s="139"/>
      <x:c r="G479" s="141" t="n">
        <x:v>1</x:v>
      </x:c>
      <x:c r="H479" s="141" t="n">
        <x:v>1</x:v>
      </x:c>
      <x:c r="I479" s="143"/>
      <x:c r="J479" s="141" t="n">
        <x:v>10</x:v>
      </x:c>
      <x:c r="K479" s="138" t="str">
        <x:v>China</x:v>
      </x:c>
      <x:c r="L479" t="str">
        <x:v>USD</x:v>
      </x:c>
      <x:c r="M479" s="126"/>
      <x:c r="N479"/>
      <x:c r="O479"/>
      <x:c r="P479" s="145"/>
      <x:c r="Q479" s="126"/>
      <x:c r="R479" s="149" t="n">
        <x:v>93.24</x:v>
      </x:c>
      <x:c r="S479" s="145"/>
      <x:c r="T479" s="145"/>
      <x:c r="U479" s="124"/>
      <x:c r="V479" s="124"/>
      <x:c r="W479" s="124"/>
      <x:c r="X479" s="124"/>
      <x:c r="Y479"/>
      <x:c r="Z479"/>
      <x:c r="AA479" s="116" t="str">
        <x:v>Net unit weight missing in 06. Order-level RFQ minimum: USD 100. Retail source: DHH HT6F6; direct plug/nipple price; observed 2026-08-15; https://www.discounthydraulichose.com/iso-16028-male-couplers.html</x:v>
      </x:c>
      <x:c r="AB479" s="161" t="str">
        <x:v>Eligible</x:v>
      </x:c>
      <x:c r="AC479" s="161" t="str">
        <x:v>Pending</x:v>
      </x:c>
      <x:c r="AD479" t="str">
        <x:v>Units</x:v>
      </x:c>
      <x:c r="AE479" s="145"/>
      <x:c r="AF479" s="145"/>
      <x:c r="AG479" s="145"/>
      <x:c r="AH479" s="145"/>
      <x:c r="AI479" s="145"/>
      <x:c r="AJ479"/>
    </x:row>
    <x:row r="480" ht="30" customHeight="1">
      <x:c r="A480" s="138" t="str">
        <x:v>Draft</x:v>
      </x:c>
      <x:c r="B480" s="138" t="str">
        <x:v>Quick Coupler</x:v>
      </x:c>
      <x:c r="C480" s="138" t="str">
        <x:v>QDC_16028_SET_12_FNPT_12</x:v>
      </x:c>
      <x:c r="D480" s="138" t="str">
        <x:v>QDC_16028_SET_12_FNPT_12</x:v>
      </x:c>
      <x:c r="E480" s="138" t="str">
        <x:v>SET</x:v>
      </x:c>
      <x:c r="F480" s="139"/>
      <x:c r="G480" s="141" t="n">
        <x:v>1</x:v>
      </x:c>
      <x:c r="H480" s="141" t="n">
        <x:v>1</x:v>
      </x:c>
      <x:c r="I480" s="143"/>
      <x:c r="J480" s="141" t="n">
        <x:v>10</x:v>
      </x:c>
      <x:c r="K480" s="138" t="str">
        <x:v>China</x:v>
      </x:c>
      <x:c r="L480" t="str">
        <x:v>USD</x:v>
      </x:c>
      <x:c r="M480" s="126"/>
      <x:c r="N480"/>
      <x:c r="O480"/>
      <x:c r="P480" s="145"/>
      <x:c r="Q480" s="126"/>
      <x:c r="R480" s="149" t="n">
        <x:v>189.63</x:v>
      </x:c>
      <x:c r="S480" s="145"/>
      <x:c r="T480" s="145"/>
      <x:c r="U480" s="124"/>
      <x:c r="V480" s="124"/>
      <x:c r="W480" s="124"/>
      <x:c r="X480" s="124"/>
      <x:c r="Y480"/>
      <x:c r="Z480"/>
      <x:c r="AA480" s="116" t="str">
        <x:v>Net unit weight missing in 06. Order-level RFQ minimum: USD 100. Retail source: DHH 6HTF6-HT6F6; direct complete pair price; observed 2026-08-15; https://www.discounthydraulichose.com/iso-16028-coupler-sets.html</x:v>
      </x:c>
      <x:c r="AB480" s="161" t="str">
        <x:v>Eligible</x:v>
      </x:c>
      <x:c r="AC480" s="161" t="str">
        <x:v>Pending</x:v>
      </x:c>
      <x:c r="AD480" t="str">
        <x:v>Units</x:v>
      </x:c>
      <x:c r="AE480" s="145"/>
      <x:c r="AF480" s="145"/>
      <x:c r="AG480" s="145"/>
      <x:c r="AH480" s="145"/>
      <x:c r="AI480" s="145"/>
      <x:c r="AJ480"/>
    </x:row>
    <x:row r="481" ht="30" customHeight="1">
      <x:c r="A481" s="138" t="str">
        <x:v>Draft</x:v>
      </x:c>
      <x:c r="B481" s="138" t="str">
        <x:v>Quick Coupler</x:v>
      </x:c>
      <x:c r="C481" s="138" t="str">
        <x:v>QDC_16028_SOC_16_FNPT_16</x:v>
      </x:c>
      <x:c r="D481" s="138" t="str">
        <x:v>QDC_16028_SOC_16_FNPT_16</x:v>
      </x:c>
      <x:c r="E481" s="138" t="str">
        <x:v>EA</x:v>
      </x:c>
      <x:c r="F481" s="139"/>
      <x:c r="G481" s="141" t="n">
        <x:v>1</x:v>
      </x:c>
      <x:c r="H481" s="141" t="n">
        <x:v>1</x:v>
      </x:c>
      <x:c r="I481" s="143"/>
      <x:c r="J481" s="141" t="n">
        <x:v>10</x:v>
      </x:c>
      <x:c r="K481" s="138" t="str">
        <x:v>China</x:v>
      </x:c>
      <x:c r="L481" t="str">
        <x:v>USD</x:v>
      </x:c>
      <x:c r="M481" s="126"/>
      <x:c r="N481"/>
      <x:c r="O481"/>
      <x:c r="P481" s="145"/>
      <x:c r="Q481" s="126"/>
      <x:c r="R481" s="149" t="n">
        <x:v>43.31</x:v>
      </x:c>
      <x:c r="S481" s="145"/>
      <x:c r="T481" s="145"/>
      <x:c r="U481" s="124"/>
      <x:c r="V481" s="124"/>
      <x:c r="W481" s="124"/>
      <x:c r="X481" s="124"/>
      <x:c r="Y481"/>
      <x:c r="Z481"/>
      <x:c r="AA481" s="116" t="str">
        <x:v>Net unit weight missing in 06. Order-level RFQ minimum: USD 100. Retail source: DHH 8HTF8-HT8F8 less HT8F8; derived from exact set less exact plug coupler/socket price; observed 2026-08-15; https://www.discounthydraulichose.com/iso-16028-coupler-sets.html</x:v>
      </x:c>
      <x:c r="AB481" s="161" t="str">
        <x:v>Eligible</x:v>
      </x:c>
      <x:c r="AC481" s="161" t="str">
        <x:v>Pending</x:v>
      </x:c>
      <x:c r="AD481" t="str">
        <x:v>Units</x:v>
      </x:c>
      <x:c r="AE481" s="145"/>
      <x:c r="AF481" s="145"/>
      <x:c r="AG481" s="145"/>
      <x:c r="AH481" s="145"/>
      <x:c r="AI481" s="145"/>
      <x:c r="AJ481"/>
    </x:row>
    <x:row r="482" ht="30" customHeight="1">
      <x:c r="A482" s="138" t="str">
        <x:v>Draft</x:v>
      </x:c>
      <x:c r="B482" s="138" t="str">
        <x:v>Quick Plug</x:v>
      </x:c>
      <x:c r="C482" s="138" t="str">
        <x:v>QDC_16028_PLG_16_FNPT_16</x:v>
      </x:c>
      <x:c r="D482" s="138" t="str">
        <x:v>QDC_16028_PLG_16_FNPT_16</x:v>
      </x:c>
      <x:c r="E482" s="138" t="str">
        <x:v>EA</x:v>
      </x:c>
      <x:c r="F482" s="139"/>
      <x:c r="G482" s="141" t="n">
        <x:v>1</x:v>
      </x:c>
      <x:c r="H482" s="141" t="n">
        <x:v>1</x:v>
      </x:c>
      <x:c r="I482" s="143"/>
      <x:c r="J482" s="141" t="n">
        <x:v>10</x:v>
      </x:c>
      <x:c r="K482" s="138" t="str">
        <x:v>China</x:v>
      </x:c>
      <x:c r="L482" t="str">
        <x:v>USD</x:v>
      </x:c>
      <x:c r="M482" s="126"/>
      <x:c r="N482"/>
      <x:c r="O482"/>
      <x:c r="P482" s="145"/>
      <x:c r="Q482" s="126"/>
      <x:c r="R482" s="149" t="n">
        <x:v>133.03</x:v>
      </x:c>
      <x:c r="S482" s="145"/>
      <x:c r="T482" s="145"/>
      <x:c r="U482" s="124"/>
      <x:c r="V482" s="124"/>
      <x:c r="W482" s="124"/>
      <x:c r="X482" s="124"/>
      <x:c r="Y482"/>
      <x:c r="Z482"/>
      <x:c r="AA482" s="116" t="str">
        <x:v>Net unit weight missing in 06. Order-level RFQ minimum: USD 100. Retail source: DHH HT8F8; direct plug/nipple price; observed 2026-08-15; https://www.discounthydraulichose.com/iso-16028-male-couplers.html</x:v>
      </x:c>
      <x:c r="AB482" s="161" t="str">
        <x:v>Eligible</x:v>
      </x:c>
      <x:c r="AC482" s="161" t="str">
        <x:v>Pending</x:v>
      </x:c>
      <x:c r="AD482" t="str">
        <x:v>Units</x:v>
      </x:c>
      <x:c r="AE482" s="145"/>
      <x:c r="AF482" s="145"/>
      <x:c r="AG482" s="145"/>
      <x:c r="AH482" s="145"/>
      <x:c r="AI482" s="145"/>
      <x:c r="AJ482"/>
    </x:row>
    <x:row r="483" ht="30" customHeight="1">
      <x:c r="A483" s="138" t="str">
        <x:v>Draft</x:v>
      </x:c>
      <x:c r="B483" s="138" t="str">
        <x:v>Quick Coupler</x:v>
      </x:c>
      <x:c r="C483" s="138" t="str">
        <x:v>QDC_16028_SET_16_FNPT_16</x:v>
      </x:c>
      <x:c r="D483" s="138" t="str">
        <x:v>QDC_16028_SET_16_FNPT_16</x:v>
      </x:c>
      <x:c r="E483" s="138" t="str">
        <x:v>SET</x:v>
      </x:c>
      <x:c r="F483" s="139"/>
      <x:c r="G483" s="141" t="n">
        <x:v>1</x:v>
      </x:c>
      <x:c r="H483" s="141" t="n">
        <x:v>1</x:v>
      </x:c>
      <x:c r="I483" s="143"/>
      <x:c r="J483" s="141" t="n">
        <x:v>10</x:v>
      </x:c>
      <x:c r="K483" s="138" t="str">
        <x:v>China</x:v>
      </x:c>
      <x:c r="L483" t="str">
        <x:v>USD</x:v>
      </x:c>
      <x:c r="M483" s="126"/>
      <x:c r="N483"/>
      <x:c r="O483"/>
      <x:c r="P483" s="145"/>
      <x:c r="Q483" s="126"/>
      <x:c r="R483" s="149" t="n">
        <x:v>176.34</x:v>
      </x:c>
      <x:c r="S483" s="145"/>
      <x:c r="T483" s="145"/>
      <x:c r="U483" s="124"/>
      <x:c r="V483" s="124"/>
      <x:c r="W483" s="124"/>
      <x:c r="X483" s="124"/>
      <x:c r="Y483"/>
      <x:c r="Z483"/>
      <x:c r="AA483" s="116" t="str">
        <x:v>Net unit weight missing in 06. Order-level RFQ minimum: USD 100. Retail source: DHH 8HTF8-HT8F8; direct complete pair price; observed 2026-08-15; https://www.discounthydraulichose.com/iso-16028-coupler-sets.html</x:v>
      </x:c>
      <x:c r="AB483" s="161" t="str">
        <x:v>Eligible</x:v>
      </x:c>
      <x:c r="AC483" s="161" t="str">
        <x:v>Pending</x:v>
      </x:c>
      <x:c r="AD483" t="str">
        <x:v>Units</x:v>
      </x:c>
      <x:c r="AE483" s="145"/>
      <x:c r="AF483" s="145"/>
      <x:c r="AG483" s="145"/>
      <x:c r="AH483" s="145"/>
      <x:c r="AI483" s="145"/>
      <x:c r="AJ483"/>
    </x:row>
    <x:row r="484" ht="30" customHeight="1">
      <x:c r="A484" s="138" t="str">
        <x:v>Draft</x:v>
      </x:c>
      <x:c r="B484" s="138" t="str">
        <x:v>Quick Coupler</x:v>
      </x:c>
      <x:c r="C484" s="138" t="str">
        <x:v>QDC_5675_SOC_08_FNPT_08</x:v>
      </x:c>
      <x:c r="D484" s="138" t="str">
        <x:v>QDC_5675_SOC_08_FNPT_08</x:v>
      </x:c>
      <x:c r="E484" s="138" t="str">
        <x:v>EA</x:v>
      </x:c>
      <x:c r="F484" s="139"/>
      <x:c r="G484" s="141" t="n">
        <x:v>1</x:v>
      </x:c>
      <x:c r="H484" s="141" t="n">
        <x:v>1</x:v>
      </x:c>
      <x:c r="I484" s="143"/>
      <x:c r="J484" s="141" t="n">
        <x:v>10</x:v>
      </x:c>
      <x:c r="K484" s="138" t="str">
        <x:v>China</x:v>
      </x:c>
      <x:c r="L484" t="str">
        <x:v>USD</x:v>
      </x:c>
      <x:c r="M484" s="126"/>
      <x:c r="N484"/>
      <x:c r="O484"/>
      <x:c r="P484" s="145"/>
      <x:c r="Q484" s="126"/>
      <x:c r="R484" s="149" t="n">
        <x:v>19.56</x:v>
      </x:c>
      <x:c r="S484" s="145"/>
      <x:c r="T484" s="145"/>
      <x:c r="U484" s="124"/>
      <x:c r="V484" s="124"/>
      <x:c r="W484" s="124"/>
      <x:c r="X484" s="124"/>
      <x:c r="Y484"/>
      <x:c r="Z484"/>
      <x:c r="AA484" s="116" t="str">
        <x:v>Net unit weight missing in 06. Order-level RFQ minimum: USD 100. Retail source: DHH 4AGF4; direct coupler/socket price; observed 2026-08-15; https://www.discounthydraulichose.com/iso-5675-female-couplers.html</x:v>
      </x:c>
      <x:c r="AB484" s="161" t="str">
        <x:v>Eligible</x:v>
      </x:c>
      <x:c r="AC484" s="161" t="str">
        <x:v>Pending</x:v>
      </x:c>
      <x:c r="AD484" t="str">
        <x:v>Units</x:v>
      </x:c>
      <x:c r="AE484" s="145"/>
      <x:c r="AF484" s="145"/>
      <x:c r="AG484" s="145"/>
      <x:c r="AH484" s="145"/>
      <x:c r="AI484" s="145"/>
      <x:c r="AJ484"/>
    </x:row>
    <x:row r="485" ht="30" customHeight="1">
      <x:c r="A485" s="138" t="str">
        <x:v>Draft</x:v>
      </x:c>
      <x:c r="B485" s="138" t="str">
        <x:v>Quick Plug</x:v>
      </x:c>
      <x:c r="C485" s="138" t="str">
        <x:v>QDC_5675_PLG_08_FNPT_08</x:v>
      </x:c>
      <x:c r="D485" s="138" t="str">
        <x:v>QDC_5675_PLG_08_FNPT_08</x:v>
      </x:c>
      <x:c r="E485" s="138" t="str">
        <x:v>EA</x:v>
      </x:c>
      <x:c r="F485" s="139"/>
      <x:c r="G485" s="141" t="n">
        <x:v>1</x:v>
      </x:c>
      <x:c r="H485" s="141" t="n">
        <x:v>1</x:v>
      </x:c>
      <x:c r="I485" s="143"/>
      <x:c r="J485" s="141" t="n">
        <x:v>10</x:v>
      </x:c>
      <x:c r="K485" s="138" t="str">
        <x:v>China</x:v>
      </x:c>
      <x:c r="L485" t="str">
        <x:v>USD</x:v>
      </x:c>
      <x:c r="M485" s="126"/>
      <x:c r="N485"/>
      <x:c r="O485"/>
      <x:c r="P485" s="145"/>
      <x:c r="Q485" s="126"/>
      <x:c r="R485" s="149" t="n">
        <x:v>8.38</x:v>
      </x:c>
      <x:c r="S485" s="145"/>
      <x:c r="T485" s="145"/>
      <x:c r="U485" s="124"/>
      <x:c r="V485" s="124"/>
      <x:c r="W485" s="124"/>
      <x:c r="X485" s="124"/>
      <x:c r="Y485"/>
      <x:c r="Z485"/>
      <x:c r="AA485" s="116" t="str">
        <x:v>Net unit weight missing in 06. Order-level RFQ minimum: USD 100. Retail source: DHH AG4F4; direct plug/nipple price; observed 2026-08-15; https://www.discounthydraulichose.com/iso-5675-male-couplers.html</x:v>
      </x:c>
      <x:c r="AB485" s="161" t="str">
        <x:v>Eligible</x:v>
      </x:c>
      <x:c r="AC485" s="161" t="str">
        <x:v>Pending</x:v>
      </x:c>
      <x:c r="AD485" t="str">
        <x:v>Units</x:v>
      </x:c>
      <x:c r="AE485" s="145"/>
      <x:c r="AF485" s="145"/>
      <x:c r="AG485" s="145"/>
      <x:c r="AH485" s="145"/>
      <x:c r="AI485" s="145"/>
      <x:c r="AJ485"/>
    </x:row>
    <x:row r="486" ht="30" customHeight="1">
      <x:c r="A486" s="138" t="str">
        <x:v>Draft</x:v>
      </x:c>
      <x:c r="B486" s="138" t="str">
        <x:v>Quick Coupler</x:v>
      </x:c>
      <x:c r="C486" s="138" t="str">
        <x:v>QDC_5675_SET_08_FNPT_08</x:v>
      </x:c>
      <x:c r="D486" s="138" t="str">
        <x:v>QDC_5675_SET_08_FNPT_08</x:v>
      </x:c>
      <x:c r="E486" s="138" t="str">
        <x:v>SET</x:v>
      </x:c>
      <x:c r="F486" s="139"/>
      <x:c r="G486" s="141" t="n">
        <x:v>1</x:v>
      </x:c>
      <x:c r="H486" s="141" t="n">
        <x:v>1</x:v>
      </x:c>
      <x:c r="I486" s="143"/>
      <x:c r="J486" s="141" t="n">
        <x:v>10</x:v>
      </x:c>
      <x:c r="K486" s="138" t="str">
        <x:v>China</x:v>
      </x:c>
      <x:c r="L486" t="str">
        <x:v>USD</x:v>
      </x:c>
      <x:c r="M486" s="126"/>
      <x:c r="N486"/>
      <x:c r="O486"/>
      <x:c r="P486" s="145"/>
      <x:c r="Q486" s="126"/>
      <x:c r="R486" s="149" t="n">
        <x:v>22.76</x:v>
      </x:c>
      <x:c r="S486" s="145"/>
      <x:c r="T486" s="145"/>
      <x:c r="U486" s="124"/>
      <x:c r="V486" s="124"/>
      <x:c r="W486" s="124"/>
      <x:c r="X486" s="124"/>
      <x:c r="Y486"/>
      <x:c r="Z486"/>
      <x:c r="AA486" s="116" t="str">
        <x:v>Net unit weight missing in 06. Order-level RFQ minimum: USD 100. Retail source: DHH 4AGF4-AG4F4; direct complete pair price; observed 2026-08-15; https://www.discounthydraulichose.com/iso-5675-coupler-sets.html</x:v>
      </x:c>
      <x:c r="AB486" s="161" t="str">
        <x:v>Eligible</x:v>
      </x:c>
      <x:c r="AC486" s="161" t="str">
        <x:v>Pending</x:v>
      </x:c>
      <x:c r="AD486" t="str">
        <x:v>Units</x:v>
      </x:c>
      <x:c r="AE486" s="145"/>
      <x:c r="AF486" s="145"/>
      <x:c r="AG486" s="145"/>
      <x:c r="AH486" s="145"/>
      <x:c r="AI486" s="145"/>
      <x:c r="AJ486"/>
    </x:row>
    <x:row r="487" ht="30" customHeight="1">
      <x:c r="A487" s="138" t="str">
        <x:v>Draft</x:v>
      </x:c>
      <x:c r="B487" s="138" t="str">
        <x:v>Quick Coupler</x:v>
      </x:c>
      <x:c r="C487" s="138" t="str">
        <x:v>QDC_5675_SOC_08_FORB_08</x:v>
      </x:c>
      <x:c r="D487" s="138" t="str">
        <x:v>QDC_5675_SOC_08_FORB_08</x:v>
      </x:c>
      <x:c r="E487" s="138" t="str">
        <x:v>EA</x:v>
      </x:c>
      <x:c r="F487" s="139"/>
      <x:c r="G487" s="141" t="n">
        <x:v>1</x:v>
      </x:c>
      <x:c r="H487" s="141" t="n">
        <x:v>1</x:v>
      </x:c>
      <x:c r="I487" s="143"/>
      <x:c r="J487" s="141" t="n">
        <x:v>10</x:v>
      </x:c>
      <x:c r="K487" s="138" t="str">
        <x:v>China</x:v>
      </x:c>
      <x:c r="L487" t="str">
        <x:v>USD</x:v>
      </x:c>
      <x:c r="M487" s="126"/>
      <x:c r="N487"/>
      <x:c r="O487"/>
      <x:c r="P487" s="145"/>
      <x:c r="Q487" s="126"/>
      <x:c r="R487" s="149" t="n">
        <x:v>22.23</x:v>
      </x:c>
      <x:c r="S487" s="145"/>
      <x:c r="T487" s="145"/>
      <x:c r="U487" s="124"/>
      <x:c r="V487" s="124"/>
      <x:c r="W487" s="124"/>
      <x:c r="X487" s="124"/>
      <x:c r="Y487"/>
      <x:c r="Z487"/>
      <x:c r="AA487" s="116" t="str">
        <x:v>Net unit weight missing in 06. Order-level RFQ minimum: USD 100. Retail source: DHH 4AGOF4; direct coupler/socket price; observed 2026-08-15; https://www.discounthydraulichose.com/iso-5675-female-couplers.html</x:v>
      </x:c>
      <x:c r="AB487" s="161" t="str">
        <x:v>Eligible</x:v>
      </x:c>
      <x:c r="AC487" s="161" t="str">
        <x:v>Pending</x:v>
      </x:c>
      <x:c r="AD487" t="str">
        <x:v>Units</x:v>
      </x:c>
      <x:c r="AE487" s="145"/>
      <x:c r="AF487" s="145"/>
      <x:c r="AG487" s="145"/>
      <x:c r="AH487" s="145"/>
      <x:c r="AI487" s="145"/>
      <x:c r="AJ487"/>
    </x:row>
    <x:row r="488" ht="30" customHeight="1">
      <x:c r="A488" s="138" t="str">
        <x:v>Draft</x:v>
      </x:c>
      <x:c r="B488" s="138" t="str">
        <x:v>Quick Plug</x:v>
      </x:c>
      <x:c r="C488" s="138" t="str">
        <x:v>QDC_5675_PLG_08_FORB_08</x:v>
      </x:c>
      <x:c r="D488" s="138" t="str">
        <x:v>QDC_5675_PLG_08_FORB_08</x:v>
      </x:c>
      <x:c r="E488" s="138" t="str">
        <x:v>EA</x:v>
      </x:c>
      <x:c r="F488" s="139"/>
      <x:c r="G488" s="141" t="n">
        <x:v>1</x:v>
      </x:c>
      <x:c r="H488" s="141" t="n">
        <x:v>1</x:v>
      </x:c>
      <x:c r="I488" s="143"/>
      <x:c r="J488" s="141" t="n">
        <x:v>10</x:v>
      </x:c>
      <x:c r="K488" s="138" t="str">
        <x:v>China</x:v>
      </x:c>
      <x:c r="L488" t="str">
        <x:v>USD</x:v>
      </x:c>
      <x:c r="M488" s="126"/>
      <x:c r="N488"/>
      <x:c r="O488"/>
      <x:c r="P488" s="145"/>
      <x:c r="Q488" s="126"/>
      <x:c r="R488" s="149" t="n">
        <x:v>10.09</x:v>
      </x:c>
      <x:c r="S488" s="145"/>
      <x:c r="T488" s="145"/>
      <x:c r="U488" s="124"/>
      <x:c r="V488" s="124"/>
      <x:c r="W488" s="124"/>
      <x:c r="X488" s="124"/>
      <x:c r="Y488"/>
      <x:c r="Z488"/>
      <x:c r="AA488" s="116" t="str">
        <x:v>Net unit weight missing in 06. Order-level RFQ minimum: USD 100. Retail source: DHH AG4OF4; direct plug/nipple price; observed 2026-08-15; https://www.discounthydraulichose.com/iso-5675-male-couplers.html</x:v>
      </x:c>
      <x:c r="AB488" s="161" t="str">
        <x:v>Eligible</x:v>
      </x:c>
      <x:c r="AC488" s="161" t="str">
        <x:v>Pending</x:v>
      </x:c>
      <x:c r="AD488" t="str">
        <x:v>Units</x:v>
      </x:c>
      <x:c r="AE488" s="145"/>
      <x:c r="AF488" s="145"/>
      <x:c r="AG488" s="145"/>
      <x:c r="AH488" s="145"/>
      <x:c r="AI488" s="145"/>
      <x:c r="AJ488"/>
    </x:row>
    <x:row r="489" ht="30" customHeight="1">
      <x:c r="A489" s="138" t="str">
        <x:v>Draft</x:v>
      </x:c>
      <x:c r="B489" s="138" t="str">
        <x:v>Quick Coupler</x:v>
      </x:c>
      <x:c r="C489" s="138" t="str">
        <x:v>QDC_5675_SET_08_FORB_08</x:v>
      </x:c>
      <x:c r="D489" s="138" t="str">
        <x:v>QDC_5675_SET_08_FORB_08</x:v>
      </x:c>
      <x:c r="E489" s="138" t="str">
        <x:v>SET</x:v>
      </x:c>
      <x:c r="F489" s="139"/>
      <x:c r="G489" s="141" t="n">
        <x:v>1</x:v>
      </x:c>
      <x:c r="H489" s="141" t="n">
        <x:v>1</x:v>
      </x:c>
      <x:c r="I489" s="143"/>
      <x:c r="J489" s="141" t="n">
        <x:v>10</x:v>
      </x:c>
      <x:c r="K489" s="138" t="str">
        <x:v>China</x:v>
      </x:c>
      <x:c r="L489" t="str">
        <x:v>USD</x:v>
      </x:c>
      <x:c r="M489" s="126"/>
      <x:c r="N489"/>
      <x:c r="O489"/>
      <x:c r="P489" s="145"/>
      <x:c r="Q489" s="126"/>
      <x:c r="R489" s="149" t="n">
        <x:v>30.95</x:v>
      </x:c>
      <x:c r="S489" s="145"/>
      <x:c r="T489" s="145"/>
      <x:c r="U489" s="124"/>
      <x:c r="V489" s="124"/>
      <x:c r="W489" s="124"/>
      <x:c r="X489" s="124"/>
      <x:c r="Y489"/>
      <x:c r="Z489"/>
      <x:c r="AA489" s="116" t="str">
        <x:v>Net unit weight missing in 06. Order-level RFQ minimum: USD 100. Retail source: DHH 4AGOF4-AG4OF4; direct complete pair price; observed 2026-08-15; https://www.discounthydraulichose.com/iso-5675-coupler-sets.html</x:v>
      </x:c>
      <x:c r="AB489" s="161" t="str">
        <x:v>Eligible</x:v>
      </x:c>
      <x:c r="AC489" s="161" t="str">
        <x:v>Pending</x:v>
      </x:c>
      <x:c r="AD489" t="str">
        <x:v>Units</x:v>
      </x:c>
      <x:c r="AE489" s="145"/>
      <x:c r="AF489" s="145"/>
      <x:c r="AG489" s="145"/>
      <x:c r="AH489" s="145"/>
      <x:c r="AI489" s="145"/>
      <x:c r="AJ489"/>
    </x:row>
    <x:row r="490" ht="30" customHeight="1">
      <x:c r="A490" s="138" t="str">
        <x:v>Draft</x:v>
      </x:c>
      <x:c r="B490" s="138" t="str">
        <x:v>Quick Coupler</x:v>
      </x:c>
      <x:c r="C490" s="138" t="str">
        <x:v>QDC_7241A_SOC_04_FNPT_04</x:v>
      </x:c>
      <x:c r="D490" s="138" t="str">
        <x:v>QDC_7241A_SOC_04_FNPT_04</x:v>
      </x:c>
      <x:c r="E490" s="138" t="str">
        <x:v>EA</x:v>
      </x:c>
      <x:c r="F490" s="139"/>
      <x:c r="G490" s="141" t="n">
        <x:v>1</x:v>
      </x:c>
      <x:c r="H490" s="141" t="n">
        <x:v>1</x:v>
      </x:c>
      <x:c r="I490" s="143"/>
      <x:c r="J490" s="141" t="n">
        <x:v>10</x:v>
      </x:c>
      <x:c r="K490" s="138" t="str">
        <x:v>China</x:v>
      </x:c>
      <x:c r="L490" t="str">
        <x:v>USD</x:v>
      </x:c>
      <x:c r="M490" s="126"/>
      <x:c r="N490"/>
      <x:c r="O490"/>
      <x:c r="P490" s="145"/>
      <x:c r="Q490" s="126"/>
      <x:c r="R490" s="149" t="n">
        <x:v>13.78</x:v>
      </x:c>
      <x:c r="S490" s="145"/>
      <x:c r="T490" s="145"/>
      <x:c r="U490" s="124"/>
      <x:c r="V490" s="124"/>
      <x:c r="W490" s="124"/>
      <x:c r="X490" s="124"/>
      <x:c r="Y490"/>
      <x:c r="Z490"/>
      <x:c r="AA490" s="116" t="str">
        <x:v>Net unit weight missing in 06. Order-level RFQ minimum: USD 100. Retail source: DHH 601-04-04S; direct coupler/socket price; observed 2026-08-15; https://www.discounthydraulichose.com/iso-7241-1-series-a-female-couplers.html</x:v>
      </x:c>
      <x:c r="AB490" s="161" t="str">
        <x:v>Eligible</x:v>
      </x:c>
      <x:c r="AC490" s="161" t="str">
        <x:v>Pending</x:v>
      </x:c>
      <x:c r="AD490" t="str">
        <x:v>Units</x:v>
      </x:c>
      <x:c r="AE490" s="145"/>
      <x:c r="AF490" s="145"/>
      <x:c r="AG490" s="145"/>
      <x:c r="AH490" s="145"/>
      <x:c r="AI490" s="145"/>
      <x:c r="AJ490"/>
    </x:row>
    <x:row r="491" ht="30" customHeight="1">
      <x:c r="A491" s="138" t="str">
        <x:v>Draft</x:v>
      </x:c>
      <x:c r="B491" s="138" t="str">
        <x:v>Quick Plug</x:v>
      </x:c>
      <x:c r="C491" s="138" t="str">
        <x:v>QDC_7241A_PLG_04_FNPT_04</x:v>
      </x:c>
      <x:c r="D491" s="138" t="str">
        <x:v>QDC_7241A_PLG_04_FNPT_04</x:v>
      </x:c>
      <x:c r="E491" s="138" t="str">
        <x:v>EA</x:v>
      </x:c>
      <x:c r="F491" s="139"/>
      <x:c r="G491" s="141" t="n">
        <x:v>1</x:v>
      </x:c>
      <x:c r="H491" s="141" t="n">
        <x:v>1</x:v>
      </x:c>
      <x:c r="I491" s="143"/>
      <x:c r="J491" s="141" t="n">
        <x:v>10</x:v>
      </x:c>
      <x:c r="K491" s="138" t="str">
        <x:v>China</x:v>
      </x:c>
      <x:c r="L491" t="str">
        <x:v>USD</x:v>
      </x:c>
      <x:c r="M491" s="126"/>
      <x:c r="N491"/>
      <x:c r="O491"/>
      <x:c r="P491" s="145"/>
      <x:c r="Q491" s="126"/>
      <x:c r="R491" s="149" t="n">
        <x:v>7.89</x:v>
      </x:c>
      <x:c r="S491" s="145"/>
      <x:c r="T491" s="145"/>
      <x:c r="U491" s="124"/>
      <x:c r="V491" s="124"/>
      <x:c r="W491" s="124"/>
      <x:c r="X491" s="124"/>
      <x:c r="Y491"/>
      <x:c r="Z491"/>
      <x:c r="AA491" s="116" t="str">
        <x:v>Net unit weight missing in 06. Order-level RFQ minimum: USD 100. Retail source: DHH 602-04-04S; direct plug/nipple price; observed 2026-08-15; https://www.discounthydraulichose.com/iso-7241-1-series-a-male-couplers.html</x:v>
      </x:c>
      <x:c r="AB491" s="161" t="str">
        <x:v>Eligible</x:v>
      </x:c>
      <x:c r="AC491" s="161" t="str">
        <x:v>Pending</x:v>
      </x:c>
      <x:c r="AD491" t="str">
        <x:v>Units</x:v>
      </x:c>
      <x:c r="AE491" s="145"/>
      <x:c r="AF491" s="145"/>
      <x:c r="AG491" s="145"/>
      <x:c r="AH491" s="145"/>
      <x:c r="AI491" s="145"/>
      <x:c r="AJ491"/>
    </x:row>
    <x:row r="492" ht="30" customHeight="1">
      <x:c r="A492" s="138" t="str">
        <x:v>Draft</x:v>
      </x:c>
      <x:c r="B492" s="138" t="str">
        <x:v>Quick Coupler</x:v>
      </x:c>
      <x:c r="C492" s="138" t="str">
        <x:v>QDC_7241A_SET_04_FNPT_04</x:v>
      </x:c>
      <x:c r="D492" s="138" t="str">
        <x:v>QDC_7241A_SET_04_FNPT_04</x:v>
      </x:c>
      <x:c r="E492" s="138" t="str">
        <x:v>SET</x:v>
      </x:c>
      <x:c r="F492" s="139"/>
      <x:c r="G492" s="141" t="n">
        <x:v>1</x:v>
      </x:c>
      <x:c r="H492" s="141" t="n">
        <x:v>1</x:v>
      </x:c>
      <x:c r="I492" s="143"/>
      <x:c r="J492" s="141" t="n">
        <x:v>10</x:v>
      </x:c>
      <x:c r="K492" s="138" t="str">
        <x:v>China</x:v>
      </x:c>
      <x:c r="L492" t="str">
        <x:v>USD</x:v>
      </x:c>
      <x:c r="M492" s="126"/>
      <x:c r="N492"/>
      <x:c r="O492"/>
      <x:c r="P492" s="145"/>
      <x:c r="Q492" s="126"/>
      <x:c r="R492" s="149" t="n">
        <x:v>19.29</x:v>
      </x:c>
      <x:c r="S492" s="145"/>
      <x:c r="T492" s="145"/>
      <x:c r="U492" s="124"/>
      <x:c r="V492" s="124"/>
      <x:c r="W492" s="124"/>
      <x:c r="X492" s="124"/>
      <x:c r="Y492"/>
      <x:c r="Z492"/>
      <x:c r="AA492" s="116" t="str">
        <x:v>Net unit weight missing in 06. Order-level RFQ minimum: USD 100. Retail source: DHH 600-04-04S; direct complete pair price; observed 2026-08-15; https://www.discounthydraulichose.com/iso-7241-1-series-a-coupler-sets.html</x:v>
      </x:c>
      <x:c r="AB492" s="161" t="str">
        <x:v>Eligible</x:v>
      </x:c>
      <x:c r="AC492" s="161" t="str">
        <x:v>Pending</x:v>
      </x:c>
      <x:c r="AD492" t="str">
        <x:v>Units</x:v>
      </x:c>
      <x:c r="AE492" s="145"/>
      <x:c r="AF492" s="145"/>
      <x:c r="AG492" s="145"/>
      <x:c r="AH492" s="145"/>
      <x:c r="AI492" s="145"/>
      <x:c r="AJ492"/>
    </x:row>
    <x:row r="493" ht="30" customHeight="1">
      <x:c r="A493" s="138" t="str">
        <x:v>Draft</x:v>
      </x:c>
      <x:c r="B493" s="138" t="str">
        <x:v>Quick Coupler</x:v>
      </x:c>
      <x:c r="C493" s="138" t="str">
        <x:v>QDC_7241A_SOC_06_FNPT_06</x:v>
      </x:c>
      <x:c r="D493" s="138" t="str">
        <x:v>QDC_7241A_SOC_06_FNPT_06</x:v>
      </x:c>
      <x:c r="E493" s="138" t="str">
        <x:v>EA</x:v>
      </x:c>
      <x:c r="F493" s="139"/>
      <x:c r="G493" s="141" t="n">
        <x:v>1</x:v>
      </x:c>
      <x:c r="H493" s="141" t="n">
        <x:v>1</x:v>
      </x:c>
      <x:c r="I493" s="143"/>
      <x:c r="J493" s="141" t="n">
        <x:v>10</x:v>
      </x:c>
      <x:c r="K493" s="138" t="str">
        <x:v>China</x:v>
      </x:c>
      <x:c r="L493" t="str">
        <x:v>USD</x:v>
      </x:c>
      <x:c r="M493" s="126"/>
      <x:c r="N493"/>
      <x:c r="O493"/>
      <x:c r="P493" s="145"/>
      <x:c r="Q493" s="126"/>
      <x:c r="R493" s="149" t="n">
        <x:v>20.54</x:v>
      </x:c>
      <x:c r="S493" s="145"/>
      <x:c r="T493" s="145"/>
      <x:c r="U493" s="124"/>
      <x:c r="V493" s="124"/>
      <x:c r="W493" s="124"/>
      <x:c r="X493" s="124"/>
      <x:c r="Y493"/>
      <x:c r="Z493"/>
      <x:c r="AA493" s="116" t="str">
        <x:v>Net unit weight missing in 06. Order-level RFQ minimum: USD 100. Retail source: DHH 601-06-06S; direct coupler/socket price; observed 2026-08-15; https://www.discounthydraulichose.com/iso-7241-1-series-a-female-couplers.html</x:v>
      </x:c>
      <x:c r="AB493" s="161" t="str">
        <x:v>Eligible</x:v>
      </x:c>
      <x:c r="AC493" s="161" t="str">
        <x:v>Pending</x:v>
      </x:c>
      <x:c r="AD493" t="str">
        <x:v>Units</x:v>
      </x:c>
      <x:c r="AE493" s="145"/>
      <x:c r="AF493" s="145"/>
      <x:c r="AG493" s="145"/>
      <x:c r="AH493" s="145"/>
      <x:c r="AI493" s="145"/>
      <x:c r="AJ493"/>
    </x:row>
    <x:row r="494" ht="30" customHeight="1">
      <x:c r="A494" s="138" t="str">
        <x:v>Draft</x:v>
      </x:c>
      <x:c r="B494" s="138" t="str">
        <x:v>Quick Plug</x:v>
      </x:c>
      <x:c r="C494" s="138" t="str">
        <x:v>QDC_7241A_PLG_06_FNPT_06</x:v>
      </x:c>
      <x:c r="D494" s="138" t="str">
        <x:v>QDC_7241A_PLG_06_FNPT_06</x:v>
      </x:c>
      <x:c r="E494" s="138" t="str">
        <x:v>EA</x:v>
      </x:c>
      <x:c r="F494" s="139"/>
      <x:c r="G494" s="141" t="n">
        <x:v>1</x:v>
      </x:c>
      <x:c r="H494" s="141" t="n">
        <x:v>1</x:v>
      </x:c>
      <x:c r="I494" s="143"/>
      <x:c r="J494" s="141" t="n">
        <x:v>10</x:v>
      </x:c>
      <x:c r="K494" s="138" t="str">
        <x:v>China</x:v>
      </x:c>
      <x:c r="L494" t="str">
        <x:v>USD</x:v>
      </x:c>
      <x:c r="M494" s="126"/>
      <x:c r="N494"/>
      <x:c r="O494"/>
      <x:c r="P494" s="145"/>
      <x:c r="Q494" s="126"/>
      <x:c r="R494" s="149" t="n">
        <x:v>12.3</x:v>
      </x:c>
      <x:c r="S494" s="145"/>
      <x:c r="T494" s="145"/>
      <x:c r="U494" s="124"/>
      <x:c r="V494" s="124"/>
      <x:c r="W494" s="124"/>
      <x:c r="X494" s="124"/>
      <x:c r="Y494"/>
      <x:c r="Z494"/>
      <x:c r="AA494" s="116" t="str">
        <x:v>Net unit weight missing in 06. Order-level RFQ minimum: USD 100. Retail source: DHH 602-06-06S; direct plug/nipple price; observed 2026-08-15; https://www.discounthydraulichose.com/iso-7241-1-series-a-male-couplers.html</x:v>
      </x:c>
      <x:c r="AB494" s="161" t="str">
        <x:v>Eligible</x:v>
      </x:c>
      <x:c r="AC494" s="161" t="str">
        <x:v>Pending</x:v>
      </x:c>
      <x:c r="AD494" t="str">
        <x:v>Units</x:v>
      </x:c>
      <x:c r="AE494" s="145"/>
      <x:c r="AF494" s="145"/>
      <x:c r="AG494" s="145"/>
      <x:c r="AH494" s="145"/>
      <x:c r="AI494" s="145"/>
      <x:c r="AJ494"/>
    </x:row>
    <x:row r="495" ht="30" customHeight="1">
      <x:c r="A495" s="138" t="str">
        <x:v>Draft</x:v>
      </x:c>
      <x:c r="B495" s="138" t="str">
        <x:v>Quick Coupler</x:v>
      </x:c>
      <x:c r="C495" s="138" t="str">
        <x:v>QDC_7241A_SET_06_FNPT_06</x:v>
      </x:c>
      <x:c r="D495" s="138" t="str">
        <x:v>QDC_7241A_SET_06_FNPT_06</x:v>
      </x:c>
      <x:c r="E495" s="138" t="str">
        <x:v>SET</x:v>
      </x:c>
      <x:c r="F495" s="139"/>
      <x:c r="G495" s="141" t="n">
        <x:v>1</x:v>
      </x:c>
      <x:c r="H495" s="141" t="n">
        <x:v>1</x:v>
      </x:c>
      <x:c r="I495" s="143"/>
      <x:c r="J495" s="141" t="n">
        <x:v>10</x:v>
      </x:c>
      <x:c r="K495" s="138" t="str">
        <x:v>China</x:v>
      </x:c>
      <x:c r="L495" t="str">
        <x:v>USD</x:v>
      </x:c>
      <x:c r="M495" s="126"/>
      <x:c r="N495"/>
      <x:c r="O495"/>
      <x:c r="P495" s="145"/>
      <x:c r="Q495" s="126"/>
      <x:c r="R495" s="149" t="n">
        <x:v>25.85</x:v>
      </x:c>
      <x:c r="S495" s="145"/>
      <x:c r="T495" s="145"/>
      <x:c r="U495" s="124"/>
      <x:c r="V495" s="124"/>
      <x:c r="W495" s="124"/>
      <x:c r="X495" s="124"/>
      <x:c r="Y495"/>
      <x:c r="Z495"/>
      <x:c r="AA495" s="116" t="str">
        <x:v>Net unit weight missing in 06. Order-level RFQ minimum: USD 100. Retail source: DHH 600-06-06S; direct complete pair price; observed 2026-08-15; https://www.discounthydraulichose.com/iso-7241-1-series-a-coupler-sets.html</x:v>
      </x:c>
      <x:c r="AB495" s="161" t="str">
        <x:v>Eligible</x:v>
      </x:c>
      <x:c r="AC495" s="161" t="str">
        <x:v>Pending</x:v>
      </x:c>
      <x:c r="AD495" t="str">
        <x:v>Units</x:v>
      </x:c>
      <x:c r="AE495" s="145"/>
      <x:c r="AF495" s="145"/>
      <x:c r="AG495" s="145"/>
      <x:c r="AH495" s="145"/>
      <x:c r="AI495" s="145"/>
      <x:c r="AJ495"/>
    </x:row>
    <x:row r="496" ht="30" customHeight="1">
      <x:c r="A496" s="138" t="str">
        <x:v>Draft</x:v>
      </x:c>
      <x:c r="B496" s="138" t="str">
        <x:v>Quick Coupler</x:v>
      </x:c>
      <x:c r="C496" s="138" t="str">
        <x:v>QDC_7241A_SOC_08_FNPT_08</x:v>
      </x:c>
      <x:c r="D496" s="138" t="str">
        <x:v>QDC_7241A_SOC_08_FNPT_08</x:v>
      </x:c>
      <x:c r="E496" s="138" t="str">
        <x:v>EA</x:v>
      </x:c>
      <x:c r="F496" s="139"/>
      <x:c r="G496" s="141" t="n">
        <x:v>1</x:v>
      </x:c>
      <x:c r="H496" s="141" t="n">
        <x:v>1</x:v>
      </x:c>
      <x:c r="I496" s="143"/>
      <x:c r="J496" s="141" t="n">
        <x:v>10</x:v>
      </x:c>
      <x:c r="K496" s="138" t="str">
        <x:v>China</x:v>
      </x:c>
      <x:c r="L496" t="str">
        <x:v>USD</x:v>
      </x:c>
      <x:c r="M496" s="126"/>
      <x:c r="N496"/>
      <x:c r="O496"/>
      <x:c r="P496" s="145"/>
      <x:c r="Q496" s="126"/>
      <x:c r="R496" s="149" t="n">
        <x:v>20.59</x:v>
      </x:c>
      <x:c r="S496" s="145"/>
      <x:c r="T496" s="145"/>
      <x:c r="U496" s="124"/>
      <x:c r="V496" s="124"/>
      <x:c r="W496" s="124"/>
      <x:c r="X496" s="124"/>
      <x:c r="Y496"/>
      <x:c r="Z496"/>
      <x:c r="AA496" s="116" t="str">
        <x:v>Net unit weight missing in 06. Order-level RFQ minimum: USD 100. Retail source: DHH 601-08-08S; direct coupler/socket price; observed 2026-08-15; https://www.discounthydraulichose.com/iso-7241-1-series-a-female-couplers.html</x:v>
      </x:c>
      <x:c r="AB496" s="161" t="str">
        <x:v>Eligible</x:v>
      </x:c>
      <x:c r="AC496" s="161" t="str">
        <x:v>Pending</x:v>
      </x:c>
      <x:c r="AD496" t="str">
        <x:v>Units</x:v>
      </x:c>
      <x:c r="AE496" s="145"/>
      <x:c r="AF496" s="145"/>
      <x:c r="AG496" s="145"/>
      <x:c r="AH496" s="145"/>
      <x:c r="AI496" s="145"/>
      <x:c r="AJ496"/>
    </x:row>
    <x:row r="497" ht="30" customHeight="1">
      <x:c r="A497" s="138" t="str">
        <x:v>Draft</x:v>
      </x:c>
      <x:c r="B497" s="138" t="str">
        <x:v>Quick Plug</x:v>
      </x:c>
      <x:c r="C497" s="138" t="str">
        <x:v>QDC_7241A_PLG_08_FNPT_08</x:v>
      </x:c>
      <x:c r="D497" s="138" t="str">
        <x:v>QDC_7241A_PLG_08_FNPT_08</x:v>
      </x:c>
      <x:c r="E497" s="138" t="str">
        <x:v>EA</x:v>
      </x:c>
      <x:c r="F497" s="139"/>
      <x:c r="G497" s="141" t="n">
        <x:v>1</x:v>
      </x:c>
      <x:c r="H497" s="141" t="n">
        <x:v>1</x:v>
      </x:c>
      <x:c r="I497" s="143"/>
      <x:c r="J497" s="141" t="n">
        <x:v>10</x:v>
      </x:c>
      <x:c r="K497" s="138" t="str">
        <x:v>China</x:v>
      </x:c>
      <x:c r="L497" t="str">
        <x:v>USD</x:v>
      </x:c>
      <x:c r="M497" s="126"/>
      <x:c r="N497"/>
      <x:c r="O497"/>
      <x:c r="P497" s="145"/>
      <x:c r="Q497" s="126"/>
      <x:c r="R497" s="149" t="n">
        <x:v>13.95</x:v>
      </x:c>
      <x:c r="S497" s="145"/>
      <x:c r="T497" s="145"/>
      <x:c r="U497" s="124"/>
      <x:c r="V497" s="124"/>
      <x:c r="W497" s="124"/>
      <x:c r="X497" s="124"/>
      <x:c r="Y497"/>
      <x:c r="Z497"/>
      <x:c r="AA497" s="116" t="str">
        <x:v>Net unit weight missing in 06. Order-level RFQ minimum: USD 100. Retail source: DHH 602-08-08S; direct plug/nipple price; observed 2026-08-15; https://www.discounthydraulichose.com/iso-7241-1-series-a-male-couplers.html</x:v>
      </x:c>
      <x:c r="AB497" s="161" t="str">
        <x:v>Eligible</x:v>
      </x:c>
      <x:c r="AC497" s="161" t="str">
        <x:v>Pending</x:v>
      </x:c>
      <x:c r="AD497" t="str">
        <x:v>Units</x:v>
      </x:c>
      <x:c r="AE497" s="145"/>
      <x:c r="AF497" s="145"/>
      <x:c r="AG497" s="145"/>
      <x:c r="AH497" s="145"/>
      <x:c r="AI497" s="145"/>
      <x:c r="AJ497"/>
    </x:row>
    <x:row r="498" ht="30" customHeight="1">
      <x:c r="A498" s="138" t="str">
        <x:v>Draft</x:v>
      </x:c>
      <x:c r="B498" s="138" t="str">
        <x:v>Quick Coupler</x:v>
      </x:c>
      <x:c r="C498" s="138" t="str">
        <x:v>QDC_7241A_SET_08_FNPT_08</x:v>
      </x:c>
      <x:c r="D498" s="138" t="str">
        <x:v>QDC_7241A_SET_08_FNPT_08</x:v>
      </x:c>
      <x:c r="E498" s="138" t="str">
        <x:v>SET</x:v>
      </x:c>
      <x:c r="F498" s="139"/>
      <x:c r="G498" s="141" t="n">
        <x:v>1</x:v>
      </x:c>
      <x:c r="H498" s="141" t="n">
        <x:v>1</x:v>
      </x:c>
      <x:c r="I498" s="143"/>
      <x:c r="J498" s="141" t="n">
        <x:v>10</x:v>
      </x:c>
      <x:c r="K498" s="138" t="str">
        <x:v>China</x:v>
      </x:c>
      <x:c r="L498" t="str">
        <x:v>USD</x:v>
      </x:c>
      <x:c r="M498" s="126"/>
      <x:c r="N498"/>
      <x:c r="O498"/>
      <x:c r="P498" s="145"/>
      <x:c r="Q498" s="126"/>
      <x:c r="R498" s="149" t="n">
        <x:v>24.2</x:v>
      </x:c>
      <x:c r="S498" s="145"/>
      <x:c r="T498" s="145"/>
      <x:c r="U498" s="124"/>
      <x:c r="V498" s="124"/>
      <x:c r="W498" s="124"/>
      <x:c r="X498" s="124"/>
      <x:c r="Y498"/>
      <x:c r="Z498"/>
      <x:c r="AA498" s="116" t="str">
        <x:v>Net unit weight missing in 06. Order-level RFQ minimum: USD 100. Retail source: DHH 600-08-08S; direct complete pair price; observed 2026-08-15; https://www.discounthydraulichose.com/iso-7241-1-series-a-coupler-sets.html</x:v>
      </x:c>
      <x:c r="AB498" s="161" t="str">
        <x:v>Eligible</x:v>
      </x:c>
      <x:c r="AC498" s="161" t="str">
        <x:v>Pending</x:v>
      </x:c>
      <x:c r="AD498" t="str">
        <x:v>Units</x:v>
      </x:c>
      <x:c r="AE498" s="145"/>
      <x:c r="AF498" s="145"/>
      <x:c r="AG498" s="145"/>
      <x:c r="AH498" s="145"/>
      <x:c r="AI498" s="145"/>
      <x:c r="AJ498"/>
    </x:row>
    <x:row r="499" ht="30" customHeight="1">
      <x:c r="A499" s="138" t="str">
        <x:v>Draft</x:v>
      </x:c>
      <x:c r="B499" s="138" t="str">
        <x:v>Quick Coupler</x:v>
      </x:c>
      <x:c r="C499" s="138" t="str">
        <x:v>QDC_7241A_SOC_12_FNPT_12</x:v>
      </x:c>
      <x:c r="D499" s="138" t="str">
        <x:v>QDC_7241A_SOC_12_FNPT_12</x:v>
      </x:c>
      <x:c r="E499" s="138" t="str">
        <x:v>EA</x:v>
      </x:c>
      <x:c r="F499" s="139"/>
      <x:c r="G499" s="141" t="n">
        <x:v>1</x:v>
      </x:c>
      <x:c r="H499" s="141" t="n">
        <x:v>1</x:v>
      </x:c>
      <x:c r="I499" s="143"/>
      <x:c r="J499" s="141" t="n">
        <x:v>10</x:v>
      </x:c>
      <x:c r="K499" s="138" t="str">
        <x:v>China</x:v>
      </x:c>
      <x:c r="L499" t="str">
        <x:v>USD</x:v>
      </x:c>
      <x:c r="M499" s="126"/>
      <x:c r="N499"/>
      <x:c r="O499"/>
      <x:c r="P499" s="145"/>
      <x:c r="Q499" s="126"/>
      <x:c r="R499" s="149" t="n">
        <x:v>20.95</x:v>
      </x:c>
      <x:c r="S499" s="145"/>
      <x:c r="T499" s="145"/>
      <x:c r="U499" s="124"/>
      <x:c r="V499" s="124"/>
      <x:c r="W499" s="124"/>
      <x:c r="X499" s="124"/>
      <x:c r="Y499"/>
      <x:c r="Z499"/>
      <x:c r="AA499" s="116" t="str">
        <x:v>Net unit weight missing in 06. Order-level RFQ minimum: USD 100. Retail source: DHH 601-12-12S; direct coupler/socket price; observed 2026-08-15; https://www.discounthydraulichose.com/iso-7241-1-series-a-female-couplers.html</x:v>
      </x:c>
      <x:c r="AB499" s="161" t="str">
        <x:v>Eligible</x:v>
      </x:c>
      <x:c r="AC499" s="161" t="str">
        <x:v>Pending</x:v>
      </x:c>
      <x:c r="AD499" t="str">
        <x:v>Units</x:v>
      </x:c>
      <x:c r="AE499" s="145"/>
      <x:c r="AF499" s="145"/>
      <x:c r="AG499" s="145"/>
      <x:c r="AH499" s="145"/>
      <x:c r="AI499" s="145"/>
      <x:c r="AJ499"/>
    </x:row>
    <x:row r="500" ht="30" customHeight="1">
      <x:c r="A500" s="138" t="str">
        <x:v>Draft</x:v>
      </x:c>
      <x:c r="B500" s="138" t="str">
        <x:v>Quick Plug</x:v>
      </x:c>
      <x:c r="C500" s="138" t="str">
        <x:v>QDC_7241A_PLG_12_FNPT_12</x:v>
      </x:c>
      <x:c r="D500" s="138" t="str">
        <x:v>QDC_7241A_PLG_12_FNPT_12</x:v>
      </x:c>
      <x:c r="E500" s="138" t="str">
        <x:v>EA</x:v>
      </x:c>
      <x:c r="F500" s="139"/>
      <x:c r="G500" s="141" t="n">
        <x:v>1</x:v>
      </x:c>
      <x:c r="H500" s="141" t="n">
        <x:v>1</x:v>
      </x:c>
      <x:c r="I500" s="143"/>
      <x:c r="J500" s="141" t="n">
        <x:v>10</x:v>
      </x:c>
      <x:c r="K500" s="138" t="str">
        <x:v>China</x:v>
      </x:c>
      <x:c r="L500" t="str">
        <x:v>USD</x:v>
      </x:c>
      <x:c r="M500" s="126"/>
      <x:c r="N500"/>
      <x:c r="O500"/>
      <x:c r="P500" s="145"/>
      <x:c r="Q500" s="126"/>
      <x:c r="R500" s="149" t="n">
        <x:v>18.92</x:v>
      </x:c>
      <x:c r="S500" s="145"/>
      <x:c r="T500" s="145"/>
      <x:c r="U500" s="124"/>
      <x:c r="V500" s="124"/>
      <x:c r="W500" s="124"/>
      <x:c r="X500" s="124"/>
      <x:c r="Y500"/>
      <x:c r="Z500"/>
      <x:c r="AA500" s="116" t="str">
        <x:v>Net unit weight missing in 06. Order-level RFQ minimum: USD 100. Retail source: DHH 602-12-12S; direct plug/nipple price; observed 2026-08-15; https://www.discounthydraulichose.com/iso-7241-1-series-a-male-couplers.html</x:v>
      </x:c>
      <x:c r="AB500" s="161" t="str">
        <x:v>Eligible</x:v>
      </x:c>
      <x:c r="AC500" s="161" t="str">
        <x:v>Pending</x:v>
      </x:c>
      <x:c r="AD500" t="str">
        <x:v>Units</x:v>
      </x:c>
      <x:c r="AE500" s="145"/>
      <x:c r="AF500" s="145"/>
      <x:c r="AG500" s="145"/>
      <x:c r="AH500" s="145"/>
      <x:c r="AI500" s="145"/>
      <x:c r="AJ500"/>
    </x:row>
    <x:row r="501" ht="30" customHeight="1">
      <x:c r="A501" s="138" t="str">
        <x:v>Draft</x:v>
      </x:c>
      <x:c r="B501" s="138" t="str">
        <x:v>Quick Coupler</x:v>
      </x:c>
      <x:c r="C501" s="138" t="str">
        <x:v>QDC_7241A_SET_12_FNPT_12</x:v>
      </x:c>
      <x:c r="D501" s="138" t="str">
        <x:v>QDC_7241A_SET_12_FNPT_12</x:v>
      </x:c>
      <x:c r="E501" s="138" t="str">
        <x:v>SET</x:v>
      </x:c>
      <x:c r="F501" s="139"/>
      <x:c r="G501" s="141" t="n">
        <x:v>1</x:v>
      </x:c>
      <x:c r="H501" s="141" t="n">
        <x:v>1</x:v>
      </x:c>
      <x:c r="I501" s="143"/>
      <x:c r="J501" s="141" t="n">
        <x:v>10</x:v>
      </x:c>
      <x:c r="K501" s="138" t="str">
        <x:v>China</x:v>
      </x:c>
      <x:c r="L501" t="str">
        <x:v>USD</x:v>
      </x:c>
      <x:c r="M501" s="126"/>
      <x:c r="N501"/>
      <x:c r="O501"/>
      <x:c r="P501" s="145"/>
      <x:c r="Q501" s="126"/>
      <x:c r="R501" s="149" t="n">
        <x:v>29.77</x:v>
      </x:c>
      <x:c r="S501" s="145"/>
      <x:c r="T501" s="145"/>
      <x:c r="U501" s="124"/>
      <x:c r="V501" s="124"/>
      <x:c r="W501" s="124"/>
      <x:c r="X501" s="124"/>
      <x:c r="Y501"/>
      <x:c r="Z501"/>
      <x:c r="AA501" s="116" t="str">
        <x:v>Net unit weight missing in 06. Order-level RFQ minimum: USD 100. Retail source: DHH 600-12-12S; direct complete pair price; observed 2026-08-15; https://www.discounthydraulichose.com/iso-7241-1-series-a-coupler-sets.html</x:v>
      </x:c>
      <x:c r="AB501" s="161" t="str">
        <x:v>Eligible</x:v>
      </x:c>
      <x:c r="AC501" s="161" t="str">
        <x:v>Pending</x:v>
      </x:c>
      <x:c r="AD501" t="str">
        <x:v>Units</x:v>
      </x:c>
      <x:c r="AE501" s="145"/>
      <x:c r="AF501" s="145"/>
      <x:c r="AG501" s="145"/>
      <x:c r="AH501" s="145"/>
      <x:c r="AI501" s="145"/>
      <x:c r="AJ501"/>
    </x:row>
    <x:row r="502" ht="30" customHeight="1">
      <x:c r="A502" s="138" t="str">
        <x:v>Draft</x:v>
      </x:c>
      <x:c r="B502" s="138" t="str">
        <x:v>Quick Coupler</x:v>
      </x:c>
      <x:c r="C502" s="138" t="str">
        <x:v>QDC_7241A_SOC_16_FNPT_16</x:v>
      </x:c>
      <x:c r="D502" s="138" t="str">
        <x:v>QDC_7241A_SOC_16_FNPT_16</x:v>
      </x:c>
      <x:c r="E502" s="138" t="str">
        <x:v>EA</x:v>
      </x:c>
      <x:c r="F502" s="139"/>
      <x:c r="G502" s="141" t="n">
        <x:v>1</x:v>
      </x:c>
      <x:c r="H502" s="141" t="n">
        <x:v>1</x:v>
      </x:c>
      <x:c r="I502" s="143"/>
      <x:c r="J502" s="141" t="n">
        <x:v>10</x:v>
      </x:c>
      <x:c r="K502" s="138" t="str">
        <x:v>China</x:v>
      </x:c>
      <x:c r="L502" t="str">
        <x:v>USD</x:v>
      </x:c>
      <x:c r="M502" s="126"/>
      <x:c r="N502"/>
      <x:c r="O502"/>
      <x:c r="P502" s="145"/>
      <x:c r="Q502" s="126"/>
      <x:c r="R502" s="149" t="n">
        <x:v>35.28</x:v>
      </x:c>
      <x:c r="S502" s="145"/>
      <x:c r="T502" s="145"/>
      <x:c r="U502" s="124"/>
      <x:c r="V502" s="124"/>
      <x:c r="W502" s="124"/>
      <x:c r="X502" s="124"/>
      <x:c r="Y502"/>
      <x:c r="Z502"/>
      <x:c r="AA502" s="116" t="str">
        <x:v>Net unit weight missing in 06. Order-level RFQ minimum: USD 100. Retail source: DHH 601-16-16S; direct coupler/socket price; observed 2026-08-15; https://www.discounthydraulichose.com/iso-7241-1-series-a-female-couplers.html</x:v>
      </x:c>
      <x:c r="AB502" s="161" t="str">
        <x:v>Eligible</x:v>
      </x:c>
      <x:c r="AC502" s="161" t="str">
        <x:v>Pending</x:v>
      </x:c>
      <x:c r="AD502" t="str">
        <x:v>Units</x:v>
      </x:c>
      <x:c r="AE502" s="145"/>
      <x:c r="AF502" s="145"/>
      <x:c r="AG502" s="145"/>
      <x:c r="AH502" s="145"/>
      <x:c r="AI502" s="145"/>
      <x:c r="AJ502"/>
    </x:row>
    <x:row r="503" ht="30" customHeight="1">
      <x:c r="A503" s="138" t="str">
        <x:v>Draft</x:v>
      </x:c>
      <x:c r="B503" s="138" t="str">
        <x:v>Quick Plug</x:v>
      </x:c>
      <x:c r="C503" s="138" t="str">
        <x:v>QDC_7241A_PLG_16_FNPT_16</x:v>
      </x:c>
      <x:c r="D503" s="138" t="str">
        <x:v>QDC_7241A_PLG_16_FNPT_16</x:v>
      </x:c>
      <x:c r="E503" s="138" t="str">
        <x:v>EA</x:v>
      </x:c>
      <x:c r="F503" s="139"/>
      <x:c r="G503" s="141" t="n">
        <x:v>1</x:v>
      </x:c>
      <x:c r="H503" s="141" t="n">
        <x:v>1</x:v>
      </x:c>
      <x:c r="I503" s="143"/>
      <x:c r="J503" s="141" t="n">
        <x:v>10</x:v>
      </x:c>
      <x:c r="K503" s="138" t="str">
        <x:v>China</x:v>
      </x:c>
      <x:c r="L503" t="str">
        <x:v>USD</x:v>
      </x:c>
      <x:c r="M503" s="126"/>
      <x:c r="N503"/>
      <x:c r="O503"/>
      <x:c r="P503" s="145"/>
      <x:c r="Q503" s="126"/>
      <x:c r="R503" s="149" t="n">
        <x:v>23.53</x:v>
      </x:c>
      <x:c r="S503" s="145"/>
      <x:c r="T503" s="145"/>
      <x:c r="U503" s="124"/>
      <x:c r="V503" s="124"/>
      <x:c r="W503" s="124"/>
      <x:c r="X503" s="124"/>
      <x:c r="Y503"/>
      <x:c r="Z503"/>
      <x:c r="AA503" s="116" t="str">
        <x:v>Net unit weight missing in 06. Order-level RFQ minimum: USD 100. Retail source: DHH 602-16-16S; direct plug/nipple price; observed 2026-08-15; https://www.discounthydraulichose.com/iso-7241-1-series-a-male-couplers.html</x:v>
      </x:c>
      <x:c r="AB503" s="161" t="str">
        <x:v>Eligible</x:v>
      </x:c>
      <x:c r="AC503" s="161" t="str">
        <x:v>Pending</x:v>
      </x:c>
      <x:c r="AD503" t="str">
        <x:v>Units</x:v>
      </x:c>
      <x:c r="AE503" s="145"/>
      <x:c r="AF503" s="145"/>
      <x:c r="AG503" s="145"/>
      <x:c r="AH503" s="145"/>
      <x:c r="AI503" s="145"/>
      <x:c r="AJ503"/>
    </x:row>
    <x:row r="504" ht="30" customHeight="1">
      <x:c r="A504" s="138" t="str">
        <x:v>Draft</x:v>
      </x:c>
      <x:c r="B504" s="138" t="str">
        <x:v>Quick Coupler</x:v>
      </x:c>
      <x:c r="C504" s="138" t="str">
        <x:v>QDC_7241A_SET_16_FNPT_16</x:v>
      </x:c>
      <x:c r="D504" s="138" t="str">
        <x:v>QDC_7241A_SET_16_FNPT_16</x:v>
      </x:c>
      <x:c r="E504" s="138" t="str">
        <x:v>SET</x:v>
      </x:c>
      <x:c r="F504" s="139"/>
      <x:c r="G504" s="141" t="n">
        <x:v>1</x:v>
      </x:c>
      <x:c r="H504" s="141" t="n">
        <x:v>1</x:v>
      </x:c>
      <x:c r="I504" s="143"/>
      <x:c r="J504" s="141" t="n">
        <x:v>10</x:v>
      </x:c>
      <x:c r="K504" s="138" t="str">
        <x:v>China</x:v>
      </x:c>
      <x:c r="L504" t="str">
        <x:v>USD</x:v>
      </x:c>
      <x:c r="M504" s="126"/>
      <x:c r="N504"/>
      <x:c r="O504"/>
      <x:c r="P504" s="145"/>
      <x:c r="Q504" s="126"/>
      <x:c r="R504" s="149" t="n">
        <x:v>67.34</x:v>
      </x:c>
      <x:c r="S504" s="145"/>
      <x:c r="T504" s="145"/>
      <x:c r="U504" s="124"/>
      <x:c r="V504" s="124"/>
      <x:c r="W504" s="124"/>
      <x:c r="X504" s="124"/>
      <x:c r="Y504"/>
      <x:c r="Z504"/>
      <x:c r="AA504" s="116" t="str">
        <x:v>Net unit weight missing in 06. Order-level RFQ minimum: USD 100. Retail source: DHH 600-16-16S; direct complete pair price; observed 2026-08-15; https://www.discounthydraulichose.com/iso-7241-1-series-a-coupler-sets.html</x:v>
      </x:c>
      <x:c r="AB504" s="161" t="str">
        <x:v>Eligible</x:v>
      </x:c>
      <x:c r="AC504" s="161" t="str">
        <x:v>Pending</x:v>
      </x:c>
      <x:c r="AD504" t="str">
        <x:v>Units</x:v>
      </x:c>
      <x:c r="AE504" s="145"/>
      <x:c r="AF504" s="145"/>
      <x:c r="AG504" s="145"/>
      <x:c r="AH504" s="145"/>
      <x:c r="AI504" s="145"/>
      <x:c r="AJ504"/>
    </x:row>
    <x:row r="505" ht="30" customHeight="1">
      <x:c r="A505" s="138" t="str">
        <x:v>Draft</x:v>
      </x:c>
      <x:c r="B505" s="138" t="str">
        <x:v>Quick Coupler</x:v>
      </x:c>
      <x:c r="C505" s="138" t="str">
        <x:v>QDC_7241B_SOC_04_FNPT_04</x:v>
      </x:c>
      <x:c r="D505" s="138" t="str">
        <x:v>QDC_7241B_SOC_04_FNPT_04</x:v>
      </x:c>
      <x:c r="E505" s="138" t="str">
        <x:v>EA</x:v>
      </x:c>
      <x:c r="F505" s="139"/>
      <x:c r="G505" s="141" t="n">
        <x:v>1</x:v>
      </x:c>
      <x:c r="H505" s="141" t="n">
        <x:v>1</x:v>
      </x:c>
      <x:c r="I505" s="143"/>
      <x:c r="J505" s="141" t="n">
        <x:v>10</x:v>
      </x:c>
      <x:c r="K505" s="138" t="str">
        <x:v>China</x:v>
      </x:c>
      <x:c r="L505" t="str">
        <x:v>USD</x:v>
      </x:c>
      <x:c r="M505" s="126"/>
      <x:c r="N505"/>
      <x:c r="O505"/>
      <x:c r="P505" s="145"/>
      <x:c r="Q505" s="126"/>
      <x:c r="R505" s="149" t="n">
        <x:v>14.5</x:v>
      </x:c>
      <x:c r="S505" s="145"/>
      <x:c r="T505" s="145"/>
      <x:c r="U505" s="124"/>
      <x:c r="V505" s="124"/>
      <x:c r="W505" s="124"/>
      <x:c r="X505" s="124"/>
      <x:c r="Y505"/>
      <x:c r="Z505"/>
      <x:c r="AA505" s="116" t="str">
        <x:v>Net unit weight missing in 06. Order-level RFQ minimum: USD 100. Retail source: DHH 701-04-04S; direct coupler/socket price; observed 2026-08-15; https://www.discounthydraulichose.com/iso-7241-1-series-b-female-couplers-steel.html</x:v>
      </x:c>
      <x:c r="AB505" s="161" t="str">
        <x:v>Eligible</x:v>
      </x:c>
      <x:c r="AC505" s="161" t="str">
        <x:v>Pending</x:v>
      </x:c>
      <x:c r="AD505" t="str">
        <x:v>Units</x:v>
      </x:c>
      <x:c r="AE505" s="145"/>
      <x:c r="AF505" s="145"/>
      <x:c r="AG505" s="145"/>
      <x:c r="AH505" s="145"/>
      <x:c r="AI505" s="145"/>
      <x:c r="AJ505"/>
    </x:row>
    <x:row r="506" ht="30" customHeight="1">
      <x:c r="A506" s="138" t="str">
        <x:v>Draft</x:v>
      </x:c>
      <x:c r="B506" s="138" t="str">
        <x:v>Quick Plug</x:v>
      </x:c>
      <x:c r="C506" s="138" t="str">
        <x:v>QDC_7241B_PLG_04_FNPT_04</x:v>
      </x:c>
      <x:c r="D506" s="138" t="str">
        <x:v>QDC_7241B_PLG_04_FNPT_04</x:v>
      </x:c>
      <x:c r="E506" s="138" t="str">
        <x:v>EA</x:v>
      </x:c>
      <x:c r="F506" s="139"/>
      <x:c r="G506" s="141" t="n">
        <x:v>1</x:v>
      </x:c>
      <x:c r="H506" s="141" t="n">
        <x:v>1</x:v>
      </x:c>
      <x:c r="I506" s="143"/>
      <x:c r="J506" s="141" t="n">
        <x:v>10</x:v>
      </x:c>
      <x:c r="K506" s="138" t="str">
        <x:v>China</x:v>
      </x:c>
      <x:c r="L506" t="str">
        <x:v>USD</x:v>
      </x:c>
      <x:c r="M506" s="126"/>
      <x:c r="N506"/>
      <x:c r="O506"/>
      <x:c r="P506" s="145"/>
      <x:c r="Q506" s="126"/>
      <x:c r="R506" s="149" t="n">
        <x:v>8.17</x:v>
      </x:c>
      <x:c r="S506" s="145"/>
      <x:c r="T506" s="145"/>
      <x:c r="U506" s="124"/>
      <x:c r="V506" s="124"/>
      <x:c r="W506" s="124"/>
      <x:c r="X506" s="124"/>
      <x:c r="Y506"/>
      <x:c r="Z506"/>
      <x:c r="AA506" s="116" t="str">
        <x:v>Net unit weight missing in 06. Order-level RFQ minimum: USD 100. Retail source: DHH 702-04-04S; direct plug/nipple price; observed 2026-08-15; https://www.discounthydraulichose.com/iso-7241-1-series-b-male-couplers-steel.html</x:v>
      </x:c>
      <x:c r="AB506" s="161" t="str">
        <x:v>Eligible</x:v>
      </x:c>
      <x:c r="AC506" s="161" t="str">
        <x:v>Pending</x:v>
      </x:c>
      <x:c r="AD506" t="str">
        <x:v>Units</x:v>
      </x:c>
      <x:c r="AE506" s="145"/>
      <x:c r="AF506" s="145"/>
      <x:c r="AG506" s="145"/>
      <x:c r="AH506" s="145"/>
      <x:c r="AI506" s="145"/>
      <x:c r="AJ506"/>
    </x:row>
    <x:row r="507" ht="30" customHeight="1">
      <x:c r="A507" s="138" t="str">
        <x:v>Draft</x:v>
      </x:c>
      <x:c r="B507" s="138" t="str">
        <x:v>Quick Coupler</x:v>
      </x:c>
      <x:c r="C507" s="138" t="str">
        <x:v>QDC_7241B_SET_04_FNPT_04</x:v>
      </x:c>
      <x:c r="D507" s="138" t="str">
        <x:v>QDC_7241B_SET_04_FNPT_04</x:v>
      </x:c>
      <x:c r="E507" s="138" t="str">
        <x:v>SET</x:v>
      </x:c>
      <x:c r="F507" s="139"/>
      <x:c r="G507" s="141" t="n">
        <x:v>1</x:v>
      </x:c>
      <x:c r="H507" s="141" t="n">
        <x:v>1</x:v>
      </x:c>
      <x:c r="I507" s="143"/>
      <x:c r="J507" s="141" t="n">
        <x:v>10</x:v>
      </x:c>
      <x:c r="K507" s="138" t="str">
        <x:v>China</x:v>
      </x:c>
      <x:c r="L507" t="str">
        <x:v>USD</x:v>
      </x:c>
      <x:c r="M507" s="126"/>
      <x:c r="N507"/>
      <x:c r="O507"/>
      <x:c r="P507" s="145"/>
      <x:c r="Q507" s="126"/>
      <x:c r="R507" s="149" t="n">
        <x:v>19.79</x:v>
      </x:c>
      <x:c r="S507" s="145"/>
      <x:c r="T507" s="145"/>
      <x:c r="U507" s="124"/>
      <x:c r="V507" s="124"/>
      <x:c r="W507" s="124"/>
      <x:c r="X507" s="124"/>
      <x:c r="Y507"/>
      <x:c r="Z507"/>
      <x:c r="AA507" s="116" t="str">
        <x:v>Net unit weight missing in 06. Order-level RFQ minimum: USD 100. Retail source: DHH 700-04-04S; direct complete pair price; observed 2026-08-15; https://www.discounthydraulichose.com/iso-7241-1-series-b-coupler-sets-steel.html</x:v>
      </x:c>
      <x:c r="AB507" s="161" t="str">
        <x:v>Eligible</x:v>
      </x:c>
      <x:c r="AC507" s="161" t="str">
        <x:v>Pending</x:v>
      </x:c>
      <x:c r="AD507" t="str">
        <x:v>Units</x:v>
      </x:c>
      <x:c r="AE507" s="145"/>
      <x:c r="AF507" s="145"/>
      <x:c r="AG507" s="145"/>
      <x:c r="AH507" s="145"/>
      <x:c r="AI507" s="145"/>
      <x:c r="AJ507"/>
    </x:row>
    <x:row r="508" ht="30" customHeight="1">
      <x:c r="A508" s="138" t="str">
        <x:v>Draft</x:v>
      </x:c>
      <x:c r="B508" s="138" t="str">
        <x:v>Quick Coupler</x:v>
      </x:c>
      <x:c r="C508" s="138" t="str">
        <x:v>QDC_7241B_SOC_06_FNPT_06</x:v>
      </x:c>
      <x:c r="D508" s="138" t="str">
        <x:v>QDC_7241B_SOC_06_FNPT_06</x:v>
      </x:c>
      <x:c r="E508" s="138" t="str">
        <x:v>EA</x:v>
      </x:c>
      <x:c r="F508" s="139"/>
      <x:c r="G508" s="141" t="n">
        <x:v>1</x:v>
      </x:c>
      <x:c r="H508" s="141" t="n">
        <x:v>1</x:v>
      </x:c>
      <x:c r="I508" s="143"/>
      <x:c r="J508" s="141" t="n">
        <x:v>10</x:v>
      </x:c>
      <x:c r="K508" s="138" t="str">
        <x:v>China</x:v>
      </x:c>
      <x:c r="L508" t="str">
        <x:v>USD</x:v>
      </x:c>
      <x:c r="M508" s="126"/>
      <x:c r="N508"/>
      <x:c r="O508"/>
      <x:c r="P508" s="145"/>
      <x:c r="Q508" s="126"/>
      <x:c r="R508" s="149" t="n">
        <x:v>21.81</x:v>
      </x:c>
      <x:c r="S508" s="145"/>
      <x:c r="T508" s="145"/>
      <x:c r="U508" s="124"/>
      <x:c r="V508" s="124"/>
      <x:c r="W508" s="124"/>
      <x:c r="X508" s="124"/>
      <x:c r="Y508"/>
      <x:c r="Z508"/>
      <x:c r="AA508" s="116" t="str">
        <x:v>Net unit weight missing in 06. Order-level RFQ minimum: USD 100. Retail source: DHH 701-06-06S; direct coupler/socket price; observed 2026-08-15; https://www.discounthydraulichose.com/iso-7241-1-series-b-female-couplers-steel.html</x:v>
      </x:c>
      <x:c r="AB508" s="161" t="str">
        <x:v>Eligible</x:v>
      </x:c>
      <x:c r="AC508" s="161" t="str">
        <x:v>Pending</x:v>
      </x:c>
      <x:c r="AD508" t="str">
        <x:v>Units</x:v>
      </x:c>
      <x:c r="AE508" s="145"/>
      <x:c r="AF508" s="145"/>
      <x:c r="AG508" s="145"/>
      <x:c r="AH508" s="145"/>
      <x:c r="AI508" s="145"/>
      <x:c r="AJ508"/>
    </x:row>
    <x:row r="509" ht="30" customHeight="1">
      <x:c r="A509" s="138" t="str">
        <x:v>Draft</x:v>
      </x:c>
      <x:c r="B509" s="138" t="str">
        <x:v>Quick Plug</x:v>
      </x:c>
      <x:c r="C509" s="138" t="str">
        <x:v>QDC_7241B_PLG_06_FNPT_06</x:v>
      </x:c>
      <x:c r="D509" s="138" t="str">
        <x:v>QDC_7241B_PLG_06_FNPT_06</x:v>
      </x:c>
      <x:c r="E509" s="138" t="str">
        <x:v>EA</x:v>
      </x:c>
      <x:c r="F509" s="139"/>
      <x:c r="G509" s="141" t="n">
        <x:v>1</x:v>
      </x:c>
      <x:c r="H509" s="141" t="n">
        <x:v>1</x:v>
      </x:c>
      <x:c r="I509" s="143"/>
      <x:c r="J509" s="141" t="n">
        <x:v>10</x:v>
      </x:c>
      <x:c r="K509" s="138" t="str">
        <x:v>China</x:v>
      </x:c>
      <x:c r="L509" t="str">
        <x:v>USD</x:v>
      </x:c>
      <x:c r="M509" s="126"/>
      <x:c r="N509"/>
      <x:c r="O509"/>
      <x:c r="P509" s="145"/>
      <x:c r="Q509" s="126"/>
      <x:c r="R509" s="149" t="n">
        <x:v>11.06</x:v>
      </x:c>
      <x:c r="S509" s="145"/>
      <x:c r="T509" s="145"/>
      <x:c r="U509" s="124"/>
      <x:c r="V509" s="124"/>
      <x:c r="W509" s="124"/>
      <x:c r="X509" s="124"/>
      <x:c r="Y509"/>
      <x:c r="Z509"/>
      <x:c r="AA509" s="116" t="str">
        <x:v>Net unit weight missing in 06. Order-level RFQ minimum: USD 100. Retail source: DHH 702-06-06S; direct plug/nipple price; observed 2026-08-15; https://www.discounthydraulichose.com/iso-7241-1-series-b-male-couplers-steel.html</x:v>
      </x:c>
      <x:c r="AB509" s="161" t="str">
        <x:v>Eligible</x:v>
      </x:c>
      <x:c r="AC509" s="161" t="str">
        <x:v>Pending</x:v>
      </x:c>
      <x:c r="AD509" t="str">
        <x:v>Units</x:v>
      </x:c>
      <x:c r="AE509" s="145"/>
      <x:c r="AF509" s="145"/>
      <x:c r="AG509" s="145"/>
      <x:c r="AH509" s="145"/>
      <x:c r="AI509" s="145"/>
      <x:c r="AJ509"/>
    </x:row>
    <x:row r="510" ht="30" customHeight="1">
      <x:c r="A510" s="138" t="str">
        <x:v>Draft</x:v>
      </x:c>
      <x:c r="B510" s="138" t="str">
        <x:v>Quick Coupler</x:v>
      </x:c>
      <x:c r="C510" s="138" t="str">
        <x:v>QDC_7241B_SET_06_FNPT_06</x:v>
      </x:c>
      <x:c r="D510" s="138" t="str">
        <x:v>QDC_7241B_SET_06_FNPT_06</x:v>
      </x:c>
      <x:c r="E510" s="138" t="str">
        <x:v>SET</x:v>
      </x:c>
      <x:c r="F510" s="139"/>
      <x:c r="G510" s="141" t="n">
        <x:v>1</x:v>
      </x:c>
      <x:c r="H510" s="141" t="n">
        <x:v>1</x:v>
      </x:c>
      <x:c r="I510" s="143"/>
      <x:c r="J510" s="141" t="n">
        <x:v>10</x:v>
      </x:c>
      <x:c r="K510" s="138" t="str">
        <x:v>China</x:v>
      </x:c>
      <x:c r="L510" t="str">
        <x:v>USD</x:v>
      </x:c>
      <x:c r="M510" s="126"/>
      <x:c r="N510"/>
      <x:c r="O510"/>
      <x:c r="P510" s="145"/>
      <x:c r="Q510" s="126"/>
      <x:c r="R510" s="149" t="n">
        <x:v>25.36</x:v>
      </x:c>
      <x:c r="S510" s="145"/>
      <x:c r="T510" s="145"/>
      <x:c r="U510" s="124"/>
      <x:c r="V510" s="124"/>
      <x:c r="W510" s="124"/>
      <x:c r="X510" s="124"/>
      <x:c r="Y510"/>
      <x:c r="Z510"/>
      <x:c r="AA510" s="116" t="str">
        <x:v>Net unit weight missing in 06. Order-level RFQ minimum: USD 100. Retail source: DHH 700-06-06S; direct complete pair price; observed 2026-08-15; https://www.discounthydraulichose.com/iso-7241-1-series-b-coupler-sets-steel.html</x:v>
      </x:c>
      <x:c r="AB510" s="161" t="str">
        <x:v>Eligible</x:v>
      </x:c>
      <x:c r="AC510" s="161" t="str">
        <x:v>Pending</x:v>
      </x:c>
      <x:c r="AD510" t="str">
        <x:v>Units</x:v>
      </x:c>
      <x:c r="AE510" s="145"/>
      <x:c r="AF510" s="145"/>
      <x:c r="AG510" s="145"/>
      <x:c r="AH510" s="145"/>
      <x:c r="AI510" s="145"/>
      <x:c r="AJ510"/>
    </x:row>
    <x:row r="511" ht="30" customHeight="1">
      <x:c r="A511" s="138" t="str">
        <x:v>Draft</x:v>
      </x:c>
      <x:c r="B511" s="138" t="str">
        <x:v>Quick Coupler</x:v>
      </x:c>
      <x:c r="C511" s="138" t="str">
        <x:v>QDC_7241B_SOC_08_FNPT_08</x:v>
      </x:c>
      <x:c r="D511" s="138" t="str">
        <x:v>QDC_7241B_SOC_08_FNPT_08</x:v>
      </x:c>
      <x:c r="E511" s="138" t="str">
        <x:v>EA</x:v>
      </x:c>
      <x:c r="F511" s="139"/>
      <x:c r="G511" s="141" t="n">
        <x:v>1</x:v>
      </x:c>
      <x:c r="H511" s="141" t="n">
        <x:v>1</x:v>
      </x:c>
      <x:c r="I511" s="143"/>
      <x:c r="J511" s="141" t="n">
        <x:v>10</x:v>
      </x:c>
      <x:c r="K511" s="138" t="str">
        <x:v>China</x:v>
      </x:c>
      <x:c r="L511" t="str">
        <x:v>USD</x:v>
      </x:c>
      <x:c r="M511" s="126"/>
      <x:c r="N511"/>
      <x:c r="O511"/>
      <x:c r="P511" s="145"/>
      <x:c r="Q511" s="126"/>
      <x:c r="R511" s="149" t="n">
        <x:v>15.44</x:v>
      </x:c>
      <x:c r="S511" s="145"/>
      <x:c r="T511" s="145"/>
      <x:c r="U511" s="124"/>
      <x:c r="V511" s="124"/>
      <x:c r="W511" s="124"/>
      <x:c r="X511" s="124"/>
      <x:c r="Y511"/>
      <x:c r="Z511"/>
      <x:c r="AA511" s="116" t="str">
        <x:v>Net unit weight missing in 06. Order-level RFQ minimum: USD 100. Retail source: DHH 701-08-08S; direct coupler/socket price; observed 2026-08-15; https://www.discounthydraulichose.com/iso-7241-1-series-b-female-couplers-steel.html</x:v>
      </x:c>
      <x:c r="AB511" s="161" t="str">
        <x:v>Eligible</x:v>
      </x:c>
      <x:c r="AC511" s="161" t="str">
        <x:v>Pending</x:v>
      </x:c>
      <x:c r="AD511" t="str">
        <x:v>Units</x:v>
      </x:c>
      <x:c r="AE511" s="145"/>
      <x:c r="AF511" s="145"/>
      <x:c r="AG511" s="145"/>
      <x:c r="AH511" s="145"/>
      <x:c r="AI511" s="145"/>
      <x:c r="AJ511"/>
    </x:row>
    <x:row r="512" ht="30" customHeight="1">
      <x:c r="A512" s="138" t="str">
        <x:v>Draft</x:v>
      </x:c>
      <x:c r="B512" s="138" t="str">
        <x:v>Quick Plug</x:v>
      </x:c>
      <x:c r="C512" s="138" t="str">
        <x:v>QDC_7241B_PLG_08_FNPT_08</x:v>
      </x:c>
      <x:c r="D512" s="138" t="str">
        <x:v>QDC_7241B_PLG_08_FNPT_08</x:v>
      </x:c>
      <x:c r="E512" s="138" t="str">
        <x:v>EA</x:v>
      </x:c>
      <x:c r="F512" s="139"/>
      <x:c r="G512" s="141" t="n">
        <x:v>1</x:v>
      </x:c>
      <x:c r="H512" s="141" t="n">
        <x:v>1</x:v>
      </x:c>
      <x:c r="I512" s="143"/>
      <x:c r="J512" s="141" t="n">
        <x:v>10</x:v>
      </x:c>
      <x:c r="K512" s="138" t="str">
        <x:v>China</x:v>
      </x:c>
      <x:c r="L512" t="str">
        <x:v>USD</x:v>
      </x:c>
      <x:c r="M512" s="126"/>
      <x:c r="N512"/>
      <x:c r="O512"/>
      <x:c r="P512" s="145"/>
      <x:c r="Q512" s="126"/>
      <x:c r="R512" s="149" t="n">
        <x:v>11.44</x:v>
      </x:c>
      <x:c r="S512" s="145"/>
      <x:c r="T512" s="145"/>
      <x:c r="U512" s="124"/>
      <x:c r="V512" s="124"/>
      <x:c r="W512" s="124"/>
      <x:c r="X512" s="124"/>
      <x:c r="Y512"/>
      <x:c r="Z512"/>
      <x:c r="AA512" s="116" t="str">
        <x:v>Net unit weight missing in 06. Order-level RFQ minimum: USD 100. Retail source: DHH 702-08-08S; direct plug/nipple price; observed 2026-08-15; https://www.discounthydraulichose.com/iso-7241-1-series-b-male-couplers-steel.html</x:v>
      </x:c>
      <x:c r="AB512" s="161" t="str">
        <x:v>Eligible</x:v>
      </x:c>
      <x:c r="AC512" s="161" t="str">
        <x:v>Pending</x:v>
      </x:c>
      <x:c r="AD512" t="str">
        <x:v>Units</x:v>
      </x:c>
      <x:c r="AE512" s="145"/>
      <x:c r="AF512" s="145"/>
      <x:c r="AG512" s="145"/>
      <x:c r="AH512" s="145"/>
      <x:c r="AI512" s="145"/>
      <x:c r="AJ512"/>
    </x:row>
    <x:row r="513" ht="30" customHeight="1">
      <x:c r="A513" s="138" t="str">
        <x:v>Draft</x:v>
      </x:c>
      <x:c r="B513" s="138" t="str">
        <x:v>Quick Coupler</x:v>
      </x:c>
      <x:c r="C513" s="138" t="str">
        <x:v>QDC_7241B_SET_08_FNPT_08</x:v>
      </x:c>
      <x:c r="D513" s="138" t="str">
        <x:v>QDC_7241B_SET_08_FNPT_08</x:v>
      </x:c>
      <x:c r="E513" s="138" t="str">
        <x:v>SET</x:v>
      </x:c>
      <x:c r="F513" s="139"/>
      <x:c r="G513" s="141" t="n">
        <x:v>1</x:v>
      </x:c>
      <x:c r="H513" s="141" t="n">
        <x:v>1</x:v>
      </x:c>
      <x:c r="I513" s="143"/>
      <x:c r="J513" s="141" t="n">
        <x:v>10</x:v>
      </x:c>
      <x:c r="K513" s="138" t="str">
        <x:v>China</x:v>
      </x:c>
      <x:c r="L513" t="str">
        <x:v>USD</x:v>
      </x:c>
      <x:c r="M513" s="126"/>
      <x:c r="N513"/>
      <x:c r="O513"/>
      <x:c r="P513" s="145"/>
      <x:c r="Q513" s="126"/>
      <x:c r="R513" s="149" t="n">
        <x:v>19.29</x:v>
      </x:c>
      <x:c r="S513" s="145"/>
      <x:c r="T513" s="145"/>
      <x:c r="U513" s="124"/>
      <x:c r="V513" s="124"/>
      <x:c r="W513" s="124"/>
      <x:c r="X513" s="124"/>
      <x:c r="Y513"/>
      <x:c r="Z513"/>
      <x:c r="AA513" s="116" t="str">
        <x:v>Net unit weight missing in 06. Order-level RFQ minimum: USD 100. Retail source: DHH 700-08-08S; direct complete pair price; observed 2026-08-15; https://www.discounthydraulichose.com/iso-7241-1-series-b-coupler-sets-steel.html</x:v>
      </x:c>
      <x:c r="AB513" s="161" t="str">
        <x:v>Eligible</x:v>
      </x:c>
      <x:c r="AC513" s="161" t="str">
        <x:v>Pending</x:v>
      </x:c>
      <x:c r="AD513" t="str">
        <x:v>Units</x:v>
      </x:c>
      <x:c r="AE513" s="145"/>
      <x:c r="AF513" s="145"/>
      <x:c r="AG513" s="145"/>
      <x:c r="AH513" s="145"/>
      <x:c r="AI513" s="145"/>
      <x:c r="AJ513"/>
    </x:row>
    <x:row r="514" ht="30" customHeight="1">
      <x:c r="A514" s="138" t="str">
        <x:v>Draft</x:v>
      </x:c>
      <x:c r="B514" s="138" t="str">
        <x:v>Quick Coupler</x:v>
      </x:c>
      <x:c r="C514" s="138" t="str">
        <x:v>QDC_7241B_SOC_12_FNPT_12</x:v>
      </x:c>
      <x:c r="D514" s="138" t="str">
        <x:v>QDC_7241B_SOC_12_FNPT_12</x:v>
      </x:c>
      <x:c r="E514" s="138" t="str">
        <x:v>EA</x:v>
      </x:c>
      <x:c r="F514" s="139"/>
      <x:c r="G514" s="141" t="n">
        <x:v>1</x:v>
      </x:c>
      <x:c r="H514" s="141" t="n">
        <x:v>1</x:v>
      </x:c>
      <x:c r="I514" s="143"/>
      <x:c r="J514" s="141" t="n">
        <x:v>10</x:v>
      </x:c>
      <x:c r="K514" s="138" t="str">
        <x:v>China</x:v>
      </x:c>
      <x:c r="L514" t="str">
        <x:v>USD</x:v>
      </x:c>
      <x:c r="M514" s="126"/>
      <x:c r="N514"/>
      <x:c r="O514"/>
      <x:c r="P514" s="145"/>
      <x:c r="Q514" s="126"/>
      <x:c r="R514" s="149" t="n">
        <x:v>25.59</x:v>
      </x:c>
      <x:c r="S514" s="145"/>
      <x:c r="T514" s="145"/>
      <x:c r="U514" s="124"/>
      <x:c r="V514" s="124"/>
      <x:c r="W514" s="124"/>
      <x:c r="X514" s="124"/>
      <x:c r="Y514"/>
      <x:c r="Z514"/>
      <x:c r="AA514" s="116" t="str">
        <x:v>Net unit weight missing in 06. Order-level RFQ minimum: USD 100. Retail source: DHH 701-12-12S; direct coupler/socket price; observed 2026-08-15; https://www.discounthydraulichose.com/iso-7241-1-series-b-female-couplers-steel.html</x:v>
      </x:c>
      <x:c r="AB514" s="161" t="str">
        <x:v>Eligible</x:v>
      </x:c>
      <x:c r="AC514" s="161" t="str">
        <x:v>Pending</x:v>
      </x:c>
      <x:c r="AD514" t="str">
        <x:v>Units</x:v>
      </x:c>
      <x:c r="AE514" s="145"/>
      <x:c r="AF514" s="145"/>
      <x:c r="AG514" s="145"/>
      <x:c r="AH514" s="145"/>
      <x:c r="AI514" s="145"/>
      <x:c r="AJ514"/>
    </x:row>
    <x:row r="515" ht="30" customHeight="1">
      <x:c r="A515" s="138" t="str">
        <x:v>Draft</x:v>
      </x:c>
      <x:c r="B515" s="138" t="str">
        <x:v>Quick Plug</x:v>
      </x:c>
      <x:c r="C515" s="138" t="str">
        <x:v>QDC_7241B_PLG_12_FNPT_12</x:v>
      </x:c>
      <x:c r="D515" s="138" t="str">
        <x:v>QDC_7241B_PLG_12_FNPT_12</x:v>
      </x:c>
      <x:c r="E515" s="138" t="str">
        <x:v>EA</x:v>
      </x:c>
      <x:c r="F515" s="139"/>
      <x:c r="G515" s="141" t="n">
        <x:v>1</x:v>
      </x:c>
      <x:c r="H515" s="141" t="n">
        <x:v>1</x:v>
      </x:c>
      <x:c r="I515" s="143"/>
      <x:c r="J515" s="141" t="n">
        <x:v>10</x:v>
      </x:c>
      <x:c r="K515" s="138" t="str">
        <x:v>China</x:v>
      </x:c>
      <x:c r="L515" t="str">
        <x:v>USD</x:v>
      </x:c>
      <x:c r="M515" s="126"/>
      <x:c r="N515"/>
      <x:c r="O515"/>
      <x:c r="P515" s="145"/>
      <x:c r="Q515" s="126"/>
      <x:c r="R515" s="149" t="n">
        <x:v>17.45</x:v>
      </x:c>
      <x:c r="S515" s="145"/>
      <x:c r="T515" s="145"/>
      <x:c r="U515" s="124"/>
      <x:c r="V515" s="124"/>
      <x:c r="W515" s="124"/>
      <x:c r="X515" s="124"/>
      <x:c r="Y515"/>
      <x:c r="Z515"/>
      <x:c r="AA515" s="116" t="str">
        <x:v>Net unit weight missing in 06. Order-level RFQ minimum: USD 100. Retail source: DHH 702-12-12S; direct plug/nipple price; observed 2026-08-15; https://www.discounthydraulichose.com/iso-7241-1-series-b-male-couplers-steel.html</x:v>
      </x:c>
      <x:c r="AB515" s="161" t="str">
        <x:v>Eligible</x:v>
      </x:c>
      <x:c r="AC515" s="161" t="str">
        <x:v>Pending</x:v>
      </x:c>
      <x:c r="AD515" t="str">
        <x:v>Units</x:v>
      </x:c>
      <x:c r="AE515" s="145"/>
      <x:c r="AF515" s="145"/>
      <x:c r="AG515" s="145"/>
      <x:c r="AH515" s="145"/>
      <x:c r="AI515" s="145"/>
      <x:c r="AJ515"/>
    </x:row>
    <x:row r="516" ht="30" customHeight="1">
      <x:c r="A516" s="138" t="str">
        <x:v>Draft</x:v>
      </x:c>
      <x:c r="B516" s="138" t="str">
        <x:v>Quick Coupler</x:v>
      </x:c>
      <x:c r="C516" s="138" t="str">
        <x:v>QDC_7241B_SET_12_FNPT_12</x:v>
      </x:c>
      <x:c r="D516" s="138" t="str">
        <x:v>QDC_7241B_SET_12_FNPT_12</x:v>
      </x:c>
      <x:c r="E516" s="138" t="str">
        <x:v>SET</x:v>
      </x:c>
      <x:c r="F516" s="139"/>
      <x:c r="G516" s="141" t="n">
        <x:v>1</x:v>
      </x:c>
      <x:c r="H516" s="141" t="n">
        <x:v>1</x:v>
      </x:c>
      <x:c r="I516" s="143"/>
      <x:c r="J516" s="141" t="n">
        <x:v>10</x:v>
      </x:c>
      <x:c r="K516" s="138" t="str">
        <x:v>China</x:v>
      </x:c>
      <x:c r="L516" t="str">
        <x:v>USD</x:v>
      </x:c>
      <x:c r="M516" s="126"/>
      <x:c r="N516"/>
      <x:c r="O516"/>
      <x:c r="P516" s="145"/>
      <x:c r="Q516" s="126"/>
      <x:c r="R516" s="149" t="n">
        <x:v>30.81</x:v>
      </x:c>
      <x:c r="S516" s="145"/>
      <x:c r="T516" s="145"/>
      <x:c r="U516" s="124"/>
      <x:c r="V516" s="124"/>
      <x:c r="W516" s="124"/>
      <x:c r="X516" s="124"/>
      <x:c r="Y516"/>
      <x:c r="Z516"/>
      <x:c r="AA516" s="116" t="str">
        <x:v>Net unit weight missing in 06. Order-level RFQ minimum: USD 100. Retail source: DHH 700-12-12S; direct complete pair price; observed 2026-08-15; https://www.discounthydraulichose.com/iso-7241-1-series-b-coupler-sets-steel.html</x:v>
      </x:c>
      <x:c r="AB516" s="161" t="str">
        <x:v>Eligible</x:v>
      </x:c>
      <x:c r="AC516" s="161" t="str">
        <x:v>Pending</x:v>
      </x:c>
      <x:c r="AD516" t="str">
        <x:v>Units</x:v>
      </x:c>
      <x:c r="AE516" s="145"/>
      <x:c r="AF516" s="145"/>
      <x:c r="AG516" s="145"/>
      <x:c r="AH516" s="145"/>
      <x:c r="AI516" s="145"/>
      <x:c r="AJ516"/>
    </x:row>
    <x:row r="517" ht="30" customHeight="1">
      <x:c r="A517" s="138" t="str">
        <x:v>Draft</x:v>
      </x:c>
      <x:c r="B517" s="138" t="str">
        <x:v>Quick Coupler</x:v>
      </x:c>
      <x:c r="C517" s="138" t="str">
        <x:v>QDC_7241B_SOC_16_FNPT_16</x:v>
      </x:c>
      <x:c r="D517" s="138" t="str">
        <x:v>QDC_7241B_SOC_16_FNPT_16</x:v>
      </x:c>
      <x:c r="E517" s="138" t="str">
        <x:v>EA</x:v>
      </x:c>
      <x:c r="F517" s="139"/>
      <x:c r="G517" s="141" t="n">
        <x:v>1</x:v>
      </x:c>
      <x:c r="H517" s="141" t="n">
        <x:v>1</x:v>
      </x:c>
      <x:c r="I517" s="143"/>
      <x:c r="J517" s="141" t="n">
        <x:v>10</x:v>
      </x:c>
      <x:c r="K517" s="138" t="str">
        <x:v>China</x:v>
      </x:c>
      <x:c r="L517" t="str">
        <x:v>USD</x:v>
      </x:c>
      <x:c r="M517" s="126"/>
      <x:c r="N517"/>
      <x:c r="O517"/>
      <x:c r="P517" s="145"/>
      <x:c r="Q517" s="126"/>
      <x:c r="R517" s="149" t="n">
        <x:v>50.35</x:v>
      </x:c>
      <x:c r="S517" s="145"/>
      <x:c r="T517" s="145"/>
      <x:c r="U517" s="124"/>
      <x:c r="V517" s="124"/>
      <x:c r="W517" s="124"/>
      <x:c r="X517" s="124"/>
      <x:c r="Y517"/>
      <x:c r="Z517"/>
      <x:c r="AA517" s="116" t="str">
        <x:v>Net unit weight missing in 06. Order-level RFQ minimum: USD 100. Retail source: DHH 701-16-16S; direct coupler/socket price; observed 2026-08-15; https://www.discounthydraulichose.com/iso-7241-1-series-b-female-couplers-steel.html</x:v>
      </x:c>
      <x:c r="AB517" s="161" t="str">
        <x:v>Eligible</x:v>
      </x:c>
      <x:c r="AC517" s="161" t="str">
        <x:v>Pending</x:v>
      </x:c>
      <x:c r="AD517" t="str">
        <x:v>Units</x:v>
      </x:c>
      <x:c r="AE517" s="145"/>
      <x:c r="AF517" s="145"/>
      <x:c r="AG517" s="145"/>
      <x:c r="AH517" s="145"/>
      <x:c r="AI517" s="145"/>
      <x:c r="AJ517"/>
    </x:row>
    <x:row r="518" ht="30" customHeight="1">
      <x:c r="A518" s="138" t="str">
        <x:v>Draft</x:v>
      </x:c>
      <x:c r="B518" s="138" t="str">
        <x:v>Quick Plug</x:v>
      </x:c>
      <x:c r="C518" s="138" t="str">
        <x:v>QDC_7241B_PLG_16_FNPT_16</x:v>
      </x:c>
      <x:c r="D518" s="138" t="str">
        <x:v>QDC_7241B_PLG_16_FNPT_16</x:v>
      </x:c>
      <x:c r="E518" s="138" t="str">
        <x:v>EA</x:v>
      </x:c>
      <x:c r="F518" s="139"/>
      <x:c r="G518" s="141" t="n">
        <x:v>1</x:v>
      </x:c>
      <x:c r="H518" s="141" t="n">
        <x:v>1</x:v>
      </x:c>
      <x:c r="I518" s="143"/>
      <x:c r="J518" s="141" t="n">
        <x:v>10</x:v>
      </x:c>
      <x:c r="K518" s="138" t="str">
        <x:v>China</x:v>
      </x:c>
      <x:c r="L518" t="str">
        <x:v>USD</x:v>
      </x:c>
      <x:c r="M518" s="126"/>
      <x:c r="N518"/>
      <x:c r="O518"/>
      <x:c r="P518" s="145"/>
      <x:c r="Q518" s="126"/>
      <x:c r="R518" s="149" t="n">
        <x:v>24.47</x:v>
      </x:c>
      <x:c r="S518" s="145"/>
      <x:c r="T518" s="145"/>
      <x:c r="U518" s="124"/>
      <x:c r="V518" s="124"/>
      <x:c r="W518" s="124"/>
      <x:c r="X518" s="124"/>
      <x:c r="Y518"/>
      <x:c r="Z518"/>
      <x:c r="AA518" s="116" t="str">
        <x:v>Net unit weight missing in 06. Order-level RFQ minimum: USD 100. Retail source: DHH 702-16-16S; direct plug/nipple price; observed 2026-08-15; https://www.discounthydraulichose.com/iso-7241-1-series-b-male-couplers-steel.html</x:v>
      </x:c>
      <x:c r="AB518" s="161" t="str">
        <x:v>Eligible</x:v>
      </x:c>
      <x:c r="AC518" s="161" t="str">
        <x:v>Pending</x:v>
      </x:c>
      <x:c r="AD518" t="str">
        <x:v>Units</x:v>
      </x:c>
      <x:c r="AE518" s="145"/>
      <x:c r="AF518" s="145"/>
      <x:c r="AG518" s="145"/>
      <x:c r="AH518" s="145"/>
      <x:c r="AI518" s="145"/>
      <x:c r="AJ518"/>
    </x:row>
    <x:row r="519" ht="30" customHeight="1">
      <x:c r="A519" s="138" t="str">
        <x:v>Draft</x:v>
      </x:c>
      <x:c r="B519" s="138" t="str">
        <x:v>Quick Coupler</x:v>
      </x:c>
      <x:c r="C519" s="138" t="str">
        <x:v>QDC_7241B_SET_16_FNPT_16</x:v>
      </x:c>
      <x:c r="D519" s="138" t="str">
        <x:v>QDC_7241B_SET_16_FNPT_16</x:v>
      </x:c>
      <x:c r="E519" s="138" t="str">
        <x:v>SET</x:v>
      </x:c>
      <x:c r="F519" s="139"/>
      <x:c r="G519" s="141" t="n">
        <x:v>1</x:v>
      </x:c>
      <x:c r="H519" s="141" t="n">
        <x:v>1</x:v>
      </x:c>
      <x:c r="I519" s="143"/>
      <x:c r="J519" s="141" t="n">
        <x:v>10</x:v>
      </x:c>
      <x:c r="K519" s="138" t="str">
        <x:v>China</x:v>
      </x:c>
      <x:c r="L519" t="str">
        <x:v>USD</x:v>
      </x:c>
      <x:c r="M519" s="126"/>
      <x:c r="N519"/>
      <x:c r="O519"/>
      <x:c r="P519" s="145"/>
      <x:c r="Q519" s="126"/>
      <x:c r="R519" s="149" t="n">
        <x:v>71.09</x:v>
      </x:c>
      <x:c r="S519" s="145"/>
      <x:c r="T519" s="145"/>
      <x:c r="U519" s="124"/>
      <x:c r="V519" s="124"/>
      <x:c r="W519" s="124"/>
      <x:c r="X519" s="124"/>
      <x:c r="Y519"/>
      <x:c r="Z519"/>
      <x:c r="AA519" s="116" t="str">
        <x:v>Net unit weight missing in 06. Order-level RFQ minimum: USD 100. Retail source: DHH 700-16-16S; direct complete pair price; observed 2026-08-15; https://www.discounthydraulichose.com/iso-7241-1-series-b-coupler-sets-steel.html</x:v>
      </x:c>
      <x:c r="AB519" s="162" t="str">
        <x:v>Eligible</x:v>
      </x:c>
      <x:c r="AC519" s="162" t="str">
        <x:v>Pending</x:v>
      </x:c>
      <x:c r="AD519" t="str">
        <x:v>Units</x:v>
      </x:c>
      <x:c r="AE519" s="145"/>
      <x:c r="AF519" s="145"/>
      <x:c r="AG519" s="145"/>
      <x:c r="AH519" s="145"/>
      <x:c r="AI519" s="145"/>
      <x:c r="AJ519"/>
    </x:row>
    <x:row r="520">
      <x:c r="F520" s="124"/>
      <x:c r="G520" s="124"/>
      <x:c r="H520" s="124"/>
      <x:c r="I520" s="124"/>
      <x:c r="J520" s="124"/>
      <x:c r="M520" s="126"/>
      <x:c r="P520" s="126"/>
      <x:c r="Q520" s="126"/>
      <x:c r="R520" s="126"/>
      <x:c r="S520" s="124"/>
      <x:c r="T520" s="124"/>
      <x:c r="U520" s="124"/>
      <x:c r="V520" s="124"/>
      <x:c r="W520" s="124"/>
      <x:c r="X520" s="124"/>
      <x:c r="AD520"/>
      <x:c r="AE520" s="145"/>
      <x:c r="AF520" s="145"/>
      <x:c r="AG520" s="145"/>
      <x:c r="AH520" s="145"/>
      <x:c r="AI520" s="145"/>
      <x:c r="AJ520"/>
    </x:row>
    <x:row r="521">
      <x:c r="F521" s="124"/>
      <x:c r="G521" s="124"/>
      <x:c r="H521" s="124"/>
      <x:c r="I521" s="124"/>
      <x:c r="J521" s="124"/>
      <x:c r="M521" s="126"/>
      <x:c r="P521" s="126"/>
      <x:c r="Q521" s="126"/>
      <x:c r="R521" s="126"/>
      <x:c r="S521" s="124"/>
      <x:c r="T521" s="124"/>
      <x:c r="U521" s="124"/>
      <x:c r="V521" s="124"/>
      <x:c r="W521" s="124"/>
      <x:c r="X521" s="124"/>
      <x:c r="AD521"/>
      <x:c r="AE521" s="145"/>
      <x:c r="AF521" s="145"/>
      <x:c r="AG521" s="145"/>
      <x:c r="AH521" s="145"/>
      <x:c r="AI521" s="145"/>
      <x:c r="AJ521"/>
    </x:row>
    <x:row r="522">
      <x:c r="F522" s="124"/>
      <x:c r="G522" s="124"/>
      <x:c r="H522" s="124"/>
      <x:c r="I522" s="124"/>
      <x:c r="J522" s="124"/>
      <x:c r="M522" s="126"/>
      <x:c r="P522" s="126"/>
      <x:c r="Q522" s="126"/>
      <x:c r="R522" s="126"/>
      <x:c r="S522" s="124"/>
      <x:c r="T522" s="124"/>
      <x:c r="U522" s="124"/>
      <x:c r="V522" s="124"/>
      <x:c r="W522" s="124"/>
      <x:c r="X522" s="124"/>
      <x:c r="AD522"/>
      <x:c r="AE522" s="145"/>
      <x:c r="AF522" s="145"/>
      <x:c r="AG522" s="145"/>
      <x:c r="AH522" s="145"/>
      <x:c r="AI522" s="145"/>
      <x:c r="AJ522"/>
    </x:row>
    <x:row r="523">
      <x:c r="F523" s="124"/>
      <x:c r="G523" s="124"/>
      <x:c r="H523" s="124"/>
      <x:c r="I523" s="124"/>
      <x:c r="J523" s="124"/>
      <x:c r="M523" s="126"/>
      <x:c r="P523" s="126"/>
      <x:c r="Q523" s="126"/>
      <x:c r="R523" s="126"/>
      <x:c r="S523" s="124"/>
      <x:c r="T523" s="124"/>
      <x:c r="U523" s="124"/>
      <x:c r="V523" s="124"/>
      <x:c r="W523" s="124"/>
      <x:c r="X523" s="124"/>
      <x:c r="AD523"/>
      <x:c r="AE523" s="145"/>
      <x:c r="AF523" s="145"/>
      <x:c r="AG523" s="145"/>
      <x:c r="AH523" s="145"/>
      <x:c r="AI523" s="145"/>
      <x:c r="AJ523"/>
    </x:row>
    <x:row r="524">
      <x:c r="F524" s="124"/>
      <x:c r="G524" s="124"/>
      <x:c r="H524" s="124"/>
      <x:c r="I524" s="124"/>
      <x:c r="J524" s="124"/>
      <x:c r="M524" s="126"/>
      <x:c r="P524" s="126"/>
      <x:c r="Q524" s="126"/>
      <x:c r="R524" s="126"/>
      <x:c r="S524" s="124"/>
      <x:c r="T524" s="124"/>
      <x:c r="U524" s="124"/>
      <x:c r="V524" s="124"/>
      <x:c r="W524" s="124"/>
      <x:c r="X524" s="124"/>
      <x:c r="AD524"/>
      <x:c r="AE524" s="145"/>
      <x:c r="AF524" s="145"/>
      <x:c r="AG524" s="145"/>
      <x:c r="AH524" s="145"/>
      <x:c r="AI524" s="145"/>
      <x:c r="AJ524"/>
    </x:row>
    <x:row r="525">
      <x:c r="F525" s="124"/>
      <x:c r="G525" s="124"/>
      <x:c r="H525" s="124"/>
      <x:c r="I525" s="124"/>
      <x:c r="J525" s="124"/>
      <x:c r="M525" s="126"/>
      <x:c r="P525" s="126"/>
      <x:c r="Q525" s="126"/>
      <x:c r="R525" s="126"/>
      <x:c r="S525" s="124"/>
      <x:c r="T525" s="124"/>
      <x:c r="U525" s="124"/>
      <x:c r="V525" s="124"/>
      <x:c r="W525" s="124"/>
      <x:c r="X525" s="124"/>
      <x:c r="AD525"/>
      <x:c r="AE525" s="145"/>
      <x:c r="AF525" s="145"/>
      <x:c r="AG525" s="145"/>
      <x:c r="AH525" s="145"/>
      <x:c r="AI525" s="145"/>
      <x:c r="AJ525"/>
    </x:row>
    <x:row r="526">
      <x:c r="F526" s="124"/>
      <x:c r="G526" s="124"/>
      <x:c r="H526" s="124"/>
      <x:c r="I526" s="124"/>
      <x:c r="J526" s="124"/>
      <x:c r="M526" s="126"/>
      <x:c r="P526" s="126"/>
      <x:c r="Q526" s="126"/>
      <x:c r="R526" s="126"/>
      <x:c r="S526" s="124"/>
      <x:c r="T526" s="124"/>
      <x:c r="U526" s="124"/>
      <x:c r="V526" s="124"/>
      <x:c r="W526" s="124"/>
      <x:c r="X526" s="124"/>
      <x:c r="AD526"/>
      <x:c r="AE526" s="145"/>
      <x:c r="AF526" s="145"/>
      <x:c r="AG526" s="145"/>
      <x:c r="AH526" s="145"/>
      <x:c r="AI526" s="145"/>
      <x:c r="AJ526"/>
    </x:row>
    <x:row r="527">
      <x:c r="F527" s="124"/>
      <x:c r="G527" s="124"/>
      <x:c r="H527" s="124"/>
      <x:c r="I527" s="124"/>
      <x:c r="J527" s="124"/>
      <x:c r="M527" s="126"/>
      <x:c r="P527" s="126"/>
      <x:c r="Q527" s="126"/>
      <x:c r="R527" s="126"/>
      <x:c r="S527" s="124"/>
      <x:c r="T527" s="124"/>
      <x:c r="U527" s="124"/>
      <x:c r="V527" s="124"/>
      <x:c r="W527" s="124"/>
      <x:c r="X527" s="124"/>
      <x:c r="AD527"/>
      <x:c r="AE527" s="145"/>
      <x:c r="AF527" s="145"/>
      <x:c r="AG527" s="145"/>
      <x:c r="AH527" s="145"/>
      <x:c r="AI527" s="145"/>
      <x:c r="AJ527"/>
    </x:row>
    <x:row r="528">
      <x:c r="F528" s="124"/>
      <x:c r="G528" s="124"/>
      <x:c r="H528" s="124"/>
      <x:c r="I528" s="124"/>
      <x:c r="J528" s="124"/>
      <x:c r="M528" s="126"/>
      <x:c r="P528" s="126"/>
      <x:c r="Q528" s="126"/>
      <x:c r="R528" s="126"/>
      <x:c r="S528" s="124"/>
      <x:c r="T528" s="124"/>
      <x:c r="U528" s="124"/>
      <x:c r="V528" s="124"/>
      <x:c r="W528" s="124"/>
      <x:c r="X528" s="124"/>
      <x:c r="AD528"/>
      <x:c r="AE528" s="145"/>
      <x:c r="AF528" s="145"/>
      <x:c r="AG528" s="145"/>
      <x:c r="AH528" s="145"/>
      <x:c r="AI528" s="145"/>
      <x:c r="AJ528"/>
    </x:row>
    <x:row r="529">
      <x:c r="F529" s="124"/>
      <x:c r="G529" s="124"/>
      <x:c r="H529" s="124"/>
      <x:c r="I529" s="124"/>
      <x:c r="J529" s="124"/>
      <x:c r="M529" s="126"/>
      <x:c r="P529" s="126"/>
      <x:c r="Q529" s="126"/>
      <x:c r="R529" s="126"/>
      <x:c r="S529" s="124"/>
      <x:c r="T529" s="124"/>
      <x:c r="U529" s="124"/>
      <x:c r="V529" s="124"/>
      <x:c r="W529" s="124"/>
      <x:c r="X529" s="124"/>
      <x:c r="AD529"/>
      <x:c r="AE529" s="145"/>
      <x:c r="AF529" s="145"/>
      <x:c r="AG529" s="145"/>
      <x:c r="AH529" s="145"/>
      <x:c r="AI529" s="145"/>
      <x:c r="AJ529"/>
    </x:row>
    <x:row r="530">
      <x:c r="F530" s="124"/>
      <x:c r="G530" s="124"/>
      <x:c r="H530" s="124"/>
      <x:c r="I530" s="124"/>
      <x:c r="J530" s="124"/>
      <x:c r="M530" s="126"/>
      <x:c r="P530" s="126"/>
      <x:c r="Q530" s="126"/>
      <x:c r="R530" s="126"/>
      <x:c r="S530" s="124"/>
      <x:c r="T530" s="124"/>
      <x:c r="U530" s="124"/>
      <x:c r="V530" s="124"/>
      <x:c r="W530" s="124"/>
      <x:c r="X530" s="124"/>
      <x:c r="AD530"/>
      <x:c r="AE530" s="145"/>
      <x:c r="AF530" s="145"/>
      <x:c r="AG530" s="145"/>
      <x:c r="AH530" s="145"/>
      <x:c r="AI530" s="145"/>
      <x:c r="AJ530"/>
    </x:row>
    <x:row r="531">
      <x:c r="F531" s="124"/>
      <x:c r="G531" s="124"/>
      <x:c r="H531" s="124"/>
      <x:c r="I531" s="124"/>
      <x:c r="J531" s="124"/>
      <x:c r="M531" s="126"/>
      <x:c r="P531" s="126"/>
      <x:c r="Q531" s="126"/>
      <x:c r="R531" s="126"/>
      <x:c r="S531" s="124"/>
      <x:c r="T531" s="124"/>
      <x:c r="U531" s="124"/>
      <x:c r="V531" s="124"/>
      <x:c r="W531" s="124"/>
      <x:c r="X531" s="124"/>
      <x:c r="AD531"/>
      <x:c r="AE531" s="145"/>
      <x:c r="AF531" s="145"/>
      <x:c r="AG531" s="145"/>
      <x:c r="AH531" s="145"/>
      <x:c r="AI531" s="145"/>
      <x:c r="AJ531"/>
    </x:row>
    <x:row r="532">
      <x:c r="F532" s="124"/>
      <x:c r="G532" s="124"/>
      <x:c r="H532" s="124"/>
      <x:c r="I532" s="124"/>
      <x:c r="J532" s="124"/>
      <x:c r="M532" s="126"/>
      <x:c r="P532" s="126"/>
      <x:c r="Q532" s="126"/>
      <x:c r="R532" s="126"/>
      <x:c r="S532" s="124"/>
      <x:c r="T532" s="124"/>
      <x:c r="U532" s="124"/>
      <x:c r="V532" s="124"/>
      <x:c r="W532" s="124"/>
      <x:c r="X532" s="124"/>
      <x:c r="AD532"/>
      <x:c r="AE532" s="145"/>
      <x:c r="AF532" s="145"/>
      <x:c r="AG532" s="145"/>
      <x:c r="AH532" s="145"/>
      <x:c r="AI532" s="145"/>
      <x:c r="AJ532"/>
    </x:row>
    <x:row r="533">
      <x:c r="F533" s="124"/>
      <x:c r="G533" s="124"/>
      <x:c r="H533" s="124"/>
      <x:c r="I533" s="124"/>
      <x:c r="J533" s="124"/>
      <x:c r="M533" s="126"/>
      <x:c r="P533" s="126"/>
      <x:c r="Q533" s="126"/>
      <x:c r="R533" s="126"/>
      <x:c r="S533" s="124"/>
      <x:c r="T533" s="124"/>
      <x:c r="U533" s="124"/>
      <x:c r="V533" s="124"/>
      <x:c r="W533" s="124"/>
      <x:c r="X533" s="124"/>
      <x:c r="AD533"/>
      <x:c r="AE533" s="145"/>
      <x:c r="AF533" s="145"/>
      <x:c r="AG533" s="145"/>
      <x:c r="AH533" s="145"/>
      <x:c r="AI533" s="145"/>
      <x:c r="AJ533"/>
    </x:row>
    <x:row r="534">
      <x:c r="F534" s="124"/>
      <x:c r="G534" s="124"/>
      <x:c r="H534" s="124"/>
      <x:c r="I534" s="124"/>
      <x:c r="J534" s="124"/>
      <x:c r="M534" s="126"/>
      <x:c r="P534" s="126"/>
      <x:c r="Q534" s="126"/>
      <x:c r="R534" s="126"/>
      <x:c r="S534" s="124"/>
      <x:c r="T534" s="124"/>
      <x:c r="U534" s="124"/>
      <x:c r="V534" s="124"/>
      <x:c r="W534" s="124"/>
      <x:c r="X534" s="124"/>
      <x:c r="AD534"/>
      <x:c r="AE534" s="145"/>
      <x:c r="AF534" s="145"/>
      <x:c r="AG534" s="145"/>
      <x:c r="AH534" s="145"/>
      <x:c r="AI534" s="145"/>
      <x:c r="AJ534"/>
    </x:row>
    <x:row r="535">
      <x:c r="F535" s="124"/>
      <x:c r="G535" s="124"/>
      <x:c r="H535" s="124"/>
      <x:c r="I535" s="124"/>
      <x:c r="J535" s="124"/>
      <x:c r="M535" s="126"/>
      <x:c r="P535" s="126"/>
      <x:c r="Q535" s="126"/>
      <x:c r="R535" s="126"/>
      <x:c r="S535" s="124"/>
      <x:c r="T535" s="124"/>
      <x:c r="U535" s="124"/>
      <x:c r="V535" s="124"/>
      <x:c r="W535" s="124"/>
      <x:c r="X535" s="124"/>
      <x:c r="AD535"/>
      <x:c r="AE535" s="145"/>
      <x:c r="AF535" s="145"/>
      <x:c r="AG535" s="145"/>
      <x:c r="AH535" s="145"/>
      <x:c r="AI535" s="145"/>
      <x:c r="AJ535"/>
    </x:row>
    <x:row r="536">
      <x:c r="F536" s="124"/>
      <x:c r="G536" s="124"/>
      <x:c r="H536" s="124"/>
      <x:c r="I536" s="124"/>
      <x:c r="J536" s="124"/>
      <x:c r="M536" s="126"/>
      <x:c r="P536" s="126"/>
      <x:c r="Q536" s="126"/>
      <x:c r="R536" s="126"/>
      <x:c r="S536" s="124"/>
      <x:c r="T536" s="124"/>
      <x:c r="U536" s="124"/>
      <x:c r="V536" s="124"/>
      <x:c r="W536" s="124"/>
      <x:c r="X536" s="124"/>
      <x:c r="AD536"/>
      <x:c r="AE536" s="145"/>
      <x:c r="AF536" s="145"/>
      <x:c r="AG536" s="145"/>
      <x:c r="AH536" s="145"/>
      <x:c r="AI536" s="145"/>
      <x:c r="AJ536"/>
    </x:row>
    <x:row r="537">
      <x:c r="F537" s="124"/>
      <x:c r="G537" s="124"/>
      <x:c r="H537" s="124"/>
      <x:c r="I537" s="124"/>
      <x:c r="J537" s="124"/>
      <x:c r="M537" s="126"/>
      <x:c r="P537" s="126"/>
      <x:c r="Q537" s="126"/>
      <x:c r="R537" s="126"/>
      <x:c r="S537" s="124"/>
      <x:c r="T537" s="124"/>
      <x:c r="U537" s="124"/>
      <x:c r="V537" s="124"/>
      <x:c r="W537" s="124"/>
      <x:c r="X537" s="124"/>
      <x:c r="AD537"/>
      <x:c r="AE537" s="145"/>
      <x:c r="AF537" s="145"/>
      <x:c r="AG537" s="145"/>
      <x:c r="AH537" s="145"/>
      <x:c r="AI537" s="145"/>
      <x:c r="AJ537"/>
    </x:row>
    <x:row r="538">
      <x:c r="F538" s="124"/>
      <x:c r="G538" s="124"/>
      <x:c r="H538" s="124"/>
      <x:c r="I538" s="124"/>
      <x:c r="J538" s="124"/>
      <x:c r="M538" s="126"/>
      <x:c r="P538" s="126"/>
      <x:c r="Q538" s="126"/>
      <x:c r="R538" s="126"/>
      <x:c r="S538" s="124"/>
      <x:c r="T538" s="124"/>
      <x:c r="U538" s="124"/>
      <x:c r="V538" s="124"/>
      <x:c r="W538" s="124"/>
      <x:c r="X538" s="124"/>
      <x:c r="AD538"/>
      <x:c r="AE538" s="145"/>
      <x:c r="AF538" s="145"/>
      <x:c r="AG538" s="145"/>
      <x:c r="AH538" s="145"/>
      <x:c r="AI538" s="145"/>
      <x:c r="AJ538"/>
    </x:row>
    <x:row r="539">
      <x:c r="F539" s="124"/>
      <x:c r="G539" s="124"/>
      <x:c r="H539" s="124"/>
      <x:c r="I539" s="124"/>
      <x:c r="J539" s="124"/>
      <x:c r="M539" s="126"/>
      <x:c r="P539" s="126"/>
      <x:c r="Q539" s="126"/>
      <x:c r="R539" s="126"/>
      <x:c r="S539" s="124"/>
      <x:c r="T539" s="124"/>
      <x:c r="U539" s="124"/>
      <x:c r="V539" s="124"/>
      <x:c r="W539" s="124"/>
      <x:c r="X539" s="124"/>
      <x:c r="AD539"/>
      <x:c r="AE539" s="145"/>
      <x:c r="AF539" s="145"/>
      <x:c r="AG539" s="145"/>
      <x:c r="AH539" s="145"/>
      <x:c r="AI539" s="145"/>
      <x:c r="AJ539"/>
    </x:row>
    <x:row r="540">
      <x:c r="F540" s="124"/>
      <x:c r="G540" s="124"/>
      <x:c r="H540" s="124"/>
      <x:c r="I540" s="124"/>
      <x:c r="J540" s="124"/>
      <x:c r="M540" s="126"/>
      <x:c r="P540" s="126"/>
      <x:c r="Q540" s="126"/>
      <x:c r="R540" s="126"/>
      <x:c r="S540" s="124"/>
      <x:c r="T540" s="124"/>
      <x:c r="U540" s="124"/>
      <x:c r="V540" s="124"/>
      <x:c r="W540" s="124"/>
      <x:c r="X540" s="124"/>
      <x:c r="AD540"/>
      <x:c r="AE540" s="145"/>
      <x:c r="AF540" s="145"/>
      <x:c r="AG540" s="145"/>
      <x:c r="AH540" s="145"/>
      <x:c r="AI540" s="145"/>
      <x:c r="AJ540"/>
    </x:row>
    <x:row r="541">
      <x:c r="F541" s="124"/>
      <x:c r="G541" s="124"/>
      <x:c r="H541" s="124"/>
      <x:c r="I541" s="124"/>
      <x:c r="J541" s="124"/>
      <x:c r="M541" s="126"/>
      <x:c r="P541" s="126"/>
      <x:c r="Q541" s="126"/>
      <x:c r="R541" s="126"/>
      <x:c r="S541" s="124"/>
      <x:c r="T541" s="124"/>
      <x:c r="U541" s="124"/>
      <x:c r="V541" s="124"/>
      <x:c r="W541" s="124"/>
      <x:c r="X541" s="124"/>
      <x:c r="AD541"/>
      <x:c r="AE541" s="145"/>
      <x:c r="AF541" s="145"/>
      <x:c r="AG541" s="145"/>
      <x:c r="AH541" s="145"/>
      <x:c r="AI541" s="145"/>
      <x:c r="AJ541"/>
    </x:row>
    <x:row r="542">
      <x:c r="F542" s="124"/>
      <x:c r="G542" s="124"/>
      <x:c r="H542" s="124"/>
      <x:c r="I542" s="124"/>
      <x:c r="J542" s="124"/>
      <x:c r="M542" s="126"/>
      <x:c r="P542" s="126"/>
      <x:c r="Q542" s="126"/>
      <x:c r="R542" s="126"/>
      <x:c r="S542" s="124"/>
      <x:c r="T542" s="124"/>
      <x:c r="U542" s="124"/>
      <x:c r="V542" s="124"/>
      <x:c r="W542" s="124"/>
      <x:c r="X542" s="124"/>
      <x:c r="AD542"/>
      <x:c r="AE542" s="145"/>
      <x:c r="AF542" s="145"/>
      <x:c r="AG542" s="145"/>
      <x:c r="AH542" s="145"/>
      <x:c r="AI542" s="145"/>
      <x:c r="AJ542"/>
    </x:row>
    <x:row r="543">
      <x:c r="F543" s="124"/>
      <x:c r="G543" s="124"/>
      <x:c r="H543" s="124"/>
      <x:c r="I543" s="124"/>
      <x:c r="J543" s="124"/>
      <x:c r="M543" s="126"/>
      <x:c r="P543" s="126"/>
      <x:c r="Q543" s="126"/>
      <x:c r="R543" s="126"/>
      <x:c r="S543" s="124"/>
      <x:c r="T543" s="124"/>
      <x:c r="U543" s="124"/>
      <x:c r="V543" s="124"/>
      <x:c r="W543" s="124"/>
      <x:c r="X543" s="124"/>
      <x:c r="AD543"/>
      <x:c r="AE543" s="145"/>
      <x:c r="AF543" s="145"/>
      <x:c r="AG543" s="145"/>
      <x:c r="AH543" s="145"/>
      <x:c r="AI543" s="145"/>
      <x:c r="AJ543"/>
    </x:row>
    <x:row r="544">
      <x:c r="F544" s="124"/>
      <x:c r="G544" s="124"/>
      <x:c r="H544" s="124"/>
      <x:c r="I544" s="124"/>
      <x:c r="J544" s="124"/>
      <x:c r="M544" s="126"/>
      <x:c r="P544" s="126"/>
      <x:c r="Q544" s="126"/>
      <x:c r="R544" s="126"/>
      <x:c r="S544" s="124"/>
      <x:c r="T544" s="124"/>
      <x:c r="U544" s="124"/>
      <x:c r="V544" s="124"/>
      <x:c r="W544" s="124"/>
      <x:c r="X544" s="124"/>
      <x:c r="AD544"/>
      <x:c r="AE544" s="145"/>
      <x:c r="AF544" s="145"/>
      <x:c r="AG544" s="145"/>
      <x:c r="AH544" s="145"/>
      <x:c r="AI544" s="145"/>
      <x:c r="AJ544"/>
    </x:row>
    <x:row r="545">
      <x:c r="F545" s="124"/>
      <x:c r="G545" s="124"/>
      <x:c r="H545" s="124"/>
      <x:c r="I545" s="124"/>
      <x:c r="J545" s="124"/>
      <x:c r="M545" s="126"/>
      <x:c r="P545" s="126"/>
      <x:c r="Q545" s="126"/>
      <x:c r="R545" s="126"/>
      <x:c r="S545" s="124"/>
      <x:c r="T545" s="124"/>
      <x:c r="U545" s="124"/>
      <x:c r="V545" s="124"/>
      <x:c r="W545" s="124"/>
      <x:c r="X545" s="124"/>
      <x:c r="AD545"/>
      <x:c r="AE545" s="145"/>
      <x:c r="AF545" s="145"/>
      <x:c r="AG545" s="145"/>
      <x:c r="AH545" s="145"/>
      <x:c r="AI545" s="145"/>
      <x:c r="AJ545"/>
    </x:row>
    <x:row r="546">
      <x:c r="F546" s="124"/>
      <x:c r="G546" s="124"/>
      <x:c r="H546" s="124"/>
      <x:c r="I546" s="124"/>
      <x:c r="J546" s="124"/>
      <x:c r="M546" s="126"/>
      <x:c r="P546" s="126"/>
      <x:c r="Q546" s="126"/>
      <x:c r="R546" s="126"/>
      <x:c r="S546" s="124"/>
      <x:c r="T546" s="124"/>
      <x:c r="U546" s="124"/>
      <x:c r="V546" s="124"/>
      <x:c r="W546" s="124"/>
      <x:c r="X546" s="124"/>
      <x:c r="AD546"/>
      <x:c r="AE546" s="145"/>
      <x:c r="AF546" s="145"/>
      <x:c r="AG546" s="145"/>
      <x:c r="AH546" s="145"/>
      <x:c r="AI546" s="145"/>
      <x:c r="AJ546"/>
    </x:row>
    <x:row r="547">
      <x:c r="F547" s="124"/>
      <x:c r="G547" s="124"/>
      <x:c r="H547" s="124"/>
      <x:c r="I547" s="124"/>
      <x:c r="J547" s="124"/>
      <x:c r="M547" s="126"/>
      <x:c r="P547" s="126"/>
      <x:c r="Q547" s="126"/>
      <x:c r="R547" s="126"/>
      <x:c r="S547" s="124"/>
      <x:c r="T547" s="124"/>
      <x:c r="U547" s="124"/>
      <x:c r="V547" s="124"/>
      <x:c r="W547" s="124"/>
      <x:c r="X547" s="124"/>
      <x:c r="AD547"/>
      <x:c r="AE547" s="145"/>
      <x:c r="AF547" s="145"/>
      <x:c r="AG547" s="145"/>
      <x:c r="AH547" s="145"/>
      <x:c r="AI547" s="145"/>
      <x:c r="AJ547"/>
    </x:row>
    <x:row r="548">
      <x:c r="F548" s="124"/>
      <x:c r="G548" s="124"/>
      <x:c r="H548" s="124"/>
      <x:c r="I548" s="124"/>
      <x:c r="J548" s="124"/>
      <x:c r="M548" s="126"/>
      <x:c r="P548" s="126"/>
      <x:c r="Q548" s="126"/>
      <x:c r="R548" s="126"/>
      <x:c r="S548" s="124"/>
      <x:c r="T548" s="124"/>
      <x:c r="U548" s="124"/>
      <x:c r="V548" s="124"/>
      <x:c r="W548" s="124"/>
      <x:c r="X548" s="124"/>
      <x:c r="AD548"/>
      <x:c r="AE548" s="145"/>
      <x:c r="AF548" s="145"/>
      <x:c r="AG548" s="145"/>
      <x:c r="AH548" s="145"/>
      <x:c r="AI548" s="145"/>
      <x:c r="AJ548"/>
    </x:row>
    <x:row r="549">
      <x:c r="F549" s="124"/>
      <x:c r="G549" s="124"/>
      <x:c r="H549" s="124"/>
      <x:c r="I549" s="124"/>
      <x:c r="J549" s="124"/>
      <x:c r="M549" s="126"/>
      <x:c r="P549" s="126"/>
      <x:c r="Q549" s="126"/>
      <x:c r="R549" s="126"/>
      <x:c r="S549" s="124"/>
      <x:c r="T549" s="124"/>
      <x:c r="U549" s="124"/>
      <x:c r="V549" s="124"/>
      <x:c r="W549" s="124"/>
      <x:c r="X549" s="124"/>
      <x:c r="AD549"/>
      <x:c r="AE549" s="145"/>
      <x:c r="AF549" s="145"/>
      <x:c r="AG549" s="145"/>
      <x:c r="AH549" s="145"/>
      <x:c r="AI549" s="145"/>
      <x:c r="AJ549"/>
    </x:row>
    <x:row r="550">
      <x:c r="F550" s="124"/>
      <x:c r="G550" s="124"/>
      <x:c r="H550" s="124"/>
      <x:c r="I550" s="124"/>
      <x:c r="J550" s="124"/>
      <x:c r="M550" s="126"/>
      <x:c r="P550" s="126"/>
      <x:c r="Q550" s="126"/>
      <x:c r="R550" s="126"/>
      <x:c r="S550" s="124"/>
      <x:c r="T550" s="124"/>
      <x:c r="U550" s="124"/>
      <x:c r="V550" s="124"/>
      <x:c r="W550" s="124"/>
      <x:c r="X550" s="124"/>
      <x:c r="AD550"/>
      <x:c r="AE550" s="145"/>
      <x:c r="AF550" s="145"/>
      <x:c r="AG550" s="145"/>
      <x:c r="AH550" s="145"/>
      <x:c r="AI550" s="145"/>
      <x:c r="AJ550"/>
    </x:row>
    <x:row r="551">
      <x:c r="F551" s="124"/>
      <x:c r="G551" s="124"/>
      <x:c r="H551" s="124"/>
      <x:c r="I551" s="124"/>
      <x:c r="J551" s="124"/>
      <x:c r="M551" s="126"/>
      <x:c r="P551" s="126"/>
      <x:c r="Q551" s="126"/>
      <x:c r="R551" s="126"/>
      <x:c r="S551" s="124"/>
      <x:c r="T551" s="124"/>
      <x:c r="U551" s="124"/>
      <x:c r="V551" s="124"/>
      <x:c r="W551" s="124"/>
      <x:c r="X551" s="124"/>
      <x:c r="AD551"/>
      <x:c r="AE551" s="145"/>
      <x:c r="AF551" s="145"/>
      <x:c r="AG551" s="145"/>
      <x:c r="AH551" s="145"/>
      <x:c r="AI551" s="145"/>
      <x:c r="AJ551"/>
    </x:row>
    <x:row r="552">
      <x:c r="F552" s="124"/>
      <x:c r="G552" s="124"/>
      <x:c r="H552" s="124"/>
      <x:c r="I552" s="124"/>
      <x:c r="J552" s="124"/>
      <x:c r="M552" s="126"/>
      <x:c r="P552" s="126"/>
      <x:c r="Q552" s="126"/>
      <x:c r="R552" s="126"/>
      <x:c r="S552" s="124"/>
      <x:c r="T552" s="124"/>
      <x:c r="U552" s="124"/>
      <x:c r="V552" s="124"/>
      <x:c r="W552" s="124"/>
      <x:c r="X552" s="124"/>
      <x:c r="AD552"/>
      <x:c r="AE552" s="145"/>
      <x:c r="AF552" s="145"/>
      <x:c r="AG552" s="145"/>
      <x:c r="AH552" s="145"/>
      <x:c r="AI552" s="145"/>
      <x:c r="AJ552"/>
    </x:row>
    <x:row r="553">
      <x:c r="F553" s="124"/>
      <x:c r="G553" s="124"/>
      <x:c r="H553" s="124"/>
      <x:c r="I553" s="124"/>
      <x:c r="J553" s="124"/>
      <x:c r="M553" s="126"/>
      <x:c r="P553" s="126"/>
      <x:c r="Q553" s="126"/>
      <x:c r="R553" s="126"/>
      <x:c r="S553" s="124"/>
      <x:c r="T553" s="124"/>
      <x:c r="U553" s="124"/>
      <x:c r="V553" s="124"/>
      <x:c r="W553" s="124"/>
      <x:c r="X553" s="124"/>
      <x:c r="AD553"/>
      <x:c r="AE553" s="145"/>
      <x:c r="AF553" s="145"/>
      <x:c r="AG553" s="145"/>
      <x:c r="AH553" s="145"/>
      <x:c r="AI553" s="145"/>
      <x:c r="AJ553"/>
    </x:row>
    <x:row r="554">
      <x:c r="F554" s="124"/>
      <x:c r="G554" s="124"/>
      <x:c r="H554" s="124"/>
      <x:c r="I554" s="124"/>
      <x:c r="J554" s="124"/>
      <x:c r="M554" s="126"/>
      <x:c r="P554" s="126"/>
      <x:c r="Q554" s="126"/>
      <x:c r="R554" s="126"/>
      <x:c r="S554" s="124"/>
      <x:c r="T554" s="124"/>
      <x:c r="U554" s="124"/>
      <x:c r="V554" s="124"/>
      <x:c r="W554" s="124"/>
      <x:c r="X554" s="124"/>
      <x:c r="AD554"/>
      <x:c r="AE554" s="145"/>
      <x:c r="AF554" s="145"/>
      <x:c r="AG554" s="145"/>
      <x:c r="AH554" s="145"/>
      <x:c r="AI554" s="145"/>
      <x:c r="AJ554"/>
    </x:row>
    <x:row r="555">
      <x:c r="F555" s="124"/>
      <x:c r="G555" s="124"/>
      <x:c r="H555" s="124"/>
      <x:c r="I555" s="124"/>
      <x:c r="J555" s="124"/>
      <x:c r="M555" s="126"/>
      <x:c r="P555" s="126"/>
      <x:c r="Q555" s="126"/>
      <x:c r="R555" s="126"/>
      <x:c r="S555" s="124"/>
      <x:c r="T555" s="124"/>
      <x:c r="U555" s="124"/>
      <x:c r="V555" s="124"/>
      <x:c r="W555" s="124"/>
      <x:c r="X555" s="124"/>
      <x:c r="AD555"/>
      <x:c r="AE555" s="145"/>
      <x:c r="AF555" s="145"/>
      <x:c r="AG555" s="145"/>
      <x:c r="AH555" s="145"/>
      <x:c r="AI555" s="145"/>
      <x:c r="AJ555"/>
    </x:row>
    <x:row r="556">
      <x:c r="F556" s="124"/>
      <x:c r="G556" s="124"/>
      <x:c r="H556" s="124"/>
      <x:c r="I556" s="124"/>
      <x:c r="J556" s="124"/>
      <x:c r="M556" s="126"/>
      <x:c r="P556" s="126"/>
      <x:c r="Q556" s="126"/>
      <x:c r="R556" s="126"/>
      <x:c r="S556" s="124"/>
      <x:c r="T556" s="124"/>
      <x:c r="U556" s="124"/>
      <x:c r="V556" s="124"/>
      <x:c r="W556" s="124"/>
      <x:c r="X556" s="124"/>
      <x:c r="AD556"/>
      <x:c r="AE556" s="145"/>
      <x:c r="AF556" s="145"/>
      <x:c r="AG556" s="145"/>
      <x:c r="AH556" s="145"/>
      <x:c r="AI556" s="145"/>
      <x:c r="AJ556"/>
    </x:row>
    <x:row r="557">
      <x:c r="F557" s="124"/>
      <x:c r="G557" s="124"/>
      <x:c r="H557" s="124"/>
      <x:c r="I557" s="124"/>
      <x:c r="J557" s="124"/>
      <x:c r="M557" s="126"/>
      <x:c r="P557" s="126"/>
      <x:c r="Q557" s="126"/>
      <x:c r="R557" s="126"/>
      <x:c r="S557" s="124"/>
      <x:c r="T557" s="124"/>
      <x:c r="U557" s="124"/>
      <x:c r="V557" s="124"/>
      <x:c r="W557" s="124"/>
      <x:c r="X557" s="124"/>
      <x:c r="AD557"/>
      <x:c r="AE557" s="145"/>
      <x:c r="AF557" s="145"/>
      <x:c r="AG557" s="145"/>
      <x:c r="AH557" s="145"/>
      <x:c r="AI557" s="145"/>
      <x:c r="AJ557"/>
    </x:row>
    <x:row r="558">
      <x:c r="F558" s="124"/>
      <x:c r="G558" s="124"/>
      <x:c r="H558" s="124"/>
      <x:c r="I558" s="124"/>
      <x:c r="J558" s="124"/>
      <x:c r="M558" s="126"/>
      <x:c r="P558" s="126"/>
      <x:c r="Q558" s="126"/>
      <x:c r="R558" s="126"/>
      <x:c r="S558" s="124"/>
      <x:c r="T558" s="124"/>
      <x:c r="U558" s="124"/>
      <x:c r="V558" s="124"/>
      <x:c r="W558" s="124"/>
      <x:c r="X558" s="124"/>
      <x:c r="AD558"/>
      <x:c r="AE558" s="145"/>
      <x:c r="AF558" s="145"/>
      <x:c r="AG558" s="145"/>
      <x:c r="AH558" s="145"/>
      <x:c r="AI558" s="145"/>
      <x:c r="AJ558"/>
    </x:row>
    <x:row r="559">
      <x:c r="F559" s="124"/>
      <x:c r="G559" s="124"/>
      <x:c r="H559" s="124"/>
      <x:c r="I559" s="124"/>
      <x:c r="J559" s="124"/>
      <x:c r="M559" s="126"/>
      <x:c r="P559" s="126"/>
      <x:c r="Q559" s="126"/>
      <x:c r="R559" s="126"/>
      <x:c r="S559" s="124"/>
      <x:c r="T559" s="124"/>
      <x:c r="U559" s="124"/>
      <x:c r="V559" s="124"/>
      <x:c r="W559" s="124"/>
      <x:c r="X559" s="124"/>
      <x:c r="AD559"/>
      <x:c r="AE559" s="145"/>
      <x:c r="AF559" s="145"/>
      <x:c r="AG559" s="145"/>
      <x:c r="AH559" s="145"/>
      <x:c r="AI559" s="145"/>
      <x:c r="AJ559"/>
    </x:row>
    <x:row r="560">
      <x:c r="F560" s="124"/>
      <x:c r="G560" s="124"/>
      <x:c r="H560" s="124"/>
      <x:c r="I560" s="124"/>
      <x:c r="J560" s="124"/>
      <x:c r="M560" s="126"/>
      <x:c r="P560" s="126"/>
      <x:c r="Q560" s="126"/>
      <x:c r="R560" s="126"/>
      <x:c r="S560" s="124"/>
      <x:c r="T560" s="124"/>
      <x:c r="U560" s="124"/>
      <x:c r="V560" s="124"/>
      <x:c r="W560" s="124"/>
      <x:c r="X560" s="124"/>
      <x:c r="AD560"/>
      <x:c r="AE560" s="145"/>
      <x:c r="AF560" s="145"/>
      <x:c r="AG560" s="145"/>
      <x:c r="AH560" s="145"/>
      <x:c r="AI560" s="145"/>
      <x:c r="AJ560"/>
    </x:row>
    <x:row r="561">
      <x:c r="F561" s="124"/>
      <x:c r="G561" s="124"/>
      <x:c r="H561" s="124"/>
      <x:c r="I561" s="124"/>
      <x:c r="J561" s="124"/>
      <x:c r="M561" s="126"/>
      <x:c r="P561" s="126"/>
      <x:c r="Q561" s="126"/>
      <x:c r="R561" s="126"/>
      <x:c r="S561" s="124"/>
      <x:c r="T561" s="124"/>
      <x:c r="U561" s="124"/>
      <x:c r="V561" s="124"/>
      <x:c r="W561" s="124"/>
      <x:c r="X561" s="124"/>
      <x:c r="AD561"/>
      <x:c r="AE561" s="145"/>
      <x:c r="AF561" s="145"/>
      <x:c r="AG561" s="145"/>
      <x:c r="AH561" s="145"/>
      <x:c r="AI561" s="145"/>
      <x:c r="AJ561"/>
    </x:row>
    <x:row r="562">
      <x:c r="F562" s="124"/>
      <x:c r="G562" s="124"/>
      <x:c r="H562" s="124"/>
      <x:c r="I562" s="124"/>
      <x:c r="J562" s="124"/>
      <x:c r="M562" s="126"/>
      <x:c r="P562" s="126"/>
      <x:c r="Q562" s="126"/>
      <x:c r="R562" s="126"/>
      <x:c r="S562" s="124"/>
      <x:c r="T562" s="124"/>
      <x:c r="U562" s="124"/>
      <x:c r="V562" s="124"/>
      <x:c r="W562" s="124"/>
      <x:c r="X562" s="124"/>
      <x:c r="AD562"/>
      <x:c r="AE562" s="145"/>
      <x:c r="AF562" s="145"/>
      <x:c r="AG562" s="145"/>
      <x:c r="AH562" s="145"/>
      <x:c r="AI562" s="145"/>
      <x:c r="AJ562"/>
    </x:row>
    <x:row r="563">
      <x:c r="F563" s="124"/>
      <x:c r="G563" s="124"/>
      <x:c r="H563" s="124"/>
      <x:c r="I563" s="124"/>
      <x:c r="J563" s="124"/>
      <x:c r="M563" s="126"/>
      <x:c r="P563" s="126"/>
      <x:c r="Q563" s="126"/>
      <x:c r="R563" s="126"/>
      <x:c r="S563" s="124"/>
      <x:c r="T563" s="124"/>
      <x:c r="U563" s="124"/>
      <x:c r="V563" s="124"/>
      <x:c r="W563" s="124"/>
      <x:c r="X563" s="124"/>
      <x:c r="AD563"/>
      <x:c r="AE563" s="145"/>
      <x:c r="AF563" s="145"/>
      <x:c r="AG563" s="145"/>
      <x:c r="AH563" s="145"/>
      <x:c r="AI563" s="145"/>
      <x:c r="AJ563"/>
    </x:row>
    <x:row r="564">
      <x:c r="F564" s="124"/>
      <x:c r="G564" s="124"/>
      <x:c r="H564" s="124"/>
      <x:c r="I564" s="124"/>
      <x:c r="J564" s="124"/>
      <x:c r="M564" s="126"/>
      <x:c r="P564" s="126"/>
      <x:c r="Q564" s="126"/>
      <x:c r="R564" s="126"/>
      <x:c r="S564" s="124"/>
      <x:c r="T564" s="124"/>
      <x:c r="U564" s="124"/>
      <x:c r="V564" s="124"/>
      <x:c r="W564" s="124"/>
      <x:c r="X564" s="124"/>
      <x:c r="AD564"/>
      <x:c r="AE564" s="145"/>
      <x:c r="AF564" s="145"/>
      <x:c r="AG564" s="145"/>
      <x:c r="AH564" s="145"/>
      <x:c r="AI564" s="145"/>
      <x:c r="AJ564"/>
    </x:row>
    <x:row r="565">
      <x:c r="F565" s="124"/>
      <x:c r="G565" s="124"/>
      <x:c r="H565" s="124"/>
      <x:c r="I565" s="124"/>
      <x:c r="J565" s="124"/>
      <x:c r="M565" s="126"/>
      <x:c r="P565" s="126"/>
      <x:c r="Q565" s="126"/>
      <x:c r="R565" s="126"/>
      <x:c r="S565" s="124"/>
      <x:c r="T565" s="124"/>
      <x:c r="U565" s="124"/>
      <x:c r="V565" s="124"/>
      <x:c r="W565" s="124"/>
      <x:c r="X565" s="124"/>
      <x:c r="AD565"/>
      <x:c r="AE565" s="145"/>
      <x:c r="AF565" s="145"/>
      <x:c r="AG565" s="145"/>
      <x:c r="AH565" s="145"/>
      <x:c r="AI565" s="145"/>
      <x:c r="AJ565"/>
    </x:row>
    <x:row r="566">
      <x:c r="F566" s="124"/>
      <x:c r="G566" s="124"/>
      <x:c r="H566" s="124"/>
      <x:c r="I566" s="124"/>
      <x:c r="J566" s="124"/>
      <x:c r="M566" s="126"/>
      <x:c r="P566" s="126"/>
      <x:c r="Q566" s="126"/>
      <x:c r="R566" s="126"/>
      <x:c r="S566" s="124"/>
      <x:c r="T566" s="124"/>
      <x:c r="U566" s="124"/>
      <x:c r="V566" s="124"/>
      <x:c r="W566" s="124"/>
      <x:c r="X566" s="124"/>
      <x:c r="AD566"/>
      <x:c r="AE566" s="145"/>
      <x:c r="AF566" s="145"/>
      <x:c r="AG566" s="145"/>
      <x:c r="AH566" s="145"/>
      <x:c r="AI566" s="145"/>
      <x:c r="AJ566"/>
    </x:row>
    <x:row r="567">
      <x:c r="F567" s="124"/>
      <x:c r="G567" s="124"/>
      <x:c r="H567" s="124"/>
      <x:c r="I567" s="124"/>
      <x:c r="J567" s="124"/>
      <x:c r="M567" s="126"/>
      <x:c r="P567" s="126"/>
      <x:c r="Q567" s="126"/>
      <x:c r="R567" s="126"/>
      <x:c r="S567" s="124"/>
      <x:c r="T567" s="124"/>
      <x:c r="U567" s="124"/>
      <x:c r="V567" s="124"/>
      <x:c r="W567" s="124"/>
      <x:c r="X567" s="124"/>
      <x:c r="AD567"/>
      <x:c r="AE567" s="145"/>
      <x:c r="AF567" s="145"/>
      <x:c r="AG567" s="145"/>
      <x:c r="AH567" s="145"/>
      <x:c r="AI567" s="145"/>
      <x:c r="AJ567"/>
    </x:row>
    <x:row r="568">
      <x:c r="F568" s="124"/>
      <x:c r="G568" s="124"/>
      <x:c r="H568" s="124"/>
      <x:c r="I568" s="124"/>
      <x:c r="J568" s="124"/>
      <x:c r="M568" s="126"/>
      <x:c r="P568" s="126"/>
      <x:c r="Q568" s="126"/>
      <x:c r="R568" s="126"/>
      <x:c r="S568" s="124"/>
      <x:c r="T568" s="124"/>
      <x:c r="U568" s="124"/>
      <x:c r="V568" s="124"/>
      <x:c r="W568" s="124"/>
      <x:c r="X568" s="124"/>
      <x:c r="AD568"/>
      <x:c r="AE568" s="145"/>
      <x:c r="AF568" s="145"/>
      <x:c r="AG568" s="145"/>
      <x:c r="AH568" s="145"/>
      <x:c r="AI568" s="145"/>
      <x:c r="AJ568"/>
    </x:row>
    <x:row r="569">
      <x:c r="F569" s="124"/>
      <x:c r="G569" s="124"/>
      <x:c r="H569" s="124"/>
      <x:c r="I569" s="124"/>
      <x:c r="J569" s="124"/>
      <x:c r="M569" s="126"/>
      <x:c r="P569" s="126"/>
      <x:c r="Q569" s="126"/>
      <x:c r="R569" s="126"/>
      <x:c r="S569" s="124"/>
      <x:c r="T569" s="124"/>
      <x:c r="U569" s="124"/>
      <x:c r="V569" s="124"/>
      <x:c r="W569" s="124"/>
      <x:c r="X569" s="124"/>
      <x:c r="AD569"/>
      <x:c r="AE569" s="145"/>
      <x:c r="AF569" s="145"/>
      <x:c r="AG569" s="145"/>
      <x:c r="AH569" s="145"/>
      <x:c r="AI569" s="145"/>
      <x:c r="AJ569"/>
    </x:row>
    <x:row r="570">
      <x:c r="F570" s="124"/>
      <x:c r="G570" s="124"/>
      <x:c r="H570" s="124"/>
      <x:c r="I570" s="124"/>
      <x:c r="J570" s="124"/>
      <x:c r="M570" s="126"/>
      <x:c r="P570" s="126"/>
      <x:c r="Q570" s="126"/>
      <x:c r="R570" s="126"/>
      <x:c r="S570" s="124"/>
      <x:c r="T570" s="124"/>
      <x:c r="U570" s="124"/>
      <x:c r="V570" s="124"/>
      <x:c r="W570" s="124"/>
      <x:c r="X570" s="124"/>
      <x:c r="AD570"/>
      <x:c r="AE570" s="145"/>
      <x:c r="AF570" s="145"/>
      <x:c r="AG570" s="145"/>
      <x:c r="AH570" s="145"/>
      <x:c r="AI570" s="145"/>
      <x:c r="AJ570"/>
    </x:row>
    <x:row r="571">
      <x:c r="F571" s="124"/>
      <x:c r="G571" s="124"/>
      <x:c r="H571" s="124"/>
      <x:c r="I571" s="124"/>
      <x:c r="J571" s="124"/>
      <x:c r="M571" s="126"/>
      <x:c r="P571" s="126"/>
      <x:c r="Q571" s="126"/>
      <x:c r="R571" s="126"/>
      <x:c r="S571" s="124"/>
      <x:c r="T571" s="124"/>
      <x:c r="U571" s="124"/>
      <x:c r="V571" s="124"/>
      <x:c r="W571" s="124"/>
      <x:c r="X571" s="124"/>
      <x:c r="AD571"/>
      <x:c r="AE571" s="145"/>
      <x:c r="AF571" s="145"/>
      <x:c r="AG571" s="145"/>
      <x:c r="AH571" s="145"/>
      <x:c r="AI571" s="145"/>
      <x:c r="AJ571"/>
    </x:row>
    <x:row r="572">
      <x:c r="F572" s="124"/>
      <x:c r="G572" s="124"/>
      <x:c r="H572" s="124"/>
      <x:c r="I572" s="124"/>
      <x:c r="J572" s="124"/>
      <x:c r="M572" s="126"/>
      <x:c r="P572" s="126"/>
      <x:c r="Q572" s="126"/>
      <x:c r="R572" s="126"/>
      <x:c r="S572" s="124"/>
      <x:c r="T572" s="124"/>
      <x:c r="U572" s="124"/>
      <x:c r="V572" s="124"/>
      <x:c r="W572" s="124"/>
      <x:c r="X572" s="124"/>
      <x:c r="AD572"/>
      <x:c r="AE572" s="145"/>
      <x:c r="AF572" s="145"/>
      <x:c r="AG572" s="145"/>
      <x:c r="AH572" s="145"/>
      <x:c r="AI572" s="145"/>
      <x:c r="AJ572"/>
    </x:row>
    <x:row r="573">
      <x:c r="F573" s="124"/>
      <x:c r="G573" s="124"/>
      <x:c r="H573" s="124"/>
      <x:c r="I573" s="124"/>
      <x:c r="J573" s="124"/>
      <x:c r="M573" s="126"/>
      <x:c r="P573" s="126"/>
      <x:c r="Q573" s="126"/>
      <x:c r="R573" s="126"/>
      <x:c r="S573" s="124"/>
      <x:c r="T573" s="124"/>
      <x:c r="U573" s="124"/>
      <x:c r="V573" s="124"/>
      <x:c r="W573" s="124"/>
      <x:c r="X573" s="124"/>
      <x:c r="AD573"/>
      <x:c r="AE573" s="145"/>
      <x:c r="AF573" s="145"/>
      <x:c r="AG573" s="145"/>
      <x:c r="AH573" s="145"/>
      <x:c r="AI573" s="145"/>
      <x:c r="AJ573"/>
    </x:row>
    <x:row r="574">
      <x:c r="F574" s="124"/>
      <x:c r="G574" s="124"/>
      <x:c r="H574" s="124"/>
      <x:c r="I574" s="124"/>
      <x:c r="J574" s="124"/>
      <x:c r="M574" s="126"/>
      <x:c r="P574" s="126"/>
      <x:c r="Q574" s="126"/>
      <x:c r="R574" s="126"/>
      <x:c r="S574" s="124"/>
      <x:c r="T574" s="124"/>
      <x:c r="U574" s="124"/>
      <x:c r="V574" s="124"/>
      <x:c r="W574" s="124"/>
      <x:c r="X574" s="124"/>
      <x:c r="AD574"/>
      <x:c r="AE574" s="145"/>
      <x:c r="AF574" s="145"/>
      <x:c r="AG574" s="145"/>
      <x:c r="AH574" s="145"/>
      <x:c r="AI574" s="145"/>
      <x:c r="AJ574"/>
    </x:row>
    <x:row r="575">
      <x:c r="F575" s="124"/>
      <x:c r="G575" s="124"/>
      <x:c r="H575" s="124"/>
      <x:c r="I575" s="124"/>
      <x:c r="J575" s="124"/>
      <x:c r="M575" s="126"/>
      <x:c r="P575" s="126"/>
      <x:c r="Q575" s="126"/>
      <x:c r="R575" s="126"/>
      <x:c r="S575" s="124"/>
      <x:c r="T575" s="124"/>
      <x:c r="U575" s="124"/>
      <x:c r="V575" s="124"/>
      <x:c r="W575" s="124"/>
      <x:c r="X575" s="124"/>
      <x:c r="AD575"/>
      <x:c r="AE575" s="145"/>
      <x:c r="AF575" s="145"/>
      <x:c r="AG575" s="145"/>
      <x:c r="AH575" s="145"/>
      <x:c r="AI575" s="145"/>
      <x:c r="AJ575"/>
    </x:row>
    <x:row r="576">
      <x:c r="F576" s="124"/>
      <x:c r="G576" s="124"/>
      <x:c r="H576" s="124"/>
      <x:c r="I576" s="124"/>
      <x:c r="J576" s="124"/>
      <x:c r="M576" s="126"/>
      <x:c r="P576" s="126"/>
      <x:c r="Q576" s="126"/>
      <x:c r="R576" s="126"/>
      <x:c r="S576" s="124"/>
      <x:c r="T576" s="124"/>
      <x:c r="U576" s="124"/>
      <x:c r="V576" s="124"/>
      <x:c r="W576" s="124"/>
      <x:c r="X576" s="124"/>
      <x:c r="AD576"/>
      <x:c r="AE576" s="145"/>
      <x:c r="AF576" s="145"/>
      <x:c r="AG576" s="145"/>
      <x:c r="AH576" s="145"/>
      <x:c r="AI576" s="145"/>
      <x:c r="AJ576"/>
    </x:row>
    <x:row r="577">
      <x:c r="F577" s="124"/>
      <x:c r="G577" s="124"/>
      <x:c r="H577" s="124"/>
      <x:c r="I577" s="124"/>
      <x:c r="J577" s="124"/>
      <x:c r="M577" s="126"/>
      <x:c r="P577" s="126"/>
      <x:c r="Q577" s="126"/>
      <x:c r="R577" s="126"/>
      <x:c r="S577" s="124"/>
      <x:c r="T577" s="124"/>
      <x:c r="U577" s="124"/>
      <x:c r="V577" s="124"/>
      <x:c r="W577" s="124"/>
      <x:c r="X577" s="124"/>
      <x:c r="AD577"/>
      <x:c r="AE577" s="145"/>
      <x:c r="AF577" s="145"/>
      <x:c r="AG577" s="145"/>
      <x:c r="AH577" s="145"/>
      <x:c r="AI577" s="145"/>
      <x:c r="AJ577"/>
    </x:row>
    <x:row r="578">
      <x:c r="F578" s="124"/>
      <x:c r="G578" s="124"/>
      <x:c r="H578" s="124"/>
      <x:c r="I578" s="124"/>
      <x:c r="J578" s="124"/>
      <x:c r="M578" s="126"/>
      <x:c r="P578" s="126"/>
      <x:c r="Q578" s="126"/>
      <x:c r="R578" s="126"/>
      <x:c r="S578" s="124"/>
      <x:c r="T578" s="124"/>
      <x:c r="U578" s="124"/>
      <x:c r="V578" s="124"/>
      <x:c r="W578" s="124"/>
      <x:c r="X578" s="124"/>
      <x:c r="AD578"/>
      <x:c r="AE578" s="145"/>
      <x:c r="AF578" s="145"/>
      <x:c r="AG578" s="145"/>
      <x:c r="AH578" s="145"/>
      <x:c r="AI578" s="145"/>
      <x:c r="AJ578"/>
    </x:row>
    <x:row r="579">
      <x:c r="F579" s="124"/>
      <x:c r="G579" s="124"/>
      <x:c r="H579" s="124"/>
      <x:c r="I579" s="124"/>
      <x:c r="J579" s="124"/>
      <x:c r="M579" s="126"/>
      <x:c r="P579" s="126"/>
      <x:c r="Q579" s="126"/>
      <x:c r="R579" s="126"/>
      <x:c r="S579" s="124"/>
      <x:c r="T579" s="124"/>
      <x:c r="U579" s="124"/>
      <x:c r="V579" s="124"/>
      <x:c r="W579" s="124"/>
      <x:c r="X579" s="124"/>
      <x:c r="AD579"/>
      <x:c r="AE579" s="145"/>
      <x:c r="AF579" s="145"/>
      <x:c r="AG579" s="145"/>
      <x:c r="AH579" s="145"/>
      <x:c r="AI579" s="145"/>
      <x:c r="AJ579"/>
    </x:row>
    <x:row r="580">
      <x:c r="F580" s="124"/>
      <x:c r="G580" s="124"/>
      <x:c r="H580" s="124"/>
      <x:c r="I580" s="124"/>
      <x:c r="J580" s="124"/>
      <x:c r="M580" s="126"/>
      <x:c r="P580" s="126"/>
      <x:c r="Q580" s="126"/>
      <x:c r="R580" s="126"/>
      <x:c r="S580" s="124"/>
      <x:c r="T580" s="124"/>
      <x:c r="U580" s="124"/>
      <x:c r="V580" s="124"/>
      <x:c r="W580" s="124"/>
      <x:c r="X580" s="124"/>
      <x:c r="AD580"/>
      <x:c r="AE580" s="145"/>
      <x:c r="AF580" s="145"/>
      <x:c r="AG580" s="145"/>
      <x:c r="AH580" s="145"/>
      <x:c r="AI580" s="145"/>
      <x:c r="AJ580"/>
    </x:row>
    <x:row r="581">
      <x:c r="F581" s="124"/>
      <x:c r="G581" s="124"/>
      <x:c r="H581" s="124"/>
      <x:c r="I581" s="124"/>
      <x:c r="J581" s="124"/>
      <x:c r="M581" s="126"/>
      <x:c r="P581" s="126"/>
      <x:c r="Q581" s="126"/>
      <x:c r="R581" s="126"/>
      <x:c r="S581" s="124"/>
      <x:c r="T581" s="124"/>
      <x:c r="U581" s="124"/>
      <x:c r="V581" s="124"/>
      <x:c r="W581" s="124"/>
      <x:c r="X581" s="124"/>
      <x:c r="AD581"/>
      <x:c r="AE581" s="145"/>
      <x:c r="AF581" s="145"/>
      <x:c r="AG581" s="145"/>
      <x:c r="AH581" s="145"/>
      <x:c r="AI581" s="145"/>
      <x:c r="AJ581"/>
    </x:row>
    <x:row r="582">
      <x:c r="F582" s="124"/>
      <x:c r="G582" s="124"/>
      <x:c r="H582" s="124"/>
      <x:c r="I582" s="124"/>
      <x:c r="J582" s="124"/>
      <x:c r="M582" s="126"/>
      <x:c r="P582" s="126"/>
      <x:c r="Q582" s="126"/>
      <x:c r="R582" s="126"/>
      <x:c r="S582" s="124"/>
      <x:c r="T582" s="124"/>
      <x:c r="U582" s="124"/>
      <x:c r="V582" s="124"/>
      <x:c r="W582" s="124"/>
      <x:c r="X582" s="124"/>
      <x:c r="AD582"/>
      <x:c r="AE582" s="145"/>
      <x:c r="AF582" s="145"/>
      <x:c r="AG582" s="145"/>
      <x:c r="AH582" s="145"/>
      <x:c r="AI582" s="145"/>
      <x:c r="AJ582"/>
    </x:row>
    <x:row r="583">
      <x:c r="F583" s="124"/>
      <x:c r="G583" s="124"/>
      <x:c r="H583" s="124"/>
      <x:c r="I583" s="124"/>
      <x:c r="J583" s="124"/>
      <x:c r="M583" s="126"/>
      <x:c r="P583" s="126"/>
      <x:c r="Q583" s="126"/>
      <x:c r="R583" s="126"/>
      <x:c r="S583" s="124"/>
      <x:c r="T583" s="124"/>
      <x:c r="U583" s="124"/>
      <x:c r="V583" s="124"/>
      <x:c r="W583" s="124"/>
      <x:c r="X583" s="124"/>
      <x:c r="AD583"/>
      <x:c r="AE583" s="145"/>
      <x:c r="AF583" s="145"/>
      <x:c r="AG583" s="145"/>
      <x:c r="AH583" s="145"/>
      <x:c r="AI583" s="145"/>
      <x:c r="AJ583"/>
    </x:row>
    <x:row r="584">
      <x:c r="F584" s="124"/>
      <x:c r="G584" s="124"/>
      <x:c r="H584" s="124"/>
      <x:c r="I584" s="124"/>
      <x:c r="J584" s="124"/>
      <x:c r="M584" s="126"/>
      <x:c r="P584" s="126"/>
      <x:c r="Q584" s="126"/>
      <x:c r="R584" s="126"/>
      <x:c r="S584" s="124"/>
      <x:c r="T584" s="124"/>
      <x:c r="U584" s="124"/>
      <x:c r="V584" s="124"/>
      <x:c r="W584" s="124"/>
      <x:c r="X584" s="124"/>
      <x:c r="AD584"/>
      <x:c r="AE584" s="145"/>
      <x:c r="AF584" s="145"/>
      <x:c r="AG584" s="145"/>
      <x:c r="AH584" s="145"/>
      <x:c r="AI584" s="145"/>
      <x:c r="AJ584"/>
    </x:row>
    <x:row r="585">
      <x:c r="F585" s="124"/>
      <x:c r="G585" s="124"/>
      <x:c r="H585" s="124"/>
      <x:c r="I585" s="124"/>
      <x:c r="J585" s="124"/>
      <x:c r="M585" s="126"/>
      <x:c r="P585" s="126"/>
      <x:c r="Q585" s="126"/>
      <x:c r="R585" s="126"/>
      <x:c r="S585" s="124"/>
      <x:c r="T585" s="124"/>
      <x:c r="U585" s="124"/>
      <x:c r="V585" s="124"/>
      <x:c r="W585" s="124"/>
      <x:c r="X585" s="124"/>
      <x:c r="AD585"/>
      <x:c r="AE585" s="145"/>
      <x:c r="AF585" s="145"/>
      <x:c r="AG585" s="145"/>
      <x:c r="AH585" s="145"/>
      <x:c r="AI585" s="145"/>
      <x:c r="AJ585"/>
    </x:row>
    <x:row r="586">
      <x:c r="F586" s="124"/>
      <x:c r="G586" s="124"/>
      <x:c r="H586" s="124"/>
      <x:c r="I586" s="124"/>
      <x:c r="J586" s="124"/>
      <x:c r="M586" s="126"/>
      <x:c r="P586" s="126"/>
      <x:c r="Q586" s="126"/>
      <x:c r="R586" s="126"/>
      <x:c r="S586" s="124"/>
      <x:c r="T586" s="124"/>
      <x:c r="U586" s="124"/>
      <x:c r="V586" s="124"/>
      <x:c r="W586" s="124"/>
      <x:c r="X586" s="124"/>
      <x:c r="AD586"/>
      <x:c r="AE586" s="145"/>
      <x:c r="AF586" s="145"/>
      <x:c r="AG586" s="145"/>
      <x:c r="AH586" s="145"/>
      <x:c r="AI586" s="145"/>
      <x:c r="AJ586"/>
    </x:row>
    <x:row r="587">
      <x:c r="F587" s="124"/>
      <x:c r="G587" s="124"/>
      <x:c r="H587" s="124"/>
      <x:c r="I587" s="124"/>
      <x:c r="J587" s="124"/>
      <x:c r="M587" s="126"/>
      <x:c r="P587" s="126"/>
      <x:c r="Q587" s="126"/>
      <x:c r="R587" s="126"/>
      <x:c r="S587" s="124"/>
      <x:c r="T587" s="124"/>
      <x:c r="U587" s="124"/>
      <x:c r="V587" s="124"/>
      <x:c r="W587" s="124"/>
      <x:c r="X587" s="124"/>
      <x:c r="AD587"/>
      <x:c r="AE587" s="145"/>
      <x:c r="AF587" s="145"/>
      <x:c r="AG587" s="145"/>
      <x:c r="AH587" s="145"/>
      <x:c r="AI587" s="145"/>
      <x:c r="AJ587"/>
    </x:row>
    <x:row r="588">
      <x:c r="F588" s="124"/>
      <x:c r="G588" s="124"/>
      <x:c r="H588" s="124"/>
      <x:c r="I588" s="124"/>
      <x:c r="J588" s="124"/>
      <x:c r="M588" s="126"/>
      <x:c r="P588" s="126"/>
      <x:c r="Q588" s="126"/>
      <x:c r="R588" s="126"/>
      <x:c r="S588" s="124"/>
      <x:c r="T588" s="124"/>
      <x:c r="U588" s="124"/>
      <x:c r="V588" s="124"/>
      <x:c r="W588" s="124"/>
      <x:c r="X588" s="124"/>
      <x:c r="AD588"/>
      <x:c r="AE588" s="145"/>
      <x:c r="AF588" s="145"/>
      <x:c r="AG588" s="145"/>
      <x:c r="AH588" s="145"/>
      <x:c r="AI588" s="145"/>
      <x:c r="AJ588"/>
    </x:row>
    <x:row r="589">
      <x:c r="F589" s="124"/>
      <x:c r="G589" s="124"/>
      <x:c r="H589" s="124"/>
      <x:c r="I589" s="124"/>
      <x:c r="J589" s="124"/>
      <x:c r="M589" s="126"/>
      <x:c r="P589" s="126"/>
      <x:c r="Q589" s="126"/>
      <x:c r="R589" s="126"/>
      <x:c r="S589" s="124"/>
      <x:c r="T589" s="124"/>
      <x:c r="U589" s="124"/>
      <x:c r="V589" s="124"/>
      <x:c r="W589" s="124"/>
      <x:c r="X589" s="124"/>
      <x:c r="AD589"/>
      <x:c r="AE589" s="145"/>
      <x:c r="AF589" s="145"/>
      <x:c r="AG589" s="145"/>
      <x:c r="AH589" s="145"/>
      <x:c r="AI589" s="145"/>
      <x:c r="AJ589"/>
    </x:row>
    <x:row r="590">
      <x:c r="F590" s="124"/>
      <x:c r="G590" s="124"/>
      <x:c r="H590" s="124"/>
      <x:c r="I590" s="124"/>
      <x:c r="J590" s="124"/>
      <x:c r="M590" s="126"/>
      <x:c r="P590" s="126"/>
      <x:c r="Q590" s="126"/>
      <x:c r="R590" s="126"/>
      <x:c r="S590" s="124"/>
      <x:c r="T590" s="124"/>
      <x:c r="U590" s="124"/>
      <x:c r="V590" s="124"/>
      <x:c r="W590" s="124"/>
      <x:c r="X590" s="124"/>
      <x:c r="AD590"/>
      <x:c r="AE590" s="145"/>
      <x:c r="AF590" s="145"/>
      <x:c r="AG590" s="145"/>
      <x:c r="AH590" s="145"/>
      <x:c r="AI590" s="145"/>
      <x:c r="AJ590"/>
    </x:row>
    <x:row r="591">
      <x:c r="F591" s="124"/>
      <x:c r="G591" s="124"/>
      <x:c r="H591" s="124"/>
      <x:c r="I591" s="124"/>
      <x:c r="J591" s="124"/>
      <x:c r="M591" s="126"/>
      <x:c r="P591" s="126"/>
      <x:c r="Q591" s="126"/>
      <x:c r="R591" s="126"/>
      <x:c r="S591" s="124"/>
      <x:c r="T591" s="124"/>
      <x:c r="U591" s="124"/>
      <x:c r="V591" s="124"/>
      <x:c r="W591" s="124"/>
      <x:c r="X591" s="124"/>
      <x:c r="AD591"/>
      <x:c r="AE591" s="145"/>
      <x:c r="AF591" s="145"/>
      <x:c r="AG591" s="145"/>
      <x:c r="AH591" s="145"/>
      <x:c r="AI591" s="145"/>
      <x:c r="AJ591"/>
    </x:row>
    <x:row r="592">
      <x:c r="F592" s="124"/>
      <x:c r="G592" s="124"/>
      <x:c r="H592" s="124"/>
      <x:c r="I592" s="124"/>
      <x:c r="J592" s="124"/>
      <x:c r="M592" s="126"/>
      <x:c r="P592" s="126"/>
      <x:c r="Q592" s="126"/>
      <x:c r="R592" s="126"/>
      <x:c r="S592" s="124"/>
      <x:c r="T592" s="124"/>
      <x:c r="U592" s="124"/>
      <x:c r="V592" s="124"/>
      <x:c r="W592" s="124"/>
      <x:c r="X592" s="124"/>
      <x:c r="AD592"/>
      <x:c r="AE592" s="145"/>
      <x:c r="AF592" s="145"/>
      <x:c r="AG592" s="145"/>
      <x:c r="AH592" s="145"/>
      <x:c r="AI592" s="145"/>
      <x:c r="AJ592"/>
    </x:row>
    <x:row r="593">
      <x:c r="F593" s="124"/>
      <x:c r="G593" s="124"/>
      <x:c r="H593" s="124"/>
      <x:c r="I593" s="124"/>
      <x:c r="J593" s="124"/>
      <x:c r="M593" s="126"/>
      <x:c r="P593" s="126"/>
      <x:c r="Q593" s="126"/>
      <x:c r="R593" s="126"/>
      <x:c r="S593" s="124"/>
      <x:c r="T593" s="124"/>
      <x:c r="U593" s="124"/>
      <x:c r="V593" s="124"/>
      <x:c r="W593" s="124"/>
      <x:c r="X593" s="124"/>
      <x:c r="AD593"/>
      <x:c r="AE593" s="145"/>
      <x:c r="AF593" s="145"/>
      <x:c r="AG593" s="145"/>
      <x:c r="AH593" s="145"/>
      <x:c r="AI593" s="145"/>
      <x:c r="AJ593"/>
    </x:row>
    <x:row r="594">
      <x:c r="F594" s="124"/>
      <x:c r="G594" s="124"/>
      <x:c r="H594" s="124"/>
      <x:c r="I594" s="124"/>
      <x:c r="J594" s="124"/>
      <x:c r="M594" s="126"/>
      <x:c r="P594" s="126"/>
      <x:c r="Q594" s="126"/>
      <x:c r="R594" s="126"/>
      <x:c r="S594" s="124"/>
      <x:c r="T594" s="124"/>
      <x:c r="U594" s="124"/>
      <x:c r="V594" s="124"/>
      <x:c r="W594" s="124"/>
      <x:c r="X594" s="124"/>
      <x:c r="AD594"/>
      <x:c r="AE594" s="145"/>
      <x:c r="AF594" s="145"/>
      <x:c r="AG594" s="145"/>
      <x:c r="AH594" s="145"/>
      <x:c r="AI594" s="145"/>
      <x:c r="AJ594"/>
    </x:row>
    <x:row r="595">
      <x:c r="F595" s="124"/>
      <x:c r="G595" s="124"/>
      <x:c r="H595" s="124"/>
      <x:c r="I595" s="124"/>
      <x:c r="J595" s="124"/>
      <x:c r="M595" s="126"/>
      <x:c r="P595" s="126"/>
      <x:c r="Q595" s="126"/>
      <x:c r="R595" s="126"/>
      <x:c r="S595" s="124"/>
      <x:c r="T595" s="124"/>
      <x:c r="U595" s="124"/>
      <x:c r="V595" s="124"/>
      <x:c r="W595" s="124"/>
      <x:c r="X595" s="124"/>
      <x:c r="AD595"/>
      <x:c r="AE595" s="145"/>
      <x:c r="AF595" s="145"/>
      <x:c r="AG595" s="145"/>
      <x:c r="AH595" s="145"/>
      <x:c r="AI595" s="145"/>
      <x:c r="AJ595"/>
    </x:row>
    <x:row r="596">
      <x:c r="F596" s="124"/>
      <x:c r="G596" s="124"/>
      <x:c r="H596" s="124"/>
      <x:c r="I596" s="124"/>
      <x:c r="J596" s="124"/>
      <x:c r="M596" s="126"/>
      <x:c r="P596" s="126"/>
      <x:c r="Q596" s="126"/>
      <x:c r="R596" s="126"/>
      <x:c r="S596" s="124"/>
      <x:c r="T596" s="124"/>
      <x:c r="U596" s="124"/>
      <x:c r="V596" s="124"/>
      <x:c r="W596" s="124"/>
      <x:c r="X596" s="124"/>
      <x:c r="AD596"/>
      <x:c r="AE596" s="145"/>
      <x:c r="AF596" s="145"/>
      <x:c r="AG596" s="145"/>
      <x:c r="AH596" s="145"/>
      <x:c r="AI596" s="145"/>
      <x:c r="AJ596"/>
    </x:row>
    <x:row r="597">
      <x:c r="F597" s="124"/>
      <x:c r="G597" s="124"/>
      <x:c r="H597" s="124"/>
      <x:c r="I597" s="124"/>
      <x:c r="J597" s="124"/>
      <x:c r="M597" s="126"/>
      <x:c r="P597" s="126"/>
      <x:c r="Q597" s="126"/>
      <x:c r="R597" s="126"/>
      <x:c r="S597" s="124"/>
      <x:c r="T597" s="124"/>
      <x:c r="U597" s="124"/>
      <x:c r="V597" s="124"/>
      <x:c r="W597" s="124"/>
      <x:c r="X597" s="124"/>
      <x:c r="AD597"/>
      <x:c r="AE597" s="145"/>
      <x:c r="AF597" s="145"/>
      <x:c r="AG597" s="145"/>
      <x:c r="AH597" s="145"/>
      <x:c r="AI597" s="145"/>
      <x:c r="AJ597"/>
    </x:row>
    <x:row r="598">
      <x:c r="F598" s="124"/>
      <x:c r="G598" s="124"/>
      <x:c r="H598" s="124"/>
      <x:c r="I598" s="124"/>
      <x:c r="J598" s="124"/>
      <x:c r="M598" s="126"/>
      <x:c r="P598" s="126"/>
      <x:c r="Q598" s="126"/>
      <x:c r="R598" s="126"/>
      <x:c r="S598" s="124"/>
      <x:c r="T598" s="124"/>
      <x:c r="U598" s="124"/>
      <x:c r="V598" s="124"/>
      <x:c r="W598" s="124"/>
      <x:c r="X598" s="124"/>
      <x:c r="AD598"/>
      <x:c r="AE598" s="145"/>
      <x:c r="AF598" s="145"/>
      <x:c r="AG598" s="145"/>
      <x:c r="AH598" s="145"/>
      <x:c r="AI598" s="145"/>
      <x:c r="AJ598"/>
    </x:row>
    <x:row r="599">
      <x:c r="F599" s="124"/>
      <x:c r="G599" s="124"/>
      <x:c r="H599" s="124"/>
      <x:c r="I599" s="124"/>
      <x:c r="J599" s="124"/>
      <x:c r="M599" s="126"/>
      <x:c r="P599" s="126"/>
      <x:c r="Q599" s="126"/>
      <x:c r="R599" s="126"/>
      <x:c r="S599" s="124"/>
      <x:c r="T599" s="124"/>
      <x:c r="U599" s="124"/>
      <x:c r="V599" s="124"/>
      <x:c r="W599" s="124"/>
      <x:c r="X599" s="124"/>
      <x:c r="AD599"/>
      <x:c r="AE599" s="145"/>
      <x:c r="AF599" s="145"/>
      <x:c r="AG599" s="145"/>
      <x:c r="AH599" s="145"/>
      <x:c r="AI599" s="145"/>
      <x:c r="AJ599"/>
    </x:row>
    <x:row r="600">
      <x:c r="F600" s="124"/>
      <x:c r="G600" s="124"/>
      <x:c r="H600" s="124"/>
      <x:c r="I600" s="124"/>
      <x:c r="J600" s="124"/>
      <x:c r="M600" s="126"/>
      <x:c r="P600" s="126"/>
      <x:c r="Q600" s="126"/>
      <x:c r="R600" s="126"/>
      <x:c r="S600" s="124"/>
      <x:c r="T600" s="124"/>
      <x:c r="U600" s="124"/>
      <x:c r="V600" s="124"/>
      <x:c r="W600" s="124"/>
      <x:c r="X600" s="124"/>
      <x:c r="AD600"/>
      <x:c r="AE600" s="145"/>
      <x:c r="AF600" s="145"/>
      <x:c r="AG600" s="145"/>
      <x:c r="AH600" s="145"/>
      <x:c r="AI600" s="145"/>
      <x:c r="AJ600"/>
    </x:row>
    <x:row r="601">
      <x:c r="F601" s="124"/>
      <x:c r="G601" s="124"/>
      <x:c r="H601" s="124"/>
      <x:c r="I601" s="124"/>
      <x:c r="J601" s="124"/>
      <x:c r="M601" s="126"/>
      <x:c r="P601" s="126"/>
      <x:c r="Q601" s="126"/>
      <x:c r="R601" s="126"/>
      <x:c r="S601" s="124"/>
      <x:c r="T601" s="124"/>
      <x:c r="U601" s="124"/>
      <x:c r="V601" s="124"/>
      <x:c r="W601" s="124"/>
      <x:c r="X601" s="124"/>
      <x:c r="AD601"/>
      <x:c r="AE601" s="145"/>
      <x:c r="AF601" s="145"/>
      <x:c r="AG601" s="145"/>
      <x:c r="AH601" s="145"/>
      <x:c r="AI601" s="145"/>
      <x:c r="AJ601"/>
    </x:row>
    <x:row r="602">
      <x:c r="F602" s="124"/>
      <x:c r="G602" s="124"/>
      <x:c r="H602" s="124"/>
      <x:c r="I602" s="124"/>
      <x:c r="J602" s="124"/>
      <x:c r="M602" s="126"/>
      <x:c r="P602" s="126"/>
      <x:c r="Q602" s="126"/>
      <x:c r="R602" s="126"/>
      <x:c r="S602" s="124"/>
      <x:c r="T602" s="124"/>
      <x:c r="U602" s="124"/>
      <x:c r="V602" s="124"/>
      <x:c r="W602" s="124"/>
      <x:c r="X602" s="124"/>
      <x:c r="AD602"/>
      <x:c r="AE602" s="145"/>
      <x:c r="AF602" s="145"/>
      <x:c r="AG602" s="145"/>
      <x:c r="AH602" s="145"/>
      <x:c r="AI602" s="145"/>
      <x:c r="AJ602"/>
    </x:row>
    <x:row r="603">
      <x:c r="F603" s="124"/>
      <x:c r="G603" s="124"/>
      <x:c r="H603" s="124"/>
      <x:c r="I603" s="124"/>
      <x:c r="J603" s="124"/>
      <x:c r="M603" s="126"/>
      <x:c r="P603" s="126"/>
      <x:c r="Q603" s="126"/>
      <x:c r="R603" s="126"/>
      <x:c r="S603" s="124"/>
      <x:c r="T603" s="124"/>
      <x:c r="U603" s="124"/>
      <x:c r="V603" s="124"/>
      <x:c r="W603" s="124"/>
      <x:c r="X603" s="124"/>
      <x:c r="AD603"/>
      <x:c r="AE603" s="145"/>
      <x:c r="AF603" s="145"/>
      <x:c r="AG603" s="145"/>
      <x:c r="AH603" s="145"/>
      <x:c r="AI603" s="145"/>
      <x:c r="AJ603"/>
    </x:row>
    <x:row r="604">
      <x:c r="F604" s="124"/>
      <x:c r="G604" s="124"/>
      <x:c r="H604" s="124"/>
      <x:c r="I604" s="124"/>
      <x:c r="J604" s="124"/>
      <x:c r="M604" s="126"/>
      <x:c r="P604" s="126"/>
      <x:c r="Q604" s="126"/>
      <x:c r="R604" s="126"/>
      <x:c r="S604" s="124"/>
      <x:c r="T604" s="124"/>
      <x:c r="U604" s="124"/>
      <x:c r="V604" s="124"/>
      <x:c r="W604" s="124"/>
      <x:c r="X604" s="124"/>
      <x:c r="AD604"/>
      <x:c r="AE604" s="145"/>
      <x:c r="AF604" s="145"/>
      <x:c r="AG604" s="145"/>
      <x:c r="AH604" s="145"/>
      <x:c r="AI604" s="145"/>
      <x:c r="AJ604"/>
    </x:row>
    <x:row r="605">
      <x:c r="F605" s="124"/>
      <x:c r="G605" s="124"/>
      <x:c r="H605" s="124"/>
      <x:c r="I605" s="124"/>
      <x:c r="J605" s="124"/>
      <x:c r="M605" s="126"/>
      <x:c r="P605" s="126"/>
      <x:c r="Q605" s="126"/>
      <x:c r="R605" s="126"/>
      <x:c r="S605" s="124"/>
      <x:c r="T605" s="124"/>
      <x:c r="U605" s="124"/>
      <x:c r="V605" s="124"/>
      <x:c r="W605" s="124"/>
      <x:c r="X605" s="124"/>
      <x:c r="AD605"/>
      <x:c r="AE605" s="145"/>
      <x:c r="AF605" s="145"/>
      <x:c r="AG605" s="145"/>
      <x:c r="AH605" s="145"/>
      <x:c r="AI605" s="145"/>
      <x:c r="AJ605"/>
    </x:row>
    <x:row r="606">
      <x:c r="F606" s="124"/>
      <x:c r="G606" s="124"/>
      <x:c r="H606" s="124"/>
      <x:c r="I606" s="124"/>
      <x:c r="J606" s="124"/>
      <x:c r="M606" s="126"/>
      <x:c r="P606" s="126"/>
      <x:c r="Q606" s="126"/>
      <x:c r="R606" s="126"/>
      <x:c r="S606" s="124"/>
      <x:c r="T606" s="124"/>
      <x:c r="U606" s="124"/>
      <x:c r="V606" s="124"/>
      <x:c r="W606" s="124"/>
      <x:c r="X606" s="124"/>
      <x:c r="AD606"/>
      <x:c r="AE606" s="145"/>
      <x:c r="AF606" s="145"/>
      <x:c r="AG606" s="145"/>
      <x:c r="AH606" s="145"/>
      <x:c r="AI606" s="145"/>
      <x:c r="AJ606"/>
    </x:row>
    <x:row r="607">
      <x:c r="F607" s="124"/>
      <x:c r="G607" s="124"/>
      <x:c r="H607" s="124"/>
      <x:c r="I607" s="124"/>
      <x:c r="J607" s="124"/>
      <x:c r="M607" s="126"/>
      <x:c r="P607" s="126"/>
      <x:c r="Q607" s="126"/>
      <x:c r="R607" s="126"/>
      <x:c r="S607" s="124"/>
      <x:c r="T607" s="124"/>
      <x:c r="U607" s="124"/>
      <x:c r="V607" s="124"/>
      <x:c r="W607" s="124"/>
      <x:c r="X607" s="124"/>
      <x:c r="AD607"/>
      <x:c r="AE607" s="145"/>
      <x:c r="AF607" s="145"/>
      <x:c r="AG607" s="145"/>
      <x:c r="AH607" s="145"/>
      <x:c r="AI607" s="145"/>
      <x:c r="AJ607"/>
    </x:row>
    <x:row r="608">
      <x:c r="F608" s="124"/>
      <x:c r="G608" s="124"/>
      <x:c r="H608" s="124"/>
      <x:c r="I608" s="124"/>
      <x:c r="J608" s="124"/>
      <x:c r="M608" s="126"/>
      <x:c r="P608" s="126"/>
      <x:c r="Q608" s="126"/>
      <x:c r="R608" s="126"/>
      <x:c r="S608" s="124"/>
      <x:c r="T608" s="124"/>
      <x:c r="U608" s="124"/>
      <x:c r="V608" s="124"/>
      <x:c r="W608" s="124"/>
      <x:c r="X608" s="124"/>
      <x:c r="AD608"/>
      <x:c r="AE608" s="145"/>
      <x:c r="AF608" s="145"/>
      <x:c r="AG608" s="145"/>
      <x:c r="AH608" s="145"/>
      <x:c r="AI608" s="145"/>
      <x:c r="AJ608"/>
    </x:row>
    <x:row r="609">
      <x:c r="F609" s="124"/>
      <x:c r="G609" s="124"/>
      <x:c r="H609" s="124"/>
      <x:c r="I609" s="124"/>
      <x:c r="J609" s="124"/>
      <x:c r="M609" s="126"/>
      <x:c r="P609" s="126"/>
      <x:c r="Q609" s="126"/>
      <x:c r="R609" s="126"/>
      <x:c r="S609" s="124"/>
      <x:c r="T609" s="124"/>
      <x:c r="U609" s="124"/>
      <x:c r="V609" s="124"/>
      <x:c r="W609" s="124"/>
      <x:c r="X609" s="124"/>
      <x:c r="AD609"/>
      <x:c r="AE609" s="145"/>
      <x:c r="AF609" s="145"/>
      <x:c r="AG609" s="145"/>
      <x:c r="AH609" s="145"/>
      <x:c r="AI609" s="145"/>
      <x:c r="AJ609"/>
    </x:row>
    <x:row r="610">
      <x:c r="F610" s="124"/>
      <x:c r="G610" s="124"/>
      <x:c r="H610" s="124"/>
      <x:c r="I610" s="124"/>
      <x:c r="J610" s="124"/>
      <x:c r="M610" s="126"/>
      <x:c r="P610" s="126"/>
      <x:c r="Q610" s="126"/>
      <x:c r="R610" s="126"/>
      <x:c r="S610" s="124"/>
      <x:c r="T610" s="124"/>
      <x:c r="U610" s="124"/>
      <x:c r="V610" s="124"/>
      <x:c r="W610" s="124"/>
      <x:c r="X610" s="124"/>
      <x:c r="AD610"/>
      <x:c r="AE610" s="145"/>
      <x:c r="AF610" s="145"/>
      <x:c r="AG610" s="145"/>
      <x:c r="AH610" s="145"/>
      <x:c r="AI610" s="145"/>
      <x:c r="AJ610"/>
    </x:row>
    <x:row r="611">
      <x:c r="F611" s="124"/>
      <x:c r="G611" s="124"/>
      <x:c r="H611" s="124"/>
      <x:c r="I611" s="124"/>
      <x:c r="J611" s="124"/>
      <x:c r="M611" s="126"/>
      <x:c r="P611" s="126"/>
      <x:c r="Q611" s="126"/>
      <x:c r="R611" s="126"/>
      <x:c r="S611" s="124"/>
      <x:c r="T611" s="124"/>
      <x:c r="U611" s="124"/>
      <x:c r="V611" s="124"/>
      <x:c r="W611" s="124"/>
      <x:c r="X611" s="124"/>
      <x:c r="AD611"/>
      <x:c r="AE611" s="145"/>
      <x:c r="AF611" s="145"/>
      <x:c r="AG611" s="145"/>
      <x:c r="AH611" s="145"/>
      <x:c r="AI611" s="145"/>
      <x:c r="AJ611"/>
    </x:row>
    <x:row r="612">
      <x:c r="F612" s="124"/>
      <x:c r="G612" s="124"/>
      <x:c r="H612" s="124"/>
      <x:c r="I612" s="124"/>
      <x:c r="J612" s="124"/>
      <x:c r="M612" s="126"/>
      <x:c r="P612" s="126"/>
      <x:c r="Q612" s="126"/>
      <x:c r="R612" s="126"/>
      <x:c r="S612" s="124"/>
      <x:c r="T612" s="124"/>
      <x:c r="U612" s="124"/>
      <x:c r="V612" s="124"/>
      <x:c r="W612" s="124"/>
      <x:c r="X612" s="124"/>
      <x:c r="AD612"/>
      <x:c r="AE612" s="145"/>
      <x:c r="AF612" s="145"/>
      <x:c r="AG612" s="145"/>
      <x:c r="AH612" s="145"/>
      <x:c r="AI612" s="145"/>
      <x:c r="AJ612"/>
    </x:row>
    <x:row r="613">
      <x:c r="F613" s="124"/>
      <x:c r="G613" s="124"/>
      <x:c r="H613" s="124"/>
      <x:c r="I613" s="124"/>
      <x:c r="J613" s="124"/>
      <x:c r="M613" s="126"/>
      <x:c r="P613" s="126"/>
      <x:c r="Q613" s="126"/>
      <x:c r="R613" s="126"/>
      <x:c r="S613" s="124"/>
      <x:c r="T613" s="124"/>
      <x:c r="U613" s="124"/>
      <x:c r="V613" s="124"/>
      <x:c r="W613" s="124"/>
      <x:c r="X613" s="124"/>
      <x:c r="AD613"/>
      <x:c r="AE613" s="145"/>
      <x:c r="AF613" s="145"/>
      <x:c r="AG613" s="145"/>
      <x:c r="AH613" s="145"/>
      <x:c r="AI613" s="145"/>
      <x:c r="AJ613"/>
    </x:row>
    <x:row r="614">
      <x:c r="F614" s="124"/>
      <x:c r="G614" s="124"/>
      <x:c r="H614" s="124"/>
      <x:c r="I614" s="124"/>
      <x:c r="J614" s="124"/>
      <x:c r="M614" s="126"/>
      <x:c r="P614" s="126"/>
      <x:c r="Q614" s="126"/>
      <x:c r="R614" s="126"/>
      <x:c r="S614" s="124"/>
      <x:c r="T614" s="124"/>
      <x:c r="U614" s="124"/>
      <x:c r="V614" s="124"/>
      <x:c r="W614" s="124"/>
      <x:c r="X614" s="124"/>
      <x:c r="AD614"/>
      <x:c r="AE614" s="145"/>
      <x:c r="AF614" s="145"/>
      <x:c r="AG614" s="145"/>
      <x:c r="AH614" s="145"/>
      <x:c r="AI614" s="145"/>
      <x:c r="AJ614"/>
    </x:row>
    <x:row r="615">
      <x:c r="F615" s="124"/>
      <x:c r="G615" s="124"/>
      <x:c r="H615" s="124"/>
      <x:c r="I615" s="124"/>
      <x:c r="J615" s="124"/>
      <x:c r="M615" s="126"/>
      <x:c r="P615" s="126"/>
      <x:c r="Q615" s="126"/>
      <x:c r="R615" s="126"/>
      <x:c r="S615" s="124"/>
      <x:c r="T615" s="124"/>
      <x:c r="U615" s="124"/>
      <x:c r="V615" s="124"/>
      <x:c r="W615" s="124"/>
      <x:c r="X615" s="124"/>
      <x:c r="AD615"/>
      <x:c r="AE615" s="145"/>
      <x:c r="AF615" s="145"/>
      <x:c r="AG615" s="145"/>
      <x:c r="AH615" s="145"/>
      <x:c r="AI615" s="145"/>
      <x:c r="AJ615"/>
    </x:row>
    <x:row r="616">
      <x:c r="F616" s="124"/>
      <x:c r="G616" s="124"/>
      <x:c r="H616" s="124"/>
      <x:c r="I616" s="124"/>
      <x:c r="J616" s="124"/>
      <x:c r="M616" s="126"/>
      <x:c r="P616" s="126"/>
      <x:c r="Q616" s="126"/>
      <x:c r="R616" s="126"/>
      <x:c r="S616" s="124"/>
      <x:c r="T616" s="124"/>
      <x:c r="U616" s="124"/>
      <x:c r="V616" s="124"/>
      <x:c r="W616" s="124"/>
      <x:c r="X616" s="124"/>
      <x:c r="AD616"/>
      <x:c r="AE616" s="145"/>
      <x:c r="AF616" s="145"/>
      <x:c r="AG616" s="145"/>
      <x:c r="AH616" s="145"/>
      <x:c r="AI616" s="145"/>
      <x:c r="AJ616"/>
    </x:row>
    <x:row r="617">
      <x:c r="F617" s="124"/>
      <x:c r="G617" s="124"/>
      <x:c r="H617" s="124"/>
      <x:c r="I617" s="124"/>
      <x:c r="J617" s="124"/>
      <x:c r="M617" s="126"/>
      <x:c r="P617" s="126"/>
      <x:c r="Q617" s="126"/>
      <x:c r="R617" s="126"/>
      <x:c r="S617" s="124"/>
      <x:c r="T617" s="124"/>
      <x:c r="U617" s="124"/>
      <x:c r="V617" s="124"/>
      <x:c r="W617" s="124"/>
      <x:c r="X617" s="124"/>
      <x:c r="AD617"/>
      <x:c r="AE617" s="145"/>
      <x:c r="AF617" s="145"/>
      <x:c r="AG617" s="145"/>
      <x:c r="AH617" s="145"/>
      <x:c r="AI617" s="145"/>
      <x:c r="AJ617"/>
    </x:row>
    <x:row r="618">
      <x:c r="F618" s="124"/>
      <x:c r="G618" s="124"/>
      <x:c r="H618" s="124"/>
      <x:c r="I618" s="124"/>
      <x:c r="J618" s="124"/>
      <x:c r="M618" s="126"/>
      <x:c r="P618" s="126"/>
      <x:c r="Q618" s="126"/>
      <x:c r="R618" s="126"/>
      <x:c r="S618" s="124"/>
      <x:c r="T618" s="124"/>
      <x:c r="U618" s="124"/>
      <x:c r="V618" s="124"/>
      <x:c r="W618" s="124"/>
      <x:c r="X618" s="124"/>
      <x:c r="AD618"/>
      <x:c r="AE618" s="145"/>
      <x:c r="AF618" s="145"/>
      <x:c r="AG618" s="145"/>
      <x:c r="AH618" s="145"/>
      <x:c r="AI618" s="145"/>
      <x:c r="AJ618"/>
    </x:row>
    <x:row r="619">
      <x:c r="F619" s="124"/>
      <x:c r="G619" s="124"/>
      <x:c r="H619" s="124"/>
      <x:c r="I619" s="124"/>
      <x:c r="J619" s="124"/>
      <x:c r="M619" s="126"/>
      <x:c r="P619" s="126"/>
      <x:c r="Q619" s="126"/>
      <x:c r="R619" s="126"/>
      <x:c r="S619" s="124"/>
      <x:c r="T619" s="124"/>
      <x:c r="U619" s="124"/>
      <x:c r="V619" s="124"/>
      <x:c r="W619" s="124"/>
      <x:c r="X619" s="124"/>
      <x:c r="AD619"/>
      <x:c r="AE619" s="145"/>
      <x:c r="AF619" s="145"/>
      <x:c r="AG619" s="145"/>
      <x:c r="AH619" s="145"/>
      <x:c r="AI619" s="145"/>
      <x:c r="AJ619"/>
    </x:row>
    <x:row r="620">
      <x:c r="F620" s="124"/>
      <x:c r="G620" s="124"/>
      <x:c r="H620" s="124"/>
      <x:c r="I620" s="124"/>
      <x:c r="J620" s="124"/>
      <x:c r="M620" s="126"/>
      <x:c r="P620" s="126"/>
      <x:c r="Q620" s="126"/>
      <x:c r="R620" s="126"/>
      <x:c r="S620" s="124"/>
      <x:c r="T620" s="124"/>
      <x:c r="U620" s="124"/>
      <x:c r="V620" s="124"/>
      <x:c r="W620" s="124"/>
      <x:c r="X620" s="124"/>
      <x:c r="AD620"/>
      <x:c r="AE620" s="145"/>
      <x:c r="AF620" s="145"/>
      <x:c r="AG620" s="145"/>
      <x:c r="AH620" s="145"/>
      <x:c r="AI620" s="145"/>
      <x:c r="AJ620"/>
    </x:row>
    <x:row r="621">
      <x:c r="F621" s="124"/>
      <x:c r="G621" s="124"/>
      <x:c r="H621" s="124"/>
      <x:c r="I621" s="124"/>
      <x:c r="J621" s="124"/>
      <x:c r="M621" s="126"/>
      <x:c r="P621" s="126"/>
      <x:c r="Q621" s="126"/>
      <x:c r="R621" s="126"/>
      <x:c r="S621" s="124"/>
      <x:c r="T621" s="124"/>
      <x:c r="U621" s="124"/>
      <x:c r="V621" s="124"/>
      <x:c r="W621" s="124"/>
      <x:c r="X621" s="124"/>
      <x:c r="AD621"/>
      <x:c r="AE621" s="145"/>
      <x:c r="AF621" s="145"/>
      <x:c r="AG621" s="145"/>
      <x:c r="AH621" s="145"/>
      <x:c r="AI621" s="145"/>
      <x:c r="AJ621"/>
    </x:row>
    <x:row r="622">
      <x:c r="F622" s="124"/>
      <x:c r="G622" s="124"/>
      <x:c r="H622" s="124"/>
      <x:c r="I622" s="124"/>
      <x:c r="J622" s="124"/>
      <x:c r="M622" s="126"/>
      <x:c r="P622" s="126"/>
      <x:c r="Q622" s="126"/>
      <x:c r="R622" s="126"/>
      <x:c r="S622" s="124"/>
      <x:c r="T622" s="124"/>
      <x:c r="U622" s="124"/>
      <x:c r="V622" s="124"/>
      <x:c r="W622" s="124"/>
      <x:c r="X622" s="124"/>
      <x:c r="AD622"/>
      <x:c r="AE622" s="145"/>
      <x:c r="AF622" s="145"/>
      <x:c r="AG622" s="145"/>
      <x:c r="AH622" s="145"/>
      <x:c r="AI622" s="145"/>
      <x:c r="AJ622"/>
    </x:row>
    <x:row r="623">
      <x:c r="F623" s="124"/>
      <x:c r="G623" s="124"/>
      <x:c r="H623" s="124"/>
      <x:c r="I623" s="124"/>
      <x:c r="J623" s="124"/>
      <x:c r="M623" s="126"/>
      <x:c r="P623" s="126"/>
      <x:c r="Q623" s="126"/>
      <x:c r="R623" s="126"/>
      <x:c r="S623" s="124"/>
      <x:c r="T623" s="124"/>
      <x:c r="U623" s="124"/>
      <x:c r="V623" s="124"/>
      <x:c r="W623" s="124"/>
      <x:c r="X623" s="124"/>
      <x:c r="AD623"/>
      <x:c r="AE623" s="145"/>
      <x:c r="AF623" s="145"/>
      <x:c r="AG623" s="145"/>
      <x:c r="AH623" s="145"/>
      <x:c r="AI623" s="145"/>
      <x:c r="AJ623"/>
    </x:row>
    <x:row r="624">
      <x:c r="F624" s="124"/>
      <x:c r="G624" s="124"/>
      <x:c r="H624" s="124"/>
      <x:c r="I624" s="124"/>
      <x:c r="J624" s="124"/>
      <x:c r="M624" s="126"/>
      <x:c r="P624" s="126"/>
      <x:c r="Q624" s="126"/>
      <x:c r="R624" s="126"/>
      <x:c r="S624" s="124"/>
      <x:c r="T624" s="124"/>
      <x:c r="U624" s="124"/>
      <x:c r="V624" s="124"/>
      <x:c r="W624" s="124"/>
      <x:c r="X624" s="124"/>
      <x:c r="AD624"/>
      <x:c r="AE624" s="145"/>
      <x:c r="AF624" s="145"/>
      <x:c r="AG624" s="145"/>
      <x:c r="AH624" s="145"/>
      <x:c r="AI624" s="145"/>
      <x:c r="AJ624"/>
    </x:row>
    <x:row r="625">
      <x:c r="F625" s="124"/>
      <x:c r="G625" s="124"/>
      <x:c r="H625" s="124"/>
      <x:c r="I625" s="124"/>
      <x:c r="J625" s="124"/>
      <x:c r="M625" s="126"/>
      <x:c r="P625" s="126"/>
      <x:c r="Q625" s="126"/>
      <x:c r="R625" s="126"/>
      <x:c r="S625" s="124"/>
      <x:c r="T625" s="124"/>
      <x:c r="U625" s="124"/>
      <x:c r="V625" s="124"/>
      <x:c r="W625" s="124"/>
      <x:c r="X625" s="124"/>
      <x:c r="AD625"/>
      <x:c r="AE625" s="145"/>
      <x:c r="AF625" s="145"/>
      <x:c r="AG625" s="145"/>
      <x:c r="AH625" s="145"/>
      <x:c r="AI625" s="145"/>
      <x:c r="AJ625"/>
    </x:row>
    <x:row r="626">
      <x:c r="F626" s="124"/>
      <x:c r="G626" s="124"/>
      <x:c r="H626" s="124"/>
      <x:c r="I626" s="124"/>
      <x:c r="J626" s="124"/>
      <x:c r="M626" s="126"/>
      <x:c r="P626" s="126"/>
      <x:c r="Q626" s="126"/>
      <x:c r="R626" s="126"/>
      <x:c r="S626" s="124"/>
      <x:c r="T626" s="124"/>
      <x:c r="U626" s="124"/>
      <x:c r="V626" s="124"/>
      <x:c r="W626" s="124"/>
      <x:c r="X626" s="124"/>
      <x:c r="AD626"/>
      <x:c r="AE626" s="145"/>
      <x:c r="AF626" s="145"/>
      <x:c r="AG626" s="145"/>
      <x:c r="AH626" s="145"/>
      <x:c r="AI626" s="145"/>
      <x:c r="AJ626"/>
    </x:row>
    <x:row r="627">
      <x:c r="F627" s="124"/>
      <x:c r="G627" s="124"/>
      <x:c r="H627" s="124"/>
      <x:c r="I627" s="124"/>
      <x:c r="J627" s="124"/>
      <x:c r="M627" s="126"/>
      <x:c r="P627" s="126"/>
      <x:c r="Q627" s="126"/>
      <x:c r="R627" s="126"/>
      <x:c r="S627" s="124"/>
      <x:c r="T627" s="124"/>
      <x:c r="U627" s="124"/>
      <x:c r="V627" s="124"/>
      <x:c r="W627" s="124"/>
      <x:c r="X627" s="124"/>
      <x:c r="AD627"/>
      <x:c r="AE627" s="145"/>
      <x:c r="AF627" s="145"/>
      <x:c r="AG627" s="145"/>
      <x:c r="AH627" s="145"/>
      <x:c r="AI627" s="145"/>
      <x:c r="AJ627"/>
    </x:row>
    <x:row r="628">
      <x:c r="F628" s="124"/>
      <x:c r="G628" s="124"/>
      <x:c r="H628" s="124"/>
      <x:c r="I628" s="124"/>
      <x:c r="J628" s="124"/>
      <x:c r="M628" s="126"/>
      <x:c r="P628" s="126"/>
      <x:c r="Q628" s="126"/>
      <x:c r="R628" s="126"/>
      <x:c r="S628" s="124"/>
      <x:c r="T628" s="124"/>
      <x:c r="U628" s="124"/>
      <x:c r="V628" s="124"/>
      <x:c r="W628" s="124"/>
      <x:c r="X628" s="124"/>
      <x:c r="AD628"/>
      <x:c r="AE628" s="145"/>
      <x:c r="AF628" s="145"/>
      <x:c r="AG628" s="145"/>
      <x:c r="AH628" s="145"/>
      <x:c r="AI628" s="145"/>
      <x:c r="AJ628"/>
    </x:row>
    <x:row r="629">
      <x:c r="F629" s="124"/>
      <x:c r="G629" s="124"/>
      <x:c r="H629" s="124"/>
      <x:c r="I629" s="124"/>
      <x:c r="J629" s="124"/>
      <x:c r="M629" s="126"/>
      <x:c r="P629" s="126"/>
      <x:c r="Q629" s="126"/>
      <x:c r="R629" s="126"/>
      <x:c r="S629" s="124"/>
      <x:c r="T629" s="124"/>
      <x:c r="U629" s="124"/>
      <x:c r="V629" s="124"/>
      <x:c r="W629" s="124"/>
      <x:c r="X629" s="124"/>
      <x:c r="AD629"/>
      <x:c r="AE629" s="145"/>
      <x:c r="AF629" s="145"/>
      <x:c r="AG629" s="145"/>
      <x:c r="AH629" s="145"/>
      <x:c r="AI629" s="145"/>
      <x:c r="AJ629"/>
    </x:row>
    <x:row r="630">
      <x:c r="F630" s="124"/>
      <x:c r="G630" s="124"/>
      <x:c r="H630" s="124"/>
      <x:c r="I630" s="124"/>
      <x:c r="J630" s="124"/>
      <x:c r="M630" s="126"/>
      <x:c r="P630" s="126"/>
      <x:c r="Q630" s="126"/>
      <x:c r="R630" s="126"/>
      <x:c r="S630" s="124"/>
      <x:c r="T630" s="124"/>
      <x:c r="U630" s="124"/>
      <x:c r="V630" s="124"/>
      <x:c r="W630" s="124"/>
      <x:c r="X630" s="124"/>
      <x:c r="AD630"/>
      <x:c r="AE630" s="145"/>
      <x:c r="AF630" s="145"/>
      <x:c r="AG630" s="145"/>
      <x:c r="AH630" s="145"/>
      <x:c r="AI630" s="145"/>
      <x:c r="AJ630"/>
    </x:row>
    <x:row r="631">
      <x:c r="F631" s="124"/>
      <x:c r="G631" s="124"/>
      <x:c r="H631" s="124"/>
      <x:c r="I631" s="124"/>
      <x:c r="J631" s="124"/>
      <x:c r="M631" s="126"/>
      <x:c r="P631" s="126"/>
      <x:c r="Q631" s="126"/>
      <x:c r="R631" s="126"/>
      <x:c r="S631" s="124"/>
      <x:c r="T631" s="124"/>
      <x:c r="U631" s="124"/>
      <x:c r="V631" s="124"/>
      <x:c r="W631" s="124"/>
      <x:c r="X631" s="124"/>
      <x:c r="AD631"/>
      <x:c r="AE631" s="145"/>
      <x:c r="AF631" s="145"/>
      <x:c r="AG631" s="145"/>
      <x:c r="AH631" s="145"/>
      <x:c r="AI631" s="145"/>
      <x:c r="AJ631"/>
    </x:row>
    <x:row r="632">
      <x:c r="F632" s="124"/>
      <x:c r="G632" s="124"/>
      <x:c r="H632" s="124"/>
      <x:c r="I632" s="124"/>
      <x:c r="J632" s="124"/>
      <x:c r="M632" s="126"/>
      <x:c r="P632" s="126"/>
      <x:c r="Q632" s="126"/>
      <x:c r="R632" s="126"/>
      <x:c r="S632" s="124"/>
      <x:c r="T632" s="124"/>
      <x:c r="U632" s="124"/>
      <x:c r="V632" s="124"/>
      <x:c r="W632" s="124"/>
      <x:c r="X632" s="124"/>
      <x:c r="AD632"/>
      <x:c r="AE632" s="145"/>
      <x:c r="AF632" s="145"/>
      <x:c r="AG632" s="145"/>
      <x:c r="AH632" s="145"/>
      <x:c r="AI632" s="145"/>
      <x:c r="AJ632"/>
    </x:row>
    <x:row r="633">
      <x:c r="F633" s="124"/>
      <x:c r="G633" s="124"/>
      <x:c r="H633" s="124"/>
      <x:c r="I633" s="124"/>
      <x:c r="J633" s="124"/>
      <x:c r="M633" s="126"/>
      <x:c r="P633" s="126"/>
      <x:c r="Q633" s="126"/>
      <x:c r="R633" s="126"/>
      <x:c r="S633" s="124"/>
      <x:c r="T633" s="124"/>
      <x:c r="U633" s="124"/>
      <x:c r="V633" s="124"/>
      <x:c r="W633" s="124"/>
      <x:c r="X633" s="124"/>
      <x:c r="AD633"/>
      <x:c r="AE633" s="145"/>
      <x:c r="AF633" s="145"/>
      <x:c r="AG633" s="145"/>
      <x:c r="AH633" s="145"/>
      <x:c r="AI633" s="145"/>
      <x:c r="AJ633"/>
    </x:row>
    <x:row r="634">
      <x:c r="F634" s="124"/>
      <x:c r="G634" s="124"/>
      <x:c r="H634" s="124"/>
      <x:c r="I634" s="124"/>
      <x:c r="J634" s="124"/>
      <x:c r="M634" s="126"/>
      <x:c r="P634" s="126"/>
      <x:c r="Q634" s="126"/>
      <x:c r="R634" s="126"/>
      <x:c r="S634" s="124"/>
      <x:c r="T634" s="124"/>
      <x:c r="U634" s="124"/>
      <x:c r="V634" s="124"/>
      <x:c r="W634" s="124"/>
      <x:c r="X634" s="124"/>
      <x:c r="AD634"/>
      <x:c r="AE634" s="145"/>
      <x:c r="AF634" s="145"/>
      <x:c r="AG634" s="145"/>
      <x:c r="AH634" s="145"/>
      <x:c r="AI634" s="145"/>
      <x:c r="AJ634"/>
    </x:row>
    <x:row r="635">
      <x:c r="F635" s="124"/>
      <x:c r="G635" s="124"/>
      <x:c r="H635" s="124"/>
      <x:c r="I635" s="124"/>
      <x:c r="J635" s="124"/>
      <x:c r="M635" s="126"/>
      <x:c r="P635" s="126"/>
      <x:c r="Q635" s="126"/>
      <x:c r="R635" s="126"/>
      <x:c r="S635" s="124"/>
      <x:c r="T635" s="124"/>
      <x:c r="U635" s="124"/>
      <x:c r="V635" s="124"/>
      <x:c r="W635" s="124"/>
      <x:c r="X635" s="124"/>
      <x:c r="AD635"/>
      <x:c r="AE635" s="145"/>
      <x:c r="AF635" s="145"/>
      <x:c r="AG635" s="145"/>
      <x:c r="AH635" s="145"/>
      <x:c r="AI635" s="145"/>
      <x:c r="AJ635"/>
    </x:row>
    <x:row r="636">
      <x:c r="F636" s="124"/>
      <x:c r="G636" s="124"/>
      <x:c r="H636" s="124"/>
      <x:c r="I636" s="124"/>
      <x:c r="J636" s="124"/>
      <x:c r="M636" s="126"/>
      <x:c r="P636" s="126"/>
      <x:c r="Q636" s="126"/>
      <x:c r="R636" s="126"/>
      <x:c r="S636" s="124"/>
      <x:c r="T636" s="124"/>
      <x:c r="U636" s="124"/>
      <x:c r="V636" s="124"/>
      <x:c r="W636" s="124"/>
      <x:c r="X636" s="124"/>
      <x:c r="AD636"/>
      <x:c r="AE636" s="145"/>
      <x:c r="AF636" s="145"/>
      <x:c r="AG636" s="145"/>
      <x:c r="AH636" s="145"/>
      <x:c r="AI636" s="145"/>
      <x:c r="AJ636"/>
    </x:row>
    <x:row r="637">
      <x:c r="F637" s="124"/>
      <x:c r="G637" s="124"/>
      <x:c r="H637" s="124"/>
      <x:c r="I637" s="124"/>
      <x:c r="J637" s="124"/>
      <x:c r="M637" s="126"/>
      <x:c r="P637" s="126"/>
      <x:c r="Q637" s="126"/>
      <x:c r="R637" s="126"/>
      <x:c r="S637" s="124"/>
      <x:c r="T637" s="124"/>
      <x:c r="U637" s="124"/>
      <x:c r="V637" s="124"/>
      <x:c r="W637" s="124"/>
      <x:c r="X637" s="124"/>
      <x:c r="AD637"/>
      <x:c r="AE637" s="145"/>
      <x:c r="AF637" s="145"/>
      <x:c r="AG637" s="145"/>
      <x:c r="AH637" s="145"/>
      <x:c r="AI637" s="145"/>
      <x:c r="AJ637"/>
    </x:row>
    <x:row r="638">
      <x:c r="F638" s="124"/>
      <x:c r="G638" s="124"/>
      <x:c r="H638" s="124"/>
      <x:c r="I638" s="124"/>
      <x:c r="J638" s="124"/>
      <x:c r="M638" s="126"/>
      <x:c r="P638" s="126"/>
      <x:c r="Q638" s="126"/>
      <x:c r="R638" s="126"/>
      <x:c r="S638" s="124"/>
      <x:c r="T638" s="124"/>
      <x:c r="U638" s="124"/>
      <x:c r="V638" s="124"/>
      <x:c r="W638" s="124"/>
      <x:c r="X638" s="124"/>
      <x:c r="AD638"/>
      <x:c r="AE638" s="145"/>
      <x:c r="AF638" s="145"/>
      <x:c r="AG638" s="145"/>
      <x:c r="AH638" s="145"/>
      <x:c r="AI638" s="145"/>
      <x:c r="AJ638"/>
    </x:row>
    <x:row r="639">
      <x:c r="F639" s="124"/>
      <x:c r="G639" s="124"/>
      <x:c r="H639" s="124"/>
      <x:c r="I639" s="124"/>
      <x:c r="J639" s="124"/>
      <x:c r="M639" s="126"/>
      <x:c r="P639" s="126"/>
      <x:c r="Q639" s="126"/>
      <x:c r="R639" s="126"/>
      <x:c r="S639" s="124"/>
      <x:c r="T639" s="124"/>
      <x:c r="U639" s="124"/>
      <x:c r="V639" s="124"/>
      <x:c r="W639" s="124"/>
      <x:c r="X639" s="124"/>
      <x:c r="AD639"/>
      <x:c r="AE639" s="145"/>
      <x:c r="AF639" s="145"/>
      <x:c r="AG639" s="145"/>
      <x:c r="AH639" s="145"/>
      <x:c r="AI639" s="145"/>
      <x:c r="AJ639"/>
    </x:row>
    <x:row r="640">
      <x:c r="F640" s="124"/>
      <x:c r="G640" s="124"/>
      <x:c r="H640" s="124"/>
      <x:c r="I640" s="124"/>
      <x:c r="J640" s="124"/>
      <x:c r="M640" s="126"/>
      <x:c r="P640" s="126"/>
      <x:c r="Q640" s="126"/>
      <x:c r="R640" s="126"/>
      <x:c r="S640" s="124"/>
      <x:c r="T640" s="124"/>
      <x:c r="U640" s="124"/>
      <x:c r="V640" s="124"/>
      <x:c r="W640" s="124"/>
      <x:c r="X640" s="124"/>
      <x:c r="AD640"/>
      <x:c r="AE640" s="145"/>
      <x:c r="AF640" s="145"/>
      <x:c r="AG640" s="145"/>
      <x:c r="AH640" s="145"/>
      <x:c r="AI640" s="145"/>
      <x:c r="AJ640"/>
    </x:row>
    <x:row r="641">
      <x:c r="F641" s="124"/>
      <x:c r="G641" s="124"/>
      <x:c r="H641" s="124"/>
      <x:c r="I641" s="124"/>
      <x:c r="J641" s="124"/>
      <x:c r="M641" s="126"/>
      <x:c r="P641" s="126"/>
      <x:c r="Q641" s="126"/>
      <x:c r="R641" s="126"/>
      <x:c r="S641" s="124"/>
      <x:c r="T641" s="124"/>
      <x:c r="U641" s="124"/>
      <x:c r="V641" s="124"/>
      <x:c r="W641" s="124"/>
      <x:c r="X641" s="124"/>
      <x:c r="AD641"/>
      <x:c r="AE641" s="145"/>
      <x:c r="AF641" s="145"/>
      <x:c r="AG641" s="145"/>
      <x:c r="AH641" s="145"/>
      <x:c r="AI641" s="145"/>
      <x:c r="AJ641"/>
    </x:row>
    <x:row r="642">
      <x:c r="F642" s="124"/>
      <x:c r="G642" s="124"/>
      <x:c r="H642" s="124"/>
      <x:c r="I642" s="124"/>
      <x:c r="J642" s="124"/>
      <x:c r="M642" s="126"/>
      <x:c r="P642" s="126"/>
      <x:c r="Q642" s="126"/>
      <x:c r="R642" s="126"/>
      <x:c r="S642" s="124"/>
      <x:c r="T642" s="124"/>
      <x:c r="U642" s="124"/>
      <x:c r="V642" s="124"/>
      <x:c r="W642" s="124"/>
      <x:c r="X642" s="124"/>
      <x:c r="AD642"/>
      <x:c r="AE642" s="145"/>
      <x:c r="AF642" s="145"/>
      <x:c r="AG642" s="145"/>
      <x:c r="AH642" s="145"/>
      <x:c r="AI642" s="145"/>
      <x:c r="AJ642"/>
    </x:row>
    <x:row r="643">
      <x:c r="F643" s="124"/>
      <x:c r="G643" s="124"/>
      <x:c r="H643" s="124"/>
      <x:c r="I643" s="124"/>
      <x:c r="J643" s="124"/>
      <x:c r="M643" s="126"/>
      <x:c r="P643" s="126"/>
      <x:c r="Q643" s="126"/>
      <x:c r="R643" s="126"/>
      <x:c r="S643" s="124"/>
      <x:c r="T643" s="124"/>
      <x:c r="U643" s="124"/>
      <x:c r="V643" s="124"/>
      <x:c r="W643" s="124"/>
      <x:c r="X643" s="124"/>
      <x:c r="AD643"/>
      <x:c r="AE643" s="145"/>
      <x:c r="AF643" s="145"/>
      <x:c r="AG643" s="145"/>
      <x:c r="AH643" s="145"/>
      <x:c r="AI643" s="145"/>
      <x:c r="AJ643"/>
    </x:row>
    <x:row r="644">
      <x:c r="F644" s="124"/>
      <x:c r="G644" s="124"/>
      <x:c r="H644" s="124"/>
      <x:c r="I644" s="124"/>
      <x:c r="J644" s="124"/>
      <x:c r="M644" s="126"/>
      <x:c r="P644" s="126"/>
      <x:c r="Q644" s="126"/>
      <x:c r="R644" s="126"/>
      <x:c r="S644" s="124"/>
      <x:c r="T644" s="124"/>
      <x:c r="U644" s="124"/>
      <x:c r="V644" s="124"/>
      <x:c r="W644" s="124"/>
      <x:c r="X644" s="124"/>
      <x:c r="AD644"/>
      <x:c r="AE644" s="145"/>
      <x:c r="AF644" s="145"/>
      <x:c r="AG644" s="145"/>
      <x:c r="AH644" s="145"/>
      <x:c r="AI644" s="145"/>
      <x:c r="AJ644"/>
    </x:row>
    <x:row r="645">
      <x:c r="F645" s="124"/>
      <x:c r="G645" s="124"/>
      <x:c r="H645" s="124"/>
      <x:c r="I645" s="124"/>
      <x:c r="J645" s="124"/>
      <x:c r="M645" s="126"/>
      <x:c r="P645" s="126"/>
      <x:c r="Q645" s="126"/>
      <x:c r="R645" s="126"/>
      <x:c r="S645" s="124"/>
      <x:c r="T645" s="124"/>
      <x:c r="U645" s="124"/>
      <x:c r="V645" s="124"/>
      <x:c r="W645" s="124"/>
      <x:c r="X645" s="124"/>
      <x:c r="AD645"/>
      <x:c r="AE645" s="145"/>
      <x:c r="AF645" s="145"/>
      <x:c r="AG645" s="145"/>
      <x:c r="AH645" s="145"/>
      <x:c r="AI645" s="145"/>
      <x:c r="AJ645"/>
    </x:row>
    <x:row r="646">
      <x:c r="F646" s="124"/>
      <x:c r="G646" s="124"/>
      <x:c r="H646" s="124"/>
      <x:c r="I646" s="124"/>
      <x:c r="J646" s="124"/>
      <x:c r="M646" s="126"/>
      <x:c r="P646" s="126"/>
      <x:c r="Q646" s="126"/>
      <x:c r="R646" s="126"/>
      <x:c r="S646" s="124"/>
      <x:c r="T646" s="124"/>
      <x:c r="U646" s="124"/>
      <x:c r="V646" s="124"/>
      <x:c r="W646" s="124"/>
      <x:c r="X646" s="124"/>
      <x:c r="AD646"/>
      <x:c r="AE646" s="145"/>
      <x:c r="AF646" s="145"/>
      <x:c r="AG646" s="145"/>
      <x:c r="AH646" s="145"/>
      <x:c r="AI646" s="145"/>
      <x:c r="AJ646"/>
    </x:row>
    <x:row r="647">
      <x:c r="F647" s="124"/>
      <x:c r="G647" s="124"/>
      <x:c r="H647" s="124"/>
      <x:c r="I647" s="124"/>
      <x:c r="J647" s="124"/>
      <x:c r="M647" s="126"/>
      <x:c r="P647" s="126"/>
      <x:c r="Q647" s="126"/>
      <x:c r="R647" s="126"/>
      <x:c r="S647" s="124"/>
      <x:c r="T647" s="124"/>
      <x:c r="U647" s="124"/>
      <x:c r="V647" s="124"/>
      <x:c r="W647" s="124"/>
      <x:c r="X647" s="124"/>
      <x:c r="AD647"/>
      <x:c r="AE647" s="145"/>
      <x:c r="AF647" s="145"/>
      <x:c r="AG647" s="145"/>
      <x:c r="AH647" s="145"/>
      <x:c r="AI647" s="145"/>
      <x:c r="AJ647"/>
    </x:row>
    <x:row r="648">
      <x:c r="F648" s="124"/>
      <x:c r="G648" s="124"/>
      <x:c r="H648" s="124"/>
      <x:c r="I648" s="124"/>
      <x:c r="J648" s="124"/>
      <x:c r="M648" s="126"/>
      <x:c r="P648" s="126"/>
      <x:c r="Q648" s="126"/>
      <x:c r="R648" s="126"/>
      <x:c r="S648" s="124"/>
      <x:c r="T648" s="124"/>
      <x:c r="U648" s="124"/>
      <x:c r="V648" s="124"/>
      <x:c r="W648" s="124"/>
      <x:c r="X648" s="124"/>
      <x:c r="AD648"/>
      <x:c r="AE648" s="145"/>
      <x:c r="AF648" s="145"/>
      <x:c r="AG648" s="145"/>
      <x:c r="AH648" s="145"/>
      <x:c r="AI648" s="145"/>
      <x:c r="AJ648"/>
    </x:row>
    <x:row r="649">
      <x:c r="F649" s="124"/>
      <x:c r="G649" s="124"/>
      <x:c r="H649" s="124"/>
      <x:c r="I649" s="124"/>
      <x:c r="J649" s="124"/>
      <x:c r="M649" s="126"/>
      <x:c r="P649" s="126"/>
      <x:c r="Q649" s="126"/>
      <x:c r="R649" s="126"/>
      <x:c r="S649" s="124"/>
      <x:c r="T649" s="124"/>
      <x:c r="U649" s="124"/>
      <x:c r="V649" s="124"/>
      <x:c r="W649" s="124"/>
      <x:c r="X649" s="124"/>
      <x:c r="AD649"/>
      <x:c r="AE649" s="145"/>
      <x:c r="AF649" s="145"/>
      <x:c r="AG649" s="145"/>
      <x:c r="AH649" s="145"/>
      <x:c r="AI649" s="145"/>
      <x:c r="AJ649"/>
    </x:row>
    <x:row r="650">
      <x:c r="F650" s="124"/>
      <x:c r="G650" s="124"/>
      <x:c r="H650" s="124"/>
      <x:c r="I650" s="124"/>
      <x:c r="J650" s="124"/>
      <x:c r="M650" s="126"/>
      <x:c r="P650" s="126"/>
      <x:c r="Q650" s="126"/>
      <x:c r="R650" s="126"/>
      <x:c r="S650" s="124"/>
      <x:c r="T650" s="124"/>
      <x:c r="U650" s="124"/>
      <x:c r="V650" s="124"/>
      <x:c r="W650" s="124"/>
      <x:c r="X650" s="124"/>
      <x:c r="AD650"/>
      <x:c r="AE650" s="145"/>
      <x:c r="AF650" s="145"/>
      <x:c r="AG650" s="145"/>
      <x:c r="AH650" s="145"/>
      <x:c r="AI650" s="145"/>
      <x:c r="AJ650"/>
    </x:row>
    <x:row r="651">
      <x:c r="F651" s="124"/>
      <x:c r="G651" s="124"/>
      <x:c r="H651" s="124"/>
      <x:c r="I651" s="124"/>
      <x:c r="J651" s="124"/>
      <x:c r="M651" s="126"/>
      <x:c r="P651" s="126"/>
      <x:c r="Q651" s="126"/>
      <x:c r="R651" s="126"/>
      <x:c r="S651" s="124"/>
      <x:c r="T651" s="124"/>
      <x:c r="U651" s="124"/>
      <x:c r="V651" s="124"/>
      <x:c r="W651" s="124"/>
      <x:c r="X651" s="124"/>
      <x:c r="AD651"/>
      <x:c r="AE651" s="145"/>
      <x:c r="AF651" s="145"/>
      <x:c r="AG651" s="145"/>
      <x:c r="AH651" s="145"/>
      <x:c r="AI651" s="145"/>
      <x:c r="AJ651"/>
    </x:row>
    <x:row r="652">
      <x:c r="F652" s="124"/>
      <x:c r="G652" s="124"/>
      <x:c r="H652" s="124"/>
      <x:c r="I652" s="124"/>
      <x:c r="J652" s="124"/>
      <x:c r="M652" s="126"/>
      <x:c r="P652" s="126"/>
      <x:c r="Q652" s="126"/>
      <x:c r="R652" s="126"/>
      <x:c r="S652" s="124"/>
      <x:c r="T652" s="124"/>
      <x:c r="U652" s="124"/>
      <x:c r="V652" s="124"/>
      <x:c r="W652" s="124"/>
      <x:c r="X652" s="124"/>
      <x:c r="AD652"/>
      <x:c r="AE652" s="145"/>
      <x:c r="AF652" s="145"/>
      <x:c r="AG652" s="145"/>
      <x:c r="AH652" s="145"/>
      <x:c r="AI652" s="145"/>
      <x:c r="AJ652"/>
    </x:row>
    <x:row r="653">
      <x:c r="F653" s="124"/>
      <x:c r="G653" s="124"/>
      <x:c r="H653" s="124"/>
      <x:c r="I653" s="124"/>
      <x:c r="J653" s="124"/>
      <x:c r="M653" s="126"/>
      <x:c r="P653" s="126"/>
      <x:c r="Q653" s="126"/>
      <x:c r="R653" s="126"/>
      <x:c r="S653" s="124"/>
      <x:c r="T653" s="124"/>
      <x:c r="U653" s="124"/>
      <x:c r="V653" s="124"/>
      <x:c r="W653" s="124"/>
      <x:c r="X653" s="124"/>
      <x:c r="AD653"/>
      <x:c r="AE653" s="145"/>
      <x:c r="AF653" s="145"/>
      <x:c r="AG653" s="145"/>
      <x:c r="AH653" s="145"/>
      <x:c r="AI653" s="145"/>
      <x:c r="AJ653"/>
    </x:row>
    <x:row r="654">
      <x:c r="F654" s="124"/>
      <x:c r="G654" s="124"/>
      <x:c r="H654" s="124"/>
      <x:c r="I654" s="124"/>
      <x:c r="J654" s="124"/>
      <x:c r="M654" s="126"/>
      <x:c r="P654" s="126"/>
      <x:c r="Q654" s="126"/>
      <x:c r="R654" s="126"/>
      <x:c r="S654" s="124"/>
      <x:c r="T654" s="124"/>
      <x:c r="U654" s="124"/>
      <x:c r="V654" s="124"/>
      <x:c r="W654" s="124"/>
      <x:c r="X654" s="124"/>
      <x:c r="AD654"/>
      <x:c r="AE654" s="145"/>
      <x:c r="AF654" s="145"/>
      <x:c r="AG654" s="145"/>
      <x:c r="AH654" s="145"/>
      <x:c r="AI654" s="145"/>
      <x:c r="AJ654"/>
    </x:row>
    <x:row r="655">
      <x:c r="F655" s="124"/>
      <x:c r="G655" s="124"/>
      <x:c r="H655" s="124"/>
      <x:c r="I655" s="124"/>
      <x:c r="J655" s="124"/>
      <x:c r="M655" s="126"/>
      <x:c r="P655" s="126"/>
      <x:c r="Q655" s="126"/>
      <x:c r="R655" s="126"/>
      <x:c r="S655" s="124"/>
      <x:c r="T655" s="124"/>
      <x:c r="U655" s="124"/>
      <x:c r="V655" s="124"/>
      <x:c r="W655" s="124"/>
      <x:c r="X655" s="124"/>
      <x:c r="AD655"/>
      <x:c r="AE655" s="145"/>
      <x:c r="AF655" s="145"/>
      <x:c r="AG655" s="145"/>
      <x:c r="AH655" s="145"/>
      <x:c r="AI655" s="145"/>
      <x:c r="AJ655"/>
    </x:row>
    <x:row r="656">
      <x:c r="F656" s="124"/>
      <x:c r="G656" s="124"/>
      <x:c r="H656" s="124"/>
      <x:c r="I656" s="124"/>
      <x:c r="J656" s="124"/>
      <x:c r="M656" s="126"/>
      <x:c r="P656" s="126"/>
      <x:c r="Q656" s="126"/>
      <x:c r="R656" s="126"/>
      <x:c r="S656" s="124"/>
      <x:c r="T656" s="124"/>
      <x:c r="U656" s="124"/>
      <x:c r="V656" s="124"/>
      <x:c r="W656" s="124"/>
      <x:c r="X656" s="124"/>
      <x:c r="AD656"/>
      <x:c r="AE656" s="145"/>
      <x:c r="AF656" s="145"/>
      <x:c r="AG656" s="145"/>
      <x:c r="AH656" s="145"/>
      <x:c r="AI656" s="145"/>
      <x:c r="AJ656"/>
    </x:row>
    <x:row r="657">
      <x:c r="F657" s="124"/>
      <x:c r="G657" s="124"/>
      <x:c r="H657" s="124"/>
      <x:c r="I657" s="124"/>
      <x:c r="J657" s="124"/>
      <x:c r="M657" s="126"/>
      <x:c r="P657" s="126"/>
      <x:c r="Q657" s="126"/>
      <x:c r="R657" s="126"/>
      <x:c r="S657" s="124"/>
      <x:c r="T657" s="124"/>
      <x:c r="U657" s="124"/>
      <x:c r="V657" s="124"/>
      <x:c r="W657" s="124"/>
      <x:c r="X657" s="124"/>
      <x:c r="AD657"/>
      <x:c r="AE657" s="145"/>
      <x:c r="AF657" s="145"/>
      <x:c r="AG657" s="145"/>
      <x:c r="AH657" s="145"/>
      <x:c r="AI657" s="145"/>
      <x:c r="AJ657"/>
    </x:row>
    <x:row r="658">
      <x:c r="F658" s="124"/>
      <x:c r="G658" s="124"/>
      <x:c r="H658" s="124"/>
      <x:c r="I658" s="124"/>
      <x:c r="J658" s="124"/>
      <x:c r="M658" s="126"/>
      <x:c r="P658" s="126"/>
      <x:c r="Q658" s="126"/>
      <x:c r="R658" s="126"/>
      <x:c r="S658" s="124"/>
      <x:c r="T658" s="124"/>
      <x:c r="U658" s="124"/>
      <x:c r="V658" s="124"/>
      <x:c r="W658" s="124"/>
      <x:c r="X658" s="124"/>
      <x:c r="AD658"/>
      <x:c r="AE658" s="145"/>
      <x:c r="AF658" s="145"/>
      <x:c r="AG658" s="145"/>
      <x:c r="AH658" s="145"/>
      <x:c r="AI658" s="145"/>
      <x:c r="AJ658"/>
    </x:row>
    <x:row r="659">
      <x:c r="F659" s="124"/>
      <x:c r="G659" s="124"/>
      <x:c r="H659" s="124"/>
      <x:c r="I659" s="124"/>
      <x:c r="J659" s="124"/>
      <x:c r="M659" s="126"/>
      <x:c r="P659" s="126"/>
      <x:c r="Q659" s="126"/>
      <x:c r="R659" s="126"/>
      <x:c r="S659" s="124"/>
      <x:c r="T659" s="124"/>
      <x:c r="U659" s="124"/>
      <x:c r="V659" s="124"/>
      <x:c r="W659" s="124"/>
      <x:c r="X659" s="124"/>
      <x:c r="AD659"/>
      <x:c r="AE659" s="145"/>
      <x:c r="AF659" s="145"/>
      <x:c r="AG659" s="145"/>
      <x:c r="AH659" s="145"/>
      <x:c r="AI659" s="145"/>
      <x:c r="AJ659"/>
    </x:row>
    <x:row r="660">
      <x:c r="F660" s="124"/>
      <x:c r="G660" s="124"/>
      <x:c r="H660" s="124"/>
      <x:c r="I660" s="124"/>
      <x:c r="J660" s="124"/>
      <x:c r="M660" s="126"/>
      <x:c r="P660" s="126"/>
      <x:c r="Q660" s="126"/>
      <x:c r="R660" s="126"/>
      <x:c r="S660" s="124"/>
      <x:c r="T660" s="124"/>
      <x:c r="U660" s="124"/>
      <x:c r="V660" s="124"/>
      <x:c r="W660" s="124"/>
      <x:c r="X660" s="124"/>
      <x:c r="AD660"/>
      <x:c r="AE660" s="145"/>
      <x:c r="AF660" s="145"/>
      <x:c r="AG660" s="145"/>
      <x:c r="AH660" s="145"/>
      <x:c r="AI660" s="145"/>
      <x:c r="AJ660"/>
    </x:row>
    <x:row r="661">
      <x:c r="F661" s="124"/>
      <x:c r="G661" s="124"/>
      <x:c r="H661" s="124"/>
      <x:c r="I661" s="124"/>
      <x:c r="J661" s="124"/>
      <x:c r="M661" s="126"/>
      <x:c r="P661" s="126"/>
      <x:c r="Q661" s="126"/>
      <x:c r="R661" s="126"/>
      <x:c r="S661" s="124"/>
      <x:c r="T661" s="124"/>
      <x:c r="U661" s="124"/>
      <x:c r="V661" s="124"/>
      <x:c r="W661" s="124"/>
      <x:c r="X661" s="124"/>
      <x:c r="AD661"/>
      <x:c r="AE661" s="145"/>
      <x:c r="AF661" s="145"/>
      <x:c r="AG661" s="145"/>
      <x:c r="AH661" s="145"/>
      <x:c r="AI661" s="145"/>
      <x:c r="AJ661"/>
    </x:row>
    <x:row r="662">
      <x:c r="F662" s="124"/>
      <x:c r="G662" s="124"/>
      <x:c r="H662" s="124"/>
      <x:c r="I662" s="124"/>
      <x:c r="J662" s="124"/>
      <x:c r="M662" s="126"/>
      <x:c r="P662" s="126"/>
      <x:c r="Q662" s="126"/>
      <x:c r="R662" s="126"/>
      <x:c r="S662" s="124"/>
      <x:c r="T662" s="124"/>
      <x:c r="U662" s="124"/>
      <x:c r="V662" s="124"/>
      <x:c r="W662" s="124"/>
      <x:c r="X662" s="124"/>
      <x:c r="AD662"/>
      <x:c r="AE662" s="145"/>
      <x:c r="AF662" s="145"/>
      <x:c r="AG662" s="145"/>
      <x:c r="AH662" s="145"/>
      <x:c r="AI662" s="145"/>
      <x:c r="AJ662"/>
    </x:row>
    <x:row r="663">
      <x:c r="F663" s="124"/>
      <x:c r="G663" s="124"/>
      <x:c r="H663" s="124"/>
      <x:c r="I663" s="124"/>
      <x:c r="J663" s="124"/>
      <x:c r="M663" s="126"/>
      <x:c r="P663" s="126"/>
      <x:c r="Q663" s="126"/>
      <x:c r="R663" s="126"/>
      <x:c r="S663" s="124"/>
      <x:c r="T663" s="124"/>
      <x:c r="U663" s="124"/>
      <x:c r="V663" s="124"/>
      <x:c r="W663" s="124"/>
      <x:c r="X663" s="124"/>
      <x:c r="AD663"/>
      <x:c r="AE663" s="145"/>
      <x:c r="AF663" s="145"/>
      <x:c r="AG663" s="145"/>
      <x:c r="AH663" s="145"/>
      <x:c r="AI663" s="145"/>
      <x:c r="AJ663"/>
    </x:row>
    <x:row r="664">
      <x:c r="F664" s="124"/>
      <x:c r="G664" s="124"/>
      <x:c r="H664" s="124"/>
      <x:c r="I664" s="124"/>
      <x:c r="J664" s="124"/>
      <x:c r="M664" s="126"/>
      <x:c r="P664" s="126"/>
      <x:c r="Q664" s="126"/>
      <x:c r="R664" s="126"/>
      <x:c r="S664" s="124"/>
      <x:c r="T664" s="124"/>
      <x:c r="U664" s="124"/>
      <x:c r="V664" s="124"/>
      <x:c r="W664" s="124"/>
      <x:c r="X664" s="124"/>
      <x:c r="AD664"/>
      <x:c r="AE664" s="145"/>
      <x:c r="AF664" s="145"/>
      <x:c r="AG664" s="145"/>
      <x:c r="AH664" s="145"/>
      <x:c r="AI664" s="145"/>
      <x:c r="AJ664"/>
    </x:row>
    <x:row r="665">
      <x:c r="F665" s="124"/>
      <x:c r="G665" s="124"/>
      <x:c r="H665" s="124"/>
      <x:c r="I665" s="124"/>
      <x:c r="J665" s="124"/>
      <x:c r="M665" s="126"/>
      <x:c r="P665" s="126"/>
      <x:c r="Q665" s="126"/>
      <x:c r="R665" s="126"/>
      <x:c r="S665" s="124"/>
      <x:c r="T665" s="124"/>
      <x:c r="U665" s="124"/>
      <x:c r="V665" s="124"/>
      <x:c r="W665" s="124"/>
      <x:c r="X665" s="124"/>
      <x:c r="AD665"/>
      <x:c r="AE665" s="145"/>
      <x:c r="AF665" s="145"/>
      <x:c r="AG665" s="145"/>
      <x:c r="AH665" s="145"/>
      <x:c r="AI665" s="145"/>
      <x:c r="AJ665"/>
    </x:row>
    <x:row r="666">
      <x:c r="F666" s="124"/>
      <x:c r="G666" s="124"/>
      <x:c r="H666" s="124"/>
      <x:c r="I666" s="124"/>
      <x:c r="J666" s="124"/>
      <x:c r="M666" s="126"/>
      <x:c r="P666" s="126"/>
      <x:c r="Q666" s="126"/>
      <x:c r="R666" s="126"/>
      <x:c r="S666" s="124"/>
      <x:c r="T666" s="124"/>
      <x:c r="U666" s="124"/>
      <x:c r="V666" s="124"/>
      <x:c r="W666" s="124"/>
      <x:c r="X666" s="124"/>
      <x:c r="AD666"/>
      <x:c r="AE666" s="145"/>
      <x:c r="AF666" s="145"/>
      <x:c r="AG666" s="145"/>
      <x:c r="AH666" s="145"/>
      <x:c r="AI666" s="145"/>
      <x:c r="AJ666"/>
    </x:row>
    <x:row r="667">
      <x:c r="F667" s="124"/>
      <x:c r="G667" s="124"/>
      <x:c r="H667" s="124"/>
      <x:c r="I667" s="124"/>
      <x:c r="J667" s="124"/>
      <x:c r="M667" s="126"/>
      <x:c r="P667" s="126"/>
      <x:c r="Q667" s="126"/>
      <x:c r="R667" s="126"/>
      <x:c r="S667" s="124"/>
      <x:c r="T667" s="124"/>
      <x:c r="U667" s="124"/>
      <x:c r="V667" s="124"/>
      <x:c r="W667" s="124"/>
      <x:c r="X667" s="124"/>
      <x:c r="AD667"/>
      <x:c r="AE667" s="145"/>
      <x:c r="AF667" s="145"/>
      <x:c r="AG667" s="145"/>
      <x:c r="AH667" s="145"/>
      <x:c r="AI667" s="145"/>
      <x:c r="AJ667"/>
    </x:row>
    <x:row r="668">
      <x:c r="F668" s="124"/>
      <x:c r="G668" s="124"/>
      <x:c r="H668" s="124"/>
      <x:c r="I668" s="124"/>
      <x:c r="J668" s="124"/>
      <x:c r="M668" s="126"/>
      <x:c r="P668" s="126"/>
      <x:c r="Q668" s="126"/>
      <x:c r="R668" s="126"/>
      <x:c r="S668" s="124"/>
      <x:c r="T668" s="124"/>
      <x:c r="U668" s="124"/>
      <x:c r="V668" s="124"/>
      <x:c r="W668" s="124"/>
      <x:c r="X668" s="124"/>
      <x:c r="AD668"/>
      <x:c r="AE668" s="145"/>
      <x:c r="AF668" s="145"/>
      <x:c r="AG668" s="145"/>
      <x:c r="AH668" s="145"/>
      <x:c r="AI668" s="145"/>
      <x:c r="AJ668"/>
    </x:row>
    <x:row r="669">
      <x:c r="F669" s="124"/>
      <x:c r="G669" s="124"/>
      <x:c r="H669" s="124"/>
      <x:c r="I669" s="124"/>
      <x:c r="J669" s="124"/>
      <x:c r="M669" s="126"/>
      <x:c r="P669" s="126"/>
      <x:c r="Q669" s="126"/>
      <x:c r="R669" s="126"/>
      <x:c r="S669" s="124"/>
      <x:c r="T669" s="124"/>
      <x:c r="U669" s="124"/>
      <x:c r="V669" s="124"/>
      <x:c r="W669" s="124"/>
      <x:c r="X669" s="124"/>
      <x:c r="AD669"/>
      <x:c r="AE669" s="145"/>
      <x:c r="AF669" s="145"/>
      <x:c r="AG669" s="145"/>
      <x:c r="AH669" s="145"/>
      <x:c r="AI669" s="145"/>
      <x:c r="AJ669"/>
    </x:row>
    <x:row r="670">
      <x:c r="F670" s="124"/>
      <x:c r="G670" s="124"/>
      <x:c r="H670" s="124"/>
      <x:c r="I670" s="124"/>
      <x:c r="J670" s="124"/>
      <x:c r="M670" s="126"/>
      <x:c r="P670" s="126"/>
      <x:c r="Q670" s="126"/>
      <x:c r="R670" s="126"/>
      <x:c r="S670" s="124"/>
      <x:c r="T670" s="124"/>
      <x:c r="U670" s="124"/>
      <x:c r="V670" s="124"/>
      <x:c r="W670" s="124"/>
      <x:c r="X670" s="124"/>
      <x:c r="AD670"/>
      <x:c r="AE670" s="145"/>
      <x:c r="AF670" s="145"/>
      <x:c r="AG670" s="145"/>
      <x:c r="AH670" s="145"/>
      <x:c r="AI670" s="145"/>
      <x:c r="AJ670"/>
    </x:row>
    <x:row r="671">
      <x:c r="F671" s="124"/>
      <x:c r="G671" s="124"/>
      <x:c r="H671" s="124"/>
      <x:c r="I671" s="124"/>
      <x:c r="J671" s="124"/>
      <x:c r="M671" s="126"/>
      <x:c r="P671" s="126"/>
      <x:c r="Q671" s="126"/>
      <x:c r="R671" s="126"/>
      <x:c r="S671" s="124"/>
      <x:c r="T671" s="124"/>
      <x:c r="U671" s="124"/>
      <x:c r="V671" s="124"/>
      <x:c r="W671" s="124"/>
      <x:c r="X671" s="124"/>
      <x:c r="AD671"/>
      <x:c r="AE671" s="145"/>
      <x:c r="AF671" s="145"/>
      <x:c r="AG671" s="145"/>
      <x:c r="AH671" s="145"/>
      <x:c r="AI671" s="145"/>
      <x:c r="AJ671"/>
    </x:row>
    <x:row r="672">
      <x:c r="F672" s="124"/>
      <x:c r="G672" s="124"/>
      <x:c r="H672" s="124"/>
      <x:c r="I672" s="124"/>
      <x:c r="J672" s="124"/>
      <x:c r="M672" s="126"/>
      <x:c r="P672" s="126"/>
      <x:c r="Q672" s="126"/>
      <x:c r="R672" s="126"/>
      <x:c r="S672" s="124"/>
      <x:c r="T672" s="124"/>
      <x:c r="U672" s="124"/>
      <x:c r="V672" s="124"/>
      <x:c r="W672" s="124"/>
      <x:c r="X672" s="124"/>
      <x:c r="AD672"/>
      <x:c r="AE672" s="145"/>
      <x:c r="AF672" s="145"/>
      <x:c r="AG672" s="145"/>
      <x:c r="AH672" s="145"/>
      <x:c r="AI672" s="145"/>
      <x:c r="AJ672"/>
    </x:row>
    <x:row r="673">
      <x:c r="F673" s="124"/>
      <x:c r="G673" s="124"/>
      <x:c r="H673" s="124"/>
      <x:c r="I673" s="124"/>
      <x:c r="J673" s="124"/>
      <x:c r="M673" s="126"/>
      <x:c r="P673" s="126"/>
      <x:c r="Q673" s="126"/>
      <x:c r="R673" s="126"/>
      <x:c r="S673" s="124"/>
      <x:c r="T673" s="124"/>
      <x:c r="U673" s="124"/>
      <x:c r="V673" s="124"/>
      <x:c r="W673" s="124"/>
      <x:c r="X673" s="124"/>
      <x:c r="AD673"/>
      <x:c r="AE673" s="145"/>
      <x:c r="AF673" s="145"/>
      <x:c r="AG673" s="145"/>
      <x:c r="AH673" s="145"/>
      <x:c r="AI673" s="145"/>
      <x:c r="AJ673"/>
    </x:row>
    <x:row r="674">
      <x:c r="F674" s="124"/>
      <x:c r="G674" s="124"/>
      <x:c r="H674" s="124"/>
      <x:c r="I674" s="124"/>
      <x:c r="J674" s="124"/>
      <x:c r="M674" s="126"/>
      <x:c r="P674" s="126"/>
      <x:c r="Q674" s="126"/>
      <x:c r="R674" s="126"/>
      <x:c r="S674" s="124"/>
      <x:c r="T674" s="124"/>
      <x:c r="U674" s="124"/>
      <x:c r="V674" s="124"/>
      <x:c r="W674" s="124"/>
      <x:c r="X674" s="124"/>
      <x:c r="AD674"/>
      <x:c r="AE674" s="145"/>
      <x:c r="AF674" s="145"/>
      <x:c r="AG674" s="145"/>
      <x:c r="AH674" s="145"/>
      <x:c r="AI674" s="145"/>
      <x:c r="AJ674"/>
    </x:row>
    <x:row r="675">
      <x:c r="F675" s="124"/>
      <x:c r="G675" s="124"/>
      <x:c r="H675" s="124"/>
      <x:c r="I675" s="124"/>
      <x:c r="J675" s="124"/>
      <x:c r="M675" s="126"/>
      <x:c r="P675" s="126"/>
      <x:c r="Q675" s="126"/>
      <x:c r="R675" s="126"/>
      <x:c r="S675" s="124"/>
      <x:c r="T675" s="124"/>
      <x:c r="U675" s="124"/>
      <x:c r="V675" s="124"/>
      <x:c r="W675" s="124"/>
      <x:c r="X675" s="124"/>
      <x:c r="AD675"/>
      <x:c r="AE675" s="145"/>
      <x:c r="AF675" s="145"/>
      <x:c r="AG675" s="145"/>
      <x:c r="AH675" s="145"/>
      <x:c r="AI675" s="145"/>
      <x:c r="AJ675"/>
    </x:row>
    <x:row r="676">
      <x:c r="F676" s="124"/>
      <x:c r="G676" s="124"/>
      <x:c r="H676" s="124"/>
      <x:c r="I676" s="124"/>
      <x:c r="J676" s="124"/>
      <x:c r="M676" s="126"/>
      <x:c r="P676" s="126"/>
      <x:c r="Q676" s="126"/>
      <x:c r="R676" s="126"/>
      <x:c r="S676" s="124"/>
      <x:c r="T676" s="124"/>
      <x:c r="U676" s="124"/>
      <x:c r="V676" s="124"/>
      <x:c r="W676" s="124"/>
      <x:c r="X676" s="124"/>
      <x:c r="AD676"/>
      <x:c r="AE676" s="145"/>
      <x:c r="AF676" s="145"/>
      <x:c r="AG676" s="145"/>
      <x:c r="AH676" s="145"/>
      <x:c r="AI676" s="145"/>
      <x:c r="AJ676"/>
    </x:row>
    <x:row r="677">
      <x:c r="F677" s="124"/>
      <x:c r="G677" s="124"/>
      <x:c r="H677" s="124"/>
      <x:c r="I677" s="124"/>
      <x:c r="J677" s="124"/>
      <x:c r="M677" s="126"/>
      <x:c r="P677" s="126"/>
      <x:c r="Q677" s="126"/>
      <x:c r="R677" s="126"/>
      <x:c r="S677" s="124"/>
      <x:c r="T677" s="124"/>
      <x:c r="U677" s="124"/>
      <x:c r="V677" s="124"/>
      <x:c r="W677" s="124"/>
      <x:c r="X677" s="124"/>
      <x:c r="AD677"/>
      <x:c r="AE677" s="145"/>
      <x:c r="AF677" s="145"/>
      <x:c r="AG677" s="145"/>
      <x:c r="AH677" s="145"/>
      <x:c r="AI677" s="145"/>
      <x:c r="AJ677"/>
    </x:row>
    <x:row r="678">
      <x:c r="F678" s="124"/>
      <x:c r="G678" s="124"/>
      <x:c r="H678" s="124"/>
      <x:c r="I678" s="124"/>
      <x:c r="J678" s="124"/>
      <x:c r="M678" s="126"/>
      <x:c r="P678" s="126"/>
      <x:c r="Q678" s="126"/>
      <x:c r="R678" s="126"/>
      <x:c r="S678" s="124"/>
      <x:c r="T678" s="124"/>
      <x:c r="U678" s="124"/>
      <x:c r="V678" s="124"/>
      <x:c r="W678" s="124"/>
      <x:c r="X678" s="124"/>
      <x:c r="AD678"/>
      <x:c r="AE678" s="145"/>
      <x:c r="AF678" s="145"/>
      <x:c r="AG678" s="145"/>
      <x:c r="AH678" s="145"/>
      <x:c r="AI678" s="145"/>
      <x:c r="AJ678"/>
    </x:row>
    <x:row r="679">
      <x:c r="F679" s="124"/>
      <x:c r="G679" s="124"/>
      <x:c r="H679" s="124"/>
      <x:c r="I679" s="124"/>
      <x:c r="J679" s="124"/>
      <x:c r="M679" s="126"/>
      <x:c r="P679" s="126"/>
      <x:c r="Q679" s="126"/>
      <x:c r="R679" s="126"/>
      <x:c r="S679" s="124"/>
      <x:c r="T679" s="124"/>
      <x:c r="U679" s="124"/>
      <x:c r="V679" s="124"/>
      <x:c r="W679" s="124"/>
      <x:c r="X679" s="124"/>
      <x:c r="AD679"/>
      <x:c r="AE679" s="145"/>
      <x:c r="AF679" s="145"/>
      <x:c r="AG679" s="145"/>
      <x:c r="AH679" s="145"/>
      <x:c r="AI679" s="145"/>
      <x:c r="AJ679"/>
    </x:row>
    <x:row r="680">
      <x:c r="F680" s="124"/>
      <x:c r="G680" s="124"/>
      <x:c r="H680" s="124"/>
      <x:c r="I680" s="124"/>
      <x:c r="J680" s="124"/>
      <x:c r="M680" s="126"/>
      <x:c r="P680" s="126"/>
      <x:c r="Q680" s="126"/>
      <x:c r="R680" s="126"/>
      <x:c r="S680" s="124"/>
      <x:c r="T680" s="124"/>
      <x:c r="U680" s="124"/>
      <x:c r="V680" s="124"/>
      <x:c r="W680" s="124"/>
      <x:c r="X680" s="124"/>
      <x:c r="AD680"/>
      <x:c r="AE680" s="145"/>
      <x:c r="AF680" s="145"/>
      <x:c r="AG680" s="145"/>
      <x:c r="AH680" s="145"/>
      <x:c r="AI680" s="145"/>
      <x:c r="AJ680"/>
    </x:row>
    <x:row r="681">
      <x:c r="F681" s="124"/>
      <x:c r="G681" s="124"/>
      <x:c r="H681" s="124"/>
      <x:c r="I681" s="124"/>
      <x:c r="J681" s="124"/>
      <x:c r="M681" s="126"/>
      <x:c r="P681" s="126"/>
      <x:c r="Q681" s="126"/>
      <x:c r="R681" s="126"/>
      <x:c r="S681" s="124"/>
      <x:c r="T681" s="124"/>
      <x:c r="U681" s="124"/>
      <x:c r="V681" s="124"/>
      <x:c r="W681" s="124"/>
      <x:c r="X681" s="124"/>
      <x:c r="AD681"/>
      <x:c r="AE681" s="145"/>
      <x:c r="AF681" s="145"/>
      <x:c r="AG681" s="145"/>
      <x:c r="AH681" s="145"/>
      <x:c r="AI681" s="145"/>
      <x:c r="AJ681"/>
    </x:row>
    <x:row r="682">
      <x:c r="F682" s="124"/>
      <x:c r="G682" s="124"/>
      <x:c r="H682" s="124"/>
      <x:c r="I682" s="124"/>
      <x:c r="J682" s="124"/>
      <x:c r="M682" s="126"/>
      <x:c r="P682" s="126"/>
      <x:c r="Q682" s="126"/>
      <x:c r="R682" s="126"/>
      <x:c r="S682" s="124"/>
      <x:c r="T682" s="124"/>
      <x:c r="U682" s="124"/>
      <x:c r="V682" s="124"/>
      <x:c r="W682" s="124"/>
      <x:c r="X682" s="124"/>
      <x:c r="AD682"/>
      <x:c r="AE682" s="145"/>
      <x:c r="AF682" s="145"/>
      <x:c r="AG682" s="145"/>
      <x:c r="AH682" s="145"/>
      <x:c r="AI682" s="145"/>
      <x:c r="AJ682"/>
    </x:row>
    <x:row r="683">
      <x:c r="F683" s="124"/>
      <x:c r="G683" s="124"/>
      <x:c r="H683" s="124"/>
      <x:c r="I683" s="124"/>
      <x:c r="J683" s="124"/>
      <x:c r="M683" s="126"/>
      <x:c r="P683" s="126"/>
      <x:c r="Q683" s="126"/>
      <x:c r="R683" s="126"/>
      <x:c r="S683" s="124"/>
      <x:c r="T683" s="124"/>
      <x:c r="U683" s="124"/>
      <x:c r="V683" s="124"/>
      <x:c r="W683" s="124"/>
      <x:c r="X683" s="124"/>
      <x:c r="AD683"/>
      <x:c r="AE683" s="145"/>
      <x:c r="AF683" s="145"/>
      <x:c r="AG683" s="145"/>
      <x:c r="AH683" s="145"/>
      <x:c r="AI683" s="145"/>
      <x:c r="AJ683"/>
    </x:row>
    <x:row r="684">
      <x:c r="F684" s="124"/>
      <x:c r="G684" s="124"/>
      <x:c r="H684" s="124"/>
      <x:c r="I684" s="124"/>
      <x:c r="J684" s="124"/>
      <x:c r="M684" s="126"/>
      <x:c r="P684" s="126"/>
      <x:c r="Q684" s="126"/>
      <x:c r="R684" s="126"/>
      <x:c r="S684" s="124"/>
      <x:c r="T684" s="124"/>
      <x:c r="U684" s="124"/>
      <x:c r="V684" s="124"/>
      <x:c r="W684" s="124"/>
      <x:c r="X684" s="124"/>
      <x:c r="AD684"/>
      <x:c r="AE684" s="145"/>
      <x:c r="AF684" s="145"/>
      <x:c r="AG684" s="145"/>
      <x:c r="AH684" s="145"/>
      <x:c r="AI684" s="145"/>
      <x:c r="AJ684"/>
    </x:row>
    <x:row r="685">
      <x:c r="F685" s="124"/>
      <x:c r="G685" s="124"/>
      <x:c r="H685" s="124"/>
      <x:c r="I685" s="124"/>
      <x:c r="J685" s="124"/>
      <x:c r="M685" s="126"/>
      <x:c r="P685" s="126"/>
      <x:c r="Q685" s="126"/>
      <x:c r="R685" s="126"/>
      <x:c r="S685" s="124"/>
      <x:c r="T685" s="124"/>
      <x:c r="U685" s="124"/>
      <x:c r="V685" s="124"/>
      <x:c r="W685" s="124"/>
      <x:c r="X685" s="124"/>
      <x:c r="AD685"/>
      <x:c r="AE685" s="145"/>
      <x:c r="AF685" s="145"/>
      <x:c r="AG685" s="145"/>
      <x:c r="AH685" s="145"/>
      <x:c r="AI685" s="145"/>
      <x:c r="AJ685"/>
    </x:row>
    <x:row r="686">
      <x:c r="F686" s="124"/>
      <x:c r="G686" s="124"/>
      <x:c r="H686" s="124"/>
      <x:c r="I686" s="124"/>
      <x:c r="J686" s="124"/>
      <x:c r="M686" s="126"/>
      <x:c r="P686" s="126"/>
      <x:c r="Q686" s="126"/>
      <x:c r="R686" s="126"/>
      <x:c r="S686" s="124"/>
      <x:c r="T686" s="124"/>
      <x:c r="U686" s="124"/>
      <x:c r="V686" s="124"/>
      <x:c r="W686" s="124"/>
      <x:c r="X686" s="124"/>
      <x:c r="AD686"/>
      <x:c r="AE686" s="145"/>
      <x:c r="AF686" s="145"/>
      <x:c r="AG686" s="145"/>
      <x:c r="AH686" s="145"/>
      <x:c r="AI686" s="145"/>
      <x:c r="AJ686"/>
    </x:row>
    <x:row r="687">
      <x:c r="F687" s="124"/>
      <x:c r="G687" s="124"/>
      <x:c r="H687" s="124"/>
      <x:c r="I687" s="124"/>
      <x:c r="J687" s="124"/>
      <x:c r="M687" s="126"/>
      <x:c r="P687" s="126"/>
      <x:c r="Q687" s="126"/>
      <x:c r="R687" s="126"/>
      <x:c r="S687" s="124"/>
      <x:c r="T687" s="124"/>
      <x:c r="U687" s="124"/>
      <x:c r="V687" s="124"/>
      <x:c r="W687" s="124"/>
      <x:c r="X687" s="124"/>
      <x:c r="AD687"/>
      <x:c r="AE687" s="145"/>
      <x:c r="AF687" s="145"/>
      <x:c r="AG687" s="145"/>
      <x:c r="AH687" s="145"/>
      <x:c r="AI687" s="145"/>
      <x:c r="AJ687"/>
    </x:row>
    <x:row r="688">
      <x:c r="F688" s="124"/>
      <x:c r="G688" s="124"/>
      <x:c r="H688" s="124"/>
      <x:c r="I688" s="124"/>
      <x:c r="J688" s="124"/>
      <x:c r="M688" s="126"/>
      <x:c r="P688" s="126"/>
      <x:c r="Q688" s="126"/>
      <x:c r="R688" s="126"/>
      <x:c r="S688" s="124"/>
      <x:c r="T688" s="124"/>
      <x:c r="U688" s="124"/>
      <x:c r="V688" s="124"/>
      <x:c r="W688" s="124"/>
      <x:c r="X688" s="124"/>
      <x:c r="AD688"/>
      <x:c r="AE688" s="145"/>
      <x:c r="AF688" s="145"/>
      <x:c r="AG688" s="145"/>
      <x:c r="AH688" s="145"/>
      <x:c r="AI688" s="145"/>
      <x:c r="AJ688"/>
    </x:row>
    <x:row r="689">
      <x:c r="F689" s="124"/>
      <x:c r="G689" s="124"/>
      <x:c r="H689" s="124"/>
      <x:c r="I689" s="124"/>
      <x:c r="J689" s="124"/>
      <x:c r="M689" s="126"/>
      <x:c r="P689" s="126"/>
      <x:c r="Q689" s="126"/>
      <x:c r="R689" s="126"/>
      <x:c r="S689" s="124"/>
      <x:c r="T689" s="124"/>
      <x:c r="U689" s="124"/>
      <x:c r="V689" s="124"/>
      <x:c r="W689" s="124"/>
      <x:c r="X689" s="124"/>
      <x:c r="AD689"/>
      <x:c r="AE689" s="145"/>
      <x:c r="AF689" s="145"/>
      <x:c r="AG689" s="145"/>
      <x:c r="AH689" s="145"/>
      <x:c r="AI689" s="145"/>
      <x:c r="AJ689"/>
    </x:row>
    <x:row r="690">
      <x:c r="F690" s="124"/>
      <x:c r="G690" s="124"/>
      <x:c r="H690" s="124"/>
      <x:c r="I690" s="124"/>
      <x:c r="J690" s="124"/>
      <x:c r="M690" s="126"/>
      <x:c r="P690" s="126"/>
      <x:c r="Q690" s="126"/>
      <x:c r="R690" s="126"/>
      <x:c r="S690" s="124"/>
      <x:c r="T690" s="124"/>
      <x:c r="U690" s="124"/>
      <x:c r="V690" s="124"/>
      <x:c r="W690" s="124"/>
      <x:c r="X690" s="124"/>
      <x:c r="AD690"/>
      <x:c r="AE690" s="145"/>
      <x:c r="AF690" s="145"/>
      <x:c r="AG690" s="145"/>
      <x:c r="AH690" s="145"/>
      <x:c r="AI690" s="145"/>
      <x:c r="AJ690"/>
    </x:row>
    <x:row r="691">
      <x:c r="F691" s="124"/>
      <x:c r="G691" s="124"/>
      <x:c r="H691" s="124"/>
      <x:c r="I691" s="124"/>
      <x:c r="J691" s="124"/>
      <x:c r="M691" s="126"/>
      <x:c r="P691" s="126"/>
      <x:c r="Q691" s="126"/>
      <x:c r="R691" s="126"/>
      <x:c r="S691" s="124"/>
      <x:c r="T691" s="124"/>
      <x:c r="U691" s="124"/>
      <x:c r="V691" s="124"/>
      <x:c r="W691" s="124"/>
      <x:c r="X691" s="124"/>
      <x:c r="AD691"/>
      <x:c r="AE691" s="145"/>
      <x:c r="AF691" s="145"/>
      <x:c r="AG691" s="145"/>
      <x:c r="AH691" s="145"/>
      <x:c r="AI691" s="145"/>
      <x:c r="AJ691"/>
    </x:row>
    <x:row r="692">
      <x:c r="F692" s="124"/>
      <x:c r="G692" s="124"/>
      <x:c r="H692" s="124"/>
      <x:c r="I692" s="124"/>
      <x:c r="J692" s="124"/>
      <x:c r="M692" s="126"/>
      <x:c r="P692" s="126"/>
      <x:c r="Q692" s="126"/>
      <x:c r="R692" s="126"/>
      <x:c r="S692" s="124"/>
      <x:c r="T692" s="124"/>
      <x:c r="U692" s="124"/>
      <x:c r="V692" s="124"/>
      <x:c r="W692" s="124"/>
      <x:c r="X692" s="124"/>
      <x:c r="AD692"/>
      <x:c r="AE692" s="145"/>
      <x:c r="AF692" s="145"/>
      <x:c r="AG692" s="145"/>
      <x:c r="AH692" s="145"/>
      <x:c r="AI692" s="145"/>
      <x:c r="AJ692"/>
    </x:row>
    <x:row r="693">
      <x:c r="F693" s="124"/>
      <x:c r="G693" s="124"/>
      <x:c r="H693" s="124"/>
      <x:c r="I693" s="124"/>
      <x:c r="J693" s="124"/>
      <x:c r="M693" s="126"/>
      <x:c r="P693" s="126"/>
      <x:c r="Q693" s="126"/>
      <x:c r="R693" s="126"/>
      <x:c r="S693" s="124"/>
      <x:c r="T693" s="124"/>
      <x:c r="U693" s="124"/>
      <x:c r="V693" s="124"/>
      <x:c r="W693" s="124"/>
      <x:c r="X693" s="124"/>
      <x:c r="AD693"/>
      <x:c r="AE693" s="145"/>
      <x:c r="AF693" s="145"/>
      <x:c r="AG693" s="145"/>
      <x:c r="AH693" s="145"/>
      <x:c r="AI693" s="145"/>
      <x:c r="AJ693"/>
    </x:row>
    <x:row r="694">
      <x:c r="F694" s="124"/>
      <x:c r="G694" s="124"/>
      <x:c r="H694" s="124"/>
      <x:c r="I694" s="124"/>
      <x:c r="J694" s="124"/>
      <x:c r="M694" s="126"/>
      <x:c r="P694" s="126"/>
      <x:c r="Q694" s="126"/>
      <x:c r="R694" s="126"/>
      <x:c r="S694" s="124"/>
      <x:c r="T694" s="124"/>
      <x:c r="U694" s="124"/>
      <x:c r="V694" s="124"/>
      <x:c r="W694" s="124"/>
      <x:c r="X694" s="124"/>
      <x:c r="AD694"/>
      <x:c r="AE694" s="145"/>
      <x:c r="AF694" s="145"/>
      <x:c r="AG694" s="145"/>
      <x:c r="AH694" s="145"/>
      <x:c r="AI694" s="145"/>
      <x:c r="AJ694"/>
    </x:row>
    <x:row r="695">
      <x:c r="F695" s="124"/>
      <x:c r="G695" s="124"/>
      <x:c r="H695" s="124"/>
      <x:c r="I695" s="124"/>
      <x:c r="J695" s="124"/>
      <x:c r="M695" s="126"/>
      <x:c r="P695" s="126"/>
      <x:c r="Q695" s="126"/>
      <x:c r="R695" s="126"/>
      <x:c r="S695" s="124"/>
      <x:c r="T695" s="124"/>
      <x:c r="U695" s="124"/>
      <x:c r="V695" s="124"/>
      <x:c r="W695" s="124"/>
      <x:c r="X695" s="124"/>
      <x:c r="AD695"/>
      <x:c r="AE695" s="145"/>
      <x:c r="AF695" s="145"/>
      <x:c r="AG695" s="145"/>
      <x:c r="AH695" s="145"/>
      <x:c r="AI695" s="145"/>
      <x:c r="AJ695"/>
    </x:row>
    <x:row r="696">
      <x:c r="F696" s="124"/>
      <x:c r="G696" s="124"/>
      <x:c r="H696" s="124"/>
      <x:c r="I696" s="124"/>
      <x:c r="J696" s="124"/>
      <x:c r="M696" s="126"/>
      <x:c r="P696" s="126"/>
      <x:c r="Q696" s="126"/>
      <x:c r="R696" s="126"/>
      <x:c r="S696" s="124"/>
      <x:c r="T696" s="124"/>
      <x:c r="U696" s="124"/>
      <x:c r="V696" s="124"/>
      <x:c r="W696" s="124"/>
      <x:c r="X696" s="124"/>
      <x:c r="AD696"/>
      <x:c r="AE696" s="145"/>
      <x:c r="AF696" s="145"/>
      <x:c r="AG696" s="145"/>
      <x:c r="AH696" s="145"/>
      <x:c r="AI696" s="145"/>
      <x:c r="AJ696"/>
    </x:row>
    <x:row r="697">
      <x:c r="F697" s="124"/>
      <x:c r="G697" s="124"/>
      <x:c r="H697" s="124"/>
      <x:c r="I697" s="124"/>
      <x:c r="J697" s="124"/>
      <x:c r="M697" s="126"/>
      <x:c r="P697" s="126"/>
      <x:c r="Q697" s="126"/>
      <x:c r="R697" s="126"/>
      <x:c r="S697" s="124"/>
      <x:c r="T697" s="124"/>
      <x:c r="U697" s="124"/>
      <x:c r="V697" s="124"/>
      <x:c r="W697" s="124"/>
      <x:c r="X697" s="124"/>
      <x:c r="AD697"/>
      <x:c r="AE697" s="145"/>
      <x:c r="AF697" s="145"/>
      <x:c r="AG697" s="145"/>
      <x:c r="AH697" s="145"/>
      <x:c r="AI697" s="145"/>
      <x:c r="AJ697"/>
    </x:row>
    <x:row r="698">
      <x:c r="F698" s="124"/>
      <x:c r="G698" s="124"/>
      <x:c r="H698" s="124"/>
      <x:c r="I698" s="124"/>
      <x:c r="J698" s="124"/>
      <x:c r="M698" s="126"/>
      <x:c r="P698" s="126"/>
      <x:c r="Q698" s="126"/>
      <x:c r="R698" s="126"/>
      <x:c r="S698" s="124"/>
      <x:c r="T698" s="124"/>
      <x:c r="U698" s="124"/>
      <x:c r="V698" s="124"/>
      <x:c r="W698" s="124"/>
      <x:c r="X698" s="124"/>
      <x:c r="AD698"/>
      <x:c r="AE698" s="145"/>
      <x:c r="AF698" s="145"/>
      <x:c r="AG698" s="145"/>
      <x:c r="AH698" s="145"/>
      <x:c r="AI698" s="145"/>
      <x:c r="AJ698"/>
    </x:row>
    <x:row r="699">
      <x:c r="F699" s="124"/>
      <x:c r="G699" s="124"/>
      <x:c r="H699" s="124"/>
      <x:c r="I699" s="124"/>
      <x:c r="J699" s="124"/>
      <x:c r="M699" s="126"/>
      <x:c r="P699" s="126"/>
      <x:c r="Q699" s="126"/>
      <x:c r="R699" s="126"/>
      <x:c r="S699" s="124"/>
      <x:c r="T699" s="124"/>
      <x:c r="U699" s="124"/>
      <x:c r="V699" s="124"/>
      <x:c r="W699" s="124"/>
      <x:c r="X699" s="124"/>
      <x:c r="AD699"/>
      <x:c r="AE699" s="145"/>
      <x:c r="AF699" s="145"/>
      <x:c r="AG699" s="145"/>
      <x:c r="AH699" s="145"/>
      <x:c r="AI699" s="145"/>
      <x:c r="AJ699"/>
    </x:row>
    <x:row r="700">
      <x:c r="F700" s="124"/>
      <x:c r="G700" s="124"/>
      <x:c r="H700" s="124"/>
      <x:c r="I700" s="124"/>
      <x:c r="J700" s="124"/>
      <x:c r="M700" s="126"/>
      <x:c r="P700" s="126"/>
      <x:c r="Q700" s="126"/>
      <x:c r="R700" s="126"/>
      <x:c r="S700" s="124"/>
      <x:c r="T700" s="124"/>
      <x:c r="U700" s="124"/>
      <x:c r="V700" s="124"/>
      <x:c r="W700" s="124"/>
      <x:c r="X700" s="124"/>
      <x:c r="AD700"/>
      <x:c r="AE700" s="145"/>
      <x:c r="AF700" s="145"/>
      <x:c r="AG700" s="145"/>
      <x:c r="AH700" s="145"/>
      <x:c r="AI700" s="145"/>
      <x:c r="AJ700"/>
    </x:row>
    <x:row r="701">
      <x:c r="F701" s="124"/>
      <x:c r="G701" s="124"/>
      <x:c r="H701" s="124"/>
      <x:c r="I701" s="124"/>
      <x:c r="J701" s="124"/>
      <x:c r="M701" s="126"/>
      <x:c r="P701" s="126"/>
      <x:c r="Q701" s="126"/>
      <x:c r="R701" s="126"/>
      <x:c r="S701" s="124"/>
      <x:c r="T701" s="124"/>
      <x:c r="U701" s="124"/>
      <x:c r="V701" s="124"/>
      <x:c r="W701" s="124"/>
      <x:c r="X701" s="124"/>
      <x:c r="AD701"/>
      <x:c r="AE701" s="145"/>
      <x:c r="AF701" s="145"/>
      <x:c r="AG701" s="145"/>
      <x:c r="AH701" s="145"/>
      <x:c r="AI701" s="145"/>
      <x:c r="AJ701"/>
    </x:row>
    <x:row r="702">
      <x:c r="F702" s="124"/>
      <x:c r="G702" s="124"/>
      <x:c r="H702" s="124"/>
      <x:c r="I702" s="124"/>
      <x:c r="J702" s="124"/>
      <x:c r="M702" s="126"/>
      <x:c r="P702" s="126"/>
      <x:c r="Q702" s="126"/>
      <x:c r="R702" s="126"/>
      <x:c r="S702" s="124"/>
      <x:c r="T702" s="124"/>
      <x:c r="U702" s="124"/>
      <x:c r="V702" s="124"/>
      <x:c r="W702" s="124"/>
      <x:c r="X702" s="124"/>
      <x:c r="AD702"/>
      <x:c r="AE702" s="145"/>
      <x:c r="AF702" s="145"/>
      <x:c r="AG702" s="145"/>
      <x:c r="AH702" s="145"/>
      <x:c r="AI702" s="145"/>
      <x:c r="AJ702"/>
    </x:row>
    <x:row r="703">
      <x:c r="F703" s="124"/>
      <x:c r="G703" s="124"/>
      <x:c r="H703" s="124"/>
      <x:c r="I703" s="124"/>
      <x:c r="J703" s="124"/>
      <x:c r="M703" s="126"/>
      <x:c r="P703" s="126"/>
      <x:c r="Q703" s="126"/>
      <x:c r="R703" s="126"/>
      <x:c r="S703" s="124"/>
      <x:c r="T703" s="124"/>
      <x:c r="U703" s="124"/>
      <x:c r="V703" s="124"/>
      <x:c r="W703" s="124"/>
      <x:c r="X703" s="124"/>
      <x:c r="AD703"/>
      <x:c r="AE703" s="145"/>
      <x:c r="AF703" s="145"/>
      <x:c r="AG703" s="145"/>
      <x:c r="AH703" s="145"/>
      <x:c r="AI703" s="145"/>
      <x:c r="AJ703"/>
    </x:row>
    <x:row r="704">
      <x:c r="F704" s="124"/>
      <x:c r="G704" s="124"/>
      <x:c r="H704" s="124"/>
      <x:c r="I704" s="124"/>
      <x:c r="J704" s="124"/>
      <x:c r="M704" s="126"/>
      <x:c r="P704" s="126"/>
      <x:c r="Q704" s="126"/>
      <x:c r="R704" s="126"/>
      <x:c r="S704" s="124"/>
      <x:c r="T704" s="124"/>
      <x:c r="U704" s="124"/>
      <x:c r="V704" s="124"/>
      <x:c r="W704" s="124"/>
      <x:c r="X704" s="124"/>
      <x:c r="AD704"/>
      <x:c r="AE704" s="145"/>
      <x:c r="AF704" s="145"/>
      <x:c r="AG704" s="145"/>
      <x:c r="AH704" s="145"/>
      <x:c r="AI704" s="145"/>
      <x:c r="AJ704"/>
    </x:row>
    <x:row r="705">
      <x:c r="F705" s="124"/>
      <x:c r="G705" s="124"/>
      <x:c r="H705" s="124"/>
      <x:c r="I705" s="124"/>
      <x:c r="J705" s="124"/>
      <x:c r="M705" s="126"/>
      <x:c r="P705" s="126"/>
      <x:c r="Q705" s="126"/>
      <x:c r="R705" s="126"/>
      <x:c r="S705" s="124"/>
      <x:c r="T705" s="124"/>
      <x:c r="U705" s="124"/>
      <x:c r="V705" s="124"/>
      <x:c r="W705" s="124"/>
      <x:c r="X705" s="124"/>
      <x:c r="AD705"/>
      <x:c r="AE705" s="145"/>
      <x:c r="AF705" s="145"/>
      <x:c r="AG705" s="145"/>
      <x:c r="AH705" s="145"/>
      <x:c r="AI705" s="145"/>
      <x:c r="AJ705"/>
    </x:row>
    <x:row r="706">
      <x:c r="F706" s="124"/>
      <x:c r="G706" s="124"/>
      <x:c r="H706" s="124"/>
      <x:c r="I706" s="124"/>
      <x:c r="J706" s="124"/>
      <x:c r="M706" s="126"/>
      <x:c r="P706" s="126"/>
      <x:c r="Q706" s="126"/>
      <x:c r="R706" s="126"/>
      <x:c r="S706" s="124"/>
      <x:c r="T706" s="124"/>
      <x:c r="U706" s="124"/>
      <x:c r="V706" s="124"/>
      <x:c r="W706" s="124"/>
      <x:c r="X706" s="124"/>
      <x:c r="AD706"/>
      <x:c r="AE706" s="145"/>
      <x:c r="AF706" s="145"/>
      <x:c r="AG706" s="145"/>
      <x:c r="AH706" s="145"/>
      <x:c r="AI706" s="145"/>
      <x:c r="AJ706"/>
    </x:row>
    <x:row r="707">
      <x:c r="F707" s="124"/>
      <x:c r="G707" s="124"/>
      <x:c r="H707" s="124"/>
      <x:c r="I707" s="124"/>
      <x:c r="J707" s="124"/>
      <x:c r="M707" s="126"/>
      <x:c r="P707" s="126"/>
      <x:c r="Q707" s="126"/>
      <x:c r="R707" s="126"/>
      <x:c r="S707" s="124"/>
      <x:c r="T707" s="124"/>
      <x:c r="U707" s="124"/>
      <x:c r="V707" s="124"/>
      <x:c r="W707" s="124"/>
      <x:c r="X707" s="124"/>
      <x:c r="AD707"/>
      <x:c r="AE707" s="145"/>
      <x:c r="AF707" s="145"/>
      <x:c r="AG707" s="145"/>
      <x:c r="AH707" s="145"/>
      <x:c r="AI707" s="145"/>
      <x:c r="AJ707"/>
    </x:row>
    <x:row r="708">
      <x:c r="F708" s="124"/>
      <x:c r="G708" s="124"/>
      <x:c r="H708" s="124"/>
      <x:c r="I708" s="124"/>
      <x:c r="J708" s="124"/>
      <x:c r="M708" s="126"/>
      <x:c r="P708" s="126"/>
      <x:c r="Q708" s="126"/>
      <x:c r="R708" s="126"/>
      <x:c r="S708" s="124"/>
      <x:c r="T708" s="124"/>
      <x:c r="U708" s="124"/>
      <x:c r="V708" s="124"/>
      <x:c r="W708" s="124"/>
      <x:c r="X708" s="124"/>
      <x:c r="AD708"/>
      <x:c r="AE708" s="145"/>
      <x:c r="AF708" s="145"/>
      <x:c r="AG708" s="145"/>
      <x:c r="AH708" s="145"/>
      <x:c r="AI708" s="145"/>
      <x:c r="AJ708"/>
    </x:row>
    <x:row r="709">
      <x:c r="F709" s="124"/>
      <x:c r="G709" s="124"/>
      <x:c r="H709" s="124"/>
      <x:c r="I709" s="124"/>
      <x:c r="J709" s="124"/>
      <x:c r="M709" s="126"/>
      <x:c r="P709" s="126"/>
      <x:c r="Q709" s="126"/>
      <x:c r="R709" s="126"/>
      <x:c r="S709" s="124"/>
      <x:c r="T709" s="124"/>
      <x:c r="U709" s="124"/>
      <x:c r="V709" s="124"/>
      <x:c r="W709" s="124"/>
      <x:c r="X709" s="124"/>
      <x:c r="AD709"/>
      <x:c r="AE709" s="145"/>
      <x:c r="AF709" s="145"/>
      <x:c r="AG709" s="145"/>
      <x:c r="AH709" s="145"/>
      <x:c r="AI709" s="145"/>
      <x:c r="AJ709"/>
    </x:row>
    <x:row r="710">
      <x:c r="F710" s="124"/>
      <x:c r="G710" s="124"/>
      <x:c r="H710" s="124"/>
      <x:c r="I710" s="124"/>
      <x:c r="J710" s="124"/>
      <x:c r="M710" s="126"/>
      <x:c r="P710" s="126"/>
      <x:c r="Q710" s="126"/>
      <x:c r="R710" s="126"/>
      <x:c r="S710" s="124"/>
      <x:c r="T710" s="124"/>
      <x:c r="U710" s="124"/>
      <x:c r="V710" s="124"/>
      <x:c r="W710" s="124"/>
      <x:c r="X710" s="124"/>
      <x:c r="AD710"/>
      <x:c r="AE710" s="145"/>
      <x:c r="AF710" s="145"/>
      <x:c r="AG710" s="145"/>
      <x:c r="AH710" s="145"/>
      <x:c r="AI710" s="145"/>
      <x:c r="AJ710"/>
    </x:row>
    <x:row r="711">
      <x:c r="F711" s="124"/>
      <x:c r="G711" s="124"/>
      <x:c r="H711" s="124"/>
      <x:c r="I711" s="124"/>
      <x:c r="J711" s="124"/>
      <x:c r="M711" s="126"/>
      <x:c r="P711" s="126"/>
      <x:c r="Q711" s="126"/>
      <x:c r="R711" s="126"/>
      <x:c r="S711" s="124"/>
      <x:c r="T711" s="124"/>
      <x:c r="U711" s="124"/>
      <x:c r="V711" s="124"/>
      <x:c r="W711" s="124"/>
      <x:c r="X711" s="124"/>
      <x:c r="AD711"/>
      <x:c r="AE711" s="145"/>
      <x:c r="AF711" s="145"/>
      <x:c r="AG711" s="145"/>
      <x:c r="AH711" s="145"/>
      <x:c r="AI711" s="145"/>
      <x:c r="AJ711"/>
    </x:row>
    <x:row r="712">
      <x:c r="F712" s="124"/>
      <x:c r="G712" s="124"/>
      <x:c r="H712" s="124"/>
      <x:c r="I712" s="124"/>
      <x:c r="J712" s="124"/>
      <x:c r="M712" s="126"/>
      <x:c r="P712" s="126"/>
      <x:c r="Q712" s="126"/>
      <x:c r="R712" s="126"/>
      <x:c r="S712" s="124"/>
      <x:c r="T712" s="124"/>
      <x:c r="U712" s="124"/>
      <x:c r="V712" s="124"/>
      <x:c r="W712" s="124"/>
      <x:c r="X712" s="124"/>
      <x:c r="AD712"/>
      <x:c r="AE712" s="145"/>
      <x:c r="AF712" s="145"/>
      <x:c r="AG712" s="145"/>
      <x:c r="AH712" s="145"/>
      <x:c r="AI712" s="145"/>
      <x:c r="AJ712"/>
    </x:row>
    <x:row r="713">
      <x:c r="F713" s="124"/>
      <x:c r="G713" s="124"/>
      <x:c r="H713" s="124"/>
      <x:c r="I713" s="124"/>
      <x:c r="J713" s="124"/>
      <x:c r="M713" s="126"/>
      <x:c r="P713" s="126"/>
      <x:c r="Q713" s="126"/>
      <x:c r="R713" s="126"/>
      <x:c r="S713" s="124"/>
      <x:c r="T713" s="124"/>
      <x:c r="U713" s="124"/>
      <x:c r="V713" s="124"/>
      <x:c r="W713" s="124"/>
      <x:c r="X713" s="124"/>
      <x:c r="AD713"/>
      <x:c r="AE713" s="145"/>
      <x:c r="AF713" s="145"/>
      <x:c r="AG713" s="145"/>
      <x:c r="AH713" s="145"/>
      <x:c r="AI713" s="145"/>
      <x:c r="AJ713"/>
    </x:row>
    <x:row r="714">
      <x:c r="F714" s="124"/>
      <x:c r="G714" s="124"/>
      <x:c r="H714" s="124"/>
      <x:c r="I714" s="124"/>
      <x:c r="J714" s="124"/>
      <x:c r="M714" s="126"/>
      <x:c r="P714" s="126"/>
      <x:c r="Q714" s="126"/>
      <x:c r="R714" s="126"/>
      <x:c r="S714" s="124"/>
      <x:c r="T714" s="124"/>
      <x:c r="U714" s="124"/>
      <x:c r="V714" s="124"/>
      <x:c r="W714" s="124"/>
      <x:c r="X714" s="124"/>
      <x:c r="AD714"/>
      <x:c r="AE714" s="145"/>
      <x:c r="AF714" s="145"/>
      <x:c r="AG714" s="145"/>
      <x:c r="AH714" s="145"/>
      <x:c r="AI714" s="145"/>
      <x:c r="AJ714"/>
    </x:row>
    <x:row r="715">
      <x:c r="F715" s="124"/>
      <x:c r="G715" s="124"/>
      <x:c r="H715" s="124"/>
      <x:c r="I715" s="124"/>
      <x:c r="J715" s="124"/>
      <x:c r="M715" s="126"/>
      <x:c r="P715" s="126"/>
      <x:c r="Q715" s="126"/>
      <x:c r="R715" s="126"/>
      <x:c r="S715" s="124"/>
      <x:c r="T715" s="124"/>
      <x:c r="U715" s="124"/>
      <x:c r="V715" s="124"/>
      <x:c r="W715" s="124"/>
      <x:c r="X715" s="124"/>
      <x:c r="AD715"/>
      <x:c r="AE715" s="145"/>
      <x:c r="AF715" s="145"/>
      <x:c r="AG715" s="145"/>
      <x:c r="AH715" s="145"/>
      <x:c r="AI715" s="145"/>
      <x:c r="AJ715"/>
    </x:row>
    <x:row r="716">
      <x:c r="F716" s="124"/>
      <x:c r="G716" s="124"/>
      <x:c r="H716" s="124"/>
      <x:c r="I716" s="124"/>
      <x:c r="J716" s="124"/>
      <x:c r="M716" s="126"/>
      <x:c r="P716" s="126"/>
      <x:c r="Q716" s="126"/>
      <x:c r="R716" s="126"/>
      <x:c r="S716" s="124"/>
      <x:c r="T716" s="124"/>
      <x:c r="U716" s="124"/>
      <x:c r="V716" s="124"/>
      <x:c r="W716" s="124"/>
      <x:c r="X716" s="124"/>
      <x:c r="AD716"/>
      <x:c r="AE716" s="145"/>
      <x:c r="AF716" s="145"/>
      <x:c r="AG716" s="145"/>
      <x:c r="AH716" s="145"/>
      <x:c r="AI716" s="145"/>
      <x:c r="AJ716"/>
    </x:row>
    <x:row r="717">
      <x:c r="F717" s="124"/>
      <x:c r="G717" s="124"/>
      <x:c r="H717" s="124"/>
      <x:c r="I717" s="124"/>
      <x:c r="J717" s="124"/>
      <x:c r="M717" s="126"/>
      <x:c r="P717" s="126"/>
      <x:c r="Q717" s="126"/>
      <x:c r="R717" s="126"/>
      <x:c r="S717" s="124"/>
      <x:c r="T717" s="124"/>
      <x:c r="U717" s="124"/>
      <x:c r="V717" s="124"/>
      <x:c r="W717" s="124"/>
      <x:c r="X717" s="124"/>
      <x:c r="AD717"/>
      <x:c r="AE717" s="145"/>
      <x:c r="AF717" s="145"/>
      <x:c r="AG717" s="145"/>
      <x:c r="AH717" s="145"/>
      <x:c r="AI717" s="145"/>
      <x:c r="AJ717"/>
    </x:row>
    <x:row r="718">
      <x:c r="F718" s="124"/>
      <x:c r="G718" s="124"/>
      <x:c r="H718" s="124"/>
      <x:c r="I718" s="124"/>
      <x:c r="J718" s="124"/>
      <x:c r="M718" s="126"/>
      <x:c r="P718" s="126"/>
      <x:c r="Q718" s="126"/>
      <x:c r="R718" s="126"/>
      <x:c r="S718" s="124"/>
      <x:c r="T718" s="124"/>
      <x:c r="U718" s="124"/>
      <x:c r="V718" s="124"/>
      <x:c r="W718" s="124"/>
      <x:c r="X718" s="124"/>
      <x:c r="AD718"/>
      <x:c r="AE718" s="145"/>
      <x:c r="AF718" s="145"/>
      <x:c r="AG718" s="145"/>
      <x:c r="AH718" s="145"/>
      <x:c r="AI718" s="145"/>
      <x:c r="AJ718"/>
    </x:row>
    <x:row r="719">
      <x:c r="F719" s="124"/>
      <x:c r="G719" s="124"/>
      <x:c r="H719" s="124"/>
      <x:c r="I719" s="124"/>
      <x:c r="J719" s="124"/>
      <x:c r="M719" s="126"/>
      <x:c r="P719" s="126"/>
      <x:c r="Q719" s="126"/>
      <x:c r="R719" s="126"/>
      <x:c r="S719" s="124"/>
      <x:c r="T719" s="124"/>
      <x:c r="U719" s="124"/>
      <x:c r="V719" s="124"/>
      <x:c r="W719" s="124"/>
      <x:c r="X719" s="124"/>
      <x:c r="AD719"/>
      <x:c r="AE719" s="145"/>
      <x:c r="AF719" s="145"/>
      <x:c r="AG719" s="145"/>
      <x:c r="AH719" s="145"/>
      <x:c r="AI719" s="145"/>
      <x:c r="AJ719"/>
    </x:row>
    <x:row r="720">
      <x:c r="F720" s="124"/>
      <x:c r="G720" s="124"/>
      <x:c r="H720" s="124"/>
      <x:c r="I720" s="124"/>
      <x:c r="J720" s="124"/>
      <x:c r="M720" s="126"/>
      <x:c r="P720" s="126"/>
      <x:c r="Q720" s="126"/>
      <x:c r="R720" s="126"/>
      <x:c r="S720" s="124"/>
      <x:c r="T720" s="124"/>
      <x:c r="U720" s="124"/>
      <x:c r="V720" s="124"/>
      <x:c r="W720" s="124"/>
      <x:c r="X720" s="124"/>
      <x:c r="AD720"/>
      <x:c r="AE720" s="145"/>
      <x:c r="AF720" s="145"/>
      <x:c r="AG720" s="145"/>
      <x:c r="AH720" s="145"/>
      <x:c r="AI720" s="145"/>
      <x:c r="AJ720"/>
    </x:row>
    <x:row r="721">
      <x:c r="F721" s="124"/>
      <x:c r="G721" s="124"/>
      <x:c r="H721" s="124"/>
      <x:c r="I721" s="124"/>
      <x:c r="J721" s="124"/>
      <x:c r="M721" s="126"/>
      <x:c r="P721" s="126"/>
      <x:c r="Q721" s="126"/>
      <x:c r="R721" s="126"/>
      <x:c r="S721" s="124"/>
      <x:c r="T721" s="124"/>
      <x:c r="U721" s="124"/>
      <x:c r="V721" s="124"/>
      <x:c r="W721" s="124"/>
      <x:c r="X721" s="124"/>
      <x:c r="AD721"/>
      <x:c r="AE721" s="145"/>
      <x:c r="AF721" s="145"/>
      <x:c r="AG721" s="145"/>
      <x:c r="AH721" s="145"/>
      <x:c r="AI721" s="145"/>
      <x:c r="AJ721"/>
    </x:row>
    <x:row r="722">
      <x:c r="F722" s="124"/>
      <x:c r="G722" s="124"/>
      <x:c r="H722" s="124"/>
      <x:c r="I722" s="124"/>
      <x:c r="J722" s="124"/>
      <x:c r="M722" s="126"/>
      <x:c r="P722" s="126"/>
      <x:c r="Q722" s="126"/>
      <x:c r="R722" s="126"/>
      <x:c r="S722" s="124"/>
      <x:c r="T722" s="124"/>
      <x:c r="U722" s="124"/>
      <x:c r="V722" s="124"/>
      <x:c r="W722" s="124"/>
      <x:c r="X722" s="124"/>
      <x:c r="AD722"/>
      <x:c r="AE722" s="145"/>
      <x:c r="AF722" s="145"/>
      <x:c r="AG722" s="145"/>
      <x:c r="AH722" s="145"/>
      <x:c r="AI722" s="145"/>
      <x:c r="AJ722"/>
    </x:row>
    <x:row r="723">
      <x:c r="F723" s="124"/>
      <x:c r="G723" s="124"/>
      <x:c r="H723" s="124"/>
      <x:c r="I723" s="124"/>
      <x:c r="J723" s="124"/>
      <x:c r="M723" s="126"/>
      <x:c r="P723" s="126"/>
      <x:c r="Q723" s="126"/>
      <x:c r="R723" s="126"/>
      <x:c r="S723" s="124"/>
      <x:c r="T723" s="124"/>
      <x:c r="U723" s="124"/>
      <x:c r="V723" s="124"/>
      <x:c r="W723" s="124"/>
      <x:c r="X723" s="124"/>
      <x:c r="AD723"/>
      <x:c r="AE723" s="145"/>
      <x:c r="AF723" s="145"/>
      <x:c r="AG723" s="145"/>
      <x:c r="AH723" s="145"/>
      <x:c r="AI723" s="145"/>
      <x:c r="AJ723"/>
    </x:row>
    <x:row r="724">
      <x:c r="F724" s="124"/>
      <x:c r="G724" s="124"/>
      <x:c r="H724" s="124"/>
      <x:c r="I724" s="124"/>
      <x:c r="J724" s="124"/>
      <x:c r="M724" s="126"/>
      <x:c r="P724" s="126"/>
      <x:c r="Q724" s="126"/>
      <x:c r="R724" s="126"/>
      <x:c r="S724" s="124"/>
      <x:c r="T724" s="124"/>
      <x:c r="U724" s="124"/>
      <x:c r="V724" s="124"/>
      <x:c r="W724" s="124"/>
      <x:c r="X724" s="124"/>
      <x:c r="AD724"/>
      <x:c r="AE724" s="145"/>
      <x:c r="AF724" s="145"/>
      <x:c r="AG724" s="145"/>
      <x:c r="AH724" s="145"/>
      <x:c r="AI724" s="145"/>
      <x:c r="AJ724"/>
    </x:row>
    <x:row r="725">
      <x:c r="F725" s="124"/>
      <x:c r="G725" s="124"/>
      <x:c r="H725" s="124"/>
      <x:c r="I725" s="124"/>
      <x:c r="J725" s="124"/>
      <x:c r="M725" s="126"/>
      <x:c r="P725" s="126"/>
      <x:c r="Q725" s="126"/>
      <x:c r="R725" s="126"/>
      <x:c r="S725" s="124"/>
      <x:c r="T725" s="124"/>
      <x:c r="U725" s="124"/>
      <x:c r="V725" s="124"/>
      <x:c r="W725" s="124"/>
      <x:c r="X725" s="124"/>
      <x:c r="AD725"/>
      <x:c r="AE725" s="145"/>
      <x:c r="AF725" s="145"/>
      <x:c r="AG725" s="145"/>
      <x:c r="AH725" s="145"/>
      <x:c r="AI725" s="145"/>
      <x:c r="AJ725"/>
    </x:row>
    <x:row r="726">
      <x:c r="F726" s="124"/>
      <x:c r="G726" s="124"/>
      <x:c r="H726" s="124"/>
      <x:c r="I726" s="124"/>
      <x:c r="J726" s="124"/>
      <x:c r="M726" s="126"/>
      <x:c r="P726" s="126"/>
      <x:c r="Q726" s="126"/>
      <x:c r="R726" s="126"/>
      <x:c r="S726" s="124"/>
      <x:c r="T726" s="124"/>
      <x:c r="U726" s="124"/>
      <x:c r="V726" s="124"/>
      <x:c r="W726" s="124"/>
      <x:c r="X726" s="124"/>
      <x:c r="AD726"/>
      <x:c r="AE726" s="145"/>
      <x:c r="AF726" s="145"/>
      <x:c r="AG726" s="145"/>
      <x:c r="AH726" s="145"/>
      <x:c r="AI726" s="145"/>
      <x:c r="AJ726"/>
    </x:row>
    <x:row r="727">
      <x:c r="F727" s="124"/>
      <x:c r="G727" s="124"/>
      <x:c r="H727" s="124"/>
      <x:c r="I727" s="124"/>
      <x:c r="J727" s="124"/>
      <x:c r="M727" s="126"/>
      <x:c r="P727" s="126"/>
      <x:c r="Q727" s="126"/>
      <x:c r="R727" s="126"/>
      <x:c r="S727" s="124"/>
      <x:c r="T727" s="124"/>
      <x:c r="U727" s="124"/>
      <x:c r="V727" s="124"/>
      <x:c r="W727" s="124"/>
      <x:c r="X727" s="124"/>
      <x:c r="AD727"/>
      <x:c r="AE727" s="145"/>
      <x:c r="AF727" s="145"/>
      <x:c r="AG727" s="145"/>
      <x:c r="AH727" s="145"/>
      <x:c r="AI727" s="145"/>
      <x:c r="AJ727"/>
    </x:row>
    <x:row r="728">
      <x:c r="F728" s="124"/>
      <x:c r="G728" s="124"/>
      <x:c r="H728" s="124"/>
      <x:c r="I728" s="124"/>
      <x:c r="J728" s="124"/>
      <x:c r="M728" s="126"/>
      <x:c r="P728" s="126"/>
      <x:c r="Q728" s="126"/>
      <x:c r="R728" s="126"/>
      <x:c r="S728" s="124"/>
      <x:c r="T728" s="124"/>
      <x:c r="U728" s="124"/>
      <x:c r="V728" s="124"/>
      <x:c r="W728" s="124"/>
      <x:c r="X728" s="124"/>
      <x:c r="AD728"/>
      <x:c r="AE728" s="145"/>
      <x:c r="AF728" s="145"/>
      <x:c r="AG728" s="145"/>
      <x:c r="AH728" s="145"/>
      <x:c r="AI728" s="145"/>
      <x:c r="AJ728"/>
    </x:row>
    <x:row r="729">
      <x:c r="F729" s="124"/>
      <x:c r="G729" s="124"/>
      <x:c r="H729" s="124"/>
      <x:c r="I729" s="124"/>
      <x:c r="J729" s="124"/>
      <x:c r="M729" s="126"/>
      <x:c r="P729" s="126"/>
      <x:c r="Q729" s="126"/>
      <x:c r="R729" s="126"/>
      <x:c r="S729" s="124"/>
      <x:c r="T729" s="124"/>
      <x:c r="U729" s="124"/>
      <x:c r="V729" s="124"/>
      <x:c r="W729" s="124"/>
      <x:c r="X729" s="124"/>
      <x:c r="AD729"/>
      <x:c r="AE729" s="145"/>
      <x:c r="AF729" s="145"/>
      <x:c r="AG729" s="145"/>
      <x:c r="AH729" s="145"/>
      <x:c r="AI729" s="145"/>
      <x:c r="AJ729"/>
    </x:row>
    <x:row r="730">
      <x:c r="F730" s="124"/>
      <x:c r="G730" s="124"/>
      <x:c r="H730" s="124"/>
      <x:c r="I730" s="124"/>
      <x:c r="J730" s="124"/>
      <x:c r="M730" s="126"/>
      <x:c r="P730" s="126"/>
      <x:c r="Q730" s="126"/>
      <x:c r="R730" s="126"/>
      <x:c r="S730" s="124"/>
      <x:c r="T730" s="124"/>
      <x:c r="U730" s="124"/>
      <x:c r="V730" s="124"/>
      <x:c r="W730" s="124"/>
      <x:c r="X730" s="124"/>
      <x:c r="AD730"/>
      <x:c r="AE730" s="145"/>
      <x:c r="AF730" s="145"/>
      <x:c r="AG730" s="145"/>
      <x:c r="AH730" s="145"/>
      <x:c r="AI730" s="145"/>
      <x:c r="AJ730"/>
    </x:row>
    <x:row r="731">
      <x:c r="F731" s="124"/>
      <x:c r="G731" s="124"/>
      <x:c r="H731" s="124"/>
      <x:c r="I731" s="124"/>
      <x:c r="J731" s="124"/>
      <x:c r="M731" s="126"/>
      <x:c r="P731" s="126"/>
      <x:c r="Q731" s="126"/>
      <x:c r="R731" s="126"/>
      <x:c r="S731" s="124"/>
      <x:c r="T731" s="124"/>
      <x:c r="U731" s="124"/>
      <x:c r="V731" s="124"/>
      <x:c r="W731" s="124"/>
      <x:c r="X731" s="124"/>
      <x:c r="AD731"/>
      <x:c r="AE731" s="145"/>
      <x:c r="AF731" s="145"/>
      <x:c r="AG731" s="145"/>
      <x:c r="AH731" s="145"/>
      <x:c r="AI731" s="145"/>
      <x:c r="AJ731"/>
    </x:row>
    <x:row r="732">
      <x:c r="F732" s="124"/>
      <x:c r="G732" s="124"/>
      <x:c r="H732" s="124"/>
      <x:c r="I732" s="124"/>
      <x:c r="J732" s="124"/>
      <x:c r="M732" s="126"/>
      <x:c r="P732" s="126"/>
      <x:c r="Q732" s="126"/>
      <x:c r="R732" s="126"/>
      <x:c r="S732" s="124"/>
      <x:c r="T732" s="124"/>
      <x:c r="U732" s="124"/>
      <x:c r="V732" s="124"/>
      <x:c r="W732" s="124"/>
      <x:c r="X732" s="124"/>
      <x:c r="AD732"/>
      <x:c r="AE732" s="145"/>
      <x:c r="AF732" s="145"/>
      <x:c r="AG732" s="145"/>
      <x:c r="AH732" s="145"/>
      <x:c r="AI732" s="145"/>
      <x:c r="AJ732"/>
    </x:row>
    <x:row r="733">
      <x:c r="F733" s="124"/>
      <x:c r="G733" s="124"/>
      <x:c r="H733" s="124"/>
      <x:c r="I733" s="124"/>
      <x:c r="J733" s="124"/>
      <x:c r="M733" s="126"/>
      <x:c r="P733" s="126"/>
      <x:c r="Q733" s="126"/>
      <x:c r="R733" s="126"/>
      <x:c r="S733" s="124"/>
      <x:c r="T733" s="124"/>
      <x:c r="U733" s="124"/>
      <x:c r="V733" s="124"/>
      <x:c r="W733" s="124"/>
      <x:c r="X733" s="124"/>
      <x:c r="AD733"/>
      <x:c r="AE733" s="145"/>
      <x:c r="AF733" s="145"/>
      <x:c r="AG733" s="145"/>
      <x:c r="AH733" s="145"/>
      <x:c r="AI733" s="145"/>
      <x:c r="AJ733"/>
    </x:row>
    <x:row r="734">
      <x:c r="F734" s="124"/>
      <x:c r="G734" s="124"/>
      <x:c r="H734" s="124"/>
      <x:c r="I734" s="124"/>
      <x:c r="J734" s="124"/>
      <x:c r="M734" s="126"/>
      <x:c r="P734" s="126"/>
      <x:c r="Q734" s="126"/>
      <x:c r="R734" s="126"/>
      <x:c r="S734" s="124"/>
      <x:c r="T734" s="124"/>
      <x:c r="U734" s="124"/>
      <x:c r="V734" s="124"/>
      <x:c r="W734" s="124"/>
      <x:c r="X734" s="124"/>
      <x:c r="AD734"/>
      <x:c r="AE734" s="145"/>
      <x:c r="AF734" s="145"/>
      <x:c r="AG734" s="145"/>
      <x:c r="AH734" s="145"/>
      <x:c r="AI734" s="145"/>
      <x:c r="AJ734"/>
    </x:row>
    <x:row r="735">
      <x:c r="F735" s="124"/>
      <x:c r="G735" s="124"/>
      <x:c r="H735" s="124"/>
      <x:c r="I735" s="124"/>
      <x:c r="J735" s="124"/>
      <x:c r="M735" s="126"/>
      <x:c r="P735" s="126"/>
      <x:c r="Q735" s="126"/>
      <x:c r="R735" s="126"/>
      <x:c r="S735" s="124"/>
      <x:c r="T735" s="124"/>
      <x:c r="U735" s="124"/>
      <x:c r="V735" s="124"/>
      <x:c r="W735" s="124"/>
      <x:c r="X735" s="124"/>
      <x:c r="AD735"/>
      <x:c r="AE735" s="145"/>
      <x:c r="AF735" s="145"/>
      <x:c r="AG735" s="145"/>
      <x:c r="AH735" s="145"/>
      <x:c r="AI735" s="145"/>
      <x:c r="AJ735"/>
    </x:row>
    <x:row r="736">
      <x:c r="F736" s="124"/>
      <x:c r="G736" s="124"/>
      <x:c r="H736" s="124"/>
      <x:c r="I736" s="124"/>
      <x:c r="J736" s="124"/>
      <x:c r="M736" s="126"/>
      <x:c r="P736" s="126"/>
      <x:c r="Q736" s="126"/>
      <x:c r="R736" s="126"/>
      <x:c r="S736" s="124"/>
      <x:c r="T736" s="124"/>
      <x:c r="U736" s="124"/>
      <x:c r="V736" s="124"/>
      <x:c r="W736" s="124"/>
      <x:c r="X736" s="124"/>
      <x:c r="AD736"/>
      <x:c r="AE736" s="145"/>
      <x:c r="AF736" s="145"/>
      <x:c r="AG736" s="145"/>
      <x:c r="AH736" s="145"/>
      <x:c r="AI736" s="145"/>
      <x:c r="AJ736"/>
    </x:row>
    <x:row r="737">
      <x:c r="F737" s="124"/>
      <x:c r="G737" s="124"/>
      <x:c r="H737" s="124"/>
      <x:c r="I737" s="124"/>
      <x:c r="J737" s="124"/>
      <x:c r="M737" s="126"/>
      <x:c r="P737" s="126"/>
      <x:c r="Q737" s="126"/>
      <x:c r="R737" s="126"/>
      <x:c r="S737" s="124"/>
      <x:c r="T737" s="124"/>
      <x:c r="U737" s="124"/>
      <x:c r="V737" s="124"/>
      <x:c r="W737" s="124"/>
      <x:c r="X737" s="124"/>
      <x:c r="AD737"/>
      <x:c r="AE737" s="145"/>
      <x:c r="AF737" s="145"/>
      <x:c r="AG737" s="145"/>
      <x:c r="AH737" s="145"/>
      <x:c r="AI737" s="145"/>
      <x:c r="AJ737"/>
    </x:row>
    <x:row r="738">
      <x:c r="F738" s="124"/>
      <x:c r="G738" s="124"/>
      <x:c r="H738" s="124"/>
      <x:c r="I738" s="124"/>
      <x:c r="J738" s="124"/>
      <x:c r="M738" s="126"/>
      <x:c r="P738" s="126"/>
      <x:c r="Q738" s="126"/>
      <x:c r="R738" s="126"/>
      <x:c r="S738" s="124"/>
      <x:c r="T738" s="124"/>
      <x:c r="U738" s="124"/>
      <x:c r="V738" s="124"/>
      <x:c r="W738" s="124"/>
      <x:c r="X738" s="124"/>
      <x:c r="AD738"/>
      <x:c r="AE738" s="145"/>
      <x:c r="AF738" s="145"/>
      <x:c r="AG738" s="145"/>
      <x:c r="AH738" s="145"/>
      <x:c r="AI738" s="145"/>
      <x:c r="AJ738"/>
    </x:row>
    <x:row r="739">
      <x:c r="F739" s="124"/>
      <x:c r="G739" s="124"/>
      <x:c r="H739" s="124"/>
      <x:c r="I739" s="124"/>
      <x:c r="J739" s="124"/>
      <x:c r="M739" s="126"/>
      <x:c r="P739" s="126"/>
      <x:c r="Q739" s="126"/>
      <x:c r="R739" s="126"/>
      <x:c r="S739" s="124"/>
      <x:c r="T739" s="124"/>
      <x:c r="U739" s="124"/>
      <x:c r="V739" s="124"/>
      <x:c r="W739" s="124"/>
      <x:c r="X739" s="124"/>
      <x:c r="AD739"/>
      <x:c r="AE739" s="145"/>
      <x:c r="AF739" s="145"/>
      <x:c r="AG739" s="145"/>
      <x:c r="AH739" s="145"/>
      <x:c r="AI739" s="145"/>
      <x:c r="AJ739"/>
    </x:row>
    <x:row r="740">
      <x:c r="F740" s="124"/>
      <x:c r="G740" s="124"/>
      <x:c r="H740" s="124"/>
      <x:c r="I740" s="124"/>
      <x:c r="J740" s="124"/>
      <x:c r="M740" s="126"/>
      <x:c r="P740" s="126"/>
      <x:c r="Q740" s="126"/>
      <x:c r="R740" s="126"/>
      <x:c r="S740" s="124"/>
      <x:c r="T740" s="124"/>
      <x:c r="U740" s="124"/>
      <x:c r="V740" s="124"/>
      <x:c r="W740" s="124"/>
      <x:c r="X740" s="124"/>
      <x:c r="AD740"/>
      <x:c r="AE740" s="145"/>
      <x:c r="AF740" s="145"/>
      <x:c r="AG740" s="145"/>
      <x:c r="AH740" s="145"/>
      <x:c r="AI740" s="145"/>
      <x:c r="AJ740"/>
    </x:row>
    <x:row r="741">
      <x:c r="F741" s="124"/>
      <x:c r="G741" s="124"/>
      <x:c r="H741" s="124"/>
      <x:c r="I741" s="124"/>
      <x:c r="J741" s="124"/>
      <x:c r="M741" s="126"/>
      <x:c r="P741" s="126"/>
      <x:c r="Q741" s="126"/>
      <x:c r="R741" s="126"/>
      <x:c r="S741" s="124"/>
      <x:c r="T741" s="124"/>
      <x:c r="U741" s="124"/>
      <x:c r="V741" s="124"/>
      <x:c r="W741" s="124"/>
      <x:c r="X741" s="124"/>
      <x:c r="AD741"/>
      <x:c r="AE741" s="145"/>
      <x:c r="AF741" s="145"/>
      <x:c r="AG741" s="145"/>
      <x:c r="AH741" s="145"/>
      <x:c r="AI741" s="145"/>
      <x:c r="AJ741"/>
    </x:row>
    <x:row r="742">
      <x:c r="F742" s="124"/>
      <x:c r="G742" s="124"/>
      <x:c r="H742" s="124"/>
      <x:c r="I742" s="124"/>
      <x:c r="J742" s="124"/>
      <x:c r="M742" s="126"/>
      <x:c r="P742" s="126"/>
      <x:c r="Q742" s="126"/>
      <x:c r="R742" s="126"/>
      <x:c r="S742" s="124"/>
      <x:c r="T742" s="124"/>
      <x:c r="U742" s="124"/>
      <x:c r="V742" s="124"/>
      <x:c r="W742" s="124"/>
      <x:c r="X742" s="124"/>
      <x:c r="AD742"/>
      <x:c r="AE742" s="145"/>
      <x:c r="AF742" s="145"/>
      <x:c r="AG742" s="145"/>
      <x:c r="AH742" s="145"/>
      <x:c r="AI742" s="145"/>
      <x:c r="AJ742"/>
    </x:row>
    <x:row r="743">
      <x:c r="F743" s="124"/>
      <x:c r="G743" s="124"/>
      <x:c r="H743" s="124"/>
      <x:c r="I743" s="124"/>
      <x:c r="J743" s="124"/>
      <x:c r="M743" s="126"/>
      <x:c r="P743" s="126"/>
      <x:c r="Q743" s="126"/>
      <x:c r="R743" s="126"/>
      <x:c r="S743" s="124"/>
      <x:c r="T743" s="124"/>
      <x:c r="U743" s="124"/>
      <x:c r="V743" s="124"/>
      <x:c r="W743" s="124"/>
      <x:c r="X743" s="124"/>
      <x:c r="AD743"/>
      <x:c r="AE743" s="145"/>
      <x:c r="AF743" s="145"/>
      <x:c r="AG743" s="145"/>
      <x:c r="AH743" s="145"/>
      <x:c r="AI743" s="145"/>
      <x:c r="AJ743"/>
    </x:row>
    <x:row r="744">
      <x:c r="F744" s="124"/>
      <x:c r="G744" s="124"/>
      <x:c r="H744" s="124"/>
      <x:c r="I744" s="124"/>
      <x:c r="J744" s="124"/>
      <x:c r="M744" s="126"/>
      <x:c r="P744" s="126"/>
      <x:c r="Q744" s="126"/>
      <x:c r="R744" s="126"/>
      <x:c r="S744" s="124"/>
      <x:c r="T744" s="124"/>
      <x:c r="U744" s="124"/>
      <x:c r="V744" s="124"/>
      <x:c r="W744" s="124"/>
      <x:c r="X744" s="124"/>
      <x:c r="AD744"/>
      <x:c r="AE744" s="145"/>
      <x:c r="AF744" s="145"/>
      <x:c r="AG744" s="145"/>
      <x:c r="AH744" s="145"/>
      <x:c r="AI744" s="145"/>
      <x:c r="AJ744"/>
    </x:row>
    <x:row r="745">
      <x:c r="F745" s="124"/>
      <x:c r="G745" s="124"/>
      <x:c r="H745" s="124"/>
      <x:c r="I745" s="124"/>
      <x:c r="J745" s="124"/>
      <x:c r="M745" s="126"/>
      <x:c r="P745" s="126"/>
      <x:c r="Q745" s="126"/>
      <x:c r="R745" s="126"/>
      <x:c r="S745" s="124"/>
      <x:c r="T745" s="124"/>
      <x:c r="U745" s="124"/>
      <x:c r="V745" s="124"/>
      <x:c r="W745" s="124"/>
      <x:c r="X745" s="124"/>
      <x:c r="AD745"/>
      <x:c r="AE745" s="145"/>
      <x:c r="AF745" s="145"/>
      <x:c r="AG745" s="145"/>
      <x:c r="AH745" s="145"/>
      <x:c r="AI745" s="145"/>
      <x:c r="AJ745"/>
    </x:row>
    <x:row r="746">
      <x:c r="F746" s="124"/>
      <x:c r="G746" s="124"/>
      <x:c r="H746" s="124"/>
      <x:c r="I746" s="124"/>
      <x:c r="J746" s="124"/>
      <x:c r="M746" s="126"/>
      <x:c r="P746" s="126"/>
      <x:c r="Q746" s="126"/>
      <x:c r="R746" s="126"/>
      <x:c r="S746" s="124"/>
      <x:c r="T746" s="124"/>
      <x:c r="U746" s="124"/>
      <x:c r="V746" s="124"/>
      <x:c r="W746" s="124"/>
      <x:c r="X746" s="124"/>
      <x:c r="AD746"/>
      <x:c r="AE746" s="145"/>
      <x:c r="AF746" s="145"/>
      <x:c r="AG746" s="145"/>
      <x:c r="AH746" s="145"/>
      <x:c r="AI746" s="145"/>
      <x:c r="AJ746"/>
    </x:row>
    <x:row r="747">
      <x:c r="F747" s="124"/>
      <x:c r="G747" s="124"/>
      <x:c r="H747" s="124"/>
      <x:c r="I747" s="124"/>
      <x:c r="J747" s="124"/>
      <x:c r="M747" s="126"/>
      <x:c r="P747" s="126"/>
      <x:c r="Q747" s="126"/>
      <x:c r="R747" s="126"/>
      <x:c r="S747" s="124"/>
      <x:c r="T747" s="124"/>
      <x:c r="U747" s="124"/>
      <x:c r="V747" s="124"/>
      <x:c r="W747" s="124"/>
      <x:c r="X747" s="124"/>
      <x:c r="AD747"/>
      <x:c r="AE747" s="145"/>
      <x:c r="AF747" s="145"/>
      <x:c r="AG747" s="145"/>
      <x:c r="AH747" s="145"/>
      <x:c r="AI747" s="145"/>
      <x:c r="AJ747"/>
    </x:row>
    <x:row r="748">
      <x:c r="F748" s="124"/>
      <x:c r="G748" s="124"/>
      <x:c r="H748" s="124"/>
      <x:c r="I748" s="124"/>
      <x:c r="J748" s="124"/>
      <x:c r="M748" s="126"/>
      <x:c r="P748" s="126"/>
      <x:c r="Q748" s="126"/>
      <x:c r="R748" s="126"/>
      <x:c r="S748" s="124"/>
      <x:c r="T748" s="124"/>
      <x:c r="U748" s="124"/>
      <x:c r="V748" s="124"/>
      <x:c r="W748" s="124"/>
      <x:c r="X748" s="124"/>
      <x:c r="AD748"/>
      <x:c r="AE748" s="145"/>
      <x:c r="AF748" s="145"/>
      <x:c r="AG748" s="145"/>
      <x:c r="AH748" s="145"/>
      <x:c r="AI748" s="145"/>
      <x:c r="AJ748"/>
    </x:row>
    <x:row r="749">
      <x:c r="F749" s="124"/>
      <x:c r="G749" s="124"/>
      <x:c r="H749" s="124"/>
      <x:c r="I749" s="124"/>
      <x:c r="J749" s="124"/>
      <x:c r="M749" s="126"/>
      <x:c r="P749" s="126"/>
      <x:c r="Q749" s="126"/>
      <x:c r="R749" s="126"/>
      <x:c r="S749" s="124"/>
      <x:c r="T749" s="124"/>
      <x:c r="U749" s="124"/>
      <x:c r="V749" s="124"/>
      <x:c r="W749" s="124"/>
      <x:c r="X749" s="124"/>
      <x:c r="AD749"/>
      <x:c r="AE749" s="145"/>
      <x:c r="AF749" s="145"/>
      <x:c r="AG749" s="145"/>
      <x:c r="AH749" s="145"/>
      <x:c r="AI749" s="145"/>
      <x:c r="AJ749"/>
    </x:row>
    <x:row r="750">
      <x:c r="F750" s="124"/>
      <x:c r="G750" s="124"/>
      <x:c r="H750" s="124"/>
      <x:c r="I750" s="124"/>
      <x:c r="J750" s="124"/>
      <x:c r="M750" s="126"/>
      <x:c r="P750" s="126"/>
      <x:c r="Q750" s="126"/>
      <x:c r="R750" s="126"/>
      <x:c r="S750" s="124"/>
      <x:c r="T750" s="124"/>
      <x:c r="U750" s="124"/>
      <x:c r="V750" s="124"/>
      <x:c r="W750" s="124"/>
      <x:c r="X750" s="124"/>
      <x:c r="AD750"/>
      <x:c r="AE750" s="145"/>
      <x:c r="AF750" s="145"/>
      <x:c r="AG750" s="145"/>
      <x:c r="AH750" s="145"/>
      <x:c r="AI750" s="145"/>
      <x:c r="AJ750"/>
    </x:row>
    <x:row r="751">
      <x:c r="F751" s="124"/>
      <x:c r="G751" s="124"/>
      <x:c r="H751" s="124"/>
      <x:c r="I751" s="124"/>
      <x:c r="J751" s="124"/>
      <x:c r="M751" s="126"/>
      <x:c r="P751" s="126"/>
      <x:c r="Q751" s="126"/>
      <x:c r="R751" s="126"/>
      <x:c r="S751" s="124"/>
      <x:c r="T751" s="124"/>
      <x:c r="U751" s="124"/>
      <x:c r="V751" s="124"/>
      <x:c r="W751" s="124"/>
      <x:c r="X751" s="124"/>
      <x:c r="AD751"/>
      <x:c r="AE751" s="145"/>
      <x:c r="AF751" s="145"/>
      <x:c r="AG751" s="145"/>
      <x:c r="AH751" s="145"/>
      <x:c r="AI751" s="145"/>
      <x:c r="AJ751"/>
    </x:row>
    <x:row r="752">
      <x:c r="F752" s="124"/>
      <x:c r="G752" s="124"/>
      <x:c r="H752" s="124"/>
      <x:c r="I752" s="124"/>
      <x:c r="J752" s="124"/>
      <x:c r="M752" s="126"/>
      <x:c r="P752" s="126"/>
      <x:c r="Q752" s="126"/>
      <x:c r="R752" s="126"/>
      <x:c r="S752" s="124"/>
      <x:c r="T752" s="124"/>
      <x:c r="U752" s="124"/>
      <x:c r="V752" s="124"/>
      <x:c r="W752" s="124"/>
      <x:c r="X752" s="124"/>
      <x:c r="AD752"/>
      <x:c r="AE752" s="145"/>
      <x:c r="AF752" s="145"/>
      <x:c r="AG752" s="145"/>
      <x:c r="AH752" s="145"/>
      <x:c r="AI752" s="145"/>
      <x:c r="AJ752"/>
    </x:row>
    <x:row r="753">
      <x:c r="F753" s="124"/>
      <x:c r="G753" s="124"/>
      <x:c r="H753" s="124"/>
      <x:c r="I753" s="124"/>
      <x:c r="J753" s="124"/>
      <x:c r="M753" s="126"/>
      <x:c r="P753" s="126"/>
      <x:c r="Q753" s="126"/>
      <x:c r="R753" s="126"/>
      <x:c r="S753" s="124"/>
      <x:c r="T753" s="124"/>
      <x:c r="U753" s="124"/>
      <x:c r="V753" s="124"/>
      <x:c r="W753" s="124"/>
      <x:c r="X753" s="124"/>
      <x:c r="AD753"/>
      <x:c r="AE753" s="145"/>
      <x:c r="AF753" s="145"/>
      <x:c r="AG753" s="145"/>
      <x:c r="AH753" s="145"/>
      <x:c r="AI753" s="145"/>
      <x:c r="AJ753"/>
    </x:row>
    <x:row r="754">
      <x:c r="F754" s="124"/>
      <x:c r="G754" s="124"/>
      <x:c r="H754" s="124"/>
      <x:c r="I754" s="124"/>
      <x:c r="J754" s="124"/>
      <x:c r="M754" s="126"/>
      <x:c r="P754" s="126"/>
      <x:c r="Q754" s="126"/>
      <x:c r="R754" s="126"/>
      <x:c r="S754" s="124"/>
      <x:c r="T754" s="124"/>
      <x:c r="U754" s="124"/>
      <x:c r="V754" s="124"/>
      <x:c r="W754" s="124"/>
      <x:c r="X754" s="124"/>
      <x:c r="AD754"/>
      <x:c r="AE754" s="145"/>
      <x:c r="AF754" s="145"/>
      <x:c r="AG754" s="145"/>
      <x:c r="AH754" s="145"/>
      <x:c r="AI754" s="145"/>
      <x:c r="AJ754"/>
    </x:row>
    <x:row r="755">
      <x:c r="F755" s="124"/>
      <x:c r="G755" s="124"/>
      <x:c r="H755" s="124"/>
      <x:c r="I755" s="124"/>
      <x:c r="J755" s="124"/>
      <x:c r="M755" s="126"/>
      <x:c r="P755" s="126"/>
      <x:c r="Q755" s="126"/>
      <x:c r="R755" s="126"/>
      <x:c r="S755" s="124"/>
      <x:c r="T755" s="124"/>
      <x:c r="U755" s="124"/>
      <x:c r="V755" s="124"/>
      <x:c r="W755" s="124"/>
      <x:c r="X755" s="124"/>
      <x:c r="AD755"/>
      <x:c r="AE755" s="145"/>
      <x:c r="AF755" s="145"/>
      <x:c r="AG755" s="145"/>
      <x:c r="AH755" s="145"/>
      <x:c r="AI755" s="145"/>
      <x:c r="AJ755"/>
    </x:row>
    <x:row r="756">
      <x:c r="F756" s="124"/>
      <x:c r="G756" s="124"/>
      <x:c r="H756" s="124"/>
      <x:c r="I756" s="124"/>
      <x:c r="J756" s="124"/>
      <x:c r="M756" s="126"/>
      <x:c r="P756" s="126"/>
      <x:c r="Q756" s="126"/>
      <x:c r="R756" s="126"/>
      <x:c r="S756" s="124"/>
      <x:c r="T756" s="124"/>
      <x:c r="U756" s="124"/>
      <x:c r="V756" s="124"/>
      <x:c r="W756" s="124"/>
      <x:c r="X756" s="124"/>
      <x:c r="AD756"/>
      <x:c r="AE756" s="145"/>
      <x:c r="AF756" s="145"/>
      <x:c r="AG756" s="145"/>
      <x:c r="AH756" s="145"/>
      <x:c r="AI756" s="145"/>
      <x:c r="AJ756"/>
    </x:row>
    <x:row r="757">
      <x:c r="F757" s="124"/>
      <x:c r="G757" s="124"/>
      <x:c r="H757" s="124"/>
      <x:c r="I757" s="124"/>
      <x:c r="J757" s="124"/>
      <x:c r="M757" s="126"/>
      <x:c r="P757" s="126"/>
      <x:c r="Q757" s="126"/>
      <x:c r="R757" s="126"/>
      <x:c r="S757" s="124"/>
      <x:c r="T757" s="124"/>
      <x:c r="U757" s="124"/>
      <x:c r="V757" s="124"/>
      <x:c r="W757" s="124"/>
      <x:c r="X757" s="124"/>
      <x:c r="AD757"/>
      <x:c r="AE757" s="145"/>
      <x:c r="AF757" s="145"/>
      <x:c r="AG757" s="145"/>
      <x:c r="AH757" s="145"/>
      <x:c r="AI757" s="145"/>
      <x:c r="AJ757"/>
    </x:row>
    <x:row r="758">
      <x:c r="F758" s="124"/>
      <x:c r="G758" s="124"/>
      <x:c r="H758" s="124"/>
      <x:c r="I758" s="124"/>
      <x:c r="J758" s="124"/>
      <x:c r="M758" s="126"/>
      <x:c r="P758" s="126"/>
      <x:c r="Q758" s="126"/>
      <x:c r="R758" s="126"/>
      <x:c r="S758" s="124"/>
      <x:c r="T758" s="124"/>
      <x:c r="U758" s="124"/>
      <x:c r="V758" s="124"/>
      <x:c r="W758" s="124"/>
      <x:c r="X758" s="124"/>
      <x:c r="AD758"/>
      <x:c r="AE758" s="145"/>
      <x:c r="AF758" s="145"/>
      <x:c r="AG758" s="145"/>
      <x:c r="AH758" s="145"/>
      <x:c r="AI758" s="145"/>
      <x:c r="AJ758"/>
    </x:row>
    <x:row r="759">
      <x:c r="F759" s="124"/>
      <x:c r="G759" s="124"/>
      <x:c r="H759" s="124"/>
      <x:c r="I759" s="124"/>
      <x:c r="J759" s="124"/>
      <x:c r="M759" s="126"/>
      <x:c r="P759" s="126"/>
      <x:c r="Q759" s="126"/>
      <x:c r="R759" s="126"/>
      <x:c r="S759" s="124"/>
      <x:c r="T759" s="124"/>
      <x:c r="U759" s="124"/>
      <x:c r="V759" s="124"/>
      <x:c r="W759" s="124"/>
      <x:c r="X759" s="124"/>
      <x:c r="AD759"/>
      <x:c r="AE759" s="145"/>
      <x:c r="AF759" s="145"/>
      <x:c r="AG759" s="145"/>
      <x:c r="AH759" s="145"/>
      <x:c r="AI759" s="145"/>
      <x:c r="AJ759"/>
    </x:row>
    <x:row r="760">
      <x:c r="F760" s="124"/>
      <x:c r="G760" s="124"/>
      <x:c r="H760" s="124"/>
      <x:c r="I760" s="124"/>
      <x:c r="J760" s="124"/>
      <x:c r="M760" s="126"/>
      <x:c r="P760" s="126"/>
      <x:c r="Q760" s="126"/>
      <x:c r="R760" s="126"/>
      <x:c r="S760" s="124"/>
      <x:c r="T760" s="124"/>
      <x:c r="U760" s="124"/>
      <x:c r="V760" s="124"/>
      <x:c r="W760" s="124"/>
      <x:c r="X760" s="124"/>
      <x:c r="AD760"/>
      <x:c r="AE760" s="145"/>
      <x:c r="AF760" s="145"/>
      <x:c r="AG760" s="145"/>
      <x:c r="AH760" s="145"/>
      <x:c r="AI760" s="145"/>
      <x:c r="AJ760"/>
    </x:row>
    <x:row r="761">
      <x:c r="F761" s="124"/>
      <x:c r="G761" s="124"/>
      <x:c r="H761" s="124"/>
      <x:c r="I761" s="124"/>
      <x:c r="J761" s="124"/>
      <x:c r="M761" s="126"/>
      <x:c r="P761" s="126"/>
      <x:c r="Q761" s="126"/>
      <x:c r="R761" s="126"/>
      <x:c r="S761" s="124"/>
      <x:c r="T761" s="124"/>
      <x:c r="U761" s="124"/>
      <x:c r="V761" s="124"/>
      <x:c r="W761" s="124"/>
      <x:c r="X761" s="124"/>
      <x:c r="AD761"/>
      <x:c r="AE761" s="145"/>
      <x:c r="AF761" s="145"/>
      <x:c r="AG761" s="145"/>
      <x:c r="AH761" s="145"/>
      <x:c r="AI761" s="145"/>
      <x:c r="AJ761"/>
    </x:row>
    <x:row r="762">
      <x:c r="F762" s="124"/>
      <x:c r="G762" s="124"/>
      <x:c r="H762" s="124"/>
      <x:c r="I762" s="124"/>
      <x:c r="J762" s="124"/>
      <x:c r="M762" s="126"/>
      <x:c r="P762" s="126"/>
      <x:c r="Q762" s="126"/>
      <x:c r="R762" s="126"/>
      <x:c r="S762" s="124"/>
      <x:c r="T762" s="124"/>
      <x:c r="U762" s="124"/>
      <x:c r="V762" s="124"/>
      <x:c r="W762" s="124"/>
      <x:c r="X762" s="124"/>
      <x:c r="AD762"/>
      <x:c r="AE762" s="145"/>
      <x:c r="AF762" s="145"/>
      <x:c r="AG762" s="145"/>
      <x:c r="AH762" s="145"/>
      <x:c r="AI762" s="145"/>
      <x:c r="AJ762"/>
    </x:row>
    <x:row r="763">
      <x:c r="F763" s="124"/>
      <x:c r="G763" s="124"/>
      <x:c r="H763" s="124"/>
      <x:c r="I763" s="124"/>
      <x:c r="J763" s="124"/>
      <x:c r="M763" s="126"/>
      <x:c r="P763" s="126"/>
      <x:c r="Q763" s="126"/>
      <x:c r="R763" s="126"/>
      <x:c r="S763" s="124"/>
      <x:c r="T763" s="124"/>
      <x:c r="U763" s="124"/>
      <x:c r="V763" s="124"/>
      <x:c r="W763" s="124"/>
      <x:c r="X763" s="124"/>
      <x:c r="AD763"/>
      <x:c r="AE763" s="145"/>
      <x:c r="AF763" s="145"/>
      <x:c r="AG763" s="145"/>
      <x:c r="AH763" s="145"/>
      <x:c r="AI763" s="145"/>
      <x:c r="AJ763"/>
    </x:row>
    <x:row r="764">
      <x:c r="F764" s="124"/>
      <x:c r="G764" s="124"/>
      <x:c r="H764" s="124"/>
      <x:c r="I764" s="124"/>
      <x:c r="J764" s="124"/>
      <x:c r="M764" s="126"/>
      <x:c r="P764" s="126"/>
      <x:c r="Q764" s="126"/>
      <x:c r="R764" s="126"/>
      <x:c r="S764" s="124"/>
      <x:c r="T764" s="124"/>
      <x:c r="U764" s="124"/>
      <x:c r="V764" s="124"/>
      <x:c r="W764" s="124"/>
      <x:c r="X764" s="124"/>
      <x:c r="AD764"/>
      <x:c r="AE764" s="145"/>
      <x:c r="AF764" s="145"/>
      <x:c r="AG764" s="145"/>
      <x:c r="AH764" s="145"/>
      <x:c r="AI764" s="145"/>
      <x:c r="AJ764"/>
    </x:row>
    <x:row r="765">
      <x:c r="F765" s="124"/>
      <x:c r="G765" s="124"/>
      <x:c r="H765" s="124"/>
      <x:c r="I765" s="124"/>
      <x:c r="J765" s="124"/>
      <x:c r="M765" s="126"/>
      <x:c r="P765" s="126"/>
      <x:c r="Q765" s="126"/>
      <x:c r="R765" s="126"/>
      <x:c r="S765" s="124"/>
      <x:c r="T765" s="124"/>
      <x:c r="U765" s="124"/>
      <x:c r="V765" s="124"/>
      <x:c r="W765" s="124"/>
      <x:c r="X765" s="124"/>
      <x:c r="AD765"/>
      <x:c r="AE765" s="145"/>
      <x:c r="AF765" s="145"/>
      <x:c r="AG765" s="145"/>
      <x:c r="AH765" s="145"/>
      <x:c r="AI765" s="145"/>
      <x:c r="AJ765"/>
    </x:row>
    <x:row r="766">
      <x:c r="F766" s="124"/>
      <x:c r="G766" s="124"/>
      <x:c r="H766" s="124"/>
      <x:c r="I766" s="124"/>
      <x:c r="J766" s="124"/>
      <x:c r="M766" s="126"/>
      <x:c r="P766" s="126"/>
      <x:c r="Q766" s="126"/>
      <x:c r="R766" s="126"/>
      <x:c r="S766" s="124"/>
      <x:c r="T766" s="124"/>
      <x:c r="U766" s="124"/>
      <x:c r="V766" s="124"/>
      <x:c r="W766" s="124"/>
      <x:c r="X766" s="124"/>
      <x:c r="AD766"/>
      <x:c r="AE766" s="145"/>
      <x:c r="AF766" s="145"/>
      <x:c r="AG766" s="145"/>
      <x:c r="AH766" s="145"/>
      <x:c r="AI766" s="145"/>
      <x:c r="AJ766"/>
    </x:row>
    <x:row r="767">
      <x:c r="F767" s="124"/>
      <x:c r="G767" s="124"/>
      <x:c r="H767" s="124"/>
      <x:c r="I767" s="124"/>
      <x:c r="J767" s="124"/>
      <x:c r="M767" s="126"/>
      <x:c r="P767" s="126"/>
      <x:c r="Q767" s="126"/>
      <x:c r="R767" s="126"/>
      <x:c r="S767" s="124"/>
      <x:c r="T767" s="124"/>
      <x:c r="U767" s="124"/>
      <x:c r="V767" s="124"/>
      <x:c r="W767" s="124"/>
      <x:c r="X767" s="124"/>
      <x:c r="AD767"/>
      <x:c r="AE767" s="145"/>
      <x:c r="AF767" s="145"/>
      <x:c r="AG767" s="145"/>
      <x:c r="AH767" s="145"/>
      <x:c r="AI767" s="145"/>
      <x:c r="AJ767"/>
    </x:row>
    <x:row r="768">
      <x:c r="F768" s="124"/>
      <x:c r="G768" s="124"/>
      <x:c r="H768" s="124"/>
      <x:c r="I768" s="124"/>
      <x:c r="J768" s="124"/>
      <x:c r="M768" s="126"/>
      <x:c r="P768" s="126"/>
      <x:c r="Q768" s="126"/>
      <x:c r="R768" s="126"/>
      <x:c r="S768" s="124"/>
      <x:c r="T768" s="124"/>
      <x:c r="U768" s="124"/>
      <x:c r="V768" s="124"/>
      <x:c r="W768" s="124"/>
      <x:c r="X768" s="124"/>
      <x:c r="AD768"/>
      <x:c r="AE768" s="145"/>
      <x:c r="AF768" s="145"/>
      <x:c r="AG768" s="145"/>
      <x:c r="AH768" s="145"/>
      <x:c r="AI768" s="145"/>
      <x:c r="AJ768"/>
    </x:row>
    <x:row r="769">
      <x:c r="F769" s="124"/>
      <x:c r="G769" s="124"/>
      <x:c r="H769" s="124"/>
      <x:c r="I769" s="124"/>
      <x:c r="J769" s="124"/>
      <x:c r="M769" s="126"/>
      <x:c r="P769" s="126"/>
      <x:c r="Q769" s="126"/>
      <x:c r="R769" s="126"/>
      <x:c r="S769" s="124"/>
      <x:c r="T769" s="124"/>
      <x:c r="U769" s="124"/>
      <x:c r="V769" s="124"/>
      <x:c r="W769" s="124"/>
      <x:c r="X769" s="124"/>
      <x:c r="AD769"/>
      <x:c r="AE769" s="145"/>
      <x:c r="AF769" s="145"/>
      <x:c r="AG769" s="145"/>
      <x:c r="AH769" s="145"/>
      <x:c r="AI769" s="145"/>
      <x:c r="AJ769"/>
    </x:row>
    <x:row r="770">
      <x:c r="F770" s="124"/>
      <x:c r="G770" s="124"/>
      <x:c r="H770" s="124"/>
      <x:c r="I770" s="124"/>
      <x:c r="J770" s="124"/>
      <x:c r="M770" s="126"/>
      <x:c r="P770" s="126"/>
      <x:c r="Q770" s="126"/>
      <x:c r="R770" s="126"/>
      <x:c r="S770" s="124"/>
      <x:c r="T770" s="124"/>
      <x:c r="U770" s="124"/>
      <x:c r="V770" s="124"/>
      <x:c r="W770" s="124"/>
      <x:c r="X770" s="124"/>
      <x:c r="AD770"/>
      <x:c r="AE770" s="145"/>
      <x:c r="AF770" s="145"/>
      <x:c r="AG770" s="145"/>
      <x:c r="AH770" s="145"/>
      <x:c r="AI770" s="145"/>
      <x:c r="AJ770"/>
    </x:row>
    <x:row r="771">
      <x:c r="F771" s="124"/>
      <x:c r="G771" s="124"/>
      <x:c r="H771" s="124"/>
      <x:c r="I771" s="124"/>
      <x:c r="J771" s="124"/>
      <x:c r="M771" s="126"/>
      <x:c r="P771" s="126"/>
      <x:c r="Q771" s="126"/>
      <x:c r="R771" s="126"/>
      <x:c r="S771" s="124"/>
      <x:c r="T771" s="124"/>
      <x:c r="U771" s="124"/>
      <x:c r="V771" s="124"/>
      <x:c r="W771" s="124"/>
      <x:c r="X771" s="124"/>
      <x:c r="AD771"/>
      <x:c r="AE771" s="145"/>
      <x:c r="AF771" s="145"/>
      <x:c r="AG771" s="145"/>
      <x:c r="AH771" s="145"/>
      <x:c r="AI771" s="145"/>
      <x:c r="AJ771"/>
    </x:row>
    <x:row r="772">
      <x:c r="F772" s="124"/>
      <x:c r="G772" s="124"/>
      <x:c r="H772" s="124"/>
      <x:c r="I772" s="124"/>
      <x:c r="J772" s="124"/>
      <x:c r="M772" s="126"/>
      <x:c r="P772" s="126"/>
      <x:c r="Q772" s="126"/>
      <x:c r="R772" s="126"/>
      <x:c r="S772" s="124"/>
      <x:c r="T772" s="124"/>
      <x:c r="U772" s="124"/>
      <x:c r="V772" s="124"/>
      <x:c r="W772" s="124"/>
      <x:c r="X772" s="124"/>
      <x:c r="AD772"/>
      <x:c r="AE772" s="145"/>
      <x:c r="AF772" s="145"/>
      <x:c r="AG772" s="145"/>
      <x:c r="AH772" s="145"/>
      <x:c r="AI772" s="145"/>
      <x:c r="AJ772"/>
    </x:row>
    <x:row r="773">
      <x:c r="F773" s="124"/>
      <x:c r="G773" s="124"/>
      <x:c r="H773" s="124"/>
      <x:c r="I773" s="124"/>
      <x:c r="J773" s="124"/>
      <x:c r="M773" s="126"/>
      <x:c r="P773" s="126"/>
      <x:c r="Q773" s="126"/>
      <x:c r="R773" s="126"/>
      <x:c r="S773" s="124"/>
      <x:c r="T773" s="124"/>
      <x:c r="U773" s="124"/>
      <x:c r="V773" s="124"/>
      <x:c r="W773" s="124"/>
      <x:c r="X773" s="124"/>
      <x:c r="AD773"/>
      <x:c r="AE773" s="145"/>
      <x:c r="AF773" s="145"/>
      <x:c r="AG773" s="145"/>
      <x:c r="AH773" s="145"/>
      <x:c r="AI773" s="145"/>
      <x:c r="AJ773"/>
    </x:row>
    <x:row r="774">
      <x:c r="F774" s="124"/>
      <x:c r="G774" s="124"/>
      <x:c r="H774" s="124"/>
      <x:c r="I774" s="124"/>
      <x:c r="J774" s="124"/>
      <x:c r="M774" s="126"/>
      <x:c r="P774" s="126"/>
      <x:c r="Q774" s="126"/>
      <x:c r="R774" s="126"/>
      <x:c r="S774" s="124"/>
      <x:c r="T774" s="124"/>
      <x:c r="U774" s="124"/>
      <x:c r="V774" s="124"/>
      <x:c r="W774" s="124"/>
      <x:c r="X774" s="124"/>
      <x:c r="AD774"/>
      <x:c r="AE774" s="145"/>
      <x:c r="AF774" s="145"/>
      <x:c r="AG774" s="145"/>
      <x:c r="AH774" s="145"/>
      <x:c r="AI774" s="145"/>
      <x:c r="AJ774"/>
    </x:row>
    <x:row r="775">
      <x:c r="F775" s="124"/>
      <x:c r="G775" s="124"/>
      <x:c r="H775" s="124"/>
      <x:c r="I775" s="124"/>
      <x:c r="J775" s="124"/>
      <x:c r="M775" s="126"/>
      <x:c r="P775" s="126"/>
      <x:c r="Q775" s="126"/>
      <x:c r="R775" s="126"/>
      <x:c r="S775" s="124"/>
      <x:c r="T775" s="124"/>
      <x:c r="U775" s="124"/>
      <x:c r="V775" s="124"/>
      <x:c r="W775" s="124"/>
      <x:c r="X775" s="124"/>
      <x:c r="AD775"/>
      <x:c r="AE775" s="145"/>
      <x:c r="AF775" s="145"/>
      <x:c r="AG775" s="145"/>
      <x:c r="AH775" s="145"/>
      <x:c r="AI775" s="145"/>
      <x:c r="AJ775"/>
    </x:row>
    <x:row r="776">
      <x:c r="F776" s="124"/>
      <x:c r="G776" s="124"/>
      <x:c r="H776" s="124"/>
      <x:c r="I776" s="124"/>
      <x:c r="J776" s="124"/>
      <x:c r="M776" s="126"/>
      <x:c r="P776" s="126"/>
      <x:c r="Q776" s="126"/>
      <x:c r="R776" s="126"/>
      <x:c r="S776" s="124"/>
      <x:c r="T776" s="124"/>
      <x:c r="U776" s="124"/>
      <x:c r="V776" s="124"/>
      <x:c r="W776" s="124"/>
      <x:c r="X776" s="124"/>
      <x:c r="AD776"/>
      <x:c r="AE776" s="145"/>
      <x:c r="AF776" s="145"/>
      <x:c r="AG776" s="145"/>
      <x:c r="AH776" s="145"/>
      <x:c r="AI776" s="145"/>
      <x:c r="AJ776"/>
    </x:row>
    <x:row r="777">
      <x:c r="F777" s="124"/>
      <x:c r="G777" s="124"/>
      <x:c r="H777" s="124"/>
      <x:c r="I777" s="124"/>
      <x:c r="J777" s="124"/>
      <x:c r="M777" s="126"/>
      <x:c r="P777" s="126"/>
      <x:c r="Q777" s="126"/>
      <x:c r="R777" s="126"/>
      <x:c r="S777" s="124"/>
      <x:c r="T777" s="124"/>
      <x:c r="U777" s="124"/>
      <x:c r="V777" s="124"/>
      <x:c r="W777" s="124"/>
      <x:c r="X777" s="124"/>
      <x:c r="AD777"/>
      <x:c r="AE777" s="145"/>
      <x:c r="AF777" s="145"/>
      <x:c r="AG777" s="145"/>
      <x:c r="AH777" s="145"/>
      <x:c r="AI777" s="145"/>
      <x:c r="AJ777"/>
    </x:row>
    <x:row r="778">
      <x:c r="F778" s="124"/>
      <x:c r="G778" s="124"/>
      <x:c r="H778" s="124"/>
      <x:c r="I778" s="124"/>
      <x:c r="J778" s="124"/>
      <x:c r="M778" s="126"/>
      <x:c r="P778" s="126"/>
      <x:c r="Q778" s="126"/>
      <x:c r="R778" s="126"/>
      <x:c r="S778" s="124"/>
      <x:c r="T778" s="124"/>
      <x:c r="U778" s="124"/>
      <x:c r="V778" s="124"/>
      <x:c r="W778" s="124"/>
      <x:c r="X778" s="124"/>
      <x:c r="AD778"/>
      <x:c r="AE778" s="145"/>
      <x:c r="AF778" s="145"/>
      <x:c r="AG778" s="145"/>
      <x:c r="AH778" s="145"/>
      <x:c r="AI778" s="145"/>
      <x:c r="AJ778"/>
    </x:row>
    <x:row r="779">
      <x:c r="F779" s="124"/>
      <x:c r="G779" s="124"/>
      <x:c r="H779" s="124"/>
      <x:c r="I779" s="124"/>
      <x:c r="J779" s="124"/>
      <x:c r="M779" s="126"/>
      <x:c r="P779" s="126"/>
      <x:c r="Q779" s="126"/>
      <x:c r="R779" s="126"/>
      <x:c r="S779" s="124"/>
      <x:c r="T779" s="124"/>
      <x:c r="U779" s="124"/>
      <x:c r="V779" s="124"/>
      <x:c r="W779" s="124"/>
      <x:c r="X779" s="124"/>
      <x:c r="AD779"/>
      <x:c r="AE779" s="145"/>
      <x:c r="AF779" s="145"/>
      <x:c r="AG779" s="145"/>
      <x:c r="AH779" s="145"/>
      <x:c r="AI779" s="145"/>
      <x:c r="AJ779"/>
    </x:row>
    <x:row r="780">
      <x:c r="F780" s="124"/>
      <x:c r="G780" s="124"/>
      <x:c r="H780" s="124"/>
      <x:c r="I780" s="124"/>
      <x:c r="J780" s="124"/>
      <x:c r="M780" s="126"/>
      <x:c r="P780" s="126"/>
      <x:c r="Q780" s="126"/>
      <x:c r="R780" s="126"/>
      <x:c r="S780" s="124"/>
      <x:c r="T780" s="124"/>
      <x:c r="U780" s="124"/>
      <x:c r="V780" s="124"/>
      <x:c r="W780" s="124"/>
      <x:c r="X780" s="124"/>
      <x:c r="AD780"/>
      <x:c r="AE780" s="145"/>
      <x:c r="AF780" s="145"/>
      <x:c r="AG780" s="145"/>
      <x:c r="AH780" s="145"/>
      <x:c r="AI780" s="145"/>
      <x:c r="AJ780"/>
    </x:row>
    <x:row r="781">
      <x:c r="F781" s="124"/>
      <x:c r="G781" s="124"/>
      <x:c r="H781" s="124"/>
      <x:c r="I781" s="124"/>
      <x:c r="J781" s="124"/>
      <x:c r="M781" s="126"/>
      <x:c r="P781" s="126"/>
      <x:c r="Q781" s="126"/>
      <x:c r="R781" s="126"/>
      <x:c r="S781" s="124"/>
      <x:c r="T781" s="124"/>
      <x:c r="U781" s="124"/>
      <x:c r="V781" s="124"/>
      <x:c r="W781" s="124"/>
      <x:c r="X781" s="124"/>
      <x:c r="AD781"/>
      <x:c r="AE781" s="145"/>
      <x:c r="AF781" s="145"/>
      <x:c r="AG781" s="145"/>
      <x:c r="AH781" s="145"/>
      <x:c r="AI781" s="145"/>
      <x:c r="AJ781"/>
    </x:row>
    <x:row r="782">
      <x:c r="F782" s="124"/>
      <x:c r="G782" s="124"/>
      <x:c r="H782" s="124"/>
      <x:c r="I782" s="124"/>
      <x:c r="J782" s="124"/>
      <x:c r="M782" s="126"/>
      <x:c r="P782" s="126"/>
      <x:c r="Q782" s="126"/>
      <x:c r="R782" s="126"/>
      <x:c r="S782" s="124"/>
      <x:c r="T782" s="124"/>
      <x:c r="U782" s="124"/>
      <x:c r="V782" s="124"/>
      <x:c r="W782" s="124"/>
      <x:c r="X782" s="124"/>
      <x:c r="AD782"/>
      <x:c r="AE782" s="145"/>
      <x:c r="AF782" s="145"/>
      <x:c r="AG782" s="145"/>
      <x:c r="AH782" s="145"/>
      <x:c r="AI782" s="145"/>
      <x:c r="AJ782"/>
    </x:row>
    <x:row r="783">
      <x:c r="F783" s="124"/>
      <x:c r="G783" s="124"/>
      <x:c r="H783" s="124"/>
      <x:c r="I783" s="124"/>
      <x:c r="J783" s="124"/>
      <x:c r="M783" s="126"/>
      <x:c r="P783" s="126"/>
      <x:c r="Q783" s="126"/>
      <x:c r="R783" s="126"/>
      <x:c r="S783" s="124"/>
      <x:c r="T783" s="124"/>
      <x:c r="U783" s="124"/>
      <x:c r="V783" s="124"/>
      <x:c r="W783" s="124"/>
      <x:c r="X783" s="124"/>
      <x:c r="AD783"/>
      <x:c r="AE783" s="145"/>
      <x:c r="AF783" s="145"/>
      <x:c r="AG783" s="145"/>
      <x:c r="AH783" s="145"/>
      <x:c r="AI783" s="145"/>
      <x:c r="AJ783"/>
    </x:row>
    <x:row r="784">
      <x:c r="F784" s="124"/>
      <x:c r="G784" s="124"/>
      <x:c r="H784" s="124"/>
      <x:c r="I784" s="124"/>
      <x:c r="J784" s="124"/>
      <x:c r="M784" s="126"/>
      <x:c r="P784" s="126"/>
      <x:c r="Q784" s="126"/>
      <x:c r="R784" s="126"/>
      <x:c r="S784" s="124"/>
      <x:c r="T784" s="124"/>
      <x:c r="U784" s="124"/>
      <x:c r="V784" s="124"/>
      <x:c r="W784" s="124"/>
      <x:c r="X784" s="124"/>
      <x:c r="AD784"/>
      <x:c r="AE784" s="145"/>
      <x:c r="AF784" s="145"/>
      <x:c r="AG784" s="145"/>
      <x:c r="AH784" s="145"/>
      <x:c r="AI784" s="145"/>
      <x:c r="AJ784"/>
    </x:row>
    <x:row r="785">
      <x:c r="F785" s="124"/>
      <x:c r="G785" s="124"/>
      <x:c r="H785" s="124"/>
      <x:c r="I785" s="124"/>
      <x:c r="J785" s="124"/>
      <x:c r="M785" s="126"/>
      <x:c r="P785" s="126"/>
      <x:c r="Q785" s="126"/>
      <x:c r="R785" s="126"/>
      <x:c r="S785" s="124"/>
      <x:c r="T785" s="124"/>
      <x:c r="U785" s="124"/>
      <x:c r="V785" s="124"/>
      <x:c r="W785" s="124"/>
      <x:c r="X785" s="124"/>
      <x:c r="AD785"/>
      <x:c r="AE785" s="145"/>
      <x:c r="AF785" s="145"/>
      <x:c r="AG785" s="145"/>
      <x:c r="AH785" s="145"/>
      <x:c r="AI785" s="145"/>
      <x:c r="AJ785"/>
    </x:row>
    <x:row r="786">
      <x:c r="F786" s="124"/>
      <x:c r="G786" s="124"/>
      <x:c r="H786" s="124"/>
      <x:c r="I786" s="124"/>
      <x:c r="J786" s="124"/>
      <x:c r="M786" s="126"/>
      <x:c r="P786" s="126"/>
      <x:c r="Q786" s="126"/>
      <x:c r="R786" s="126"/>
      <x:c r="S786" s="124"/>
      <x:c r="T786" s="124"/>
      <x:c r="U786" s="124"/>
      <x:c r="V786" s="124"/>
      <x:c r="W786" s="124"/>
      <x:c r="X786" s="124"/>
      <x:c r="AD786"/>
      <x:c r="AE786" s="145"/>
      <x:c r="AF786" s="145"/>
      <x:c r="AG786" s="145"/>
      <x:c r="AH786" s="145"/>
      <x:c r="AI786" s="145"/>
      <x:c r="AJ786"/>
    </x:row>
    <x:row r="787">
      <x:c r="F787" s="124"/>
      <x:c r="G787" s="124"/>
      <x:c r="H787" s="124"/>
      <x:c r="I787" s="124"/>
      <x:c r="J787" s="124"/>
      <x:c r="M787" s="126"/>
      <x:c r="P787" s="126"/>
      <x:c r="Q787" s="126"/>
      <x:c r="R787" s="126"/>
      <x:c r="S787" s="124"/>
      <x:c r="T787" s="124"/>
      <x:c r="U787" s="124"/>
      <x:c r="V787" s="124"/>
      <x:c r="W787" s="124"/>
      <x:c r="X787" s="124"/>
      <x:c r="AD787"/>
      <x:c r="AE787" s="145"/>
      <x:c r="AF787" s="145"/>
      <x:c r="AG787" s="145"/>
      <x:c r="AH787" s="145"/>
      <x:c r="AI787" s="145"/>
      <x:c r="AJ787"/>
    </x:row>
    <x:row r="788">
      <x:c r="F788" s="124"/>
      <x:c r="G788" s="124"/>
      <x:c r="H788" s="124"/>
      <x:c r="I788" s="124"/>
      <x:c r="J788" s="124"/>
      <x:c r="M788" s="126"/>
      <x:c r="P788" s="126"/>
      <x:c r="Q788" s="126"/>
      <x:c r="R788" s="126"/>
      <x:c r="S788" s="124"/>
      <x:c r="T788" s="124"/>
      <x:c r="U788" s="124"/>
      <x:c r="V788" s="124"/>
      <x:c r="W788" s="124"/>
      <x:c r="X788" s="124"/>
      <x:c r="AD788"/>
      <x:c r="AE788" s="145"/>
      <x:c r="AF788" s="145"/>
      <x:c r="AG788" s="145"/>
      <x:c r="AH788" s="145"/>
      <x:c r="AI788" s="145"/>
      <x:c r="AJ788"/>
    </x:row>
    <x:row r="789">
      <x:c r="F789" s="124"/>
      <x:c r="G789" s="124"/>
      <x:c r="H789" s="124"/>
      <x:c r="I789" s="124"/>
      <x:c r="J789" s="124"/>
      <x:c r="M789" s="126"/>
      <x:c r="P789" s="126"/>
      <x:c r="Q789" s="126"/>
      <x:c r="R789" s="126"/>
      <x:c r="S789" s="124"/>
      <x:c r="T789" s="124"/>
      <x:c r="U789" s="124"/>
      <x:c r="V789" s="124"/>
      <x:c r="W789" s="124"/>
      <x:c r="X789" s="124"/>
      <x:c r="AD789"/>
      <x:c r="AE789" s="145"/>
      <x:c r="AF789" s="145"/>
      <x:c r="AG789" s="145"/>
      <x:c r="AH789" s="145"/>
      <x:c r="AI789" s="145"/>
      <x:c r="AJ789"/>
    </x:row>
    <x:row r="790">
      <x:c r="F790" s="124"/>
      <x:c r="G790" s="124"/>
      <x:c r="H790" s="124"/>
      <x:c r="I790" s="124"/>
      <x:c r="J790" s="124"/>
      <x:c r="M790" s="126"/>
      <x:c r="P790" s="126"/>
      <x:c r="Q790" s="126"/>
      <x:c r="R790" s="126"/>
      <x:c r="S790" s="124"/>
      <x:c r="T790" s="124"/>
      <x:c r="U790" s="124"/>
      <x:c r="V790" s="124"/>
      <x:c r="W790" s="124"/>
      <x:c r="X790" s="124"/>
      <x:c r="AD790"/>
      <x:c r="AE790" s="145"/>
      <x:c r="AF790" s="145"/>
      <x:c r="AG790" s="145"/>
      <x:c r="AH790" s="145"/>
      <x:c r="AI790" s="145"/>
      <x:c r="AJ790"/>
    </x:row>
    <x:row r="791">
      <x:c r="F791" s="124"/>
      <x:c r="G791" s="124"/>
      <x:c r="H791" s="124"/>
      <x:c r="I791" s="124"/>
      <x:c r="J791" s="124"/>
      <x:c r="M791" s="126"/>
      <x:c r="P791" s="126"/>
      <x:c r="Q791" s="126"/>
      <x:c r="R791" s="126"/>
      <x:c r="S791" s="124"/>
      <x:c r="T791" s="124"/>
      <x:c r="U791" s="124"/>
      <x:c r="V791" s="124"/>
      <x:c r="W791" s="124"/>
      <x:c r="X791" s="124"/>
      <x:c r="AD791"/>
      <x:c r="AE791" s="145"/>
      <x:c r="AF791" s="145"/>
      <x:c r="AG791" s="145"/>
      <x:c r="AH791" s="145"/>
      <x:c r="AI791" s="145"/>
      <x:c r="AJ791"/>
    </x:row>
    <x:row r="792">
      <x:c r="F792" s="124"/>
      <x:c r="G792" s="124"/>
      <x:c r="H792" s="124"/>
      <x:c r="I792" s="124"/>
      <x:c r="J792" s="124"/>
      <x:c r="M792" s="126"/>
      <x:c r="P792" s="126"/>
      <x:c r="Q792" s="126"/>
      <x:c r="R792" s="126"/>
      <x:c r="S792" s="124"/>
      <x:c r="T792" s="124"/>
      <x:c r="U792" s="124"/>
      <x:c r="V792" s="124"/>
      <x:c r="W792" s="124"/>
      <x:c r="X792" s="124"/>
      <x:c r="AD792"/>
      <x:c r="AE792" s="145"/>
      <x:c r="AF792" s="145"/>
      <x:c r="AG792" s="145"/>
      <x:c r="AH792" s="145"/>
      <x:c r="AI792" s="145"/>
      <x:c r="AJ792"/>
    </x:row>
    <x:row r="793">
      <x:c r="F793" s="124"/>
      <x:c r="G793" s="124"/>
      <x:c r="H793" s="124"/>
      <x:c r="I793" s="124"/>
      <x:c r="J793" s="124"/>
      <x:c r="M793" s="126"/>
      <x:c r="P793" s="126"/>
      <x:c r="Q793" s="126"/>
      <x:c r="R793" s="126"/>
      <x:c r="S793" s="124"/>
      <x:c r="T793" s="124"/>
      <x:c r="U793" s="124"/>
      <x:c r="V793" s="124"/>
      <x:c r="W793" s="124"/>
      <x:c r="X793" s="124"/>
      <x:c r="AD793"/>
      <x:c r="AE793" s="145"/>
      <x:c r="AF793" s="145"/>
      <x:c r="AG793" s="145"/>
      <x:c r="AH793" s="145"/>
      <x:c r="AI793" s="145"/>
      <x:c r="AJ793"/>
    </x:row>
    <x:row r="794">
      <x:c r="F794" s="124"/>
      <x:c r="G794" s="124"/>
      <x:c r="H794" s="124"/>
      <x:c r="I794" s="124"/>
      <x:c r="J794" s="124"/>
      <x:c r="M794" s="126"/>
      <x:c r="P794" s="126"/>
      <x:c r="Q794" s="126"/>
      <x:c r="R794" s="126"/>
      <x:c r="S794" s="124"/>
      <x:c r="T794" s="124"/>
      <x:c r="U794" s="124"/>
      <x:c r="V794" s="124"/>
      <x:c r="W794" s="124"/>
      <x:c r="X794" s="124"/>
      <x:c r="AD794"/>
      <x:c r="AE794" s="145"/>
      <x:c r="AF794" s="145"/>
      <x:c r="AG794" s="145"/>
      <x:c r="AH794" s="145"/>
      <x:c r="AI794" s="145"/>
      <x:c r="AJ794"/>
    </x:row>
    <x:row r="795">
      <x:c r="F795" s="124"/>
      <x:c r="G795" s="124"/>
      <x:c r="H795" s="124"/>
      <x:c r="I795" s="124"/>
      <x:c r="J795" s="124"/>
      <x:c r="M795" s="126"/>
      <x:c r="P795" s="126"/>
      <x:c r="Q795" s="126"/>
      <x:c r="R795" s="126"/>
      <x:c r="S795" s="124"/>
      <x:c r="T795" s="124"/>
      <x:c r="U795" s="124"/>
      <x:c r="V795" s="124"/>
      <x:c r="W795" s="124"/>
      <x:c r="X795" s="124"/>
      <x:c r="AD795"/>
      <x:c r="AE795" s="145"/>
      <x:c r="AF795" s="145"/>
      <x:c r="AG795" s="145"/>
      <x:c r="AH795" s="145"/>
      <x:c r="AI795" s="145"/>
      <x:c r="AJ795"/>
    </x:row>
    <x:row r="796">
      <x:c r="F796" s="124"/>
      <x:c r="G796" s="124"/>
      <x:c r="H796" s="124"/>
      <x:c r="I796" s="124"/>
      <x:c r="J796" s="124"/>
      <x:c r="M796" s="126"/>
      <x:c r="P796" s="126"/>
      <x:c r="Q796" s="126"/>
      <x:c r="R796" s="126"/>
      <x:c r="S796" s="124"/>
      <x:c r="T796" s="124"/>
      <x:c r="U796" s="124"/>
      <x:c r="V796" s="124"/>
      <x:c r="W796" s="124"/>
      <x:c r="X796" s="124"/>
      <x:c r="AD796"/>
      <x:c r="AE796" s="145"/>
      <x:c r="AF796" s="145"/>
      <x:c r="AG796" s="145"/>
      <x:c r="AH796" s="145"/>
      <x:c r="AI796" s="145"/>
      <x:c r="AJ796"/>
    </x:row>
    <x:row r="797">
      <x:c r="F797" s="124"/>
      <x:c r="G797" s="124"/>
      <x:c r="H797" s="124"/>
      <x:c r="I797" s="124"/>
      <x:c r="J797" s="124"/>
      <x:c r="M797" s="126"/>
      <x:c r="P797" s="126"/>
      <x:c r="Q797" s="126"/>
      <x:c r="R797" s="126"/>
      <x:c r="S797" s="124"/>
      <x:c r="T797" s="124"/>
      <x:c r="U797" s="124"/>
      <x:c r="V797" s="124"/>
      <x:c r="W797" s="124"/>
      <x:c r="X797" s="124"/>
      <x:c r="AD797"/>
      <x:c r="AE797" s="145"/>
      <x:c r="AF797" s="145"/>
      <x:c r="AG797" s="145"/>
      <x:c r="AH797" s="145"/>
      <x:c r="AI797" s="145"/>
      <x:c r="AJ797"/>
    </x:row>
    <x:row r="798">
      <x:c r="F798" s="124"/>
      <x:c r="G798" s="124"/>
      <x:c r="H798" s="124"/>
      <x:c r="I798" s="124"/>
      <x:c r="J798" s="124"/>
      <x:c r="M798" s="126"/>
      <x:c r="P798" s="126"/>
      <x:c r="Q798" s="126"/>
      <x:c r="R798" s="126"/>
      <x:c r="S798" s="124"/>
      <x:c r="T798" s="124"/>
      <x:c r="U798" s="124"/>
      <x:c r="V798" s="124"/>
      <x:c r="W798" s="124"/>
      <x:c r="X798" s="124"/>
      <x:c r="AD798"/>
      <x:c r="AE798" s="145"/>
      <x:c r="AF798" s="145"/>
      <x:c r="AG798" s="145"/>
      <x:c r="AH798" s="145"/>
      <x:c r="AI798" s="145"/>
      <x:c r="AJ798"/>
    </x:row>
    <x:row r="799">
      <x:c r="F799" s="124"/>
      <x:c r="G799" s="124"/>
      <x:c r="H799" s="124"/>
      <x:c r="I799" s="124"/>
      <x:c r="J799" s="124"/>
      <x:c r="M799" s="126"/>
      <x:c r="P799" s="126"/>
      <x:c r="Q799" s="126"/>
      <x:c r="R799" s="126"/>
      <x:c r="S799" s="124"/>
      <x:c r="T799" s="124"/>
      <x:c r="U799" s="124"/>
      <x:c r="V799" s="124"/>
      <x:c r="W799" s="124"/>
      <x:c r="X799" s="124"/>
      <x:c r="AD799"/>
      <x:c r="AE799" s="145"/>
      <x:c r="AF799" s="145"/>
      <x:c r="AG799" s="145"/>
      <x:c r="AH799" s="145"/>
      <x:c r="AI799" s="145"/>
      <x:c r="AJ799"/>
    </x:row>
    <x:row r="800">
      <x:c r="F800" s="124"/>
      <x:c r="G800" s="124"/>
      <x:c r="H800" s="124"/>
      <x:c r="I800" s="124"/>
      <x:c r="J800" s="124"/>
      <x:c r="M800" s="126"/>
      <x:c r="P800" s="126"/>
      <x:c r="Q800" s="126"/>
      <x:c r="R800" s="126"/>
      <x:c r="S800" s="124"/>
      <x:c r="T800" s="124"/>
      <x:c r="U800" s="124"/>
      <x:c r="V800" s="124"/>
      <x:c r="W800" s="124"/>
      <x:c r="X800" s="124"/>
      <x:c r="AD800"/>
      <x:c r="AE800" s="145"/>
      <x:c r="AF800" s="145"/>
      <x:c r="AG800" s="145"/>
      <x:c r="AH800" s="145"/>
      <x:c r="AI800" s="145"/>
      <x:c r="AJ800"/>
    </x:row>
    <x:row r="801">
      <x:c r="F801" s="124"/>
      <x:c r="G801" s="124"/>
      <x:c r="H801" s="124"/>
      <x:c r="I801" s="124"/>
      <x:c r="J801" s="124"/>
      <x:c r="M801" s="126"/>
      <x:c r="P801" s="126"/>
      <x:c r="Q801" s="126"/>
      <x:c r="R801" s="126"/>
      <x:c r="S801" s="124"/>
      <x:c r="T801" s="124"/>
      <x:c r="U801" s="124"/>
      <x:c r="V801" s="124"/>
      <x:c r="W801" s="124"/>
      <x:c r="X801" s="124"/>
      <x:c r="AD801"/>
      <x:c r="AE801" s="145"/>
      <x:c r="AF801" s="145"/>
      <x:c r="AG801" s="145"/>
      <x:c r="AH801" s="145"/>
      <x:c r="AI801" s="145"/>
      <x:c r="AJ801"/>
    </x:row>
    <x:row r="802">
      <x:c r="F802" s="124"/>
      <x:c r="G802" s="124"/>
      <x:c r="H802" s="124"/>
      <x:c r="I802" s="124"/>
      <x:c r="J802" s="124"/>
      <x:c r="M802" s="126"/>
      <x:c r="P802" s="126"/>
      <x:c r="Q802" s="126"/>
      <x:c r="R802" s="126"/>
      <x:c r="S802" s="124"/>
      <x:c r="T802" s="124"/>
      <x:c r="U802" s="124"/>
      <x:c r="V802" s="124"/>
      <x:c r="W802" s="124"/>
      <x:c r="X802" s="124"/>
      <x:c r="AD802"/>
      <x:c r="AE802" s="145"/>
      <x:c r="AF802" s="145"/>
      <x:c r="AG802" s="145"/>
      <x:c r="AH802" s="145"/>
      <x:c r="AI802" s="145"/>
      <x:c r="AJ802"/>
    </x:row>
    <x:row r="803">
      <x:c r="F803" s="124"/>
      <x:c r="G803" s="124"/>
      <x:c r="H803" s="124"/>
      <x:c r="I803" s="124"/>
      <x:c r="J803" s="124"/>
      <x:c r="M803" s="126"/>
      <x:c r="P803" s="126"/>
      <x:c r="Q803" s="126"/>
      <x:c r="R803" s="126"/>
      <x:c r="S803" s="124"/>
      <x:c r="T803" s="124"/>
      <x:c r="U803" s="124"/>
      <x:c r="V803" s="124"/>
      <x:c r="W803" s="124"/>
      <x:c r="X803" s="124"/>
      <x:c r="AD803"/>
      <x:c r="AE803" s="145"/>
      <x:c r="AF803" s="145"/>
      <x:c r="AG803" s="145"/>
      <x:c r="AH803" s="145"/>
      <x:c r="AI803" s="145"/>
      <x:c r="AJ803"/>
    </x:row>
    <x:row r="804">
      <x:c r="F804" s="124"/>
      <x:c r="G804" s="124"/>
      <x:c r="H804" s="124"/>
      <x:c r="I804" s="124"/>
      <x:c r="J804" s="124"/>
      <x:c r="M804" s="126"/>
      <x:c r="P804" s="126"/>
      <x:c r="Q804" s="126"/>
      <x:c r="R804" s="126"/>
      <x:c r="S804" s="124"/>
      <x:c r="T804" s="124"/>
      <x:c r="U804" s="124"/>
      <x:c r="V804" s="124"/>
      <x:c r="W804" s="124"/>
      <x:c r="X804" s="124"/>
      <x:c r="AD804"/>
      <x:c r="AE804" s="145"/>
      <x:c r="AF804" s="145"/>
      <x:c r="AG804" s="145"/>
      <x:c r="AH804" s="145"/>
      <x:c r="AI804" s="145"/>
      <x:c r="AJ804"/>
    </x:row>
    <x:row r="805">
      <x:c r="F805" s="124"/>
      <x:c r="G805" s="124"/>
      <x:c r="H805" s="124"/>
      <x:c r="I805" s="124"/>
      <x:c r="J805" s="124"/>
      <x:c r="M805" s="126"/>
      <x:c r="P805" s="126"/>
      <x:c r="Q805" s="126"/>
      <x:c r="R805" s="126"/>
      <x:c r="S805" s="124"/>
      <x:c r="T805" s="124"/>
      <x:c r="U805" s="124"/>
      <x:c r="V805" s="124"/>
      <x:c r="W805" s="124"/>
      <x:c r="X805" s="124"/>
      <x:c r="AD805"/>
      <x:c r="AE805" s="145"/>
      <x:c r="AF805" s="145"/>
      <x:c r="AG805" s="145"/>
      <x:c r="AH805" s="145"/>
      <x:c r="AI805" s="145"/>
      <x:c r="AJ805"/>
    </x:row>
    <x:row r="806">
      <x:c r="F806" s="124"/>
      <x:c r="G806" s="124"/>
      <x:c r="H806" s="124"/>
      <x:c r="I806" s="124"/>
      <x:c r="J806" s="124"/>
      <x:c r="M806" s="126"/>
      <x:c r="P806" s="126"/>
      <x:c r="Q806" s="126"/>
      <x:c r="R806" s="126"/>
      <x:c r="S806" s="124"/>
      <x:c r="T806" s="124"/>
      <x:c r="U806" s="124"/>
      <x:c r="V806" s="124"/>
      <x:c r="W806" s="124"/>
      <x:c r="X806" s="124"/>
      <x:c r="AD806"/>
      <x:c r="AE806" s="145"/>
      <x:c r="AF806" s="145"/>
      <x:c r="AG806" s="145"/>
      <x:c r="AH806" s="145"/>
      <x:c r="AI806" s="145"/>
      <x:c r="AJ806"/>
    </x:row>
    <x:row r="807">
      <x:c r="F807" s="124"/>
      <x:c r="G807" s="124"/>
      <x:c r="H807" s="124"/>
      <x:c r="I807" s="124"/>
      <x:c r="J807" s="124"/>
      <x:c r="M807" s="126"/>
      <x:c r="P807" s="126"/>
      <x:c r="Q807" s="126"/>
      <x:c r="R807" s="126"/>
      <x:c r="S807" s="124"/>
      <x:c r="T807" s="124"/>
      <x:c r="U807" s="124"/>
      <x:c r="V807" s="124"/>
      <x:c r="W807" s="124"/>
      <x:c r="X807" s="124"/>
      <x:c r="AD807"/>
      <x:c r="AE807" s="145"/>
      <x:c r="AF807" s="145"/>
      <x:c r="AG807" s="145"/>
      <x:c r="AH807" s="145"/>
      <x:c r="AI807" s="145"/>
      <x:c r="AJ807"/>
    </x:row>
    <x:row r="808">
      <x:c r="F808" s="124"/>
      <x:c r="G808" s="124"/>
      <x:c r="H808" s="124"/>
      <x:c r="I808" s="124"/>
      <x:c r="J808" s="124"/>
      <x:c r="M808" s="126"/>
      <x:c r="P808" s="126"/>
      <x:c r="Q808" s="126"/>
      <x:c r="R808" s="126"/>
      <x:c r="S808" s="124"/>
      <x:c r="T808" s="124"/>
      <x:c r="U808" s="124"/>
      <x:c r="V808" s="124"/>
      <x:c r="W808" s="124"/>
      <x:c r="X808" s="124"/>
      <x:c r="AD808"/>
      <x:c r="AE808" s="145"/>
      <x:c r="AF808" s="145"/>
      <x:c r="AG808" s="145"/>
      <x:c r="AH808" s="145"/>
      <x:c r="AI808" s="145"/>
      <x:c r="AJ808"/>
    </x:row>
    <x:row r="809">
      <x:c r="F809" s="124"/>
      <x:c r="G809" s="124"/>
      <x:c r="H809" s="124"/>
      <x:c r="I809" s="124"/>
      <x:c r="J809" s="124"/>
      <x:c r="M809" s="126"/>
      <x:c r="P809" s="126"/>
      <x:c r="Q809" s="126"/>
      <x:c r="R809" s="126"/>
      <x:c r="S809" s="124"/>
      <x:c r="T809" s="124"/>
      <x:c r="U809" s="124"/>
      <x:c r="V809" s="124"/>
      <x:c r="W809" s="124"/>
      <x:c r="X809" s="124"/>
      <x:c r="AD809"/>
      <x:c r="AE809" s="145"/>
      <x:c r="AF809" s="145"/>
      <x:c r="AG809" s="145"/>
      <x:c r="AH809" s="145"/>
      <x:c r="AI809" s="145"/>
      <x:c r="AJ809"/>
    </x:row>
    <x:row r="810">
      <x:c r="F810" s="124"/>
      <x:c r="G810" s="124"/>
      <x:c r="H810" s="124"/>
      <x:c r="I810" s="124"/>
      <x:c r="J810" s="124"/>
      <x:c r="M810" s="126"/>
      <x:c r="P810" s="126"/>
      <x:c r="Q810" s="126"/>
      <x:c r="R810" s="126"/>
      <x:c r="S810" s="124"/>
      <x:c r="T810" s="124"/>
      <x:c r="U810" s="124"/>
      <x:c r="V810" s="124"/>
      <x:c r="W810" s="124"/>
      <x:c r="X810" s="124"/>
      <x:c r="AD810"/>
      <x:c r="AE810" s="145"/>
      <x:c r="AF810" s="145"/>
      <x:c r="AG810" s="145"/>
      <x:c r="AH810" s="145"/>
      <x:c r="AI810" s="145"/>
      <x:c r="AJ810"/>
    </x:row>
    <x:row r="811">
      <x:c r="F811" s="124"/>
      <x:c r="G811" s="124"/>
      <x:c r="H811" s="124"/>
      <x:c r="I811" s="124"/>
      <x:c r="J811" s="124"/>
      <x:c r="M811" s="126"/>
      <x:c r="P811" s="126"/>
      <x:c r="Q811" s="126"/>
      <x:c r="R811" s="126"/>
      <x:c r="S811" s="124"/>
      <x:c r="T811" s="124"/>
      <x:c r="U811" s="124"/>
      <x:c r="V811" s="124"/>
      <x:c r="W811" s="124"/>
      <x:c r="X811" s="124"/>
      <x:c r="AD811"/>
      <x:c r="AE811" s="145"/>
      <x:c r="AF811" s="145"/>
      <x:c r="AG811" s="145"/>
      <x:c r="AH811" s="145"/>
      <x:c r="AI811" s="145"/>
      <x:c r="AJ811"/>
    </x:row>
    <x:row r="812">
      <x:c r="F812" s="124"/>
      <x:c r="G812" s="124"/>
      <x:c r="H812" s="124"/>
      <x:c r="I812" s="124"/>
      <x:c r="J812" s="124"/>
      <x:c r="M812" s="126"/>
      <x:c r="P812" s="126"/>
      <x:c r="Q812" s="126"/>
      <x:c r="R812" s="126"/>
      <x:c r="S812" s="124"/>
      <x:c r="T812" s="124"/>
      <x:c r="U812" s="124"/>
      <x:c r="V812" s="124"/>
      <x:c r="W812" s="124"/>
      <x:c r="X812" s="124"/>
      <x:c r="AD812"/>
      <x:c r="AE812" s="145"/>
      <x:c r="AF812" s="145"/>
      <x:c r="AG812" s="145"/>
      <x:c r="AH812" s="145"/>
      <x:c r="AI812" s="145"/>
      <x:c r="AJ812"/>
    </x:row>
    <x:row r="813">
      <x:c r="F813" s="124"/>
      <x:c r="G813" s="124"/>
      <x:c r="H813" s="124"/>
      <x:c r="I813" s="124"/>
      <x:c r="J813" s="124"/>
      <x:c r="M813" s="126"/>
      <x:c r="P813" s="126"/>
      <x:c r="Q813" s="126"/>
      <x:c r="R813" s="126"/>
      <x:c r="S813" s="124"/>
      <x:c r="T813" s="124"/>
      <x:c r="U813" s="124"/>
      <x:c r="V813" s="124"/>
      <x:c r="W813" s="124"/>
      <x:c r="X813" s="124"/>
      <x:c r="AD813"/>
      <x:c r="AE813" s="145"/>
      <x:c r="AF813" s="145"/>
      <x:c r="AG813" s="145"/>
      <x:c r="AH813" s="145"/>
      <x:c r="AI813" s="145"/>
      <x:c r="AJ813"/>
    </x:row>
    <x:row r="814">
      <x:c r="F814" s="124"/>
      <x:c r="G814" s="124"/>
      <x:c r="H814" s="124"/>
      <x:c r="I814" s="124"/>
      <x:c r="J814" s="124"/>
      <x:c r="M814" s="126"/>
      <x:c r="P814" s="126"/>
      <x:c r="Q814" s="126"/>
      <x:c r="R814" s="126"/>
      <x:c r="S814" s="124"/>
      <x:c r="T814" s="124"/>
      <x:c r="U814" s="124"/>
      <x:c r="V814" s="124"/>
      <x:c r="W814" s="124"/>
      <x:c r="X814" s="124"/>
      <x:c r="AD814"/>
      <x:c r="AE814" s="145"/>
      <x:c r="AF814" s="145"/>
      <x:c r="AG814" s="145"/>
      <x:c r="AH814" s="145"/>
      <x:c r="AI814" s="145"/>
      <x:c r="AJ814"/>
    </x:row>
    <x:row r="815">
      <x:c r="F815" s="124"/>
      <x:c r="G815" s="124"/>
      <x:c r="H815" s="124"/>
      <x:c r="I815" s="124"/>
      <x:c r="J815" s="124"/>
      <x:c r="M815" s="126"/>
      <x:c r="P815" s="126"/>
      <x:c r="Q815" s="126"/>
      <x:c r="R815" s="126"/>
      <x:c r="S815" s="124"/>
      <x:c r="T815" s="124"/>
      <x:c r="U815" s="124"/>
      <x:c r="V815" s="124"/>
      <x:c r="W815" s="124"/>
      <x:c r="X815" s="124"/>
      <x:c r="AD815"/>
      <x:c r="AE815" s="145"/>
      <x:c r="AF815" s="145"/>
      <x:c r="AG815" s="145"/>
      <x:c r="AH815" s="145"/>
      <x:c r="AI815" s="145"/>
      <x:c r="AJ815"/>
    </x:row>
    <x:row r="816">
      <x:c r="F816" s="124"/>
      <x:c r="G816" s="124"/>
      <x:c r="H816" s="124"/>
      <x:c r="I816" s="124"/>
      <x:c r="J816" s="124"/>
      <x:c r="M816" s="126"/>
      <x:c r="P816" s="126"/>
      <x:c r="Q816" s="126"/>
      <x:c r="R816" s="126"/>
      <x:c r="S816" s="124"/>
      <x:c r="T816" s="124"/>
      <x:c r="U816" s="124"/>
      <x:c r="V816" s="124"/>
      <x:c r="W816" s="124"/>
      <x:c r="X816" s="124"/>
      <x:c r="AD816"/>
      <x:c r="AE816" s="145"/>
      <x:c r="AF816" s="145"/>
      <x:c r="AG816" s="145"/>
      <x:c r="AH816" s="145"/>
      <x:c r="AI816" s="145"/>
      <x:c r="AJ816"/>
    </x:row>
    <x:row r="817">
      <x:c r="F817" s="124"/>
      <x:c r="G817" s="124"/>
      <x:c r="H817" s="124"/>
      <x:c r="I817" s="124"/>
      <x:c r="J817" s="124"/>
      <x:c r="M817" s="126"/>
      <x:c r="P817" s="126"/>
      <x:c r="Q817" s="126"/>
      <x:c r="R817" s="126"/>
      <x:c r="S817" s="124"/>
      <x:c r="T817" s="124"/>
      <x:c r="U817" s="124"/>
      <x:c r="V817" s="124"/>
      <x:c r="W817" s="124"/>
      <x:c r="X817" s="124"/>
      <x:c r="AD817"/>
      <x:c r="AE817" s="145"/>
      <x:c r="AF817" s="145"/>
      <x:c r="AG817" s="145"/>
      <x:c r="AH817" s="145"/>
      <x:c r="AI817" s="145"/>
      <x:c r="AJ817"/>
    </x:row>
    <x:row r="818">
      <x:c r="F818" s="124"/>
      <x:c r="G818" s="124"/>
      <x:c r="H818" s="124"/>
      <x:c r="I818" s="124"/>
      <x:c r="J818" s="124"/>
      <x:c r="M818" s="126"/>
      <x:c r="P818" s="126"/>
      <x:c r="Q818" s="126"/>
      <x:c r="R818" s="126"/>
      <x:c r="S818" s="124"/>
      <x:c r="T818" s="124"/>
      <x:c r="U818" s="124"/>
      <x:c r="V818" s="124"/>
      <x:c r="W818" s="124"/>
      <x:c r="X818" s="124"/>
      <x:c r="AD818"/>
      <x:c r="AE818" s="145"/>
      <x:c r="AF818" s="145"/>
      <x:c r="AG818" s="145"/>
      <x:c r="AH818" s="145"/>
      <x:c r="AI818" s="145"/>
      <x:c r="AJ818"/>
    </x:row>
    <x:row r="819">
      <x:c r="F819" s="124"/>
      <x:c r="G819" s="124"/>
      <x:c r="H819" s="124"/>
      <x:c r="I819" s="124"/>
      <x:c r="J819" s="124"/>
      <x:c r="M819" s="126"/>
      <x:c r="P819" s="126"/>
      <x:c r="Q819" s="126"/>
      <x:c r="R819" s="126"/>
      <x:c r="S819" s="124"/>
      <x:c r="T819" s="124"/>
      <x:c r="U819" s="124"/>
      <x:c r="V819" s="124"/>
      <x:c r="W819" s="124"/>
      <x:c r="X819" s="124"/>
      <x:c r="AD819"/>
      <x:c r="AE819" s="145"/>
      <x:c r="AF819" s="145"/>
      <x:c r="AG819" s="145"/>
      <x:c r="AH819" s="145"/>
      <x:c r="AI819" s="145"/>
      <x:c r="AJ819"/>
    </x:row>
    <x:row r="820">
      <x:c r="F820" s="124"/>
      <x:c r="G820" s="124"/>
      <x:c r="H820" s="124"/>
      <x:c r="I820" s="124"/>
      <x:c r="J820" s="124"/>
      <x:c r="M820" s="126"/>
      <x:c r="P820" s="126"/>
      <x:c r="Q820" s="126"/>
      <x:c r="R820" s="126"/>
      <x:c r="S820" s="124"/>
      <x:c r="T820" s="124"/>
      <x:c r="U820" s="124"/>
      <x:c r="V820" s="124"/>
      <x:c r="W820" s="124"/>
      <x:c r="X820" s="124"/>
      <x:c r="AD820"/>
      <x:c r="AE820" s="145"/>
      <x:c r="AF820" s="145"/>
      <x:c r="AG820" s="145"/>
      <x:c r="AH820" s="145"/>
      <x:c r="AI820" s="145"/>
      <x:c r="AJ820"/>
    </x:row>
    <x:row r="821">
      <x:c r="F821" s="124"/>
      <x:c r="G821" s="124"/>
      <x:c r="H821" s="124"/>
      <x:c r="I821" s="124"/>
      <x:c r="J821" s="124"/>
      <x:c r="M821" s="126"/>
      <x:c r="P821" s="126"/>
      <x:c r="Q821" s="126"/>
      <x:c r="R821" s="126"/>
      <x:c r="S821" s="124"/>
      <x:c r="T821" s="124"/>
      <x:c r="U821" s="124"/>
      <x:c r="V821" s="124"/>
      <x:c r="W821" s="124"/>
      <x:c r="X821" s="124"/>
      <x:c r="AD821"/>
      <x:c r="AE821" s="145"/>
      <x:c r="AF821" s="145"/>
      <x:c r="AG821" s="145"/>
      <x:c r="AH821" s="145"/>
      <x:c r="AI821" s="145"/>
      <x:c r="AJ821"/>
    </x:row>
    <x:row r="822">
      <x:c r="F822" s="124"/>
      <x:c r="G822" s="124"/>
      <x:c r="H822" s="124"/>
      <x:c r="I822" s="124"/>
      <x:c r="J822" s="124"/>
      <x:c r="M822" s="126"/>
      <x:c r="P822" s="126"/>
      <x:c r="Q822" s="126"/>
      <x:c r="R822" s="126"/>
      <x:c r="S822" s="124"/>
      <x:c r="T822" s="124"/>
      <x:c r="U822" s="124"/>
      <x:c r="V822" s="124"/>
      <x:c r="W822" s="124"/>
      <x:c r="X822" s="124"/>
      <x:c r="AD822"/>
      <x:c r="AE822" s="145"/>
      <x:c r="AF822" s="145"/>
      <x:c r="AG822" s="145"/>
      <x:c r="AH822" s="145"/>
      <x:c r="AI822" s="145"/>
      <x:c r="AJ822"/>
    </x:row>
    <x:row r="823">
      <x:c r="F823" s="124"/>
      <x:c r="G823" s="124"/>
      <x:c r="H823" s="124"/>
      <x:c r="I823" s="124"/>
      <x:c r="J823" s="124"/>
      <x:c r="M823" s="126"/>
      <x:c r="P823" s="126"/>
      <x:c r="Q823" s="126"/>
      <x:c r="R823" s="126"/>
      <x:c r="S823" s="124"/>
      <x:c r="T823" s="124"/>
      <x:c r="U823" s="124"/>
      <x:c r="V823" s="124"/>
      <x:c r="W823" s="124"/>
      <x:c r="X823" s="124"/>
      <x:c r="AD823"/>
      <x:c r="AE823" s="145"/>
      <x:c r="AF823" s="145"/>
      <x:c r="AG823" s="145"/>
      <x:c r="AH823" s="145"/>
      <x:c r="AI823" s="145"/>
      <x:c r="AJ823"/>
    </x:row>
    <x:row r="824">
      <x:c r="F824" s="124"/>
      <x:c r="G824" s="124"/>
      <x:c r="H824" s="124"/>
      <x:c r="I824" s="124"/>
      <x:c r="J824" s="124"/>
      <x:c r="M824" s="126"/>
      <x:c r="P824" s="126"/>
      <x:c r="Q824" s="126"/>
      <x:c r="R824" s="126"/>
      <x:c r="S824" s="124"/>
      <x:c r="T824" s="124"/>
      <x:c r="U824" s="124"/>
      <x:c r="V824" s="124"/>
      <x:c r="W824" s="124"/>
      <x:c r="X824" s="124"/>
      <x:c r="AD824"/>
      <x:c r="AE824" s="145"/>
      <x:c r="AF824" s="145"/>
      <x:c r="AG824" s="145"/>
      <x:c r="AH824" s="145"/>
      <x:c r="AI824" s="145"/>
      <x:c r="AJ824"/>
    </x:row>
    <x:row r="825">
      <x:c r="F825" s="124"/>
      <x:c r="G825" s="124"/>
      <x:c r="H825" s="124"/>
      <x:c r="I825" s="124"/>
      <x:c r="J825" s="124"/>
      <x:c r="M825" s="126"/>
      <x:c r="P825" s="126"/>
      <x:c r="Q825" s="126"/>
      <x:c r="R825" s="126"/>
      <x:c r="S825" s="124"/>
      <x:c r="T825" s="124"/>
      <x:c r="U825" s="124"/>
      <x:c r="V825" s="124"/>
      <x:c r="W825" s="124"/>
      <x:c r="X825" s="124"/>
      <x:c r="AD825"/>
      <x:c r="AE825" s="145"/>
      <x:c r="AF825" s="145"/>
      <x:c r="AG825" s="145"/>
      <x:c r="AH825" s="145"/>
      <x:c r="AI825" s="145"/>
      <x:c r="AJ825"/>
    </x:row>
    <x:row r="826">
      <x:c r="F826" s="124"/>
      <x:c r="G826" s="124"/>
      <x:c r="H826" s="124"/>
      <x:c r="I826" s="124"/>
      <x:c r="J826" s="124"/>
      <x:c r="M826" s="126"/>
      <x:c r="P826" s="126"/>
      <x:c r="Q826" s="126"/>
      <x:c r="R826" s="126"/>
      <x:c r="S826" s="124"/>
      <x:c r="T826" s="124"/>
      <x:c r="U826" s="124"/>
      <x:c r="V826" s="124"/>
      <x:c r="W826" s="124"/>
      <x:c r="X826" s="124"/>
      <x:c r="AD826"/>
      <x:c r="AE826" s="145"/>
      <x:c r="AF826" s="145"/>
      <x:c r="AG826" s="145"/>
      <x:c r="AH826" s="145"/>
      <x:c r="AI826" s="145"/>
      <x:c r="AJ826"/>
    </x:row>
    <x:row r="827">
      <x:c r="F827" s="124"/>
      <x:c r="G827" s="124"/>
      <x:c r="H827" s="124"/>
      <x:c r="I827" s="124"/>
      <x:c r="J827" s="124"/>
      <x:c r="M827" s="126"/>
      <x:c r="P827" s="126"/>
      <x:c r="Q827" s="126"/>
      <x:c r="R827" s="126"/>
      <x:c r="S827" s="124"/>
      <x:c r="T827" s="124"/>
      <x:c r="U827" s="124"/>
      <x:c r="V827" s="124"/>
      <x:c r="W827" s="124"/>
      <x:c r="X827" s="124"/>
      <x:c r="AD827"/>
      <x:c r="AE827" s="145"/>
      <x:c r="AF827" s="145"/>
      <x:c r="AG827" s="145"/>
      <x:c r="AH827" s="145"/>
      <x:c r="AI827" s="145"/>
      <x:c r="AJ827"/>
    </x:row>
    <x:row r="828">
      <x:c r="F828" s="124"/>
      <x:c r="G828" s="124"/>
      <x:c r="H828" s="124"/>
      <x:c r="I828" s="124"/>
      <x:c r="J828" s="124"/>
      <x:c r="M828" s="126"/>
      <x:c r="P828" s="126"/>
      <x:c r="Q828" s="126"/>
      <x:c r="R828" s="126"/>
      <x:c r="S828" s="124"/>
      <x:c r="T828" s="124"/>
      <x:c r="U828" s="124"/>
      <x:c r="V828" s="124"/>
      <x:c r="W828" s="124"/>
      <x:c r="X828" s="124"/>
      <x:c r="AD828"/>
      <x:c r="AE828" s="145"/>
      <x:c r="AF828" s="145"/>
      <x:c r="AG828" s="145"/>
      <x:c r="AH828" s="145"/>
      <x:c r="AI828" s="145"/>
      <x:c r="AJ828"/>
    </x:row>
    <x:row r="829">
      <x:c r="F829" s="124"/>
      <x:c r="G829" s="124"/>
      <x:c r="H829" s="124"/>
      <x:c r="I829" s="124"/>
      <x:c r="J829" s="124"/>
      <x:c r="M829" s="126"/>
      <x:c r="P829" s="126"/>
      <x:c r="Q829" s="126"/>
      <x:c r="R829" s="126"/>
      <x:c r="S829" s="124"/>
      <x:c r="T829" s="124"/>
      <x:c r="U829" s="124"/>
      <x:c r="V829" s="124"/>
      <x:c r="W829" s="124"/>
      <x:c r="X829" s="124"/>
      <x:c r="AD829"/>
      <x:c r="AE829" s="145"/>
      <x:c r="AF829" s="145"/>
      <x:c r="AG829" s="145"/>
      <x:c r="AH829" s="145"/>
      <x:c r="AI829" s="145"/>
      <x:c r="AJ829"/>
    </x:row>
    <x:row r="830">
      <x:c r="F830" s="124"/>
      <x:c r="G830" s="124"/>
      <x:c r="H830" s="124"/>
      <x:c r="I830" s="124"/>
      <x:c r="J830" s="124"/>
      <x:c r="M830" s="126"/>
      <x:c r="P830" s="126"/>
      <x:c r="Q830" s="126"/>
      <x:c r="R830" s="126"/>
      <x:c r="S830" s="124"/>
      <x:c r="T830" s="124"/>
      <x:c r="U830" s="124"/>
      <x:c r="V830" s="124"/>
      <x:c r="W830" s="124"/>
      <x:c r="X830" s="124"/>
      <x:c r="AD830"/>
      <x:c r="AE830" s="145"/>
      <x:c r="AF830" s="145"/>
      <x:c r="AG830" s="145"/>
      <x:c r="AH830" s="145"/>
      <x:c r="AI830" s="145"/>
      <x:c r="AJ830"/>
    </x:row>
    <x:row r="831">
      <x:c r="F831" s="124"/>
      <x:c r="G831" s="124"/>
      <x:c r="H831" s="124"/>
      <x:c r="I831" s="124"/>
      <x:c r="J831" s="124"/>
      <x:c r="M831" s="126"/>
      <x:c r="P831" s="126"/>
      <x:c r="Q831" s="126"/>
      <x:c r="R831" s="126"/>
      <x:c r="S831" s="124"/>
      <x:c r="T831" s="124"/>
      <x:c r="U831" s="124"/>
      <x:c r="V831" s="124"/>
      <x:c r="W831" s="124"/>
      <x:c r="X831" s="124"/>
      <x:c r="AD831"/>
      <x:c r="AE831" s="145"/>
      <x:c r="AF831" s="145"/>
      <x:c r="AG831" s="145"/>
      <x:c r="AH831" s="145"/>
      <x:c r="AI831" s="145"/>
      <x:c r="AJ831"/>
    </x:row>
    <x:row r="832">
      <x:c r="F832" s="124"/>
      <x:c r="G832" s="124"/>
      <x:c r="H832" s="124"/>
      <x:c r="I832" s="124"/>
      <x:c r="J832" s="124"/>
      <x:c r="M832" s="126"/>
      <x:c r="P832" s="126"/>
      <x:c r="Q832" s="126"/>
      <x:c r="R832" s="126"/>
      <x:c r="S832" s="124"/>
      <x:c r="T832" s="124"/>
      <x:c r="U832" s="124"/>
      <x:c r="V832" s="124"/>
      <x:c r="W832" s="124"/>
      <x:c r="X832" s="124"/>
      <x:c r="AD832"/>
      <x:c r="AE832" s="145"/>
      <x:c r="AF832" s="145"/>
      <x:c r="AG832" s="145"/>
      <x:c r="AH832" s="145"/>
      <x:c r="AI832" s="145"/>
      <x:c r="AJ832"/>
    </x:row>
    <x:row r="833">
      <x:c r="F833" s="124"/>
      <x:c r="G833" s="124"/>
      <x:c r="H833" s="124"/>
      <x:c r="I833" s="124"/>
      <x:c r="J833" s="124"/>
      <x:c r="M833" s="126"/>
      <x:c r="P833" s="126"/>
      <x:c r="Q833" s="126"/>
      <x:c r="R833" s="126"/>
      <x:c r="S833" s="124"/>
      <x:c r="T833" s="124"/>
      <x:c r="U833" s="124"/>
      <x:c r="V833" s="124"/>
      <x:c r="W833" s="124"/>
      <x:c r="X833" s="124"/>
      <x:c r="AD833"/>
      <x:c r="AE833" s="145"/>
      <x:c r="AF833" s="145"/>
      <x:c r="AG833" s="145"/>
      <x:c r="AH833" s="145"/>
      <x:c r="AI833" s="145"/>
      <x:c r="AJ833"/>
    </x:row>
    <x:row r="834">
      <x:c r="F834" s="124"/>
      <x:c r="G834" s="124"/>
      <x:c r="H834" s="124"/>
      <x:c r="I834" s="124"/>
      <x:c r="J834" s="124"/>
      <x:c r="M834" s="126"/>
      <x:c r="P834" s="126"/>
      <x:c r="Q834" s="126"/>
      <x:c r="R834" s="126"/>
      <x:c r="S834" s="124"/>
      <x:c r="T834" s="124"/>
      <x:c r="U834" s="124"/>
      <x:c r="V834" s="124"/>
      <x:c r="W834" s="124"/>
      <x:c r="X834" s="124"/>
      <x:c r="AD834"/>
      <x:c r="AE834" s="145"/>
      <x:c r="AF834" s="145"/>
      <x:c r="AG834" s="145"/>
      <x:c r="AH834" s="145"/>
      <x:c r="AI834" s="145"/>
      <x:c r="AJ834"/>
    </x:row>
    <x:row r="835">
      <x:c r="F835" s="124"/>
      <x:c r="G835" s="124"/>
      <x:c r="H835" s="124"/>
      <x:c r="I835" s="124"/>
      <x:c r="J835" s="124"/>
      <x:c r="M835" s="126"/>
      <x:c r="P835" s="126"/>
      <x:c r="Q835" s="126"/>
      <x:c r="R835" s="126"/>
      <x:c r="S835" s="124"/>
      <x:c r="T835" s="124"/>
      <x:c r="U835" s="124"/>
      <x:c r="V835" s="124"/>
      <x:c r="W835" s="124"/>
      <x:c r="X835" s="124"/>
      <x:c r="AD835"/>
      <x:c r="AE835" s="145"/>
      <x:c r="AF835" s="145"/>
      <x:c r="AG835" s="145"/>
      <x:c r="AH835" s="145"/>
      <x:c r="AI835" s="145"/>
      <x:c r="AJ835"/>
    </x:row>
    <x:row r="836">
      <x:c r="F836" s="124"/>
      <x:c r="G836" s="124"/>
      <x:c r="H836" s="124"/>
      <x:c r="I836" s="124"/>
      <x:c r="J836" s="124"/>
      <x:c r="M836" s="126"/>
      <x:c r="P836" s="126"/>
      <x:c r="Q836" s="126"/>
      <x:c r="R836" s="126"/>
      <x:c r="S836" s="124"/>
      <x:c r="T836" s="124"/>
      <x:c r="U836" s="124"/>
      <x:c r="V836" s="124"/>
      <x:c r="W836" s="124"/>
      <x:c r="X836" s="124"/>
      <x:c r="AD836"/>
      <x:c r="AE836" s="145"/>
      <x:c r="AF836" s="145"/>
      <x:c r="AG836" s="145"/>
      <x:c r="AH836" s="145"/>
      <x:c r="AI836" s="145"/>
      <x:c r="AJ836"/>
    </x:row>
    <x:row r="837">
      <x:c r="F837" s="124"/>
      <x:c r="G837" s="124"/>
      <x:c r="H837" s="124"/>
      <x:c r="I837" s="124"/>
      <x:c r="J837" s="124"/>
      <x:c r="M837" s="126"/>
      <x:c r="P837" s="126"/>
      <x:c r="Q837" s="126"/>
      <x:c r="R837" s="126"/>
      <x:c r="S837" s="124"/>
      <x:c r="T837" s="124"/>
      <x:c r="U837" s="124"/>
      <x:c r="V837" s="124"/>
      <x:c r="W837" s="124"/>
      <x:c r="X837" s="124"/>
      <x:c r="AD837"/>
      <x:c r="AE837" s="145"/>
      <x:c r="AF837" s="145"/>
      <x:c r="AG837" s="145"/>
      <x:c r="AH837" s="145"/>
      <x:c r="AI837" s="145"/>
      <x:c r="AJ837"/>
    </x:row>
    <x:row r="838">
      <x:c r="F838" s="124"/>
      <x:c r="G838" s="124"/>
      <x:c r="H838" s="124"/>
      <x:c r="I838" s="124"/>
      <x:c r="J838" s="124"/>
      <x:c r="M838" s="126"/>
      <x:c r="P838" s="126"/>
      <x:c r="Q838" s="126"/>
      <x:c r="R838" s="126"/>
      <x:c r="S838" s="124"/>
      <x:c r="T838" s="124"/>
      <x:c r="U838" s="124"/>
      <x:c r="V838" s="124"/>
      <x:c r="W838" s="124"/>
      <x:c r="X838" s="124"/>
      <x:c r="AD838"/>
      <x:c r="AE838" s="145"/>
      <x:c r="AF838" s="145"/>
      <x:c r="AG838" s="145"/>
      <x:c r="AH838" s="145"/>
      <x:c r="AI838" s="145"/>
      <x:c r="AJ838"/>
    </x:row>
    <x:row r="839">
      <x:c r="F839" s="124"/>
      <x:c r="G839" s="124"/>
      <x:c r="H839" s="124"/>
      <x:c r="I839" s="124"/>
      <x:c r="J839" s="124"/>
      <x:c r="M839" s="126"/>
      <x:c r="P839" s="126"/>
      <x:c r="Q839" s="126"/>
      <x:c r="R839" s="126"/>
      <x:c r="S839" s="124"/>
      <x:c r="T839" s="124"/>
      <x:c r="U839" s="124"/>
      <x:c r="V839" s="124"/>
      <x:c r="W839" s="124"/>
      <x:c r="X839" s="124"/>
      <x:c r="AD839"/>
      <x:c r="AE839" s="145"/>
      <x:c r="AF839" s="145"/>
      <x:c r="AG839" s="145"/>
      <x:c r="AH839" s="145"/>
      <x:c r="AI839" s="145"/>
      <x:c r="AJ839"/>
    </x:row>
    <x:row r="840">
      <x:c r="F840" s="124"/>
      <x:c r="G840" s="124"/>
      <x:c r="H840" s="124"/>
      <x:c r="I840" s="124"/>
      <x:c r="J840" s="124"/>
      <x:c r="M840" s="126"/>
      <x:c r="P840" s="126"/>
      <x:c r="Q840" s="126"/>
      <x:c r="R840" s="126"/>
      <x:c r="S840" s="124"/>
      <x:c r="T840" s="124"/>
      <x:c r="U840" s="124"/>
      <x:c r="V840" s="124"/>
      <x:c r="W840" s="124"/>
      <x:c r="X840" s="124"/>
      <x:c r="AD840"/>
      <x:c r="AE840" s="145"/>
      <x:c r="AF840" s="145"/>
      <x:c r="AG840" s="145"/>
      <x:c r="AH840" s="145"/>
      <x:c r="AI840" s="145"/>
      <x:c r="AJ840"/>
    </x:row>
    <x:row r="841">
      <x:c r="F841" s="124"/>
      <x:c r="G841" s="124"/>
      <x:c r="H841" s="124"/>
      <x:c r="I841" s="124"/>
      <x:c r="J841" s="124"/>
      <x:c r="M841" s="126"/>
      <x:c r="P841" s="126"/>
      <x:c r="Q841" s="126"/>
      <x:c r="R841" s="126"/>
      <x:c r="S841" s="124"/>
      <x:c r="T841" s="124"/>
      <x:c r="U841" s="124"/>
      <x:c r="V841" s="124"/>
      <x:c r="W841" s="124"/>
      <x:c r="X841" s="124"/>
      <x:c r="AD841"/>
      <x:c r="AE841" s="145"/>
      <x:c r="AF841" s="145"/>
      <x:c r="AG841" s="145"/>
      <x:c r="AH841" s="145"/>
      <x:c r="AI841" s="145"/>
      <x:c r="AJ841"/>
    </x:row>
    <x:row r="842">
      <x:c r="F842" s="124"/>
      <x:c r="G842" s="124"/>
      <x:c r="H842" s="124"/>
      <x:c r="I842" s="124"/>
      <x:c r="J842" s="124"/>
      <x:c r="M842" s="126"/>
      <x:c r="P842" s="126"/>
      <x:c r="Q842" s="126"/>
      <x:c r="R842" s="126"/>
      <x:c r="S842" s="124"/>
      <x:c r="T842" s="124"/>
      <x:c r="U842" s="124"/>
      <x:c r="V842" s="124"/>
      <x:c r="W842" s="124"/>
      <x:c r="X842" s="124"/>
      <x:c r="AD842"/>
      <x:c r="AE842" s="145"/>
      <x:c r="AF842" s="145"/>
      <x:c r="AG842" s="145"/>
      <x:c r="AH842" s="145"/>
      <x:c r="AI842" s="145"/>
      <x:c r="AJ842"/>
    </x:row>
    <x:row r="843">
      <x:c r="F843" s="124"/>
      <x:c r="G843" s="124"/>
      <x:c r="H843" s="124"/>
      <x:c r="I843" s="124"/>
      <x:c r="J843" s="124"/>
      <x:c r="M843" s="126"/>
      <x:c r="P843" s="126"/>
      <x:c r="Q843" s="126"/>
      <x:c r="R843" s="126"/>
      <x:c r="S843" s="124"/>
      <x:c r="T843" s="124"/>
      <x:c r="U843" s="124"/>
      <x:c r="V843" s="124"/>
      <x:c r="W843" s="124"/>
      <x:c r="X843" s="124"/>
      <x:c r="AD843"/>
      <x:c r="AE843" s="145"/>
      <x:c r="AF843" s="145"/>
      <x:c r="AG843" s="145"/>
      <x:c r="AH843" s="145"/>
      <x:c r="AI843" s="145"/>
      <x:c r="AJ843"/>
    </x:row>
    <x:row r="844">
      <x:c r="F844" s="124"/>
      <x:c r="G844" s="124"/>
      <x:c r="H844" s="124"/>
      <x:c r="I844" s="124"/>
      <x:c r="J844" s="124"/>
      <x:c r="M844" s="126"/>
      <x:c r="P844" s="126"/>
      <x:c r="Q844" s="126"/>
      <x:c r="R844" s="126"/>
      <x:c r="S844" s="124"/>
      <x:c r="T844" s="124"/>
      <x:c r="U844" s="124"/>
      <x:c r="V844" s="124"/>
      <x:c r="W844" s="124"/>
      <x:c r="X844" s="124"/>
      <x:c r="AD844"/>
      <x:c r="AE844" s="145"/>
      <x:c r="AF844" s="145"/>
      <x:c r="AG844" s="145"/>
      <x:c r="AH844" s="145"/>
      <x:c r="AI844" s="145"/>
      <x:c r="AJ844"/>
    </x:row>
    <x:row r="845">
      <x:c r="F845" s="124"/>
      <x:c r="G845" s="124"/>
      <x:c r="H845" s="124"/>
      <x:c r="I845" s="124"/>
      <x:c r="J845" s="124"/>
      <x:c r="M845" s="126"/>
      <x:c r="P845" s="126"/>
      <x:c r="Q845" s="126"/>
      <x:c r="R845" s="126"/>
      <x:c r="S845" s="124"/>
      <x:c r="T845" s="124"/>
      <x:c r="U845" s="124"/>
      <x:c r="V845" s="124"/>
      <x:c r="W845" s="124"/>
      <x:c r="X845" s="124"/>
      <x:c r="AD845"/>
      <x:c r="AE845" s="145"/>
      <x:c r="AF845" s="145"/>
      <x:c r="AG845" s="145"/>
      <x:c r="AH845" s="145"/>
      <x:c r="AI845" s="145"/>
      <x:c r="AJ845"/>
    </x:row>
    <x:row r="846">
      <x:c r="F846" s="124"/>
      <x:c r="G846" s="124"/>
      <x:c r="H846" s="124"/>
      <x:c r="I846" s="124"/>
      <x:c r="J846" s="124"/>
      <x:c r="M846" s="126"/>
      <x:c r="P846" s="126"/>
      <x:c r="Q846" s="126"/>
      <x:c r="R846" s="126"/>
      <x:c r="S846" s="124"/>
      <x:c r="T846" s="124"/>
      <x:c r="U846" s="124"/>
      <x:c r="V846" s="124"/>
      <x:c r="W846" s="124"/>
      <x:c r="X846" s="124"/>
      <x:c r="AD846"/>
      <x:c r="AE846" s="145"/>
      <x:c r="AF846" s="145"/>
      <x:c r="AG846" s="145"/>
      <x:c r="AH846" s="145"/>
      <x:c r="AI846" s="145"/>
      <x:c r="AJ846"/>
    </x:row>
    <x:row r="847">
      <x:c r="F847" s="124"/>
      <x:c r="G847" s="124"/>
      <x:c r="H847" s="124"/>
      <x:c r="I847" s="124"/>
      <x:c r="J847" s="124"/>
      <x:c r="M847" s="126"/>
      <x:c r="P847" s="126"/>
      <x:c r="Q847" s="126"/>
      <x:c r="R847" s="126"/>
      <x:c r="S847" s="124"/>
      <x:c r="T847" s="124"/>
      <x:c r="U847" s="124"/>
      <x:c r="V847" s="124"/>
      <x:c r="W847" s="124"/>
      <x:c r="X847" s="124"/>
      <x:c r="AD847"/>
      <x:c r="AE847" s="145"/>
      <x:c r="AF847" s="145"/>
      <x:c r="AG847" s="145"/>
      <x:c r="AH847" s="145"/>
      <x:c r="AI847" s="145"/>
      <x:c r="AJ847"/>
    </x:row>
    <x:row r="848">
      <x:c r="F848" s="124"/>
      <x:c r="G848" s="124"/>
      <x:c r="H848" s="124"/>
      <x:c r="I848" s="124"/>
      <x:c r="J848" s="124"/>
      <x:c r="M848" s="126"/>
      <x:c r="P848" s="126"/>
      <x:c r="Q848" s="126"/>
      <x:c r="R848" s="126"/>
      <x:c r="S848" s="124"/>
      <x:c r="T848" s="124"/>
      <x:c r="U848" s="124"/>
      <x:c r="V848" s="124"/>
      <x:c r="W848" s="124"/>
      <x:c r="X848" s="124"/>
      <x:c r="AD848"/>
      <x:c r="AE848" s="145"/>
      <x:c r="AF848" s="145"/>
      <x:c r="AG848" s="145"/>
      <x:c r="AH848" s="145"/>
      <x:c r="AI848" s="145"/>
      <x:c r="AJ848"/>
    </x:row>
    <x:row r="849">
      <x:c r="F849" s="124"/>
      <x:c r="G849" s="124"/>
      <x:c r="H849" s="124"/>
      <x:c r="I849" s="124"/>
      <x:c r="J849" s="124"/>
      <x:c r="M849" s="126"/>
      <x:c r="P849" s="126"/>
      <x:c r="Q849" s="126"/>
      <x:c r="R849" s="126"/>
      <x:c r="S849" s="124"/>
      <x:c r="T849" s="124"/>
      <x:c r="U849" s="124"/>
      <x:c r="V849" s="124"/>
      <x:c r="W849" s="124"/>
      <x:c r="X849" s="124"/>
      <x:c r="AD849"/>
      <x:c r="AE849" s="145"/>
      <x:c r="AF849" s="145"/>
      <x:c r="AG849" s="145"/>
      <x:c r="AH849" s="145"/>
      <x:c r="AI849" s="145"/>
      <x:c r="AJ849"/>
    </x:row>
    <x:row r="850">
      <x:c r="F850" s="124"/>
      <x:c r="G850" s="124"/>
      <x:c r="H850" s="124"/>
      <x:c r="I850" s="124"/>
      <x:c r="J850" s="124"/>
      <x:c r="M850" s="126"/>
      <x:c r="P850" s="126"/>
      <x:c r="Q850" s="126"/>
      <x:c r="R850" s="126"/>
      <x:c r="S850" s="124"/>
      <x:c r="T850" s="124"/>
      <x:c r="U850" s="124"/>
      <x:c r="V850" s="124"/>
      <x:c r="W850" s="124"/>
      <x:c r="X850" s="124"/>
      <x:c r="AD850"/>
      <x:c r="AE850" s="145"/>
      <x:c r="AF850" s="145"/>
      <x:c r="AG850" s="145"/>
      <x:c r="AH850" s="145"/>
      <x:c r="AI850" s="145"/>
      <x:c r="AJ850"/>
    </x:row>
    <x:row r="851">
      <x:c r="F851" s="124"/>
      <x:c r="G851" s="124"/>
      <x:c r="H851" s="124"/>
      <x:c r="I851" s="124"/>
      <x:c r="J851" s="124"/>
      <x:c r="M851" s="126"/>
      <x:c r="P851" s="126"/>
      <x:c r="Q851" s="126"/>
      <x:c r="R851" s="126"/>
      <x:c r="S851" s="124"/>
      <x:c r="T851" s="124"/>
      <x:c r="U851" s="124"/>
      <x:c r="V851" s="124"/>
      <x:c r="W851" s="124"/>
      <x:c r="X851" s="124"/>
      <x:c r="AD851"/>
      <x:c r="AE851" s="145"/>
      <x:c r="AF851" s="145"/>
      <x:c r="AG851" s="145"/>
      <x:c r="AH851" s="145"/>
      <x:c r="AI851" s="145"/>
      <x:c r="AJ851"/>
    </x:row>
    <x:row r="852">
      <x:c r="F852" s="124"/>
      <x:c r="G852" s="124"/>
      <x:c r="H852" s="124"/>
      <x:c r="I852" s="124"/>
      <x:c r="J852" s="124"/>
      <x:c r="M852" s="126"/>
      <x:c r="P852" s="126"/>
      <x:c r="Q852" s="126"/>
      <x:c r="R852" s="126"/>
      <x:c r="S852" s="124"/>
      <x:c r="T852" s="124"/>
      <x:c r="U852" s="124"/>
      <x:c r="V852" s="124"/>
      <x:c r="W852" s="124"/>
      <x:c r="X852" s="124"/>
      <x:c r="AD852"/>
      <x:c r="AE852" s="145"/>
      <x:c r="AF852" s="145"/>
      <x:c r="AG852" s="145"/>
      <x:c r="AH852" s="145"/>
      <x:c r="AI852" s="145"/>
      <x:c r="AJ852"/>
    </x:row>
    <x:row r="853">
      <x:c r="F853" s="124"/>
      <x:c r="G853" s="124"/>
      <x:c r="H853" s="124"/>
      <x:c r="I853" s="124"/>
      <x:c r="J853" s="124"/>
      <x:c r="M853" s="126"/>
      <x:c r="P853" s="126"/>
      <x:c r="Q853" s="126"/>
      <x:c r="R853" s="126"/>
      <x:c r="S853" s="124"/>
      <x:c r="T853" s="124"/>
      <x:c r="U853" s="124"/>
      <x:c r="V853" s="124"/>
      <x:c r="W853" s="124"/>
      <x:c r="X853" s="124"/>
      <x:c r="AD853"/>
      <x:c r="AE853" s="145"/>
      <x:c r="AF853" s="145"/>
      <x:c r="AG853" s="145"/>
      <x:c r="AH853" s="145"/>
      <x:c r="AI853" s="145"/>
      <x:c r="AJ853"/>
    </x:row>
    <x:row r="854">
      <x:c r="F854" s="124"/>
      <x:c r="G854" s="124"/>
      <x:c r="H854" s="124"/>
      <x:c r="I854" s="124"/>
      <x:c r="J854" s="124"/>
      <x:c r="M854" s="126"/>
      <x:c r="P854" s="126"/>
      <x:c r="Q854" s="126"/>
      <x:c r="R854" s="126"/>
      <x:c r="S854" s="124"/>
      <x:c r="T854" s="124"/>
      <x:c r="U854" s="124"/>
      <x:c r="V854" s="124"/>
      <x:c r="W854" s="124"/>
      <x:c r="X854" s="124"/>
      <x:c r="AD854"/>
      <x:c r="AE854" s="145"/>
      <x:c r="AF854" s="145"/>
      <x:c r="AG854" s="145"/>
      <x:c r="AH854" s="145"/>
      <x:c r="AI854" s="145"/>
      <x:c r="AJ854"/>
    </x:row>
    <x:row r="855">
      <x:c r="F855" s="124"/>
      <x:c r="G855" s="124"/>
      <x:c r="H855" s="124"/>
      <x:c r="I855" s="124"/>
      <x:c r="J855" s="124"/>
      <x:c r="M855" s="126"/>
      <x:c r="P855" s="126"/>
      <x:c r="Q855" s="126"/>
      <x:c r="R855" s="126"/>
      <x:c r="S855" s="124"/>
      <x:c r="T855" s="124"/>
      <x:c r="U855" s="124"/>
      <x:c r="V855" s="124"/>
      <x:c r="W855" s="124"/>
      <x:c r="X855" s="124"/>
      <x:c r="AD855"/>
      <x:c r="AE855" s="145"/>
      <x:c r="AF855" s="145"/>
      <x:c r="AG855" s="145"/>
      <x:c r="AH855" s="145"/>
      <x:c r="AI855" s="145"/>
      <x:c r="AJ855"/>
    </x:row>
    <x:row r="856">
      <x:c r="F856" s="124"/>
      <x:c r="G856" s="124"/>
      <x:c r="H856" s="124"/>
      <x:c r="I856" s="124"/>
      <x:c r="J856" s="124"/>
      <x:c r="M856" s="126"/>
      <x:c r="P856" s="126"/>
      <x:c r="Q856" s="126"/>
      <x:c r="R856" s="126"/>
      <x:c r="S856" s="124"/>
      <x:c r="T856" s="124"/>
      <x:c r="U856" s="124"/>
      <x:c r="V856" s="124"/>
      <x:c r="W856" s="124"/>
      <x:c r="X856" s="124"/>
      <x:c r="AD856"/>
      <x:c r="AE856" s="145"/>
      <x:c r="AF856" s="145"/>
      <x:c r="AG856" s="145"/>
      <x:c r="AH856" s="145"/>
      <x:c r="AI856" s="145"/>
      <x:c r="AJ856"/>
    </x:row>
    <x:row r="857">
      <x:c r="F857" s="124"/>
      <x:c r="G857" s="124"/>
      <x:c r="H857" s="124"/>
      <x:c r="I857" s="124"/>
      <x:c r="J857" s="124"/>
      <x:c r="M857" s="126"/>
      <x:c r="P857" s="126"/>
      <x:c r="Q857" s="126"/>
      <x:c r="R857" s="126"/>
      <x:c r="S857" s="124"/>
      <x:c r="T857" s="124"/>
      <x:c r="U857" s="124"/>
      <x:c r="V857" s="124"/>
      <x:c r="W857" s="124"/>
      <x:c r="X857" s="124"/>
      <x:c r="AD857"/>
      <x:c r="AE857" s="145"/>
      <x:c r="AF857" s="145"/>
      <x:c r="AG857" s="145"/>
      <x:c r="AH857" s="145"/>
      <x:c r="AI857" s="145"/>
      <x:c r="AJ857"/>
    </x:row>
    <x:row r="858">
      <x:c r="F858" s="124"/>
      <x:c r="G858" s="124"/>
      <x:c r="H858" s="124"/>
      <x:c r="I858" s="124"/>
      <x:c r="J858" s="124"/>
      <x:c r="M858" s="126"/>
      <x:c r="P858" s="126"/>
      <x:c r="Q858" s="126"/>
      <x:c r="R858" s="126"/>
      <x:c r="S858" s="124"/>
      <x:c r="T858" s="124"/>
      <x:c r="U858" s="124"/>
      <x:c r="V858" s="124"/>
      <x:c r="W858" s="124"/>
      <x:c r="X858" s="124"/>
      <x:c r="AD858"/>
      <x:c r="AE858" s="145"/>
      <x:c r="AF858" s="145"/>
      <x:c r="AG858" s="145"/>
      <x:c r="AH858" s="145"/>
      <x:c r="AI858" s="145"/>
      <x:c r="AJ858"/>
    </x:row>
    <x:row r="859">
      <x:c r="F859" s="124"/>
      <x:c r="G859" s="124"/>
      <x:c r="H859" s="124"/>
      <x:c r="I859" s="124"/>
      <x:c r="J859" s="124"/>
      <x:c r="M859" s="126"/>
      <x:c r="P859" s="126"/>
      <x:c r="Q859" s="126"/>
      <x:c r="R859" s="126"/>
      <x:c r="S859" s="124"/>
      <x:c r="T859" s="124"/>
      <x:c r="U859" s="124"/>
      <x:c r="V859" s="124"/>
      <x:c r="W859" s="124"/>
      <x:c r="X859" s="124"/>
      <x:c r="AD859"/>
      <x:c r="AE859" s="145"/>
      <x:c r="AF859" s="145"/>
      <x:c r="AG859" s="145"/>
      <x:c r="AH859" s="145"/>
      <x:c r="AI859" s="145"/>
      <x:c r="AJ859"/>
    </x:row>
    <x:row r="860">
      <x:c r="F860" s="124"/>
      <x:c r="G860" s="124"/>
      <x:c r="H860" s="124"/>
      <x:c r="I860" s="124"/>
      <x:c r="J860" s="124"/>
      <x:c r="M860" s="126"/>
      <x:c r="P860" s="126"/>
      <x:c r="Q860" s="126"/>
      <x:c r="R860" s="126"/>
      <x:c r="S860" s="124"/>
      <x:c r="T860" s="124"/>
      <x:c r="U860" s="124"/>
      <x:c r="V860" s="124"/>
      <x:c r="W860" s="124"/>
      <x:c r="X860" s="124"/>
      <x:c r="AD860"/>
      <x:c r="AE860" s="145"/>
      <x:c r="AF860" s="145"/>
      <x:c r="AG860" s="145"/>
      <x:c r="AH860" s="145"/>
      <x:c r="AI860" s="145"/>
      <x:c r="AJ860"/>
    </x:row>
    <x:row r="861">
      <x:c r="F861" s="124"/>
      <x:c r="G861" s="124"/>
      <x:c r="H861" s="124"/>
      <x:c r="I861" s="124"/>
      <x:c r="J861" s="124"/>
      <x:c r="M861" s="126"/>
      <x:c r="P861" s="126"/>
      <x:c r="Q861" s="126"/>
      <x:c r="R861" s="126"/>
      <x:c r="S861" s="124"/>
      <x:c r="T861" s="124"/>
      <x:c r="U861" s="124"/>
      <x:c r="V861" s="124"/>
      <x:c r="W861" s="124"/>
      <x:c r="X861" s="124"/>
      <x:c r="AD861"/>
      <x:c r="AE861" s="145"/>
      <x:c r="AF861" s="145"/>
      <x:c r="AG861" s="145"/>
      <x:c r="AH861" s="145"/>
      <x:c r="AI861" s="145"/>
      <x:c r="AJ861"/>
    </x:row>
    <x:row r="862">
      <x:c r="F862" s="124"/>
      <x:c r="G862" s="124"/>
      <x:c r="H862" s="124"/>
      <x:c r="I862" s="124"/>
      <x:c r="J862" s="124"/>
      <x:c r="M862" s="126"/>
      <x:c r="P862" s="126"/>
      <x:c r="Q862" s="126"/>
      <x:c r="R862" s="126"/>
      <x:c r="S862" s="124"/>
      <x:c r="T862" s="124"/>
      <x:c r="U862" s="124"/>
      <x:c r="V862" s="124"/>
      <x:c r="W862" s="124"/>
      <x:c r="X862" s="124"/>
      <x:c r="AD862"/>
      <x:c r="AE862" s="145"/>
      <x:c r="AF862" s="145"/>
      <x:c r="AG862" s="145"/>
      <x:c r="AH862" s="145"/>
      <x:c r="AI862" s="145"/>
      <x:c r="AJ862"/>
    </x:row>
    <x:row r="863">
      <x:c r="F863" s="124"/>
      <x:c r="G863" s="124"/>
      <x:c r="H863" s="124"/>
      <x:c r="I863" s="124"/>
      <x:c r="J863" s="124"/>
      <x:c r="M863" s="126"/>
      <x:c r="P863" s="126"/>
      <x:c r="Q863" s="126"/>
      <x:c r="R863" s="126"/>
      <x:c r="S863" s="124"/>
      <x:c r="T863" s="124"/>
      <x:c r="U863" s="124"/>
      <x:c r="V863" s="124"/>
      <x:c r="W863" s="124"/>
      <x:c r="X863" s="124"/>
      <x:c r="AD863"/>
      <x:c r="AE863" s="145"/>
      <x:c r="AF863" s="145"/>
      <x:c r="AG863" s="145"/>
      <x:c r="AH863" s="145"/>
      <x:c r="AI863" s="145"/>
      <x:c r="AJ863"/>
    </x:row>
    <x:row r="864">
      <x:c r="F864" s="124"/>
      <x:c r="G864" s="124"/>
      <x:c r="H864" s="124"/>
      <x:c r="I864" s="124"/>
      <x:c r="J864" s="124"/>
      <x:c r="M864" s="126"/>
      <x:c r="P864" s="126"/>
      <x:c r="Q864" s="126"/>
      <x:c r="R864" s="126"/>
      <x:c r="S864" s="124"/>
      <x:c r="T864" s="124"/>
      <x:c r="U864" s="124"/>
      <x:c r="V864" s="124"/>
      <x:c r="W864" s="124"/>
      <x:c r="X864" s="124"/>
      <x:c r="AD864"/>
      <x:c r="AE864" s="145"/>
      <x:c r="AF864" s="145"/>
      <x:c r="AG864" s="145"/>
      <x:c r="AH864" s="145"/>
      <x:c r="AI864" s="145"/>
      <x:c r="AJ864"/>
    </x:row>
    <x:row r="865">
      <x:c r="F865" s="124"/>
      <x:c r="G865" s="124"/>
      <x:c r="H865" s="124"/>
      <x:c r="I865" s="124"/>
      <x:c r="J865" s="124"/>
      <x:c r="M865" s="126"/>
      <x:c r="P865" s="126"/>
      <x:c r="Q865" s="126"/>
      <x:c r="R865" s="126"/>
      <x:c r="S865" s="124"/>
      <x:c r="T865" s="124"/>
      <x:c r="U865" s="124"/>
      <x:c r="V865" s="124"/>
      <x:c r="W865" s="124"/>
      <x:c r="X865" s="124"/>
      <x:c r="AD865"/>
      <x:c r="AE865" s="145"/>
      <x:c r="AF865" s="145"/>
      <x:c r="AG865" s="145"/>
      <x:c r="AH865" s="145"/>
      <x:c r="AI865" s="145"/>
      <x:c r="AJ865"/>
    </x:row>
    <x:row r="866">
      <x:c r="F866" s="124"/>
      <x:c r="G866" s="124"/>
      <x:c r="H866" s="124"/>
      <x:c r="I866" s="124"/>
      <x:c r="J866" s="124"/>
      <x:c r="M866" s="126"/>
      <x:c r="P866" s="126"/>
      <x:c r="Q866" s="126"/>
      <x:c r="R866" s="126"/>
      <x:c r="S866" s="124"/>
      <x:c r="T866" s="124"/>
      <x:c r="U866" s="124"/>
      <x:c r="V866" s="124"/>
      <x:c r="W866" s="124"/>
      <x:c r="X866" s="124"/>
      <x:c r="AD866"/>
      <x:c r="AE866" s="145"/>
      <x:c r="AF866" s="145"/>
      <x:c r="AG866" s="145"/>
      <x:c r="AH866" s="145"/>
      <x:c r="AI866" s="145"/>
      <x:c r="AJ866"/>
    </x:row>
    <x:row r="867">
      <x:c r="F867" s="124"/>
      <x:c r="G867" s="124"/>
      <x:c r="H867" s="124"/>
      <x:c r="I867" s="124"/>
      <x:c r="J867" s="124"/>
      <x:c r="M867" s="126"/>
      <x:c r="P867" s="126"/>
      <x:c r="Q867" s="126"/>
      <x:c r="R867" s="126"/>
      <x:c r="S867" s="124"/>
      <x:c r="T867" s="124"/>
      <x:c r="U867" s="124"/>
      <x:c r="V867" s="124"/>
      <x:c r="W867" s="124"/>
      <x:c r="X867" s="124"/>
      <x:c r="AD867"/>
      <x:c r="AE867" s="145"/>
      <x:c r="AF867" s="145"/>
      <x:c r="AG867" s="145"/>
      <x:c r="AH867" s="145"/>
      <x:c r="AI867" s="145"/>
      <x:c r="AJ867"/>
    </x:row>
    <x:row r="868">
      <x:c r="F868" s="124"/>
      <x:c r="G868" s="124"/>
      <x:c r="H868" s="124"/>
      <x:c r="I868" s="124"/>
      <x:c r="J868" s="124"/>
      <x:c r="M868" s="126"/>
      <x:c r="P868" s="126"/>
      <x:c r="Q868" s="126"/>
      <x:c r="R868" s="126"/>
      <x:c r="S868" s="124"/>
      <x:c r="T868" s="124"/>
      <x:c r="U868" s="124"/>
      <x:c r="V868" s="124"/>
      <x:c r="W868" s="124"/>
      <x:c r="X868" s="124"/>
      <x:c r="AD868"/>
      <x:c r="AE868" s="145"/>
      <x:c r="AF868" s="145"/>
      <x:c r="AG868" s="145"/>
      <x:c r="AH868" s="145"/>
      <x:c r="AI868" s="145"/>
      <x:c r="AJ868"/>
    </x:row>
    <x:row r="869">
      <x:c r="F869" s="124"/>
      <x:c r="G869" s="124"/>
      <x:c r="H869" s="124"/>
      <x:c r="I869" s="124"/>
      <x:c r="J869" s="124"/>
      <x:c r="M869" s="126"/>
      <x:c r="P869" s="126"/>
      <x:c r="Q869" s="126"/>
      <x:c r="R869" s="126"/>
      <x:c r="S869" s="124"/>
      <x:c r="T869" s="124"/>
      <x:c r="U869" s="124"/>
      <x:c r="V869" s="124"/>
      <x:c r="W869" s="124"/>
      <x:c r="X869" s="124"/>
      <x:c r="AD869"/>
      <x:c r="AE869" s="145"/>
      <x:c r="AF869" s="145"/>
      <x:c r="AG869" s="145"/>
      <x:c r="AH869" s="145"/>
      <x:c r="AI869" s="145"/>
      <x:c r="AJ869"/>
    </x:row>
    <x:row r="870">
      <x:c r="F870" s="124"/>
      <x:c r="G870" s="124"/>
      <x:c r="H870" s="124"/>
      <x:c r="I870" s="124"/>
      <x:c r="J870" s="124"/>
      <x:c r="M870" s="126"/>
      <x:c r="P870" s="126"/>
      <x:c r="Q870" s="126"/>
      <x:c r="R870" s="126"/>
      <x:c r="S870" s="124"/>
      <x:c r="T870" s="124"/>
      <x:c r="U870" s="124"/>
      <x:c r="V870" s="124"/>
      <x:c r="W870" s="124"/>
      <x:c r="X870" s="124"/>
      <x:c r="AD870"/>
      <x:c r="AE870" s="145"/>
      <x:c r="AF870" s="145"/>
      <x:c r="AG870" s="145"/>
      <x:c r="AH870" s="145"/>
      <x:c r="AI870" s="145"/>
      <x:c r="AJ870"/>
    </x:row>
    <x:row r="871">
      <x:c r="F871" s="124"/>
      <x:c r="G871" s="124"/>
      <x:c r="H871" s="124"/>
      <x:c r="I871" s="124"/>
      <x:c r="J871" s="124"/>
      <x:c r="M871" s="126"/>
      <x:c r="P871" s="126"/>
      <x:c r="Q871" s="126"/>
      <x:c r="R871" s="126"/>
      <x:c r="S871" s="124"/>
      <x:c r="T871" s="124"/>
      <x:c r="U871" s="124"/>
      <x:c r="V871" s="124"/>
      <x:c r="W871" s="124"/>
      <x:c r="X871" s="124"/>
      <x:c r="AD871"/>
      <x:c r="AE871" s="145"/>
      <x:c r="AF871" s="145"/>
      <x:c r="AG871" s="145"/>
      <x:c r="AH871" s="145"/>
      <x:c r="AI871" s="145"/>
      <x:c r="AJ871"/>
    </x:row>
    <x:row r="872">
      <x:c r="F872" s="124"/>
      <x:c r="G872" s="124"/>
      <x:c r="H872" s="124"/>
      <x:c r="I872" s="124"/>
      <x:c r="J872" s="124"/>
      <x:c r="M872" s="126"/>
      <x:c r="P872" s="126"/>
      <x:c r="Q872" s="126"/>
      <x:c r="R872" s="126"/>
      <x:c r="S872" s="124"/>
      <x:c r="T872" s="124"/>
      <x:c r="U872" s="124"/>
      <x:c r="V872" s="124"/>
      <x:c r="W872" s="124"/>
      <x:c r="X872" s="124"/>
      <x:c r="AD872"/>
      <x:c r="AE872" s="145"/>
      <x:c r="AF872" s="145"/>
      <x:c r="AG872" s="145"/>
      <x:c r="AH872" s="145"/>
      <x:c r="AI872" s="145"/>
      <x:c r="AJ872"/>
    </x:row>
    <x:row r="873">
      <x:c r="F873" s="124"/>
      <x:c r="G873" s="124"/>
      <x:c r="H873" s="124"/>
      <x:c r="I873" s="124"/>
      <x:c r="J873" s="124"/>
      <x:c r="M873" s="126"/>
      <x:c r="P873" s="126"/>
      <x:c r="Q873" s="126"/>
      <x:c r="R873" s="126"/>
      <x:c r="S873" s="124"/>
      <x:c r="T873" s="124"/>
      <x:c r="U873" s="124"/>
      <x:c r="V873" s="124"/>
      <x:c r="W873" s="124"/>
      <x:c r="X873" s="124"/>
      <x:c r="AD873"/>
      <x:c r="AE873" s="145"/>
      <x:c r="AF873" s="145"/>
      <x:c r="AG873" s="145"/>
      <x:c r="AH873" s="145"/>
      <x:c r="AI873" s="145"/>
      <x:c r="AJ873"/>
    </x:row>
    <x:row r="874">
      <x:c r="F874" s="124"/>
      <x:c r="G874" s="124"/>
      <x:c r="H874" s="124"/>
      <x:c r="I874" s="124"/>
      <x:c r="J874" s="124"/>
      <x:c r="M874" s="126"/>
      <x:c r="P874" s="126"/>
      <x:c r="Q874" s="126"/>
      <x:c r="R874" s="126"/>
      <x:c r="S874" s="124"/>
      <x:c r="T874" s="124"/>
      <x:c r="U874" s="124"/>
      <x:c r="V874" s="124"/>
      <x:c r="W874" s="124"/>
      <x:c r="X874" s="124"/>
      <x:c r="AD874"/>
      <x:c r="AE874" s="145"/>
      <x:c r="AF874" s="145"/>
      <x:c r="AG874" s="145"/>
      <x:c r="AH874" s="145"/>
      <x:c r="AI874" s="145"/>
      <x:c r="AJ874"/>
    </x:row>
    <x:row r="875">
      <x:c r="F875" s="124"/>
      <x:c r="G875" s="124"/>
      <x:c r="H875" s="124"/>
      <x:c r="I875" s="124"/>
      <x:c r="J875" s="124"/>
      <x:c r="M875" s="126"/>
      <x:c r="P875" s="126"/>
      <x:c r="Q875" s="126"/>
      <x:c r="R875" s="126"/>
      <x:c r="S875" s="124"/>
      <x:c r="T875" s="124"/>
      <x:c r="U875" s="124"/>
      <x:c r="V875" s="124"/>
      <x:c r="W875" s="124"/>
      <x:c r="X875" s="124"/>
      <x:c r="AD875"/>
      <x:c r="AE875" s="145"/>
      <x:c r="AF875" s="145"/>
      <x:c r="AG875" s="145"/>
      <x:c r="AH875" s="145"/>
      <x:c r="AI875" s="145"/>
      <x:c r="AJ875"/>
    </x:row>
    <x:row r="876">
      <x:c r="F876" s="124"/>
      <x:c r="G876" s="124"/>
      <x:c r="H876" s="124"/>
      <x:c r="I876" s="124"/>
      <x:c r="J876" s="124"/>
      <x:c r="M876" s="126"/>
      <x:c r="P876" s="126"/>
      <x:c r="Q876" s="126"/>
      <x:c r="R876" s="126"/>
      <x:c r="S876" s="124"/>
      <x:c r="T876" s="124"/>
      <x:c r="U876" s="124"/>
      <x:c r="V876" s="124"/>
      <x:c r="W876" s="124"/>
      <x:c r="X876" s="124"/>
      <x:c r="AD876"/>
      <x:c r="AE876" s="145"/>
      <x:c r="AF876" s="145"/>
      <x:c r="AG876" s="145"/>
      <x:c r="AH876" s="145"/>
      <x:c r="AI876" s="145"/>
      <x:c r="AJ876"/>
    </x:row>
    <x:row r="877">
      <x:c r="F877" s="124"/>
      <x:c r="G877" s="124"/>
      <x:c r="H877" s="124"/>
      <x:c r="I877" s="124"/>
      <x:c r="J877" s="124"/>
      <x:c r="M877" s="126"/>
      <x:c r="P877" s="126"/>
      <x:c r="Q877" s="126"/>
      <x:c r="R877" s="126"/>
      <x:c r="S877" s="124"/>
      <x:c r="T877" s="124"/>
      <x:c r="U877" s="124"/>
      <x:c r="V877" s="124"/>
      <x:c r="W877" s="124"/>
      <x:c r="X877" s="124"/>
      <x:c r="AD877"/>
      <x:c r="AE877" s="145"/>
      <x:c r="AF877" s="145"/>
      <x:c r="AG877" s="145"/>
      <x:c r="AH877" s="145"/>
      <x:c r="AI877" s="145"/>
      <x:c r="AJ877"/>
    </x:row>
    <x:row r="878">
      <x:c r="F878" s="124"/>
      <x:c r="G878" s="124"/>
      <x:c r="H878" s="124"/>
      <x:c r="I878" s="124"/>
      <x:c r="J878" s="124"/>
      <x:c r="M878" s="126"/>
      <x:c r="P878" s="126"/>
      <x:c r="Q878" s="126"/>
      <x:c r="R878" s="126"/>
      <x:c r="S878" s="124"/>
      <x:c r="T878" s="124"/>
      <x:c r="U878" s="124"/>
      <x:c r="V878" s="124"/>
      <x:c r="W878" s="124"/>
      <x:c r="X878" s="124"/>
      <x:c r="AD878"/>
      <x:c r="AE878" s="145"/>
      <x:c r="AF878" s="145"/>
      <x:c r="AG878" s="145"/>
      <x:c r="AH878" s="145"/>
      <x:c r="AI878" s="145"/>
      <x:c r="AJ878"/>
    </x:row>
    <x:row r="879">
      <x:c r="F879" s="124"/>
      <x:c r="G879" s="124"/>
      <x:c r="H879" s="124"/>
      <x:c r="I879" s="124"/>
      <x:c r="J879" s="124"/>
      <x:c r="M879" s="126"/>
      <x:c r="P879" s="126"/>
      <x:c r="Q879" s="126"/>
      <x:c r="R879" s="126"/>
      <x:c r="S879" s="124"/>
      <x:c r="T879" s="124"/>
      <x:c r="U879" s="124"/>
      <x:c r="V879" s="124"/>
      <x:c r="W879" s="124"/>
      <x:c r="X879" s="124"/>
      <x:c r="AD879"/>
      <x:c r="AE879" s="145"/>
      <x:c r="AF879" s="145"/>
      <x:c r="AG879" s="145"/>
      <x:c r="AH879" s="145"/>
      <x:c r="AI879" s="145"/>
      <x:c r="AJ879"/>
    </x:row>
    <x:row r="880">
      <x:c r="F880" s="124"/>
      <x:c r="G880" s="124"/>
      <x:c r="H880" s="124"/>
      <x:c r="I880" s="124"/>
      <x:c r="J880" s="124"/>
      <x:c r="M880" s="126"/>
      <x:c r="P880" s="126"/>
      <x:c r="Q880" s="126"/>
      <x:c r="R880" s="126"/>
      <x:c r="S880" s="124"/>
      <x:c r="T880" s="124"/>
      <x:c r="U880" s="124"/>
      <x:c r="V880" s="124"/>
      <x:c r="W880" s="124"/>
      <x:c r="X880" s="124"/>
      <x:c r="AD880"/>
      <x:c r="AE880" s="145"/>
      <x:c r="AF880" s="145"/>
      <x:c r="AG880" s="145"/>
      <x:c r="AH880" s="145"/>
      <x:c r="AI880" s="145"/>
      <x:c r="AJ880"/>
    </x:row>
    <x:row r="881">
      <x:c r="F881" s="124"/>
      <x:c r="G881" s="124"/>
      <x:c r="H881" s="124"/>
      <x:c r="I881" s="124"/>
      <x:c r="J881" s="124"/>
      <x:c r="M881" s="126"/>
      <x:c r="P881" s="126"/>
      <x:c r="Q881" s="126"/>
      <x:c r="R881" s="126"/>
      <x:c r="S881" s="124"/>
      <x:c r="T881" s="124"/>
      <x:c r="U881" s="124"/>
      <x:c r="V881" s="124"/>
      <x:c r="W881" s="124"/>
      <x:c r="X881" s="124"/>
      <x:c r="AD881"/>
      <x:c r="AE881" s="145"/>
      <x:c r="AF881" s="145"/>
      <x:c r="AG881" s="145"/>
      <x:c r="AH881" s="145"/>
      <x:c r="AI881" s="145"/>
      <x:c r="AJ881"/>
    </x:row>
    <x:row r="882">
      <x:c r="F882" s="124"/>
      <x:c r="G882" s="124"/>
      <x:c r="H882" s="124"/>
      <x:c r="I882" s="124"/>
      <x:c r="J882" s="124"/>
      <x:c r="M882" s="126"/>
      <x:c r="P882" s="126"/>
      <x:c r="Q882" s="126"/>
      <x:c r="R882" s="126"/>
      <x:c r="S882" s="124"/>
      <x:c r="T882" s="124"/>
      <x:c r="U882" s="124"/>
      <x:c r="V882" s="124"/>
      <x:c r="W882" s="124"/>
      <x:c r="X882" s="124"/>
      <x:c r="AD882"/>
      <x:c r="AE882" s="145"/>
      <x:c r="AF882" s="145"/>
      <x:c r="AG882" s="145"/>
      <x:c r="AH882" s="145"/>
      <x:c r="AI882" s="145"/>
      <x:c r="AJ882"/>
    </x:row>
    <x:row r="883">
      <x:c r="F883" s="124"/>
      <x:c r="G883" s="124"/>
      <x:c r="H883" s="124"/>
      <x:c r="I883" s="124"/>
      <x:c r="J883" s="124"/>
      <x:c r="M883" s="126"/>
      <x:c r="P883" s="126"/>
      <x:c r="Q883" s="126"/>
      <x:c r="R883" s="126"/>
      <x:c r="S883" s="124"/>
      <x:c r="T883" s="124"/>
      <x:c r="U883" s="124"/>
      <x:c r="V883" s="124"/>
      <x:c r="W883" s="124"/>
      <x:c r="X883" s="124"/>
      <x:c r="AD883"/>
      <x:c r="AE883" s="145"/>
      <x:c r="AF883" s="145"/>
      <x:c r="AG883" s="145"/>
      <x:c r="AH883" s="145"/>
      <x:c r="AI883" s="145"/>
      <x:c r="AJ883"/>
    </x:row>
    <x:row r="884">
      <x:c r="F884" s="124"/>
      <x:c r="G884" s="124"/>
      <x:c r="H884" s="124"/>
      <x:c r="I884" s="124"/>
      <x:c r="J884" s="124"/>
      <x:c r="M884" s="126"/>
      <x:c r="P884" s="126"/>
      <x:c r="Q884" s="126"/>
      <x:c r="R884" s="126"/>
      <x:c r="S884" s="124"/>
      <x:c r="T884" s="124"/>
      <x:c r="U884" s="124"/>
      <x:c r="V884" s="124"/>
      <x:c r="W884" s="124"/>
      <x:c r="X884" s="124"/>
      <x:c r="AD884"/>
      <x:c r="AE884" s="145"/>
      <x:c r="AF884" s="145"/>
      <x:c r="AG884" s="145"/>
      <x:c r="AH884" s="145"/>
      <x:c r="AI884" s="145"/>
      <x:c r="AJ884"/>
    </x:row>
    <x:row r="885">
      <x:c r="F885" s="124"/>
      <x:c r="G885" s="124"/>
      <x:c r="H885" s="124"/>
      <x:c r="I885" s="124"/>
      <x:c r="J885" s="124"/>
      <x:c r="M885" s="126"/>
      <x:c r="P885" s="126"/>
      <x:c r="Q885" s="126"/>
      <x:c r="R885" s="126"/>
      <x:c r="S885" s="124"/>
      <x:c r="T885" s="124"/>
      <x:c r="U885" s="124"/>
      <x:c r="V885" s="124"/>
      <x:c r="W885" s="124"/>
      <x:c r="X885" s="124"/>
      <x:c r="AD885"/>
      <x:c r="AE885" s="145"/>
      <x:c r="AF885" s="145"/>
      <x:c r="AG885" s="145"/>
      <x:c r="AH885" s="145"/>
      <x:c r="AI885" s="145"/>
      <x:c r="AJ885"/>
    </x:row>
    <x:row r="886">
      <x:c r="F886" s="124"/>
      <x:c r="G886" s="124"/>
      <x:c r="H886" s="124"/>
      <x:c r="I886" s="124"/>
      <x:c r="J886" s="124"/>
      <x:c r="M886" s="126"/>
      <x:c r="P886" s="126"/>
      <x:c r="Q886" s="126"/>
      <x:c r="R886" s="126"/>
      <x:c r="S886" s="124"/>
      <x:c r="T886" s="124"/>
      <x:c r="U886" s="124"/>
      <x:c r="V886" s="124"/>
      <x:c r="W886" s="124"/>
      <x:c r="X886" s="124"/>
      <x:c r="AD886"/>
      <x:c r="AE886" s="145"/>
      <x:c r="AF886" s="145"/>
      <x:c r="AG886" s="145"/>
      <x:c r="AH886" s="145"/>
      <x:c r="AI886" s="145"/>
      <x:c r="AJ886"/>
    </x:row>
    <x:row r="887">
      <x:c r="F887" s="124"/>
      <x:c r="G887" s="124"/>
      <x:c r="H887" s="124"/>
      <x:c r="I887" s="124"/>
      <x:c r="J887" s="124"/>
      <x:c r="M887" s="126"/>
      <x:c r="P887" s="126"/>
      <x:c r="Q887" s="126"/>
      <x:c r="R887" s="126"/>
      <x:c r="S887" s="124"/>
      <x:c r="T887" s="124"/>
      <x:c r="U887" s="124"/>
      <x:c r="V887" s="124"/>
      <x:c r="W887" s="124"/>
      <x:c r="X887" s="124"/>
      <x:c r="AD887"/>
      <x:c r="AE887" s="145"/>
      <x:c r="AF887" s="145"/>
      <x:c r="AG887" s="145"/>
      <x:c r="AH887" s="145"/>
      <x:c r="AI887" s="145"/>
      <x:c r="AJ887"/>
    </x:row>
    <x:row r="888">
      <x:c r="F888" s="124"/>
      <x:c r="G888" s="124"/>
      <x:c r="H888" s="124"/>
      <x:c r="I888" s="124"/>
      <x:c r="J888" s="124"/>
      <x:c r="M888" s="126"/>
      <x:c r="P888" s="126"/>
      <x:c r="Q888" s="126"/>
      <x:c r="R888" s="126"/>
      <x:c r="S888" s="124"/>
      <x:c r="T888" s="124"/>
      <x:c r="U888" s="124"/>
      <x:c r="V888" s="124"/>
      <x:c r="W888" s="124"/>
      <x:c r="X888" s="124"/>
      <x:c r="AD888"/>
      <x:c r="AE888" s="145"/>
      <x:c r="AF888" s="145"/>
      <x:c r="AG888" s="145"/>
      <x:c r="AH888" s="145"/>
      <x:c r="AI888" s="145"/>
      <x:c r="AJ888"/>
    </x:row>
    <x:row r="889">
      <x:c r="F889" s="124"/>
      <x:c r="G889" s="124"/>
      <x:c r="H889" s="124"/>
      <x:c r="I889" s="124"/>
      <x:c r="J889" s="124"/>
      <x:c r="M889" s="126"/>
      <x:c r="P889" s="126"/>
      <x:c r="Q889" s="126"/>
      <x:c r="R889" s="126"/>
      <x:c r="S889" s="124"/>
      <x:c r="T889" s="124"/>
      <x:c r="U889" s="124"/>
      <x:c r="V889" s="124"/>
      <x:c r="W889" s="124"/>
      <x:c r="X889" s="124"/>
      <x:c r="AD889"/>
      <x:c r="AE889" s="145"/>
      <x:c r="AF889" s="145"/>
      <x:c r="AG889" s="145"/>
      <x:c r="AH889" s="145"/>
      <x:c r="AI889" s="145"/>
      <x:c r="AJ889"/>
    </x:row>
    <x:row r="890">
      <x:c r="F890" s="124"/>
      <x:c r="G890" s="124"/>
      <x:c r="H890" s="124"/>
      <x:c r="I890" s="124"/>
      <x:c r="J890" s="124"/>
      <x:c r="M890" s="126"/>
      <x:c r="P890" s="126"/>
      <x:c r="Q890" s="126"/>
      <x:c r="R890" s="126"/>
      <x:c r="S890" s="124"/>
      <x:c r="T890" s="124"/>
      <x:c r="U890" s="124"/>
      <x:c r="V890" s="124"/>
      <x:c r="W890" s="124"/>
      <x:c r="X890" s="124"/>
      <x:c r="AD890"/>
      <x:c r="AE890" s="145"/>
      <x:c r="AF890" s="145"/>
      <x:c r="AG890" s="145"/>
      <x:c r="AH890" s="145"/>
      <x:c r="AI890" s="145"/>
      <x:c r="AJ890"/>
    </x:row>
    <x:row r="891">
      <x:c r="F891" s="124"/>
      <x:c r="G891" s="124"/>
      <x:c r="H891" s="124"/>
      <x:c r="I891" s="124"/>
      <x:c r="J891" s="124"/>
      <x:c r="M891" s="126"/>
      <x:c r="P891" s="126"/>
      <x:c r="Q891" s="126"/>
      <x:c r="R891" s="126"/>
      <x:c r="S891" s="124"/>
      <x:c r="T891" s="124"/>
      <x:c r="U891" s="124"/>
      <x:c r="V891" s="124"/>
      <x:c r="W891" s="124"/>
      <x:c r="X891" s="124"/>
      <x:c r="AD891"/>
      <x:c r="AE891" s="145"/>
      <x:c r="AF891" s="145"/>
      <x:c r="AG891" s="145"/>
      <x:c r="AH891" s="145"/>
      <x:c r="AI891" s="145"/>
      <x:c r="AJ891"/>
    </x:row>
    <x:row r="892">
      <x:c r="F892" s="124"/>
      <x:c r="G892" s="124"/>
      <x:c r="H892" s="124"/>
      <x:c r="I892" s="124"/>
      <x:c r="J892" s="124"/>
      <x:c r="M892" s="126"/>
      <x:c r="P892" s="126"/>
      <x:c r="Q892" s="126"/>
      <x:c r="R892" s="126"/>
      <x:c r="S892" s="124"/>
      <x:c r="T892" s="124"/>
      <x:c r="U892" s="124"/>
      <x:c r="V892" s="124"/>
      <x:c r="W892" s="124"/>
      <x:c r="X892" s="124"/>
      <x:c r="AD892"/>
      <x:c r="AE892" s="145"/>
      <x:c r="AF892" s="145"/>
      <x:c r="AG892" s="145"/>
      <x:c r="AH892" s="145"/>
      <x:c r="AI892" s="145"/>
      <x:c r="AJ892"/>
    </x:row>
    <x:row r="893">
      <x:c r="F893" s="124"/>
      <x:c r="G893" s="124"/>
      <x:c r="H893" s="124"/>
      <x:c r="I893" s="124"/>
      <x:c r="J893" s="124"/>
      <x:c r="M893" s="126"/>
      <x:c r="P893" s="126"/>
      <x:c r="Q893" s="126"/>
      <x:c r="R893" s="126"/>
      <x:c r="S893" s="124"/>
      <x:c r="T893" s="124"/>
      <x:c r="U893" s="124"/>
      <x:c r="V893" s="124"/>
      <x:c r="W893" s="124"/>
      <x:c r="X893" s="124"/>
      <x:c r="AD893"/>
      <x:c r="AE893" s="145"/>
      <x:c r="AF893" s="145"/>
      <x:c r="AG893" s="145"/>
      <x:c r="AH893" s="145"/>
      <x:c r="AI893" s="145"/>
      <x:c r="AJ893"/>
    </x:row>
    <x:row r="894">
      <x:c r="F894" s="124"/>
      <x:c r="G894" s="124"/>
      <x:c r="H894" s="124"/>
      <x:c r="I894" s="124"/>
      <x:c r="J894" s="124"/>
      <x:c r="M894" s="126"/>
      <x:c r="P894" s="126"/>
      <x:c r="Q894" s="126"/>
      <x:c r="R894" s="126"/>
      <x:c r="S894" s="124"/>
      <x:c r="T894" s="124"/>
      <x:c r="U894" s="124"/>
      <x:c r="V894" s="124"/>
      <x:c r="W894" s="124"/>
      <x:c r="X894" s="124"/>
      <x:c r="AD894"/>
      <x:c r="AE894" s="145"/>
      <x:c r="AF894" s="145"/>
      <x:c r="AG894" s="145"/>
      <x:c r="AH894" s="145"/>
      <x:c r="AI894" s="145"/>
      <x:c r="AJ894"/>
    </x:row>
    <x:row r="895">
      <x:c r="F895" s="124"/>
      <x:c r="G895" s="124"/>
      <x:c r="H895" s="124"/>
      <x:c r="I895" s="124"/>
      <x:c r="J895" s="124"/>
      <x:c r="M895" s="126"/>
      <x:c r="P895" s="126"/>
      <x:c r="Q895" s="126"/>
      <x:c r="R895" s="126"/>
      <x:c r="S895" s="124"/>
      <x:c r="T895" s="124"/>
      <x:c r="U895" s="124"/>
      <x:c r="V895" s="124"/>
      <x:c r="W895" s="124"/>
      <x:c r="X895" s="124"/>
      <x:c r="AD895"/>
      <x:c r="AE895" s="145"/>
      <x:c r="AF895" s="145"/>
      <x:c r="AG895" s="145"/>
      <x:c r="AH895" s="145"/>
      <x:c r="AI895" s="145"/>
      <x:c r="AJ895"/>
    </x:row>
    <x:row r="896">
      <x:c r="F896" s="124"/>
      <x:c r="G896" s="124"/>
      <x:c r="H896" s="124"/>
      <x:c r="I896" s="124"/>
      <x:c r="J896" s="124"/>
      <x:c r="M896" s="126"/>
      <x:c r="P896" s="126"/>
      <x:c r="Q896" s="126"/>
      <x:c r="R896" s="126"/>
      <x:c r="S896" s="124"/>
      <x:c r="T896" s="124"/>
      <x:c r="U896" s="124"/>
      <x:c r="V896" s="124"/>
      <x:c r="W896" s="124"/>
      <x:c r="X896" s="124"/>
      <x:c r="AD896"/>
      <x:c r="AE896" s="145"/>
      <x:c r="AF896" s="145"/>
      <x:c r="AG896" s="145"/>
      <x:c r="AH896" s="145"/>
      <x:c r="AI896" s="145"/>
      <x:c r="AJ896"/>
    </x:row>
    <x:row r="897">
      <x:c r="F897" s="124"/>
      <x:c r="G897" s="124"/>
      <x:c r="H897" s="124"/>
      <x:c r="I897" s="124"/>
      <x:c r="J897" s="124"/>
      <x:c r="M897" s="126"/>
      <x:c r="P897" s="126"/>
      <x:c r="Q897" s="126"/>
      <x:c r="R897" s="126"/>
      <x:c r="S897" s="124"/>
      <x:c r="T897" s="124"/>
      <x:c r="U897" s="124"/>
      <x:c r="V897" s="124"/>
      <x:c r="W897" s="124"/>
      <x:c r="X897" s="124"/>
      <x:c r="AD897"/>
      <x:c r="AE897" s="145"/>
      <x:c r="AF897" s="145"/>
      <x:c r="AG897" s="145"/>
      <x:c r="AH897" s="145"/>
      <x:c r="AI897" s="145"/>
      <x:c r="AJ897"/>
    </x:row>
    <x:row r="898">
      <x:c r="F898" s="124"/>
      <x:c r="G898" s="124"/>
      <x:c r="H898" s="124"/>
      <x:c r="I898" s="124"/>
      <x:c r="J898" s="124"/>
      <x:c r="M898" s="126"/>
      <x:c r="P898" s="126"/>
      <x:c r="Q898" s="126"/>
      <x:c r="R898" s="126"/>
      <x:c r="S898" s="124"/>
      <x:c r="T898" s="124"/>
      <x:c r="U898" s="124"/>
      <x:c r="V898" s="124"/>
      <x:c r="W898" s="124"/>
      <x:c r="X898" s="124"/>
      <x:c r="AD898"/>
      <x:c r="AE898" s="145"/>
      <x:c r="AF898" s="145"/>
      <x:c r="AG898" s="145"/>
      <x:c r="AH898" s="145"/>
      <x:c r="AI898" s="145"/>
      <x:c r="AJ898"/>
    </x:row>
    <x:row r="899">
      <x:c r="F899" s="124"/>
      <x:c r="G899" s="124"/>
      <x:c r="H899" s="124"/>
      <x:c r="I899" s="124"/>
      <x:c r="J899" s="124"/>
      <x:c r="M899" s="126"/>
      <x:c r="P899" s="126"/>
      <x:c r="Q899" s="126"/>
      <x:c r="R899" s="126"/>
      <x:c r="S899" s="124"/>
      <x:c r="T899" s="124"/>
      <x:c r="U899" s="124"/>
      <x:c r="V899" s="124"/>
      <x:c r="W899" s="124"/>
      <x:c r="X899" s="124"/>
      <x:c r="AD899"/>
      <x:c r="AE899" s="145"/>
      <x:c r="AF899" s="145"/>
      <x:c r="AG899" s="145"/>
      <x:c r="AH899" s="145"/>
      <x:c r="AI899" s="145"/>
      <x:c r="AJ899"/>
    </x:row>
    <x:row r="900">
      <x:c r="F900" s="124"/>
      <x:c r="G900" s="124"/>
      <x:c r="H900" s="124"/>
      <x:c r="I900" s="124"/>
      <x:c r="J900" s="124"/>
      <x:c r="M900" s="126"/>
      <x:c r="P900" s="126"/>
      <x:c r="Q900" s="126"/>
      <x:c r="R900" s="126"/>
      <x:c r="S900" s="124"/>
      <x:c r="T900" s="124"/>
      <x:c r="U900" s="124"/>
      <x:c r="V900" s="124"/>
      <x:c r="W900" s="124"/>
      <x:c r="X900" s="124"/>
      <x:c r="AD900"/>
      <x:c r="AE900" s="145"/>
      <x:c r="AF900" s="145"/>
      <x:c r="AG900" s="145"/>
      <x:c r="AH900" s="145"/>
      <x:c r="AI900" s="145"/>
      <x:c r="AJ900"/>
    </x:row>
    <x:row r="901">
      <x:c r="F901" s="124"/>
      <x:c r="G901" s="124"/>
      <x:c r="H901" s="124"/>
      <x:c r="I901" s="124"/>
      <x:c r="J901" s="124"/>
      <x:c r="M901" s="126"/>
      <x:c r="P901" s="126"/>
      <x:c r="Q901" s="126"/>
      <x:c r="R901" s="126"/>
      <x:c r="S901" s="124"/>
      <x:c r="T901" s="124"/>
      <x:c r="U901" s="124"/>
      <x:c r="V901" s="124"/>
      <x:c r="W901" s="124"/>
      <x:c r="X901" s="124"/>
      <x:c r="AD901"/>
      <x:c r="AE901" s="145"/>
      <x:c r="AF901" s="145"/>
      <x:c r="AG901" s="145"/>
      <x:c r="AH901" s="145"/>
      <x:c r="AI901" s="145"/>
      <x:c r="AJ901"/>
    </x:row>
    <x:row r="902">
      <x:c r="F902" s="124"/>
      <x:c r="G902" s="124"/>
      <x:c r="H902" s="124"/>
      <x:c r="I902" s="124"/>
      <x:c r="J902" s="124"/>
      <x:c r="M902" s="126"/>
      <x:c r="P902" s="126"/>
      <x:c r="Q902" s="126"/>
      <x:c r="R902" s="126"/>
      <x:c r="S902" s="124"/>
      <x:c r="T902" s="124"/>
      <x:c r="U902" s="124"/>
      <x:c r="V902" s="124"/>
      <x:c r="W902" s="124"/>
      <x:c r="X902" s="124"/>
      <x:c r="AD902"/>
      <x:c r="AE902" s="145"/>
      <x:c r="AF902" s="145"/>
      <x:c r="AG902" s="145"/>
      <x:c r="AH902" s="145"/>
      <x:c r="AI902" s="145"/>
      <x:c r="AJ902"/>
    </x:row>
    <x:row r="903">
      <x:c r="F903" s="124"/>
      <x:c r="G903" s="124"/>
      <x:c r="H903" s="124"/>
      <x:c r="I903" s="124"/>
      <x:c r="J903" s="124"/>
      <x:c r="M903" s="126"/>
      <x:c r="P903" s="126"/>
      <x:c r="Q903" s="126"/>
      <x:c r="R903" s="126"/>
      <x:c r="S903" s="124"/>
      <x:c r="T903" s="124"/>
      <x:c r="U903" s="124"/>
      <x:c r="V903" s="124"/>
      <x:c r="W903" s="124"/>
      <x:c r="X903" s="124"/>
      <x:c r="AD903"/>
      <x:c r="AE903" s="145"/>
      <x:c r="AF903" s="145"/>
      <x:c r="AG903" s="145"/>
      <x:c r="AH903" s="145"/>
      <x:c r="AI903" s="145"/>
      <x:c r="AJ903"/>
    </x:row>
    <x:row r="904">
      <x:c r="F904" s="124"/>
      <x:c r="G904" s="124"/>
      <x:c r="H904" s="124"/>
      <x:c r="I904" s="124"/>
      <x:c r="J904" s="124"/>
      <x:c r="M904" s="126"/>
      <x:c r="P904" s="126"/>
      <x:c r="Q904" s="126"/>
      <x:c r="R904" s="126"/>
      <x:c r="S904" s="124"/>
      <x:c r="T904" s="124"/>
      <x:c r="U904" s="124"/>
      <x:c r="V904" s="124"/>
      <x:c r="W904" s="124"/>
      <x:c r="X904" s="124"/>
      <x:c r="AD904"/>
      <x:c r="AE904" s="145"/>
      <x:c r="AF904" s="145"/>
      <x:c r="AG904" s="145"/>
      <x:c r="AH904" s="145"/>
      <x:c r="AI904" s="145"/>
      <x:c r="AJ904"/>
    </x:row>
    <x:row r="905">
      <x:c r="F905" s="124"/>
      <x:c r="G905" s="124"/>
      <x:c r="H905" s="124"/>
      <x:c r="I905" s="124"/>
      <x:c r="J905" s="124"/>
      <x:c r="M905" s="126"/>
      <x:c r="P905" s="126"/>
      <x:c r="Q905" s="126"/>
      <x:c r="R905" s="126"/>
      <x:c r="S905" s="124"/>
      <x:c r="T905" s="124"/>
      <x:c r="U905" s="124"/>
      <x:c r="V905" s="124"/>
      <x:c r="W905" s="124"/>
      <x:c r="X905" s="124"/>
      <x:c r="AD905"/>
      <x:c r="AE905" s="145"/>
      <x:c r="AF905" s="145"/>
      <x:c r="AG905" s="145"/>
      <x:c r="AH905" s="145"/>
      <x:c r="AI905" s="145"/>
      <x:c r="AJ905"/>
    </x:row>
    <x:row r="906">
      <x:c r="F906" s="124"/>
      <x:c r="G906" s="124"/>
      <x:c r="H906" s="124"/>
      <x:c r="I906" s="124"/>
      <x:c r="J906" s="124"/>
      <x:c r="M906" s="126"/>
      <x:c r="P906" s="126"/>
      <x:c r="Q906" s="126"/>
      <x:c r="R906" s="126"/>
      <x:c r="S906" s="124"/>
      <x:c r="T906" s="124"/>
      <x:c r="U906" s="124"/>
      <x:c r="V906" s="124"/>
      <x:c r="W906" s="124"/>
      <x:c r="X906" s="124"/>
      <x:c r="AD906"/>
      <x:c r="AE906" s="145"/>
      <x:c r="AF906" s="145"/>
      <x:c r="AG906" s="145"/>
      <x:c r="AH906" s="145"/>
      <x:c r="AI906" s="145"/>
      <x:c r="AJ906"/>
    </x:row>
    <x:row r="907">
      <x:c r="F907" s="124"/>
      <x:c r="G907" s="124"/>
      <x:c r="H907" s="124"/>
      <x:c r="I907" s="124"/>
      <x:c r="J907" s="124"/>
      <x:c r="M907" s="126"/>
      <x:c r="P907" s="126"/>
      <x:c r="Q907" s="126"/>
      <x:c r="R907" s="126"/>
      <x:c r="S907" s="124"/>
      <x:c r="T907" s="124"/>
      <x:c r="U907" s="124"/>
      <x:c r="V907" s="124"/>
      <x:c r="W907" s="124"/>
      <x:c r="X907" s="124"/>
      <x:c r="AD907"/>
      <x:c r="AE907" s="145"/>
      <x:c r="AF907" s="145"/>
      <x:c r="AG907" s="145"/>
      <x:c r="AH907" s="145"/>
      <x:c r="AI907" s="145"/>
      <x:c r="AJ907"/>
    </x:row>
    <x:row r="908">
      <x:c r="F908" s="124"/>
      <x:c r="G908" s="124"/>
      <x:c r="H908" s="124"/>
      <x:c r="I908" s="124"/>
      <x:c r="J908" s="124"/>
      <x:c r="M908" s="126"/>
      <x:c r="P908" s="126"/>
      <x:c r="Q908" s="126"/>
      <x:c r="R908" s="126"/>
      <x:c r="S908" s="124"/>
      <x:c r="T908" s="124"/>
      <x:c r="U908" s="124"/>
      <x:c r="V908" s="124"/>
      <x:c r="W908" s="124"/>
      <x:c r="X908" s="124"/>
      <x:c r="AD908"/>
      <x:c r="AE908" s="145"/>
      <x:c r="AF908" s="145"/>
      <x:c r="AG908" s="145"/>
      <x:c r="AH908" s="145"/>
      <x:c r="AI908" s="145"/>
      <x:c r="AJ908"/>
    </x:row>
    <x:row r="909">
      <x:c r="F909" s="124"/>
      <x:c r="G909" s="124"/>
      <x:c r="H909" s="124"/>
      <x:c r="I909" s="124"/>
      <x:c r="J909" s="124"/>
      <x:c r="M909" s="126"/>
      <x:c r="P909" s="126"/>
      <x:c r="Q909" s="126"/>
      <x:c r="R909" s="126"/>
      <x:c r="S909" s="124"/>
      <x:c r="T909" s="124"/>
      <x:c r="U909" s="124"/>
      <x:c r="V909" s="124"/>
      <x:c r="W909" s="124"/>
      <x:c r="X909" s="124"/>
      <x:c r="AD909"/>
      <x:c r="AE909" s="145"/>
      <x:c r="AF909" s="145"/>
      <x:c r="AG909" s="145"/>
      <x:c r="AH909" s="145"/>
      <x:c r="AI909" s="145"/>
      <x:c r="AJ909"/>
    </x:row>
    <x:row r="910">
      <x:c r="F910" s="124"/>
      <x:c r="G910" s="124"/>
      <x:c r="H910" s="124"/>
      <x:c r="I910" s="124"/>
      <x:c r="J910" s="124"/>
      <x:c r="M910" s="126"/>
      <x:c r="P910" s="126"/>
      <x:c r="Q910" s="126"/>
      <x:c r="R910" s="126"/>
      <x:c r="S910" s="124"/>
      <x:c r="T910" s="124"/>
      <x:c r="U910" s="124"/>
      <x:c r="V910" s="124"/>
      <x:c r="W910" s="124"/>
      <x:c r="X910" s="124"/>
      <x:c r="AD910"/>
      <x:c r="AE910" s="145"/>
      <x:c r="AF910" s="145"/>
      <x:c r="AG910" s="145"/>
      <x:c r="AH910" s="145"/>
      <x:c r="AI910" s="145"/>
      <x:c r="AJ910"/>
    </x:row>
    <x:row r="911">
      <x:c r="F911" s="124"/>
      <x:c r="G911" s="124"/>
      <x:c r="H911" s="124"/>
      <x:c r="I911" s="124"/>
      <x:c r="J911" s="124"/>
      <x:c r="M911" s="126"/>
      <x:c r="P911" s="126"/>
      <x:c r="Q911" s="126"/>
      <x:c r="R911" s="126"/>
      <x:c r="S911" s="124"/>
      <x:c r="T911" s="124"/>
      <x:c r="U911" s="124"/>
      <x:c r="V911" s="124"/>
      <x:c r="W911" s="124"/>
      <x:c r="X911" s="124"/>
      <x:c r="AD911"/>
      <x:c r="AE911" s="145"/>
      <x:c r="AF911" s="145"/>
      <x:c r="AG911" s="145"/>
      <x:c r="AH911" s="145"/>
      <x:c r="AI911" s="145"/>
      <x:c r="AJ911"/>
    </x:row>
    <x:row r="912">
      <x:c r="F912" s="124"/>
      <x:c r="G912" s="124"/>
      <x:c r="H912" s="124"/>
      <x:c r="I912" s="124"/>
      <x:c r="J912" s="124"/>
      <x:c r="M912" s="126"/>
      <x:c r="P912" s="126"/>
      <x:c r="Q912" s="126"/>
      <x:c r="R912" s="126"/>
      <x:c r="S912" s="124"/>
      <x:c r="T912" s="124"/>
      <x:c r="U912" s="124"/>
      <x:c r="V912" s="124"/>
      <x:c r="W912" s="124"/>
      <x:c r="X912" s="124"/>
      <x:c r="AD912"/>
      <x:c r="AE912" s="145"/>
      <x:c r="AF912" s="145"/>
      <x:c r="AG912" s="145"/>
      <x:c r="AH912" s="145"/>
      <x:c r="AI912" s="145"/>
      <x:c r="AJ912"/>
    </x:row>
    <x:row r="913">
      <x:c r="F913" s="124"/>
      <x:c r="G913" s="124"/>
      <x:c r="H913" s="124"/>
      <x:c r="I913" s="124"/>
      <x:c r="J913" s="124"/>
      <x:c r="M913" s="126"/>
      <x:c r="P913" s="126"/>
      <x:c r="Q913" s="126"/>
      <x:c r="R913" s="126"/>
      <x:c r="S913" s="124"/>
      <x:c r="T913" s="124"/>
      <x:c r="U913" s="124"/>
      <x:c r="V913" s="124"/>
      <x:c r="W913" s="124"/>
      <x:c r="X913" s="124"/>
      <x:c r="AD913"/>
      <x:c r="AE913" s="145"/>
      <x:c r="AF913" s="145"/>
      <x:c r="AG913" s="145"/>
      <x:c r="AH913" s="145"/>
      <x:c r="AI913" s="145"/>
      <x:c r="AJ913"/>
    </x:row>
    <x:row r="914">
      <x:c r="F914" s="124"/>
      <x:c r="G914" s="124"/>
      <x:c r="H914" s="124"/>
      <x:c r="I914" s="124"/>
      <x:c r="J914" s="124"/>
      <x:c r="M914" s="126"/>
      <x:c r="P914" s="126"/>
      <x:c r="Q914" s="126"/>
      <x:c r="R914" s="126"/>
      <x:c r="S914" s="124"/>
      <x:c r="T914" s="124"/>
      <x:c r="U914" s="124"/>
      <x:c r="V914" s="124"/>
      <x:c r="W914" s="124"/>
      <x:c r="X914" s="124"/>
      <x:c r="AD914"/>
      <x:c r="AE914" s="145"/>
      <x:c r="AF914" s="145"/>
      <x:c r="AG914" s="145"/>
      <x:c r="AH914" s="145"/>
      <x:c r="AI914" s="145"/>
      <x:c r="AJ914"/>
    </x:row>
    <x:row r="915">
      <x:c r="F915" s="124"/>
      <x:c r="G915" s="124"/>
      <x:c r="H915" s="124"/>
      <x:c r="I915" s="124"/>
      <x:c r="J915" s="124"/>
      <x:c r="M915" s="126"/>
      <x:c r="P915" s="126"/>
      <x:c r="Q915" s="126"/>
      <x:c r="R915" s="126"/>
      <x:c r="S915" s="124"/>
      <x:c r="T915" s="124"/>
      <x:c r="U915" s="124"/>
      <x:c r="V915" s="124"/>
      <x:c r="W915" s="124"/>
      <x:c r="X915" s="124"/>
      <x:c r="AD915"/>
      <x:c r="AE915" s="145"/>
      <x:c r="AF915" s="145"/>
      <x:c r="AG915" s="145"/>
      <x:c r="AH915" s="145"/>
      <x:c r="AI915" s="145"/>
      <x:c r="AJ915"/>
    </x:row>
    <x:row r="916">
      <x:c r="F916" s="124"/>
      <x:c r="G916" s="124"/>
      <x:c r="H916" s="124"/>
      <x:c r="I916" s="124"/>
      <x:c r="J916" s="124"/>
      <x:c r="M916" s="126"/>
      <x:c r="P916" s="126"/>
      <x:c r="Q916" s="126"/>
      <x:c r="R916" s="126"/>
      <x:c r="S916" s="124"/>
      <x:c r="T916" s="124"/>
      <x:c r="U916" s="124"/>
      <x:c r="V916" s="124"/>
      <x:c r="W916" s="124"/>
      <x:c r="X916" s="124"/>
      <x:c r="AD916"/>
      <x:c r="AE916" s="145"/>
      <x:c r="AF916" s="145"/>
      <x:c r="AG916" s="145"/>
      <x:c r="AH916" s="145"/>
      <x:c r="AI916" s="145"/>
      <x:c r="AJ916"/>
    </x:row>
    <x:row r="917">
      <x:c r="F917" s="124"/>
      <x:c r="G917" s="124"/>
      <x:c r="H917" s="124"/>
      <x:c r="I917" s="124"/>
      <x:c r="J917" s="124"/>
      <x:c r="M917" s="126"/>
      <x:c r="P917" s="126"/>
      <x:c r="Q917" s="126"/>
      <x:c r="R917" s="126"/>
      <x:c r="S917" s="124"/>
      <x:c r="T917" s="124"/>
      <x:c r="U917" s="124"/>
      <x:c r="V917" s="124"/>
      <x:c r="W917" s="124"/>
      <x:c r="X917" s="124"/>
      <x:c r="AD917"/>
      <x:c r="AE917" s="145"/>
      <x:c r="AF917" s="145"/>
      <x:c r="AG917" s="145"/>
      <x:c r="AH917" s="145"/>
      <x:c r="AI917" s="145"/>
      <x:c r="AJ917"/>
    </x:row>
    <x:row r="918">
      <x:c r="F918" s="124"/>
      <x:c r="G918" s="124"/>
      <x:c r="H918" s="124"/>
      <x:c r="I918" s="124"/>
      <x:c r="J918" s="124"/>
      <x:c r="M918" s="126"/>
      <x:c r="P918" s="126"/>
      <x:c r="Q918" s="126"/>
      <x:c r="R918" s="126"/>
      <x:c r="S918" s="124"/>
      <x:c r="T918" s="124"/>
      <x:c r="U918" s="124"/>
      <x:c r="V918" s="124"/>
      <x:c r="W918" s="124"/>
      <x:c r="X918" s="124"/>
      <x:c r="AD918"/>
      <x:c r="AE918" s="145"/>
      <x:c r="AF918" s="145"/>
      <x:c r="AG918" s="145"/>
      <x:c r="AH918" s="145"/>
      <x:c r="AI918" s="145"/>
      <x:c r="AJ918"/>
    </x:row>
    <x:row r="919">
      <x:c r="F919" s="124"/>
      <x:c r="G919" s="124"/>
      <x:c r="H919" s="124"/>
      <x:c r="I919" s="124"/>
      <x:c r="J919" s="124"/>
      <x:c r="M919" s="126"/>
      <x:c r="P919" s="126"/>
      <x:c r="Q919" s="126"/>
      <x:c r="R919" s="126"/>
      <x:c r="S919" s="124"/>
      <x:c r="T919" s="124"/>
      <x:c r="U919" s="124"/>
      <x:c r="V919" s="124"/>
      <x:c r="W919" s="124"/>
      <x:c r="X919" s="124"/>
      <x:c r="AD919"/>
      <x:c r="AE919" s="145"/>
      <x:c r="AF919" s="145"/>
      <x:c r="AG919" s="145"/>
      <x:c r="AH919" s="145"/>
      <x:c r="AI919" s="145"/>
      <x:c r="AJ919"/>
    </x:row>
    <x:row r="920">
      <x:c r="F920" s="124"/>
      <x:c r="G920" s="124"/>
      <x:c r="H920" s="124"/>
      <x:c r="I920" s="124"/>
      <x:c r="J920" s="124"/>
      <x:c r="M920" s="126"/>
      <x:c r="P920" s="126"/>
      <x:c r="Q920" s="126"/>
      <x:c r="R920" s="126"/>
      <x:c r="S920" s="124"/>
      <x:c r="T920" s="124"/>
      <x:c r="U920" s="124"/>
      <x:c r="V920" s="124"/>
      <x:c r="W920" s="124"/>
      <x:c r="X920" s="124"/>
      <x:c r="AD920"/>
      <x:c r="AE920" s="145"/>
      <x:c r="AF920" s="145"/>
      <x:c r="AG920" s="145"/>
      <x:c r="AH920" s="145"/>
      <x:c r="AI920" s="145"/>
      <x:c r="AJ920"/>
    </x:row>
    <x:row r="921">
      <x:c r="F921" s="124"/>
      <x:c r="G921" s="124"/>
      <x:c r="H921" s="124"/>
      <x:c r="I921" s="124"/>
      <x:c r="J921" s="124"/>
      <x:c r="M921" s="126"/>
      <x:c r="P921" s="126"/>
      <x:c r="Q921" s="126"/>
      <x:c r="R921" s="126"/>
      <x:c r="S921" s="124"/>
      <x:c r="T921" s="124"/>
      <x:c r="U921" s="124"/>
      <x:c r="V921" s="124"/>
      <x:c r="W921" s="124"/>
      <x:c r="X921" s="124"/>
      <x:c r="AD921"/>
      <x:c r="AE921" s="145"/>
      <x:c r="AF921" s="145"/>
      <x:c r="AG921" s="145"/>
      <x:c r="AH921" s="145"/>
      <x:c r="AI921" s="145"/>
      <x:c r="AJ921"/>
    </x:row>
    <x:row r="922">
      <x:c r="F922" s="124"/>
      <x:c r="G922" s="124"/>
      <x:c r="H922" s="124"/>
      <x:c r="I922" s="124"/>
      <x:c r="J922" s="124"/>
      <x:c r="M922" s="126"/>
      <x:c r="P922" s="126"/>
      <x:c r="Q922" s="126"/>
      <x:c r="R922" s="126"/>
      <x:c r="S922" s="124"/>
      <x:c r="T922" s="124"/>
      <x:c r="U922" s="124"/>
      <x:c r="V922" s="124"/>
      <x:c r="W922" s="124"/>
      <x:c r="X922" s="124"/>
      <x:c r="AD922"/>
      <x:c r="AE922" s="145"/>
      <x:c r="AF922" s="145"/>
      <x:c r="AG922" s="145"/>
      <x:c r="AH922" s="145"/>
      <x:c r="AI922" s="145"/>
      <x:c r="AJ922"/>
    </x:row>
    <x:row r="923">
      <x:c r="F923" s="124"/>
      <x:c r="G923" s="124"/>
      <x:c r="H923" s="124"/>
      <x:c r="I923" s="124"/>
      <x:c r="J923" s="124"/>
      <x:c r="M923" s="126"/>
      <x:c r="P923" s="126"/>
      <x:c r="Q923" s="126"/>
      <x:c r="R923" s="126"/>
      <x:c r="S923" s="124"/>
      <x:c r="T923" s="124"/>
      <x:c r="U923" s="124"/>
      <x:c r="V923" s="124"/>
      <x:c r="W923" s="124"/>
      <x:c r="X923" s="124"/>
      <x:c r="AD923"/>
      <x:c r="AE923" s="145"/>
      <x:c r="AF923" s="145"/>
      <x:c r="AG923" s="145"/>
      <x:c r="AH923" s="145"/>
      <x:c r="AI923" s="145"/>
      <x:c r="AJ923"/>
    </x:row>
    <x:row r="924">
      <x:c r="F924" s="124"/>
      <x:c r="G924" s="124"/>
      <x:c r="H924" s="124"/>
      <x:c r="I924" s="124"/>
      <x:c r="J924" s="124"/>
      <x:c r="M924" s="126"/>
      <x:c r="P924" s="126"/>
      <x:c r="Q924" s="126"/>
      <x:c r="R924" s="126"/>
      <x:c r="S924" s="124"/>
      <x:c r="T924" s="124"/>
      <x:c r="U924" s="124"/>
      <x:c r="V924" s="124"/>
      <x:c r="W924" s="124"/>
      <x:c r="X924" s="124"/>
      <x:c r="AD924"/>
      <x:c r="AE924" s="145"/>
      <x:c r="AF924" s="145"/>
      <x:c r="AG924" s="145"/>
      <x:c r="AH924" s="145"/>
      <x:c r="AI924" s="145"/>
      <x:c r="AJ924"/>
    </x:row>
    <x:row r="925">
      <x:c r="F925" s="124"/>
      <x:c r="G925" s="124"/>
      <x:c r="H925" s="124"/>
      <x:c r="I925" s="124"/>
      <x:c r="J925" s="124"/>
      <x:c r="M925" s="126"/>
      <x:c r="P925" s="126"/>
      <x:c r="Q925" s="126"/>
      <x:c r="R925" s="126"/>
      <x:c r="S925" s="124"/>
      <x:c r="T925" s="124"/>
      <x:c r="U925" s="124"/>
      <x:c r="V925" s="124"/>
      <x:c r="W925" s="124"/>
      <x:c r="X925" s="124"/>
      <x:c r="AD925"/>
      <x:c r="AE925" s="145"/>
      <x:c r="AF925" s="145"/>
      <x:c r="AG925" s="145"/>
      <x:c r="AH925" s="145"/>
      <x:c r="AI925" s="145"/>
      <x:c r="AJ925"/>
    </x:row>
    <x:row r="926">
      <x:c r="F926" s="124"/>
      <x:c r="G926" s="124"/>
      <x:c r="H926" s="124"/>
      <x:c r="I926" s="124"/>
      <x:c r="J926" s="124"/>
      <x:c r="M926" s="126"/>
      <x:c r="P926" s="126"/>
      <x:c r="Q926" s="126"/>
      <x:c r="R926" s="126"/>
      <x:c r="S926" s="124"/>
      <x:c r="T926" s="124"/>
      <x:c r="U926" s="124"/>
      <x:c r="V926" s="124"/>
      <x:c r="W926" s="124"/>
      <x:c r="X926" s="124"/>
      <x:c r="AD926"/>
      <x:c r="AE926" s="145"/>
      <x:c r="AF926" s="145"/>
      <x:c r="AG926" s="145"/>
      <x:c r="AH926" s="145"/>
      <x:c r="AI926" s="145"/>
      <x:c r="AJ926"/>
    </x:row>
    <x:row r="927">
      <x:c r="F927" s="124"/>
      <x:c r="G927" s="124"/>
      <x:c r="H927" s="124"/>
      <x:c r="I927" s="124"/>
      <x:c r="J927" s="124"/>
      <x:c r="M927" s="126"/>
      <x:c r="P927" s="126"/>
      <x:c r="Q927" s="126"/>
      <x:c r="R927" s="126"/>
      <x:c r="S927" s="124"/>
      <x:c r="T927" s="124"/>
      <x:c r="U927" s="124"/>
      <x:c r="V927" s="124"/>
      <x:c r="W927" s="124"/>
      <x:c r="X927" s="124"/>
      <x:c r="AD927"/>
      <x:c r="AE927" s="145"/>
      <x:c r="AF927" s="145"/>
      <x:c r="AG927" s="145"/>
      <x:c r="AH927" s="145"/>
      <x:c r="AI927" s="145"/>
      <x:c r="AJ927"/>
    </x:row>
    <x:row r="928">
      <x:c r="F928" s="124"/>
      <x:c r="G928" s="124"/>
      <x:c r="H928" s="124"/>
      <x:c r="I928" s="124"/>
      <x:c r="J928" s="124"/>
      <x:c r="M928" s="126"/>
      <x:c r="P928" s="126"/>
      <x:c r="Q928" s="126"/>
      <x:c r="R928" s="126"/>
      <x:c r="S928" s="124"/>
      <x:c r="T928" s="124"/>
      <x:c r="U928" s="124"/>
      <x:c r="V928" s="124"/>
      <x:c r="W928" s="124"/>
      <x:c r="X928" s="124"/>
      <x:c r="AD928"/>
      <x:c r="AE928" s="145"/>
      <x:c r="AF928" s="145"/>
      <x:c r="AG928" s="145"/>
      <x:c r="AH928" s="145"/>
      <x:c r="AI928" s="145"/>
      <x:c r="AJ928"/>
    </x:row>
    <x:row r="929">
      <x:c r="F929" s="124"/>
      <x:c r="G929" s="124"/>
      <x:c r="H929" s="124"/>
      <x:c r="I929" s="124"/>
      <x:c r="J929" s="124"/>
      <x:c r="M929" s="126"/>
      <x:c r="P929" s="126"/>
      <x:c r="Q929" s="126"/>
      <x:c r="R929" s="126"/>
      <x:c r="S929" s="124"/>
      <x:c r="T929" s="124"/>
      <x:c r="U929" s="124"/>
      <x:c r="V929" s="124"/>
      <x:c r="W929" s="124"/>
      <x:c r="X929" s="124"/>
      <x:c r="AD929"/>
      <x:c r="AE929" s="145"/>
      <x:c r="AF929" s="145"/>
      <x:c r="AG929" s="145"/>
      <x:c r="AH929" s="145"/>
      <x:c r="AI929" s="145"/>
      <x:c r="AJ929"/>
    </x:row>
    <x:row r="930">
      <x:c r="F930" s="124"/>
      <x:c r="G930" s="124"/>
      <x:c r="H930" s="124"/>
      <x:c r="I930" s="124"/>
      <x:c r="J930" s="124"/>
      <x:c r="M930" s="126"/>
      <x:c r="P930" s="126"/>
      <x:c r="Q930" s="126"/>
      <x:c r="R930" s="126"/>
      <x:c r="S930" s="124"/>
      <x:c r="T930" s="124"/>
      <x:c r="U930" s="124"/>
      <x:c r="V930" s="124"/>
      <x:c r="W930" s="124"/>
      <x:c r="X930" s="124"/>
      <x:c r="AD930"/>
      <x:c r="AE930" s="145"/>
      <x:c r="AF930" s="145"/>
      <x:c r="AG930" s="145"/>
      <x:c r="AH930" s="145"/>
      <x:c r="AI930" s="145"/>
      <x:c r="AJ930"/>
    </x:row>
    <x:row r="931">
      <x:c r="F931" s="124"/>
      <x:c r="G931" s="124"/>
      <x:c r="H931" s="124"/>
      <x:c r="I931" s="124"/>
      <x:c r="J931" s="124"/>
      <x:c r="M931" s="126"/>
      <x:c r="P931" s="126"/>
      <x:c r="Q931" s="126"/>
      <x:c r="R931" s="126"/>
      <x:c r="S931" s="124"/>
      <x:c r="T931" s="124"/>
      <x:c r="U931" s="124"/>
      <x:c r="V931" s="124"/>
      <x:c r="W931" s="124"/>
      <x:c r="X931" s="124"/>
      <x:c r="AD931"/>
      <x:c r="AE931" s="145"/>
      <x:c r="AF931" s="145"/>
      <x:c r="AG931" s="145"/>
      <x:c r="AH931" s="145"/>
      <x:c r="AI931" s="145"/>
      <x:c r="AJ931"/>
    </x:row>
    <x:row r="932">
      <x:c r="F932" s="124"/>
      <x:c r="G932" s="124"/>
      <x:c r="H932" s="124"/>
      <x:c r="I932" s="124"/>
      <x:c r="J932" s="124"/>
      <x:c r="M932" s="126"/>
      <x:c r="P932" s="126"/>
      <x:c r="Q932" s="126"/>
      <x:c r="R932" s="126"/>
      <x:c r="S932" s="124"/>
      <x:c r="T932" s="124"/>
      <x:c r="U932" s="124"/>
      <x:c r="V932" s="124"/>
      <x:c r="W932" s="124"/>
      <x:c r="X932" s="124"/>
      <x:c r="AD932"/>
      <x:c r="AE932" s="145"/>
      <x:c r="AF932" s="145"/>
      <x:c r="AG932" s="145"/>
      <x:c r="AH932" s="145"/>
      <x:c r="AI932" s="145"/>
      <x:c r="AJ932"/>
    </x:row>
    <x:row r="933">
      <x:c r="F933" s="124"/>
      <x:c r="G933" s="124"/>
      <x:c r="H933" s="124"/>
      <x:c r="I933" s="124"/>
      <x:c r="J933" s="124"/>
      <x:c r="M933" s="126"/>
      <x:c r="P933" s="126"/>
      <x:c r="Q933" s="126"/>
      <x:c r="R933" s="126"/>
      <x:c r="S933" s="124"/>
      <x:c r="T933" s="124"/>
      <x:c r="U933" s="124"/>
      <x:c r="V933" s="124"/>
      <x:c r="W933" s="124"/>
      <x:c r="X933" s="124"/>
      <x:c r="AD933"/>
      <x:c r="AE933" s="145"/>
      <x:c r="AF933" s="145"/>
      <x:c r="AG933" s="145"/>
      <x:c r="AH933" s="145"/>
      <x:c r="AI933" s="145"/>
      <x:c r="AJ933"/>
    </x:row>
    <x:row r="934">
      <x:c r="F934" s="124"/>
      <x:c r="G934" s="124"/>
      <x:c r="H934" s="124"/>
      <x:c r="I934" s="124"/>
      <x:c r="J934" s="124"/>
      <x:c r="M934" s="126"/>
      <x:c r="P934" s="126"/>
      <x:c r="Q934" s="126"/>
      <x:c r="R934" s="126"/>
      <x:c r="S934" s="124"/>
      <x:c r="T934" s="124"/>
      <x:c r="U934" s="124"/>
      <x:c r="V934" s="124"/>
      <x:c r="W934" s="124"/>
      <x:c r="X934" s="124"/>
      <x:c r="AD934"/>
      <x:c r="AE934" s="145"/>
      <x:c r="AF934" s="145"/>
      <x:c r="AG934" s="145"/>
      <x:c r="AH934" s="145"/>
      <x:c r="AI934" s="145"/>
      <x:c r="AJ934"/>
    </x:row>
    <x:row r="935">
      <x:c r="F935" s="124"/>
      <x:c r="G935" s="124"/>
      <x:c r="H935" s="124"/>
      <x:c r="I935" s="124"/>
      <x:c r="J935" s="124"/>
      <x:c r="M935" s="126"/>
      <x:c r="P935" s="126"/>
      <x:c r="Q935" s="126"/>
      <x:c r="R935" s="126"/>
      <x:c r="S935" s="124"/>
      <x:c r="T935" s="124"/>
      <x:c r="U935" s="124"/>
      <x:c r="V935" s="124"/>
      <x:c r="W935" s="124"/>
      <x:c r="X935" s="124"/>
      <x:c r="AD935"/>
      <x:c r="AE935" s="145"/>
      <x:c r="AF935" s="145"/>
      <x:c r="AG935" s="145"/>
      <x:c r="AH935" s="145"/>
      <x:c r="AI935" s="145"/>
      <x:c r="AJ935"/>
    </x:row>
    <x:row r="936">
      <x:c r="F936" s="124"/>
      <x:c r="G936" s="124"/>
      <x:c r="H936" s="124"/>
      <x:c r="I936" s="124"/>
      <x:c r="J936" s="124"/>
      <x:c r="M936" s="126"/>
      <x:c r="P936" s="126"/>
      <x:c r="Q936" s="126"/>
      <x:c r="R936" s="126"/>
      <x:c r="S936" s="124"/>
      <x:c r="T936" s="124"/>
      <x:c r="U936" s="124"/>
      <x:c r="V936" s="124"/>
      <x:c r="W936" s="124"/>
      <x:c r="X936" s="124"/>
      <x:c r="AD936"/>
      <x:c r="AE936" s="145"/>
      <x:c r="AF936" s="145"/>
      <x:c r="AG936" s="145"/>
      <x:c r="AH936" s="145"/>
      <x:c r="AI936" s="145"/>
      <x:c r="AJ936"/>
    </x:row>
    <x:row r="937">
      <x:c r="F937" s="124"/>
      <x:c r="G937" s="124"/>
      <x:c r="H937" s="124"/>
      <x:c r="I937" s="124"/>
      <x:c r="J937" s="124"/>
      <x:c r="M937" s="126"/>
      <x:c r="P937" s="126"/>
      <x:c r="Q937" s="126"/>
      <x:c r="R937" s="126"/>
      <x:c r="S937" s="124"/>
      <x:c r="T937" s="124"/>
      <x:c r="U937" s="124"/>
      <x:c r="V937" s="124"/>
      <x:c r="W937" s="124"/>
      <x:c r="X937" s="124"/>
      <x:c r="AD937"/>
      <x:c r="AE937" s="145"/>
      <x:c r="AF937" s="145"/>
      <x:c r="AG937" s="145"/>
      <x:c r="AH937" s="145"/>
      <x:c r="AI937" s="145"/>
      <x:c r="AJ937"/>
    </x:row>
    <x:row r="938">
      <x:c r="F938" s="124"/>
      <x:c r="G938" s="124"/>
      <x:c r="H938" s="124"/>
      <x:c r="I938" s="124"/>
      <x:c r="J938" s="124"/>
      <x:c r="M938" s="126"/>
      <x:c r="P938" s="126"/>
      <x:c r="Q938" s="126"/>
      <x:c r="R938" s="126"/>
      <x:c r="S938" s="124"/>
      <x:c r="T938" s="124"/>
      <x:c r="U938" s="124"/>
      <x:c r="V938" s="124"/>
      <x:c r="W938" s="124"/>
      <x:c r="X938" s="124"/>
      <x:c r="AD938"/>
      <x:c r="AE938" s="145"/>
      <x:c r="AF938" s="145"/>
      <x:c r="AG938" s="145"/>
      <x:c r="AH938" s="145"/>
      <x:c r="AI938" s="145"/>
      <x:c r="AJ938"/>
    </x:row>
    <x:row r="939">
      <x:c r="F939" s="124"/>
      <x:c r="G939" s="124"/>
      <x:c r="H939" s="124"/>
      <x:c r="I939" s="124"/>
      <x:c r="J939" s="124"/>
      <x:c r="M939" s="126"/>
      <x:c r="P939" s="126"/>
      <x:c r="Q939" s="126"/>
      <x:c r="R939" s="126"/>
      <x:c r="S939" s="124"/>
      <x:c r="T939" s="124"/>
      <x:c r="U939" s="124"/>
      <x:c r="V939" s="124"/>
      <x:c r="W939" s="124"/>
      <x:c r="X939" s="124"/>
      <x:c r="AD939"/>
      <x:c r="AE939" s="145"/>
      <x:c r="AF939" s="145"/>
      <x:c r="AG939" s="145"/>
      <x:c r="AH939" s="145"/>
      <x:c r="AI939" s="145"/>
      <x:c r="AJ939"/>
    </x:row>
    <x:row r="940">
      <x:c r="F940" s="124"/>
      <x:c r="G940" s="124"/>
      <x:c r="H940" s="124"/>
      <x:c r="I940" s="124"/>
      <x:c r="J940" s="124"/>
      <x:c r="M940" s="126"/>
      <x:c r="P940" s="126"/>
      <x:c r="Q940" s="126"/>
      <x:c r="R940" s="126"/>
      <x:c r="S940" s="124"/>
      <x:c r="T940" s="124"/>
      <x:c r="U940" s="124"/>
      <x:c r="V940" s="124"/>
      <x:c r="W940" s="124"/>
      <x:c r="X940" s="124"/>
      <x:c r="AD940"/>
      <x:c r="AE940" s="145"/>
      <x:c r="AF940" s="145"/>
      <x:c r="AG940" s="145"/>
      <x:c r="AH940" s="145"/>
      <x:c r="AI940" s="145"/>
      <x:c r="AJ940"/>
    </x:row>
    <x:row r="941">
      <x:c r="F941" s="124"/>
      <x:c r="G941" s="124"/>
      <x:c r="H941" s="124"/>
      <x:c r="I941" s="124"/>
      <x:c r="J941" s="124"/>
      <x:c r="M941" s="126"/>
      <x:c r="P941" s="126"/>
      <x:c r="Q941" s="126"/>
      <x:c r="R941" s="126"/>
      <x:c r="S941" s="124"/>
      <x:c r="T941" s="124"/>
      <x:c r="U941" s="124"/>
      <x:c r="V941" s="124"/>
      <x:c r="W941" s="124"/>
      <x:c r="X941" s="124"/>
      <x:c r="AD941"/>
      <x:c r="AE941" s="145"/>
      <x:c r="AF941" s="145"/>
      <x:c r="AG941" s="145"/>
      <x:c r="AH941" s="145"/>
      <x:c r="AI941" s="145"/>
      <x:c r="AJ941"/>
    </x:row>
    <x:row r="942">
      <x:c r="F942" s="124"/>
      <x:c r="G942" s="124"/>
      <x:c r="H942" s="124"/>
      <x:c r="I942" s="124"/>
      <x:c r="J942" s="124"/>
      <x:c r="M942" s="126"/>
      <x:c r="P942" s="126"/>
      <x:c r="Q942" s="126"/>
      <x:c r="R942" s="126"/>
      <x:c r="S942" s="124"/>
      <x:c r="T942" s="124"/>
      <x:c r="U942" s="124"/>
      <x:c r="V942" s="124"/>
      <x:c r="W942" s="124"/>
      <x:c r="X942" s="124"/>
      <x:c r="AD942"/>
      <x:c r="AE942" s="145"/>
      <x:c r="AF942" s="145"/>
      <x:c r="AG942" s="145"/>
      <x:c r="AH942" s="145"/>
      <x:c r="AI942" s="145"/>
      <x:c r="AJ942"/>
    </x:row>
    <x:row r="943">
      <x:c r="F943" s="124"/>
      <x:c r="G943" s="124"/>
      <x:c r="H943" s="124"/>
      <x:c r="I943" s="124"/>
      <x:c r="J943" s="124"/>
      <x:c r="M943" s="126"/>
      <x:c r="P943" s="126"/>
      <x:c r="Q943" s="126"/>
      <x:c r="R943" s="126"/>
      <x:c r="S943" s="124"/>
      <x:c r="T943" s="124"/>
      <x:c r="U943" s="124"/>
      <x:c r="V943" s="124"/>
      <x:c r="W943" s="124"/>
      <x:c r="X943" s="124"/>
      <x:c r="AD943"/>
      <x:c r="AE943" s="145"/>
      <x:c r="AF943" s="145"/>
      <x:c r="AG943" s="145"/>
      <x:c r="AH943" s="145"/>
      <x:c r="AI943" s="145"/>
      <x:c r="AJ943"/>
    </x:row>
    <x:row r="944">
      <x:c r="F944" s="124"/>
      <x:c r="G944" s="124"/>
      <x:c r="H944" s="124"/>
      <x:c r="I944" s="124"/>
      <x:c r="J944" s="124"/>
      <x:c r="M944" s="126"/>
      <x:c r="P944" s="126"/>
      <x:c r="Q944" s="126"/>
      <x:c r="R944" s="126"/>
      <x:c r="S944" s="124"/>
      <x:c r="T944" s="124"/>
      <x:c r="U944" s="124"/>
      <x:c r="V944" s="124"/>
      <x:c r="W944" s="124"/>
      <x:c r="X944" s="124"/>
      <x:c r="AD944"/>
      <x:c r="AE944" s="145"/>
      <x:c r="AF944" s="145"/>
      <x:c r="AG944" s="145"/>
      <x:c r="AH944" s="145"/>
      <x:c r="AI944" s="145"/>
      <x:c r="AJ944"/>
    </x:row>
    <x:row r="945">
      <x:c r="F945" s="124"/>
      <x:c r="G945" s="124"/>
      <x:c r="H945" s="124"/>
      <x:c r="I945" s="124"/>
      <x:c r="J945" s="124"/>
      <x:c r="M945" s="126"/>
      <x:c r="P945" s="126"/>
      <x:c r="Q945" s="126"/>
      <x:c r="R945" s="126"/>
      <x:c r="S945" s="124"/>
      <x:c r="T945" s="124"/>
      <x:c r="U945" s="124"/>
      <x:c r="V945" s="124"/>
      <x:c r="W945" s="124"/>
      <x:c r="X945" s="124"/>
      <x:c r="AD945"/>
      <x:c r="AE945" s="145"/>
      <x:c r="AF945" s="145"/>
      <x:c r="AG945" s="145"/>
      <x:c r="AH945" s="145"/>
      <x:c r="AI945" s="145"/>
      <x:c r="AJ945"/>
    </x:row>
    <x:row r="946">
      <x:c r="F946" s="124"/>
      <x:c r="G946" s="124"/>
      <x:c r="H946" s="124"/>
      <x:c r="I946" s="124"/>
      <x:c r="J946" s="124"/>
      <x:c r="M946" s="126"/>
      <x:c r="P946" s="126"/>
      <x:c r="Q946" s="126"/>
      <x:c r="R946" s="126"/>
      <x:c r="S946" s="124"/>
      <x:c r="T946" s="124"/>
      <x:c r="U946" s="124"/>
      <x:c r="V946" s="124"/>
      <x:c r="W946" s="124"/>
      <x:c r="X946" s="124"/>
      <x:c r="AD946"/>
      <x:c r="AE946" s="145"/>
      <x:c r="AF946" s="145"/>
      <x:c r="AG946" s="145"/>
      <x:c r="AH946" s="145"/>
      <x:c r="AI946" s="145"/>
      <x:c r="AJ946"/>
    </x:row>
    <x:row r="947">
      <x:c r="F947" s="124"/>
      <x:c r="G947" s="124"/>
      <x:c r="H947" s="124"/>
      <x:c r="I947" s="124"/>
      <x:c r="J947" s="124"/>
      <x:c r="M947" s="126"/>
      <x:c r="P947" s="126"/>
      <x:c r="Q947" s="126"/>
      <x:c r="R947" s="126"/>
      <x:c r="S947" s="124"/>
      <x:c r="T947" s="124"/>
      <x:c r="U947" s="124"/>
      <x:c r="V947" s="124"/>
      <x:c r="W947" s="124"/>
      <x:c r="X947" s="124"/>
      <x:c r="AD947"/>
      <x:c r="AE947" s="145"/>
      <x:c r="AF947" s="145"/>
      <x:c r="AG947" s="145"/>
      <x:c r="AH947" s="145"/>
      <x:c r="AI947" s="145"/>
      <x:c r="AJ947"/>
    </x:row>
    <x:row r="948">
      <x:c r="F948" s="124"/>
      <x:c r="G948" s="124"/>
      <x:c r="H948" s="124"/>
      <x:c r="I948" s="124"/>
      <x:c r="J948" s="124"/>
      <x:c r="M948" s="126"/>
      <x:c r="P948" s="126"/>
      <x:c r="Q948" s="126"/>
      <x:c r="R948" s="126"/>
      <x:c r="S948" s="124"/>
      <x:c r="T948" s="124"/>
      <x:c r="U948" s="124"/>
      <x:c r="V948" s="124"/>
      <x:c r="W948" s="124"/>
      <x:c r="X948" s="124"/>
      <x:c r="AD948"/>
      <x:c r="AE948" s="145"/>
      <x:c r="AF948" s="145"/>
      <x:c r="AG948" s="145"/>
      <x:c r="AH948" s="145"/>
      <x:c r="AI948" s="145"/>
      <x:c r="AJ948"/>
    </x:row>
    <x:row r="949">
      <x:c r="F949" s="124"/>
      <x:c r="G949" s="124"/>
      <x:c r="H949" s="124"/>
      <x:c r="I949" s="124"/>
      <x:c r="J949" s="124"/>
      <x:c r="M949" s="126"/>
      <x:c r="P949" s="126"/>
      <x:c r="Q949" s="126"/>
      <x:c r="R949" s="126"/>
      <x:c r="S949" s="124"/>
      <x:c r="T949" s="124"/>
      <x:c r="U949" s="124"/>
      <x:c r="V949" s="124"/>
      <x:c r="W949" s="124"/>
      <x:c r="X949" s="124"/>
      <x:c r="AD949"/>
      <x:c r="AE949" s="145"/>
      <x:c r="AF949" s="145"/>
      <x:c r="AG949" s="145"/>
      <x:c r="AH949" s="145"/>
      <x:c r="AI949" s="145"/>
      <x:c r="AJ949"/>
    </x:row>
    <x:row r="950">
      <x:c r="F950" s="124"/>
      <x:c r="G950" s="124"/>
      <x:c r="H950" s="124"/>
      <x:c r="I950" s="124"/>
      <x:c r="J950" s="124"/>
      <x:c r="M950" s="126"/>
      <x:c r="P950" s="126"/>
      <x:c r="Q950" s="126"/>
      <x:c r="R950" s="126"/>
      <x:c r="S950" s="124"/>
      <x:c r="T950" s="124"/>
      <x:c r="U950" s="124"/>
      <x:c r="V950" s="124"/>
      <x:c r="W950" s="124"/>
      <x:c r="X950" s="124"/>
      <x:c r="AD950"/>
      <x:c r="AE950" s="145"/>
      <x:c r="AF950" s="145"/>
      <x:c r="AG950" s="145"/>
      <x:c r="AH950" s="145"/>
      <x:c r="AI950" s="145"/>
      <x:c r="AJ950"/>
    </x:row>
    <x:row r="951">
      <x:c r="F951" s="124"/>
      <x:c r="G951" s="124"/>
      <x:c r="H951" s="124"/>
      <x:c r="I951" s="124"/>
      <x:c r="J951" s="124"/>
      <x:c r="M951" s="126"/>
      <x:c r="P951" s="126"/>
      <x:c r="Q951" s="126"/>
      <x:c r="R951" s="126"/>
      <x:c r="S951" s="124"/>
      <x:c r="T951" s="124"/>
      <x:c r="U951" s="124"/>
      <x:c r="V951" s="124"/>
      <x:c r="W951" s="124"/>
      <x:c r="X951" s="124"/>
      <x:c r="AD951"/>
      <x:c r="AE951" s="145"/>
      <x:c r="AF951" s="145"/>
      <x:c r="AG951" s="145"/>
      <x:c r="AH951" s="145"/>
      <x:c r="AI951" s="145"/>
      <x:c r="AJ951"/>
    </x:row>
    <x:row r="952">
      <x:c r="F952" s="124"/>
      <x:c r="G952" s="124"/>
      <x:c r="H952" s="124"/>
      <x:c r="I952" s="124"/>
      <x:c r="J952" s="124"/>
      <x:c r="M952" s="126"/>
      <x:c r="P952" s="126"/>
      <x:c r="Q952" s="126"/>
      <x:c r="R952" s="126"/>
      <x:c r="S952" s="124"/>
      <x:c r="T952" s="124"/>
      <x:c r="U952" s="124"/>
      <x:c r="V952" s="124"/>
      <x:c r="W952" s="124"/>
      <x:c r="X952" s="124"/>
      <x:c r="AD952"/>
      <x:c r="AE952" s="145"/>
      <x:c r="AF952" s="145"/>
      <x:c r="AG952" s="145"/>
      <x:c r="AH952" s="145"/>
      <x:c r="AI952" s="145"/>
      <x:c r="AJ952"/>
    </x:row>
    <x:row r="953">
      <x:c r="F953" s="124"/>
      <x:c r="G953" s="124"/>
      <x:c r="H953" s="124"/>
      <x:c r="I953" s="124"/>
      <x:c r="J953" s="124"/>
      <x:c r="M953" s="126"/>
      <x:c r="P953" s="126"/>
      <x:c r="Q953" s="126"/>
      <x:c r="R953" s="126"/>
      <x:c r="S953" s="124"/>
      <x:c r="T953" s="124"/>
      <x:c r="U953" s="124"/>
      <x:c r="V953" s="124"/>
      <x:c r="W953" s="124"/>
      <x:c r="X953" s="124"/>
      <x:c r="AD953"/>
      <x:c r="AE953" s="145"/>
      <x:c r="AF953" s="145"/>
      <x:c r="AG953" s="145"/>
      <x:c r="AH953" s="145"/>
      <x:c r="AI953" s="145"/>
      <x:c r="AJ953"/>
    </x:row>
    <x:row r="954">
      <x:c r="F954" s="124"/>
      <x:c r="G954" s="124"/>
      <x:c r="H954" s="124"/>
      <x:c r="I954" s="124"/>
      <x:c r="J954" s="124"/>
      <x:c r="M954" s="126"/>
      <x:c r="P954" s="126"/>
      <x:c r="Q954" s="126"/>
      <x:c r="R954" s="126"/>
      <x:c r="S954" s="124"/>
      <x:c r="T954" s="124"/>
      <x:c r="U954" s="124"/>
      <x:c r="V954" s="124"/>
      <x:c r="W954" s="124"/>
      <x:c r="X954" s="124"/>
      <x:c r="AD954"/>
      <x:c r="AE954" s="145"/>
      <x:c r="AF954" s="145"/>
      <x:c r="AG954" s="145"/>
      <x:c r="AH954" s="145"/>
      <x:c r="AI954" s="145"/>
      <x:c r="AJ954"/>
    </x:row>
    <x:row r="955">
      <x:c r="F955" s="124"/>
      <x:c r="G955" s="124"/>
      <x:c r="H955" s="124"/>
      <x:c r="I955" s="124"/>
      <x:c r="J955" s="124"/>
      <x:c r="M955" s="126"/>
      <x:c r="P955" s="126"/>
      <x:c r="Q955" s="126"/>
      <x:c r="R955" s="126"/>
      <x:c r="S955" s="124"/>
      <x:c r="T955" s="124"/>
      <x:c r="U955" s="124"/>
      <x:c r="V955" s="124"/>
      <x:c r="W955" s="124"/>
      <x:c r="X955" s="124"/>
      <x:c r="AD955"/>
      <x:c r="AE955" s="145"/>
      <x:c r="AF955" s="145"/>
      <x:c r="AG955" s="145"/>
      <x:c r="AH955" s="145"/>
      <x:c r="AI955" s="145"/>
      <x:c r="AJ955"/>
    </x:row>
    <x:row r="956">
      <x:c r="F956" s="124"/>
      <x:c r="G956" s="124"/>
      <x:c r="H956" s="124"/>
      <x:c r="I956" s="124"/>
      <x:c r="J956" s="124"/>
      <x:c r="M956" s="126"/>
      <x:c r="P956" s="126"/>
      <x:c r="Q956" s="126"/>
      <x:c r="R956" s="126"/>
      <x:c r="S956" s="124"/>
      <x:c r="T956" s="124"/>
      <x:c r="U956" s="124"/>
      <x:c r="V956" s="124"/>
      <x:c r="W956" s="124"/>
      <x:c r="X956" s="124"/>
      <x:c r="AD956"/>
      <x:c r="AE956" s="145"/>
      <x:c r="AF956" s="145"/>
      <x:c r="AG956" s="145"/>
      <x:c r="AH956" s="145"/>
      <x:c r="AI956" s="145"/>
      <x:c r="AJ956"/>
    </x:row>
    <x:row r="957">
      <x:c r="F957" s="124"/>
      <x:c r="G957" s="124"/>
      <x:c r="H957" s="124"/>
      <x:c r="I957" s="124"/>
      <x:c r="J957" s="124"/>
      <x:c r="M957" s="126"/>
      <x:c r="P957" s="126"/>
      <x:c r="Q957" s="126"/>
      <x:c r="R957" s="126"/>
      <x:c r="S957" s="124"/>
      <x:c r="T957" s="124"/>
      <x:c r="U957" s="124"/>
      <x:c r="V957" s="124"/>
      <x:c r="W957" s="124"/>
      <x:c r="X957" s="124"/>
      <x:c r="AD957"/>
      <x:c r="AE957" s="145"/>
      <x:c r="AF957" s="145"/>
      <x:c r="AG957" s="145"/>
      <x:c r="AH957" s="145"/>
      <x:c r="AI957" s="145"/>
      <x:c r="AJ957"/>
    </x:row>
    <x:row r="958">
      <x:c r="F958" s="124"/>
      <x:c r="G958" s="124"/>
      <x:c r="H958" s="124"/>
      <x:c r="I958" s="124"/>
      <x:c r="J958" s="124"/>
      <x:c r="M958" s="126"/>
      <x:c r="P958" s="126"/>
      <x:c r="Q958" s="126"/>
      <x:c r="R958" s="126"/>
      <x:c r="S958" s="124"/>
      <x:c r="T958" s="124"/>
      <x:c r="U958" s="124"/>
      <x:c r="V958" s="124"/>
      <x:c r="W958" s="124"/>
      <x:c r="X958" s="124"/>
      <x:c r="AD958"/>
      <x:c r="AE958" s="145"/>
      <x:c r="AF958" s="145"/>
      <x:c r="AG958" s="145"/>
      <x:c r="AH958" s="145"/>
      <x:c r="AI958" s="145"/>
      <x:c r="AJ958"/>
    </x:row>
    <x:row r="959">
      <x:c r="F959" s="124"/>
      <x:c r="G959" s="124"/>
      <x:c r="H959" s="124"/>
      <x:c r="I959" s="124"/>
      <x:c r="J959" s="124"/>
      <x:c r="M959" s="126"/>
      <x:c r="P959" s="126"/>
      <x:c r="Q959" s="126"/>
      <x:c r="R959" s="126"/>
      <x:c r="S959" s="124"/>
      <x:c r="T959" s="124"/>
      <x:c r="U959" s="124"/>
      <x:c r="V959" s="124"/>
      <x:c r="W959" s="124"/>
      <x:c r="X959" s="124"/>
      <x:c r="AD959"/>
      <x:c r="AE959" s="145"/>
      <x:c r="AF959" s="145"/>
      <x:c r="AG959" s="145"/>
      <x:c r="AH959" s="145"/>
      <x:c r="AI959" s="145"/>
      <x:c r="AJ959"/>
    </x:row>
    <x:row r="960">
      <x:c r="F960" s="124"/>
      <x:c r="G960" s="124"/>
      <x:c r="H960" s="124"/>
      <x:c r="I960" s="124"/>
      <x:c r="J960" s="124"/>
      <x:c r="M960" s="126"/>
      <x:c r="P960" s="126"/>
      <x:c r="Q960" s="126"/>
      <x:c r="R960" s="126"/>
      <x:c r="S960" s="124"/>
      <x:c r="T960" s="124"/>
      <x:c r="U960" s="124"/>
      <x:c r="V960" s="124"/>
      <x:c r="W960" s="124"/>
      <x:c r="X960" s="124"/>
      <x:c r="AD960"/>
      <x:c r="AE960" s="145"/>
      <x:c r="AF960" s="145"/>
      <x:c r="AG960" s="145"/>
      <x:c r="AH960" s="145"/>
      <x:c r="AI960" s="145"/>
      <x:c r="AJ960"/>
    </x:row>
    <x:row r="961">
      <x:c r="F961" s="124"/>
      <x:c r="G961" s="124"/>
      <x:c r="H961" s="124"/>
      <x:c r="I961" s="124"/>
      <x:c r="J961" s="124"/>
      <x:c r="M961" s="126"/>
      <x:c r="P961" s="126"/>
      <x:c r="Q961" s="126"/>
      <x:c r="R961" s="126"/>
      <x:c r="S961" s="124"/>
      <x:c r="T961" s="124"/>
      <x:c r="U961" s="124"/>
      <x:c r="V961" s="124"/>
      <x:c r="W961" s="124"/>
      <x:c r="X961" s="124"/>
      <x:c r="AD961"/>
      <x:c r="AE961" s="145"/>
      <x:c r="AF961" s="145"/>
      <x:c r="AG961" s="145"/>
      <x:c r="AH961" s="145"/>
      <x:c r="AI961" s="145"/>
      <x:c r="AJ961"/>
    </x:row>
    <x:row r="962">
      <x:c r="F962" s="124"/>
      <x:c r="G962" s="124"/>
      <x:c r="H962" s="124"/>
      <x:c r="I962" s="124"/>
      <x:c r="J962" s="124"/>
      <x:c r="M962" s="126"/>
      <x:c r="P962" s="126"/>
      <x:c r="Q962" s="126"/>
      <x:c r="R962" s="126"/>
      <x:c r="S962" s="124"/>
      <x:c r="T962" s="124"/>
      <x:c r="U962" s="124"/>
      <x:c r="V962" s="124"/>
      <x:c r="W962" s="124"/>
      <x:c r="X962" s="124"/>
      <x:c r="AD962"/>
      <x:c r="AE962" s="145"/>
      <x:c r="AF962" s="145"/>
      <x:c r="AG962" s="145"/>
      <x:c r="AH962" s="145"/>
      <x:c r="AI962" s="145"/>
      <x:c r="AJ962"/>
    </x:row>
    <x:row r="963">
      <x:c r="F963" s="124"/>
      <x:c r="G963" s="124"/>
      <x:c r="H963" s="124"/>
      <x:c r="I963" s="124"/>
      <x:c r="J963" s="124"/>
      <x:c r="M963" s="126"/>
      <x:c r="P963" s="126"/>
      <x:c r="Q963" s="126"/>
      <x:c r="R963" s="126"/>
      <x:c r="S963" s="124"/>
      <x:c r="T963" s="124"/>
      <x:c r="U963" s="124"/>
      <x:c r="V963" s="124"/>
      <x:c r="W963" s="124"/>
      <x:c r="X963" s="124"/>
      <x:c r="AD963"/>
      <x:c r="AE963" s="145"/>
      <x:c r="AF963" s="145"/>
      <x:c r="AG963" s="145"/>
      <x:c r="AH963" s="145"/>
      <x:c r="AI963" s="145"/>
      <x:c r="AJ963"/>
    </x:row>
    <x:row r="964">
      <x:c r="F964" s="124"/>
      <x:c r="G964" s="124"/>
      <x:c r="H964" s="124"/>
      <x:c r="I964" s="124"/>
      <x:c r="J964" s="124"/>
      <x:c r="M964" s="126"/>
      <x:c r="P964" s="126"/>
      <x:c r="Q964" s="126"/>
      <x:c r="R964" s="126"/>
      <x:c r="S964" s="124"/>
      <x:c r="T964" s="124"/>
      <x:c r="U964" s="124"/>
      <x:c r="V964" s="124"/>
      <x:c r="W964" s="124"/>
      <x:c r="X964" s="124"/>
      <x:c r="AD964"/>
      <x:c r="AE964" s="145"/>
      <x:c r="AF964" s="145"/>
      <x:c r="AG964" s="145"/>
      <x:c r="AH964" s="145"/>
      <x:c r="AI964" s="145"/>
      <x:c r="AJ964"/>
    </x:row>
    <x:row r="965">
      <x:c r="F965" s="124"/>
      <x:c r="G965" s="124"/>
      <x:c r="H965" s="124"/>
      <x:c r="I965" s="124"/>
      <x:c r="J965" s="124"/>
      <x:c r="M965" s="126"/>
      <x:c r="P965" s="126"/>
      <x:c r="Q965" s="126"/>
      <x:c r="R965" s="126"/>
      <x:c r="S965" s="124"/>
      <x:c r="T965" s="124"/>
      <x:c r="U965" s="124"/>
      <x:c r="V965" s="124"/>
      <x:c r="W965" s="124"/>
      <x:c r="X965" s="124"/>
      <x:c r="AD965"/>
      <x:c r="AE965" s="145"/>
      <x:c r="AF965" s="145"/>
      <x:c r="AG965" s="145"/>
      <x:c r="AH965" s="145"/>
      <x:c r="AI965" s="145"/>
      <x:c r="AJ965"/>
    </x:row>
    <x:row r="966">
      <x:c r="F966" s="124"/>
      <x:c r="G966" s="124"/>
      <x:c r="H966" s="124"/>
      <x:c r="I966" s="124"/>
      <x:c r="J966" s="124"/>
      <x:c r="M966" s="126"/>
      <x:c r="P966" s="126"/>
      <x:c r="Q966" s="126"/>
      <x:c r="R966" s="126"/>
      <x:c r="S966" s="124"/>
      <x:c r="T966" s="124"/>
      <x:c r="U966" s="124"/>
      <x:c r="V966" s="124"/>
      <x:c r="W966" s="124"/>
      <x:c r="X966" s="124"/>
      <x:c r="AD966"/>
      <x:c r="AE966" s="145"/>
      <x:c r="AF966" s="145"/>
      <x:c r="AG966" s="145"/>
      <x:c r="AH966" s="145"/>
      <x:c r="AI966" s="145"/>
      <x:c r="AJ966"/>
    </x:row>
    <x:row r="967">
      <x:c r="F967" s="124"/>
      <x:c r="G967" s="124"/>
      <x:c r="H967" s="124"/>
      <x:c r="I967" s="124"/>
      <x:c r="J967" s="124"/>
      <x:c r="M967" s="126"/>
      <x:c r="P967" s="126"/>
      <x:c r="Q967" s="126"/>
      <x:c r="R967" s="126"/>
      <x:c r="S967" s="124"/>
      <x:c r="T967" s="124"/>
      <x:c r="U967" s="124"/>
      <x:c r="V967" s="124"/>
      <x:c r="W967" s="124"/>
      <x:c r="X967" s="124"/>
      <x:c r="AD967"/>
      <x:c r="AE967" s="145"/>
      <x:c r="AF967" s="145"/>
      <x:c r="AG967" s="145"/>
      <x:c r="AH967" s="145"/>
      <x:c r="AI967" s="145"/>
      <x:c r="AJ967"/>
    </x:row>
    <x:row r="968">
      <x:c r="F968" s="124"/>
      <x:c r="G968" s="124"/>
      <x:c r="H968" s="124"/>
      <x:c r="I968" s="124"/>
      <x:c r="J968" s="124"/>
      <x:c r="M968" s="126"/>
      <x:c r="P968" s="126"/>
      <x:c r="Q968" s="126"/>
      <x:c r="R968" s="126"/>
      <x:c r="S968" s="124"/>
      <x:c r="T968" s="124"/>
      <x:c r="U968" s="124"/>
      <x:c r="V968" s="124"/>
      <x:c r="W968" s="124"/>
      <x:c r="X968" s="124"/>
      <x:c r="AD968"/>
      <x:c r="AE968" s="145"/>
      <x:c r="AF968" s="145"/>
      <x:c r="AG968" s="145"/>
      <x:c r="AH968" s="145"/>
      <x:c r="AI968" s="145"/>
      <x:c r="AJ968"/>
    </x:row>
    <x:row r="969">
      <x:c r="F969" s="124"/>
      <x:c r="G969" s="124"/>
      <x:c r="H969" s="124"/>
      <x:c r="I969" s="124"/>
      <x:c r="J969" s="124"/>
      <x:c r="M969" s="126"/>
      <x:c r="P969" s="126"/>
      <x:c r="Q969" s="126"/>
      <x:c r="R969" s="126"/>
      <x:c r="S969" s="124"/>
      <x:c r="T969" s="124"/>
      <x:c r="U969" s="124"/>
      <x:c r="V969" s="124"/>
      <x:c r="W969" s="124"/>
      <x:c r="X969" s="124"/>
      <x:c r="AD969"/>
      <x:c r="AE969" s="145"/>
      <x:c r="AF969" s="145"/>
      <x:c r="AG969" s="145"/>
      <x:c r="AH969" s="145"/>
      <x:c r="AI969" s="145"/>
      <x:c r="AJ969"/>
    </x:row>
    <x:row r="970">
      <x:c r="F970" s="124"/>
      <x:c r="G970" s="124"/>
      <x:c r="H970" s="124"/>
      <x:c r="I970" s="124"/>
      <x:c r="J970" s="124"/>
      <x:c r="M970" s="126"/>
      <x:c r="P970" s="126"/>
      <x:c r="Q970" s="126"/>
      <x:c r="R970" s="126"/>
      <x:c r="S970" s="124"/>
      <x:c r="T970" s="124"/>
      <x:c r="U970" s="124"/>
      <x:c r="V970" s="124"/>
      <x:c r="W970" s="124"/>
      <x:c r="X970" s="124"/>
      <x:c r="AD970"/>
      <x:c r="AE970" s="145"/>
      <x:c r="AF970" s="145"/>
      <x:c r="AG970" s="145"/>
      <x:c r="AH970" s="145"/>
      <x:c r="AI970" s="145"/>
      <x:c r="AJ970"/>
    </x:row>
    <x:row r="971">
      <x:c r="F971" s="124"/>
      <x:c r="G971" s="124"/>
      <x:c r="H971" s="124"/>
      <x:c r="I971" s="124"/>
      <x:c r="J971" s="124"/>
      <x:c r="M971" s="126"/>
      <x:c r="P971" s="126"/>
      <x:c r="Q971" s="126"/>
      <x:c r="R971" s="126"/>
      <x:c r="S971" s="124"/>
      <x:c r="T971" s="124"/>
      <x:c r="U971" s="124"/>
      <x:c r="V971" s="124"/>
      <x:c r="W971" s="124"/>
      <x:c r="X971" s="124"/>
      <x:c r="AD971"/>
      <x:c r="AE971" s="145"/>
      <x:c r="AF971" s="145"/>
      <x:c r="AG971" s="145"/>
      <x:c r="AH971" s="145"/>
      <x:c r="AI971" s="145"/>
      <x:c r="AJ971"/>
    </x:row>
    <x:row r="972">
      <x:c r="F972" s="124"/>
      <x:c r="G972" s="124"/>
      <x:c r="H972" s="124"/>
      <x:c r="I972" s="124"/>
      <x:c r="J972" s="124"/>
      <x:c r="M972" s="126"/>
      <x:c r="P972" s="126"/>
      <x:c r="Q972" s="126"/>
      <x:c r="R972" s="126"/>
      <x:c r="S972" s="124"/>
      <x:c r="T972" s="124"/>
      <x:c r="U972" s="124"/>
      <x:c r="V972" s="124"/>
      <x:c r="W972" s="124"/>
      <x:c r="X972" s="124"/>
      <x:c r="AD972"/>
      <x:c r="AE972" s="145"/>
      <x:c r="AF972" s="145"/>
      <x:c r="AG972" s="145"/>
      <x:c r="AH972" s="145"/>
      <x:c r="AI972" s="145"/>
      <x:c r="AJ972"/>
    </x:row>
    <x:row r="973">
      <x:c r="F973" s="124"/>
      <x:c r="G973" s="124"/>
      <x:c r="H973" s="124"/>
      <x:c r="I973" s="124"/>
      <x:c r="J973" s="124"/>
      <x:c r="M973" s="126"/>
      <x:c r="P973" s="126"/>
      <x:c r="Q973" s="126"/>
      <x:c r="R973" s="126"/>
      <x:c r="S973" s="124"/>
      <x:c r="T973" s="124"/>
      <x:c r="U973" s="124"/>
      <x:c r="V973" s="124"/>
      <x:c r="W973" s="124"/>
      <x:c r="X973" s="124"/>
      <x:c r="AD973"/>
      <x:c r="AE973" s="145"/>
      <x:c r="AF973" s="145"/>
      <x:c r="AG973" s="145"/>
      <x:c r="AH973" s="145"/>
      <x:c r="AI973" s="145"/>
      <x:c r="AJ973"/>
    </x:row>
    <x:row r="974">
      <x:c r="F974" s="124"/>
      <x:c r="G974" s="124"/>
      <x:c r="H974" s="124"/>
      <x:c r="I974" s="124"/>
      <x:c r="J974" s="124"/>
      <x:c r="M974" s="126"/>
      <x:c r="P974" s="126"/>
      <x:c r="Q974" s="126"/>
      <x:c r="R974" s="126"/>
      <x:c r="S974" s="124"/>
      <x:c r="T974" s="124"/>
      <x:c r="U974" s="124"/>
      <x:c r="V974" s="124"/>
      <x:c r="W974" s="124"/>
      <x:c r="X974" s="124"/>
      <x:c r="AD974"/>
      <x:c r="AE974" s="145"/>
      <x:c r="AF974" s="145"/>
      <x:c r="AG974" s="145"/>
      <x:c r="AH974" s="145"/>
      <x:c r="AI974" s="145"/>
      <x:c r="AJ974"/>
    </x:row>
    <x:row r="975">
      <x:c r="F975" s="124"/>
      <x:c r="G975" s="124"/>
      <x:c r="H975" s="124"/>
      <x:c r="I975" s="124"/>
      <x:c r="J975" s="124"/>
      <x:c r="M975" s="126"/>
      <x:c r="P975" s="126"/>
      <x:c r="Q975" s="126"/>
      <x:c r="R975" s="126"/>
      <x:c r="S975" s="124"/>
      <x:c r="T975" s="124"/>
      <x:c r="U975" s="124"/>
      <x:c r="V975" s="124"/>
      <x:c r="W975" s="124"/>
      <x:c r="X975" s="124"/>
      <x:c r="AD975"/>
      <x:c r="AE975" s="145"/>
      <x:c r="AF975" s="145"/>
      <x:c r="AG975" s="145"/>
      <x:c r="AH975" s="145"/>
      <x:c r="AI975" s="145"/>
      <x:c r="AJ975"/>
    </x:row>
    <x:row r="976">
      <x:c r="F976" s="124"/>
      <x:c r="G976" s="124"/>
      <x:c r="H976" s="124"/>
      <x:c r="I976" s="124"/>
      <x:c r="J976" s="124"/>
      <x:c r="M976" s="126"/>
      <x:c r="P976" s="126"/>
      <x:c r="Q976" s="126"/>
      <x:c r="R976" s="126"/>
      <x:c r="S976" s="124"/>
      <x:c r="T976" s="124"/>
      <x:c r="U976" s="124"/>
      <x:c r="V976" s="124"/>
      <x:c r="W976" s="124"/>
      <x:c r="X976" s="124"/>
      <x:c r="AD976"/>
      <x:c r="AE976" s="145"/>
      <x:c r="AF976" s="145"/>
      <x:c r="AG976" s="145"/>
      <x:c r="AH976" s="145"/>
      <x:c r="AI976" s="145"/>
      <x:c r="AJ976"/>
    </x:row>
    <x:row r="977">
      <x:c r="F977" s="124"/>
      <x:c r="G977" s="124"/>
      <x:c r="H977" s="124"/>
      <x:c r="I977" s="124"/>
      <x:c r="J977" s="124"/>
      <x:c r="M977" s="126"/>
      <x:c r="P977" s="126"/>
      <x:c r="Q977" s="126"/>
      <x:c r="R977" s="126"/>
      <x:c r="S977" s="124"/>
      <x:c r="T977" s="124"/>
      <x:c r="U977" s="124"/>
      <x:c r="V977" s="124"/>
      <x:c r="W977" s="124"/>
      <x:c r="X977" s="124"/>
      <x:c r="AD977"/>
      <x:c r="AE977" s="145"/>
      <x:c r="AF977" s="145"/>
      <x:c r="AG977" s="145"/>
      <x:c r="AH977" s="145"/>
      <x:c r="AI977" s="145"/>
      <x:c r="AJ977"/>
    </x:row>
    <x:row r="978">
      <x:c r="F978" s="124"/>
      <x:c r="G978" s="124"/>
      <x:c r="H978" s="124"/>
      <x:c r="I978" s="124"/>
      <x:c r="J978" s="124"/>
      <x:c r="M978" s="126"/>
      <x:c r="P978" s="126"/>
      <x:c r="Q978" s="126"/>
      <x:c r="R978" s="126"/>
      <x:c r="S978" s="124"/>
      <x:c r="T978" s="124"/>
      <x:c r="U978" s="124"/>
      <x:c r="V978" s="124"/>
      <x:c r="W978" s="124"/>
      <x:c r="X978" s="124"/>
      <x:c r="AD978"/>
      <x:c r="AE978" s="145"/>
      <x:c r="AF978" s="145"/>
      <x:c r="AG978" s="145"/>
      <x:c r="AH978" s="145"/>
      <x:c r="AI978" s="145"/>
      <x:c r="AJ978"/>
    </x:row>
    <x:row r="979">
      <x:c r="F979" s="124"/>
      <x:c r="G979" s="124"/>
      <x:c r="H979" s="124"/>
      <x:c r="I979" s="124"/>
      <x:c r="J979" s="124"/>
      <x:c r="M979" s="126"/>
      <x:c r="P979" s="126"/>
      <x:c r="Q979" s="126"/>
      <x:c r="R979" s="126"/>
      <x:c r="S979" s="124"/>
      <x:c r="T979" s="124"/>
      <x:c r="U979" s="124"/>
      <x:c r="V979" s="124"/>
      <x:c r="W979" s="124"/>
      <x:c r="X979" s="124"/>
      <x:c r="AD979"/>
      <x:c r="AE979" s="145"/>
      <x:c r="AF979" s="145"/>
      <x:c r="AG979" s="145"/>
      <x:c r="AH979" s="145"/>
      <x:c r="AI979" s="145"/>
      <x:c r="AJ979"/>
    </x:row>
    <x:row r="980">
      <x:c r="F980" s="124"/>
      <x:c r="G980" s="124"/>
      <x:c r="H980" s="124"/>
      <x:c r="I980" s="124"/>
      <x:c r="J980" s="124"/>
      <x:c r="M980" s="126"/>
      <x:c r="P980" s="126"/>
      <x:c r="Q980" s="126"/>
      <x:c r="R980" s="126"/>
      <x:c r="S980" s="124"/>
      <x:c r="T980" s="124"/>
      <x:c r="U980" s="124"/>
      <x:c r="V980" s="124"/>
      <x:c r="W980" s="124"/>
      <x:c r="X980" s="124"/>
      <x:c r="AD980"/>
      <x:c r="AE980" s="145"/>
      <x:c r="AF980" s="145"/>
      <x:c r="AG980" s="145"/>
      <x:c r="AH980" s="145"/>
      <x:c r="AI980" s="145"/>
      <x:c r="AJ980"/>
    </x:row>
    <x:row r="981">
      <x:c r="F981" s="124"/>
      <x:c r="G981" s="124"/>
      <x:c r="H981" s="124"/>
      <x:c r="I981" s="124"/>
      <x:c r="J981" s="124"/>
      <x:c r="M981" s="126"/>
      <x:c r="P981" s="126"/>
      <x:c r="Q981" s="126"/>
      <x:c r="R981" s="126"/>
      <x:c r="S981" s="124"/>
      <x:c r="T981" s="124"/>
      <x:c r="U981" s="124"/>
      <x:c r="V981" s="124"/>
      <x:c r="W981" s="124"/>
      <x:c r="X981" s="124"/>
      <x:c r="AD981"/>
      <x:c r="AE981" s="145"/>
      <x:c r="AF981" s="145"/>
      <x:c r="AG981" s="145"/>
      <x:c r="AH981" s="145"/>
      <x:c r="AI981" s="145"/>
      <x:c r="AJ981"/>
    </x:row>
    <x:row r="982">
      <x:c r="F982" s="124"/>
      <x:c r="G982" s="124"/>
      <x:c r="H982" s="124"/>
      <x:c r="I982" s="124"/>
      <x:c r="J982" s="124"/>
      <x:c r="M982" s="126"/>
      <x:c r="P982" s="126"/>
      <x:c r="Q982" s="126"/>
      <x:c r="R982" s="126"/>
      <x:c r="S982" s="124"/>
      <x:c r="T982" s="124"/>
      <x:c r="U982" s="124"/>
      <x:c r="V982" s="124"/>
      <x:c r="W982" s="124"/>
      <x:c r="X982" s="124"/>
      <x:c r="AD982"/>
      <x:c r="AE982" s="145"/>
      <x:c r="AF982" s="145"/>
      <x:c r="AG982" s="145"/>
      <x:c r="AH982" s="145"/>
      <x:c r="AI982" s="145"/>
      <x:c r="AJ982"/>
    </x:row>
    <x:row r="983">
      <x:c r="F983" s="124"/>
      <x:c r="G983" s="124"/>
      <x:c r="H983" s="124"/>
      <x:c r="I983" s="124"/>
      <x:c r="J983" s="124"/>
      <x:c r="M983" s="126"/>
      <x:c r="P983" s="126"/>
      <x:c r="Q983" s="126"/>
      <x:c r="R983" s="126"/>
      <x:c r="S983" s="124"/>
      <x:c r="T983" s="124"/>
      <x:c r="U983" s="124"/>
      <x:c r="V983" s="124"/>
      <x:c r="W983" s="124"/>
      <x:c r="X983" s="124"/>
      <x:c r="AD983"/>
      <x:c r="AE983" s="145"/>
      <x:c r="AF983" s="145"/>
      <x:c r="AG983" s="145"/>
      <x:c r="AH983" s="145"/>
      <x:c r="AI983" s="145"/>
      <x:c r="AJ983"/>
    </x:row>
    <x:row r="984">
      <x:c r="F984" s="124"/>
      <x:c r="G984" s="124"/>
      <x:c r="H984" s="124"/>
      <x:c r="I984" s="124"/>
      <x:c r="J984" s="124"/>
      <x:c r="M984" s="126"/>
      <x:c r="P984" s="126"/>
      <x:c r="Q984" s="126"/>
      <x:c r="R984" s="126"/>
      <x:c r="S984" s="124"/>
      <x:c r="T984" s="124"/>
      <x:c r="U984" s="124"/>
      <x:c r="V984" s="124"/>
      <x:c r="W984" s="124"/>
      <x:c r="X984" s="124"/>
      <x:c r="AD984"/>
      <x:c r="AE984" s="145"/>
      <x:c r="AF984" s="145"/>
      <x:c r="AG984" s="145"/>
      <x:c r="AH984" s="145"/>
      <x:c r="AI984" s="145"/>
      <x:c r="AJ984"/>
    </x:row>
    <x:row r="985">
      <x:c r="F985" s="124"/>
      <x:c r="G985" s="124"/>
      <x:c r="H985" s="124"/>
      <x:c r="I985" s="124"/>
      <x:c r="J985" s="124"/>
      <x:c r="M985" s="126"/>
      <x:c r="P985" s="126"/>
      <x:c r="Q985" s="126"/>
      <x:c r="R985" s="126"/>
      <x:c r="S985" s="124"/>
      <x:c r="T985" s="124"/>
      <x:c r="U985" s="124"/>
      <x:c r="V985" s="124"/>
      <x:c r="W985" s="124"/>
      <x:c r="X985" s="124"/>
      <x:c r="AD985"/>
      <x:c r="AE985" s="145"/>
      <x:c r="AF985" s="145"/>
      <x:c r="AG985" s="145"/>
      <x:c r="AH985" s="145"/>
      <x:c r="AI985" s="145"/>
      <x:c r="AJ985"/>
    </x:row>
    <x:row r="986">
      <x:c r="F986" s="124"/>
      <x:c r="G986" s="124"/>
      <x:c r="H986" s="124"/>
      <x:c r="I986" s="124"/>
      <x:c r="J986" s="124"/>
      <x:c r="M986" s="126"/>
      <x:c r="P986" s="126"/>
      <x:c r="Q986" s="126"/>
      <x:c r="R986" s="126"/>
      <x:c r="S986" s="124"/>
      <x:c r="T986" s="124"/>
      <x:c r="U986" s="124"/>
      <x:c r="V986" s="124"/>
      <x:c r="W986" s="124"/>
      <x:c r="X986" s="124"/>
      <x:c r="AD986"/>
      <x:c r="AE986" s="145"/>
      <x:c r="AF986" s="145"/>
      <x:c r="AG986" s="145"/>
      <x:c r="AH986" s="145"/>
      <x:c r="AI986" s="145"/>
      <x:c r="AJ986"/>
    </x:row>
    <x:row r="987">
      <x:c r="F987" s="124"/>
      <x:c r="G987" s="124"/>
      <x:c r="H987" s="124"/>
      <x:c r="I987" s="124"/>
      <x:c r="J987" s="124"/>
      <x:c r="M987" s="126"/>
      <x:c r="P987" s="126"/>
      <x:c r="Q987" s="126"/>
      <x:c r="R987" s="126"/>
      <x:c r="S987" s="124"/>
      <x:c r="T987" s="124"/>
      <x:c r="U987" s="124"/>
      <x:c r="V987" s="124"/>
      <x:c r="W987" s="124"/>
      <x:c r="X987" s="124"/>
      <x:c r="AD987"/>
      <x:c r="AE987" s="145"/>
      <x:c r="AF987" s="145"/>
      <x:c r="AG987" s="145"/>
      <x:c r="AH987" s="145"/>
      <x:c r="AI987" s="145"/>
      <x:c r="AJ987"/>
    </x:row>
    <x:row r="988">
      <x:c r="F988" s="124"/>
      <x:c r="G988" s="124"/>
      <x:c r="H988" s="124"/>
      <x:c r="I988" s="124"/>
      <x:c r="J988" s="124"/>
      <x:c r="M988" s="126"/>
      <x:c r="P988" s="126"/>
      <x:c r="Q988" s="126"/>
      <x:c r="R988" s="126"/>
      <x:c r="S988" s="124"/>
      <x:c r="T988" s="124"/>
      <x:c r="U988" s="124"/>
      <x:c r="V988" s="124"/>
      <x:c r="W988" s="124"/>
      <x:c r="X988" s="124"/>
      <x:c r="AD988"/>
      <x:c r="AE988" s="145"/>
      <x:c r="AF988" s="145"/>
      <x:c r="AG988" s="145"/>
      <x:c r="AH988" s="145"/>
      <x:c r="AI988" s="145"/>
      <x:c r="AJ988"/>
    </x:row>
    <x:row r="989">
      <x:c r="F989" s="124"/>
      <x:c r="G989" s="124"/>
      <x:c r="H989" s="124"/>
      <x:c r="I989" s="124"/>
      <x:c r="J989" s="124"/>
      <x:c r="M989" s="126"/>
      <x:c r="P989" s="126"/>
      <x:c r="Q989" s="126"/>
      <x:c r="R989" s="126"/>
      <x:c r="S989" s="124"/>
      <x:c r="T989" s="124"/>
      <x:c r="U989" s="124"/>
      <x:c r="V989" s="124"/>
      <x:c r="W989" s="124"/>
      <x:c r="X989" s="124"/>
      <x:c r="AD989"/>
      <x:c r="AE989" s="145"/>
      <x:c r="AF989" s="145"/>
      <x:c r="AG989" s="145"/>
      <x:c r="AH989" s="145"/>
      <x:c r="AI989" s="145"/>
      <x:c r="AJ989"/>
    </x:row>
    <x:row r="990">
      <x:c r="F990" s="124"/>
      <x:c r="G990" s="124"/>
      <x:c r="H990" s="124"/>
      <x:c r="I990" s="124"/>
      <x:c r="J990" s="124"/>
      <x:c r="M990" s="126"/>
      <x:c r="P990" s="126"/>
      <x:c r="Q990" s="126"/>
      <x:c r="R990" s="126"/>
      <x:c r="S990" s="124"/>
      <x:c r="T990" s="124"/>
      <x:c r="U990" s="124"/>
      <x:c r="V990" s="124"/>
      <x:c r="W990" s="124"/>
      <x:c r="X990" s="124"/>
      <x:c r="AD990"/>
      <x:c r="AE990" s="145"/>
      <x:c r="AF990" s="145"/>
      <x:c r="AG990" s="145"/>
      <x:c r="AH990" s="145"/>
      <x:c r="AI990" s="145"/>
      <x:c r="AJ990"/>
    </x:row>
    <x:row r="991">
      <x:c r="F991" s="124"/>
      <x:c r="G991" s="124"/>
      <x:c r="H991" s="124"/>
      <x:c r="I991" s="124"/>
      <x:c r="J991" s="124"/>
      <x:c r="M991" s="126"/>
      <x:c r="P991" s="126"/>
      <x:c r="Q991" s="126"/>
      <x:c r="R991" s="126"/>
      <x:c r="S991" s="124"/>
      <x:c r="T991" s="124"/>
      <x:c r="U991" s="124"/>
      <x:c r="V991" s="124"/>
      <x:c r="W991" s="124"/>
      <x:c r="X991" s="124"/>
      <x:c r="AD991"/>
      <x:c r="AE991" s="145"/>
      <x:c r="AF991" s="145"/>
      <x:c r="AG991" s="145"/>
      <x:c r="AH991" s="145"/>
      <x:c r="AI991" s="145"/>
      <x:c r="AJ991"/>
    </x:row>
    <x:row r="992">
      <x:c r="F992" s="124"/>
      <x:c r="G992" s="124"/>
      <x:c r="H992" s="124"/>
      <x:c r="I992" s="124"/>
      <x:c r="J992" s="124"/>
      <x:c r="M992" s="126"/>
      <x:c r="P992" s="126"/>
      <x:c r="Q992" s="126"/>
      <x:c r="R992" s="126"/>
      <x:c r="S992" s="124"/>
      <x:c r="T992" s="124"/>
      <x:c r="U992" s="124"/>
      <x:c r="V992" s="124"/>
      <x:c r="W992" s="124"/>
      <x:c r="X992" s="124"/>
      <x:c r="AD992"/>
      <x:c r="AE992" s="145"/>
      <x:c r="AF992" s="145"/>
      <x:c r="AG992" s="145"/>
      <x:c r="AH992" s="145"/>
      <x:c r="AI992" s="145"/>
      <x:c r="AJ992"/>
    </x:row>
    <x:row r="993">
      <x:c r="F993" s="124"/>
      <x:c r="G993" s="124"/>
      <x:c r="H993" s="124"/>
      <x:c r="I993" s="124"/>
      <x:c r="J993" s="124"/>
      <x:c r="M993" s="126"/>
      <x:c r="P993" s="126"/>
      <x:c r="Q993" s="126"/>
      <x:c r="R993" s="126"/>
      <x:c r="S993" s="124"/>
      <x:c r="T993" s="124"/>
      <x:c r="U993" s="124"/>
      <x:c r="V993" s="124"/>
      <x:c r="W993" s="124"/>
      <x:c r="X993" s="124"/>
      <x:c r="AD993"/>
      <x:c r="AE993" s="145"/>
      <x:c r="AF993" s="145"/>
      <x:c r="AG993" s="145"/>
      <x:c r="AH993" s="145"/>
      <x:c r="AI993" s="145"/>
      <x:c r="AJ993"/>
    </x:row>
    <x:row r="994">
      <x:c r="F994" s="124"/>
      <x:c r="G994" s="124"/>
      <x:c r="H994" s="124"/>
      <x:c r="I994" s="124"/>
      <x:c r="J994" s="124"/>
      <x:c r="M994" s="126"/>
      <x:c r="P994" s="126"/>
      <x:c r="Q994" s="126"/>
      <x:c r="R994" s="126"/>
      <x:c r="S994" s="124"/>
      <x:c r="T994" s="124"/>
      <x:c r="U994" s="124"/>
      <x:c r="V994" s="124"/>
      <x:c r="W994" s="124"/>
      <x:c r="X994" s="124"/>
      <x:c r="AD994"/>
      <x:c r="AE994" s="145"/>
      <x:c r="AF994" s="145"/>
      <x:c r="AG994" s="145"/>
      <x:c r="AH994" s="145"/>
      <x:c r="AI994" s="145"/>
      <x:c r="AJ994"/>
    </x:row>
    <x:row r="995">
      <x:c r="F995" s="124"/>
      <x:c r="G995" s="124"/>
      <x:c r="H995" s="124"/>
      <x:c r="I995" s="124"/>
      <x:c r="J995" s="124"/>
      <x:c r="M995" s="126"/>
      <x:c r="P995" s="126"/>
      <x:c r="Q995" s="126"/>
      <x:c r="R995" s="126"/>
      <x:c r="S995" s="124"/>
      <x:c r="T995" s="124"/>
      <x:c r="U995" s="124"/>
      <x:c r="V995" s="124"/>
      <x:c r="W995" s="124"/>
      <x:c r="X995" s="124"/>
      <x:c r="AD995"/>
      <x:c r="AE995" s="145"/>
      <x:c r="AF995" s="145"/>
      <x:c r="AG995" s="145"/>
      <x:c r="AH995" s="145"/>
      <x:c r="AI995" s="145"/>
      <x:c r="AJ995"/>
    </x:row>
    <x:row r="996">
      <x:c r="F996" s="124"/>
      <x:c r="G996" s="124"/>
      <x:c r="H996" s="124"/>
      <x:c r="I996" s="124"/>
      <x:c r="J996" s="124"/>
      <x:c r="M996" s="126"/>
      <x:c r="P996" s="126"/>
      <x:c r="Q996" s="126"/>
      <x:c r="R996" s="126"/>
      <x:c r="S996" s="124"/>
      <x:c r="T996" s="124"/>
      <x:c r="U996" s="124"/>
      <x:c r="V996" s="124"/>
      <x:c r="W996" s="124"/>
      <x:c r="X996" s="124"/>
      <x:c r="AD996"/>
      <x:c r="AE996" s="145"/>
      <x:c r="AF996" s="145"/>
      <x:c r="AG996" s="145"/>
      <x:c r="AH996" s="145"/>
      <x:c r="AI996" s="145"/>
      <x:c r="AJ996"/>
    </x:row>
    <x:row r="997">
      <x:c r="F997" s="124"/>
      <x:c r="G997" s="124"/>
      <x:c r="H997" s="124"/>
      <x:c r="I997" s="124"/>
      <x:c r="J997" s="124"/>
      <x:c r="M997" s="126"/>
      <x:c r="P997" s="126"/>
      <x:c r="Q997" s="126"/>
      <x:c r="R997" s="126"/>
      <x:c r="S997" s="124"/>
      <x:c r="T997" s="124"/>
      <x:c r="U997" s="124"/>
      <x:c r="V997" s="124"/>
      <x:c r="W997" s="124"/>
      <x:c r="X997" s="124"/>
      <x:c r="AD997"/>
      <x:c r="AE997" s="145"/>
      <x:c r="AF997" s="145"/>
      <x:c r="AG997" s="145"/>
      <x:c r="AH997" s="145"/>
      <x:c r="AI997" s="145"/>
      <x:c r="AJ997"/>
    </x:row>
    <x:row r="998">
      <x:c r="F998" s="124"/>
      <x:c r="G998" s="124"/>
      <x:c r="H998" s="124"/>
      <x:c r="I998" s="124"/>
      <x:c r="J998" s="124"/>
      <x:c r="M998" s="126"/>
      <x:c r="P998" s="126"/>
      <x:c r="Q998" s="126"/>
      <x:c r="R998" s="126"/>
      <x:c r="S998" s="124"/>
      <x:c r="T998" s="124"/>
      <x:c r="U998" s="124"/>
      <x:c r="V998" s="124"/>
      <x:c r="W998" s="124"/>
      <x:c r="X998" s="124"/>
      <x:c r="AD998"/>
      <x:c r="AE998" s="145"/>
      <x:c r="AF998" s="145"/>
      <x:c r="AG998" s="145"/>
      <x:c r="AH998" s="145"/>
      <x:c r="AI998" s="145"/>
      <x:c r="AJ998"/>
    </x:row>
    <x:row r="999">
      <x:c r="F999" s="124"/>
      <x:c r="G999" s="124"/>
      <x:c r="H999" s="124"/>
      <x:c r="I999" s="124"/>
      <x:c r="J999" s="124"/>
      <x:c r="M999" s="126"/>
      <x:c r="P999" s="126"/>
      <x:c r="Q999" s="126"/>
      <x:c r="R999" s="126"/>
      <x:c r="S999" s="124"/>
      <x:c r="T999" s="124"/>
      <x:c r="U999" s="124"/>
      <x:c r="V999" s="124"/>
      <x:c r="W999" s="124"/>
      <x:c r="X999" s="124"/>
      <x:c r="AD999"/>
      <x:c r="AE999" s="145"/>
      <x:c r="AF999" s="145"/>
      <x:c r="AG999" s="145"/>
      <x:c r="AH999" s="145"/>
      <x:c r="AI999" s="145"/>
      <x:c r="AJ999"/>
    </x:row>
    <x:row r="1000">
      <x:c r="F1000" s="124"/>
      <x:c r="G1000" s="124"/>
      <x:c r="H1000" s="124"/>
      <x:c r="I1000" s="124"/>
      <x:c r="J1000" s="124"/>
      <x:c r="M1000" s="126"/>
      <x:c r="P1000" s="126"/>
      <x:c r="Q1000" s="126"/>
      <x:c r="R1000" s="126"/>
      <x:c r="S1000" s="124"/>
      <x:c r="T1000" s="124"/>
      <x:c r="U1000" s="124"/>
      <x:c r="V1000" s="124"/>
      <x:c r="W1000" s="124"/>
      <x:c r="X1000" s="124"/>
      <x:c r="AD1000"/>
      <x:c r="AE1000" s="145"/>
      <x:c r="AF1000" s="145"/>
      <x:c r="AG1000" s="145"/>
      <x:c r="AH1000" s="145"/>
      <x:c r="AI1000" s="145"/>
      <x:c r="AJ1000"/>
    </x:row>
    <x:row r="1001">
      <x:c r="F1001" s="124"/>
      <x:c r="G1001" s="124"/>
      <x:c r="H1001" s="124"/>
      <x:c r="I1001" s="124"/>
      <x:c r="J1001" s="124"/>
      <x:c r="M1001" s="126"/>
      <x:c r="P1001" s="126"/>
      <x:c r="Q1001" s="126"/>
      <x:c r="R1001" s="126"/>
      <x:c r="S1001" s="124"/>
      <x:c r="T1001" s="124"/>
      <x:c r="U1001" s="124"/>
      <x:c r="V1001" s="124"/>
      <x:c r="W1001" s="124"/>
      <x:c r="X1001" s="124"/>
      <x:c r="AD1001"/>
      <x:c r="AE1001" s="145"/>
      <x:c r="AF1001" s="145"/>
      <x:c r="AG1001" s="145"/>
      <x:c r="AH1001" s="145"/>
      <x:c r="AI1001" s="145"/>
      <x:c r="AJ1001"/>
    </x:row>
    <x:row r="1002">
      <x:c r="F1002" s="124"/>
      <x:c r="G1002" s="124"/>
      <x:c r="H1002" s="124"/>
      <x:c r="I1002" s="124"/>
      <x:c r="J1002" s="124"/>
      <x:c r="M1002" s="126"/>
      <x:c r="P1002" s="126"/>
      <x:c r="Q1002" s="126"/>
      <x:c r="R1002" s="126"/>
      <x:c r="S1002" s="124"/>
      <x:c r="T1002" s="124"/>
      <x:c r="U1002" s="124"/>
      <x:c r="V1002" s="124"/>
      <x:c r="W1002" s="124"/>
      <x:c r="X1002" s="124"/>
      <x:c r="AD1002"/>
      <x:c r="AE1002" s="145"/>
      <x:c r="AF1002" s="145"/>
      <x:c r="AG1002" s="145"/>
      <x:c r="AH1002" s="145"/>
      <x:c r="AI1002" s="145"/>
      <x:c r="AJ1002"/>
    </x:row>
    <x:row r="1003">
      <x:c r="F1003" s="124"/>
      <x:c r="G1003" s="124"/>
      <x:c r="H1003" s="124"/>
      <x:c r="I1003" s="124"/>
      <x:c r="J1003" s="124"/>
      <x:c r="M1003" s="126"/>
      <x:c r="P1003" s="126"/>
      <x:c r="Q1003" s="126"/>
      <x:c r="R1003" s="126"/>
      <x:c r="S1003" s="124"/>
      <x:c r="T1003" s="124"/>
      <x:c r="U1003" s="124"/>
      <x:c r="V1003" s="124"/>
      <x:c r="W1003" s="124"/>
      <x:c r="X1003" s="124"/>
      <x:c r="AD1003"/>
      <x:c r="AE1003" s="145"/>
      <x:c r="AF1003" s="145"/>
      <x:c r="AG1003" s="145"/>
      <x:c r="AH1003" s="145"/>
      <x:c r="AI1003" s="145"/>
      <x:c r="AJ1003"/>
    </x:row>
    <x:row r="1004">
      <x:c r="F1004" s="124"/>
      <x:c r="G1004" s="124"/>
      <x:c r="H1004" s="124"/>
      <x:c r="I1004" s="124"/>
      <x:c r="J1004" s="124"/>
      <x:c r="M1004" s="126"/>
      <x:c r="P1004" s="126"/>
      <x:c r="Q1004" s="126"/>
      <x:c r="R1004" s="126"/>
      <x:c r="S1004" s="124"/>
      <x:c r="T1004" s="124"/>
      <x:c r="U1004" s="124"/>
      <x:c r="V1004" s="124"/>
      <x:c r="W1004" s="124"/>
      <x:c r="X1004" s="124"/>
      <x:c r="AD1004"/>
      <x:c r="AE1004" s="145"/>
      <x:c r="AF1004" s="145"/>
      <x:c r="AG1004" s="145"/>
      <x:c r="AH1004" s="145"/>
      <x:c r="AI1004" s="145"/>
      <x:c r="AJ1004"/>
    </x:row>
    <x:row r="1005">
      <x:c r="F1005" s="124"/>
      <x:c r="G1005" s="124"/>
      <x:c r="H1005" s="124"/>
      <x:c r="I1005" s="124"/>
      <x:c r="J1005" s="124"/>
      <x:c r="M1005" s="126"/>
      <x:c r="P1005" s="126"/>
      <x:c r="Q1005" s="126"/>
      <x:c r="R1005" s="126"/>
      <x:c r="S1005" s="124"/>
      <x:c r="T1005" s="124"/>
      <x:c r="U1005" s="124"/>
      <x:c r="V1005" s="124"/>
      <x:c r="W1005" s="124"/>
      <x:c r="X1005" s="124"/>
      <x:c r="AD1005"/>
      <x:c r="AE1005" s="145"/>
      <x:c r="AF1005" s="145"/>
      <x:c r="AG1005" s="145"/>
      <x:c r="AH1005" s="145"/>
      <x:c r="AI1005" s="145"/>
      <x:c r="AJ1005"/>
    </x:row>
    <x:row r="1006">
      <x:c r="F1006" s="124"/>
      <x:c r="G1006" s="124"/>
      <x:c r="H1006" s="124"/>
      <x:c r="I1006" s="124"/>
      <x:c r="J1006" s="124"/>
      <x:c r="M1006" s="126"/>
      <x:c r="P1006" s="126"/>
      <x:c r="Q1006" s="126"/>
      <x:c r="R1006" s="126"/>
      <x:c r="S1006" s="124"/>
      <x:c r="T1006" s="124"/>
      <x:c r="U1006" s="124"/>
      <x:c r="V1006" s="124"/>
      <x:c r="W1006" s="124"/>
      <x:c r="X1006" s="124"/>
      <x:c r="AD1006"/>
      <x:c r="AE1006" s="145"/>
      <x:c r="AF1006" s="145"/>
      <x:c r="AG1006" s="145"/>
      <x:c r="AH1006" s="145"/>
      <x:c r="AI1006" s="145"/>
      <x:c r="AJ1006"/>
    </x:row>
    <x:row r="1007">
      <x:c r="F1007" s="124"/>
      <x:c r="G1007" s="124"/>
      <x:c r="H1007" s="124"/>
      <x:c r="I1007" s="124"/>
      <x:c r="J1007" s="124"/>
      <x:c r="M1007" s="126"/>
      <x:c r="P1007" s="126"/>
      <x:c r="Q1007" s="126"/>
      <x:c r="R1007" s="126"/>
      <x:c r="S1007" s="124"/>
      <x:c r="T1007" s="124"/>
      <x:c r="U1007" s="124"/>
      <x:c r="V1007" s="124"/>
      <x:c r="W1007" s="124"/>
      <x:c r="X1007" s="124"/>
      <x:c r="AD1007"/>
      <x:c r="AE1007" s="145"/>
      <x:c r="AF1007" s="145"/>
      <x:c r="AG1007" s="145"/>
      <x:c r="AH1007" s="145"/>
      <x:c r="AI1007" s="145"/>
      <x:c r="AJ1007"/>
    </x:row>
    <x:row r="1008">
      <x:c r="F1008" s="124"/>
      <x:c r="G1008" s="124"/>
      <x:c r="H1008" s="124"/>
      <x:c r="I1008" s="124"/>
      <x:c r="J1008" s="124"/>
      <x:c r="M1008" s="126"/>
      <x:c r="P1008" s="126"/>
      <x:c r="Q1008" s="126"/>
      <x:c r="R1008" s="126"/>
      <x:c r="S1008" s="124"/>
      <x:c r="T1008" s="124"/>
      <x:c r="U1008" s="124"/>
      <x:c r="V1008" s="124"/>
      <x:c r="W1008" s="124"/>
      <x:c r="X1008" s="124"/>
      <x:c r="AD1008"/>
      <x:c r="AE1008" s="145"/>
      <x:c r="AF1008" s="145"/>
      <x:c r="AG1008" s="145"/>
      <x:c r="AH1008" s="145"/>
      <x:c r="AI1008" s="145"/>
      <x:c r="AJ1008"/>
    </x:row>
    <x:row r="1009">
      <x:c r="F1009" s="124"/>
      <x:c r="G1009" s="124"/>
      <x:c r="H1009" s="124"/>
      <x:c r="I1009" s="124"/>
      <x:c r="J1009" s="124"/>
      <x:c r="M1009" s="126"/>
      <x:c r="P1009" s="126"/>
      <x:c r="Q1009" s="126"/>
      <x:c r="R1009" s="126"/>
      <x:c r="S1009" s="124"/>
      <x:c r="T1009" s="124"/>
      <x:c r="U1009" s="124"/>
      <x:c r="V1009" s="124"/>
      <x:c r="W1009" s="124"/>
      <x:c r="X1009" s="124"/>
      <x:c r="AD1009"/>
      <x:c r="AE1009" s="145"/>
      <x:c r="AF1009" s="145"/>
      <x:c r="AG1009" s="145"/>
      <x:c r="AH1009" s="145"/>
      <x:c r="AI1009" s="145"/>
      <x:c r="AJ1009"/>
    </x:row>
    <x:row r="1010">
      <x:c r="F1010" s="124"/>
      <x:c r="G1010" s="124"/>
      <x:c r="H1010" s="124"/>
      <x:c r="I1010" s="124"/>
      <x:c r="J1010" s="124"/>
      <x:c r="M1010" s="126"/>
      <x:c r="P1010" s="126"/>
      <x:c r="Q1010" s="126"/>
      <x:c r="R1010" s="126"/>
      <x:c r="S1010" s="124"/>
      <x:c r="T1010" s="124"/>
      <x:c r="U1010" s="124"/>
      <x:c r="V1010" s="124"/>
      <x:c r="W1010" s="124"/>
      <x:c r="X1010" s="124"/>
      <x:c r="AD1010"/>
      <x:c r="AE1010" s="145"/>
      <x:c r="AF1010" s="145"/>
      <x:c r="AG1010" s="145"/>
      <x:c r="AH1010" s="145"/>
      <x:c r="AI1010" s="145"/>
      <x:c r="AJ1010"/>
    </x:row>
    <x:row r="1011">
      <x:c r="F1011" s="124"/>
      <x:c r="G1011" s="124"/>
      <x:c r="H1011" s="124"/>
      <x:c r="I1011" s="124"/>
      <x:c r="J1011" s="124"/>
      <x:c r="M1011" s="126"/>
      <x:c r="P1011" s="126"/>
      <x:c r="Q1011" s="126"/>
      <x:c r="R1011" s="126"/>
      <x:c r="S1011" s="124"/>
      <x:c r="T1011" s="124"/>
      <x:c r="U1011" s="124"/>
      <x:c r="V1011" s="124"/>
      <x:c r="W1011" s="124"/>
      <x:c r="X1011" s="124"/>
      <x:c r="AD1011"/>
      <x:c r="AE1011" s="145"/>
      <x:c r="AF1011" s="145"/>
      <x:c r="AG1011" s="145"/>
      <x:c r="AH1011" s="145"/>
      <x:c r="AI1011" s="145"/>
      <x:c r="AJ1011"/>
    </x:row>
    <x:row r="1012">
      <x:c r="F1012" s="124"/>
      <x:c r="G1012" s="124"/>
      <x:c r="H1012" s="124"/>
      <x:c r="I1012" s="124"/>
      <x:c r="J1012" s="124"/>
      <x:c r="M1012" s="126"/>
      <x:c r="P1012" s="126"/>
      <x:c r="Q1012" s="126"/>
      <x:c r="R1012" s="126"/>
      <x:c r="S1012" s="124"/>
      <x:c r="T1012" s="124"/>
      <x:c r="U1012" s="124"/>
      <x:c r="V1012" s="124"/>
      <x:c r="W1012" s="124"/>
      <x:c r="X1012" s="124"/>
      <x:c r="AD1012"/>
      <x:c r="AE1012" s="145"/>
      <x:c r="AF1012" s="145"/>
      <x:c r="AG1012" s="145"/>
      <x:c r="AH1012" s="145"/>
      <x:c r="AI1012" s="145"/>
      <x:c r="AJ1012"/>
    </x:row>
    <x:row r="1013">
      <x:c r="F1013" s="124"/>
      <x:c r="G1013" s="124"/>
      <x:c r="H1013" s="124"/>
      <x:c r="I1013" s="124"/>
      <x:c r="J1013" s="124"/>
      <x:c r="M1013" s="126"/>
      <x:c r="P1013" s="126"/>
      <x:c r="Q1013" s="126"/>
      <x:c r="R1013" s="126"/>
      <x:c r="S1013" s="124"/>
      <x:c r="T1013" s="124"/>
      <x:c r="U1013" s="124"/>
      <x:c r="V1013" s="124"/>
      <x:c r="W1013" s="124"/>
      <x:c r="X1013" s="124"/>
      <x:c r="AD1013"/>
      <x:c r="AE1013" s="145"/>
      <x:c r="AF1013" s="145"/>
      <x:c r="AG1013" s="145"/>
      <x:c r="AH1013" s="145"/>
      <x:c r="AI1013" s="145"/>
      <x:c r="AJ1013"/>
    </x:row>
    <x:row r="1014">
      <x:c r="F1014" s="124"/>
      <x:c r="G1014" s="124"/>
      <x:c r="H1014" s="124"/>
      <x:c r="I1014" s="124"/>
      <x:c r="J1014" s="124"/>
      <x:c r="M1014" s="126"/>
      <x:c r="P1014" s="126"/>
      <x:c r="Q1014" s="126"/>
      <x:c r="R1014" s="126"/>
      <x:c r="S1014" s="124"/>
      <x:c r="T1014" s="124"/>
      <x:c r="U1014" s="124"/>
      <x:c r="V1014" s="124"/>
      <x:c r="W1014" s="124"/>
      <x:c r="X1014" s="124"/>
      <x:c r="AD1014"/>
      <x:c r="AE1014" s="145"/>
      <x:c r="AF1014" s="145"/>
      <x:c r="AG1014" s="145"/>
      <x:c r="AH1014" s="145"/>
      <x:c r="AI1014" s="145"/>
      <x:c r="AJ1014"/>
    </x:row>
    <x:row r="1015">
      <x:c r="F1015" s="124"/>
      <x:c r="G1015" s="124"/>
      <x:c r="H1015" s="124"/>
      <x:c r="I1015" s="124"/>
      <x:c r="J1015" s="124"/>
      <x:c r="M1015" s="126"/>
      <x:c r="P1015" s="126"/>
      <x:c r="Q1015" s="126"/>
      <x:c r="R1015" s="126"/>
      <x:c r="S1015" s="124"/>
      <x:c r="T1015" s="124"/>
      <x:c r="U1015" s="124"/>
      <x:c r="V1015" s="124"/>
      <x:c r="W1015" s="124"/>
      <x:c r="X1015" s="124"/>
      <x:c r="AD1015"/>
      <x:c r="AE1015" s="145"/>
      <x:c r="AF1015" s="145"/>
      <x:c r="AG1015" s="145"/>
      <x:c r="AH1015" s="145"/>
      <x:c r="AI1015" s="145"/>
      <x:c r="AJ1015"/>
    </x:row>
    <x:row r="1016">
      <x:c r="F1016" s="124"/>
      <x:c r="G1016" s="124"/>
      <x:c r="H1016" s="124"/>
      <x:c r="I1016" s="124"/>
      <x:c r="J1016" s="124"/>
      <x:c r="M1016" s="126"/>
      <x:c r="P1016" s="126"/>
      <x:c r="Q1016" s="126"/>
      <x:c r="R1016" s="126"/>
      <x:c r="S1016" s="124"/>
      <x:c r="T1016" s="124"/>
      <x:c r="U1016" s="124"/>
      <x:c r="V1016" s="124"/>
      <x:c r="W1016" s="124"/>
      <x:c r="X1016" s="124"/>
      <x:c r="AD1016"/>
      <x:c r="AE1016" s="145"/>
      <x:c r="AF1016" s="145"/>
      <x:c r="AG1016" s="145"/>
      <x:c r="AH1016" s="145"/>
      <x:c r="AI1016" s="145"/>
      <x:c r="AJ1016"/>
    </x:row>
    <x:row r="1017">
      <x:c r="F1017" s="124"/>
      <x:c r="G1017" s="124"/>
      <x:c r="H1017" s="124"/>
      <x:c r="I1017" s="124"/>
      <x:c r="J1017" s="124"/>
      <x:c r="M1017" s="126"/>
      <x:c r="P1017" s="126"/>
      <x:c r="Q1017" s="126"/>
      <x:c r="R1017" s="126"/>
      <x:c r="S1017" s="124"/>
      <x:c r="T1017" s="124"/>
      <x:c r="U1017" s="124"/>
      <x:c r="V1017" s="124"/>
      <x:c r="W1017" s="124"/>
      <x:c r="X1017" s="124"/>
      <x:c r="AD1017"/>
      <x:c r="AE1017" s="145"/>
      <x:c r="AF1017" s="145"/>
      <x:c r="AG1017" s="145"/>
      <x:c r="AH1017" s="145"/>
      <x:c r="AI1017" s="145"/>
      <x:c r="AJ1017"/>
    </x:row>
    <x:row r="1018">
      <x:c r="F1018" s="124"/>
      <x:c r="G1018" s="124"/>
      <x:c r="H1018" s="124"/>
      <x:c r="I1018" s="124"/>
      <x:c r="J1018" s="124"/>
      <x:c r="M1018" s="126"/>
      <x:c r="P1018" s="126"/>
      <x:c r="Q1018" s="126"/>
      <x:c r="R1018" s="126"/>
      <x:c r="S1018" s="124"/>
      <x:c r="T1018" s="124"/>
      <x:c r="U1018" s="124"/>
      <x:c r="V1018" s="124"/>
      <x:c r="W1018" s="124"/>
      <x:c r="X1018" s="124"/>
      <x:c r="AD1018"/>
      <x:c r="AE1018" s="145"/>
      <x:c r="AF1018" s="145"/>
      <x:c r="AG1018" s="145"/>
      <x:c r="AH1018" s="145"/>
      <x:c r="AI1018" s="145"/>
      <x:c r="AJ1018"/>
    </x:row>
    <x:row r="1019">
      <x:c r="F1019" s="124"/>
      <x:c r="G1019" s="124"/>
      <x:c r="H1019" s="124"/>
      <x:c r="I1019" s="124"/>
      <x:c r="J1019" s="124"/>
      <x:c r="M1019" s="126"/>
      <x:c r="P1019" s="126"/>
      <x:c r="Q1019" s="126"/>
      <x:c r="R1019" s="126"/>
      <x:c r="S1019" s="124"/>
      <x:c r="T1019" s="124"/>
      <x:c r="U1019" s="124"/>
      <x:c r="V1019" s="124"/>
      <x:c r="W1019" s="124"/>
      <x:c r="X1019" s="124"/>
      <x:c r="AD1019"/>
      <x:c r="AE1019" s="145"/>
      <x:c r="AF1019" s="145"/>
      <x:c r="AG1019" s="145"/>
      <x:c r="AH1019" s="145"/>
      <x:c r="AI1019" s="145"/>
      <x:c r="AJ1019"/>
    </x:row>
    <x:row r="1020">
      <x:c r="F1020" s="124"/>
      <x:c r="G1020" s="124"/>
      <x:c r="H1020" s="124"/>
      <x:c r="I1020" s="124"/>
      <x:c r="J1020" s="124"/>
      <x:c r="M1020" s="126"/>
      <x:c r="P1020" s="126"/>
      <x:c r="Q1020" s="126"/>
      <x:c r="R1020" s="126"/>
      <x:c r="S1020" s="124"/>
      <x:c r="T1020" s="124"/>
      <x:c r="U1020" s="124"/>
      <x:c r="V1020" s="124"/>
      <x:c r="W1020" s="124"/>
      <x:c r="X1020" s="124"/>
      <x:c r="AD1020"/>
      <x:c r="AE1020" s="145"/>
      <x:c r="AF1020" s="145"/>
      <x:c r="AG1020" s="145"/>
      <x:c r="AH1020" s="145"/>
      <x:c r="AI1020" s="145"/>
      <x:c r="AJ1020"/>
    </x:row>
    <x:row r="1021">
      <x:c r="F1021" s="124"/>
      <x:c r="G1021" s="124"/>
      <x:c r="H1021" s="124"/>
      <x:c r="I1021" s="124"/>
      <x:c r="J1021" s="124"/>
      <x:c r="M1021" s="126"/>
      <x:c r="P1021" s="126"/>
      <x:c r="Q1021" s="126"/>
      <x:c r="R1021" s="126"/>
      <x:c r="S1021" s="124"/>
      <x:c r="T1021" s="124"/>
      <x:c r="U1021" s="124"/>
      <x:c r="V1021" s="124"/>
      <x:c r="W1021" s="124"/>
      <x:c r="X1021" s="124"/>
      <x:c r="AD1021"/>
      <x:c r="AE1021" s="145"/>
      <x:c r="AF1021" s="145"/>
      <x:c r="AG1021" s="145"/>
      <x:c r="AH1021" s="145"/>
      <x:c r="AI1021" s="145"/>
      <x:c r="AJ1021"/>
    </x:row>
    <x:row r="1022">
      <x:c r="F1022" s="124"/>
      <x:c r="G1022" s="124"/>
      <x:c r="H1022" s="124"/>
      <x:c r="I1022" s="124"/>
      <x:c r="J1022" s="124"/>
      <x:c r="M1022" s="126"/>
      <x:c r="P1022" s="126"/>
      <x:c r="Q1022" s="126"/>
      <x:c r="R1022" s="126"/>
      <x:c r="S1022" s="124"/>
      <x:c r="T1022" s="124"/>
      <x:c r="U1022" s="124"/>
      <x:c r="V1022" s="124"/>
      <x:c r="W1022" s="124"/>
      <x:c r="X1022" s="124"/>
      <x:c r="AD1022"/>
      <x:c r="AE1022" s="145"/>
      <x:c r="AF1022" s="145"/>
      <x:c r="AG1022" s="145"/>
      <x:c r="AH1022" s="145"/>
      <x:c r="AI1022" s="145"/>
      <x:c r="AJ1022"/>
    </x:row>
    <x:row r="1023">
      <x:c r="F1023" s="124"/>
      <x:c r="G1023" s="124"/>
      <x:c r="H1023" s="124"/>
      <x:c r="I1023" s="124"/>
      <x:c r="J1023" s="124"/>
      <x:c r="M1023" s="126"/>
      <x:c r="P1023" s="126"/>
      <x:c r="Q1023" s="126"/>
      <x:c r="R1023" s="126"/>
      <x:c r="S1023" s="124"/>
      <x:c r="T1023" s="124"/>
      <x:c r="U1023" s="124"/>
      <x:c r="V1023" s="124"/>
      <x:c r="W1023" s="124"/>
      <x:c r="X1023" s="124"/>
      <x:c r="AD1023"/>
      <x:c r="AE1023" s="145"/>
      <x:c r="AF1023" s="145"/>
      <x:c r="AG1023" s="145"/>
      <x:c r="AH1023" s="145"/>
      <x:c r="AI1023" s="145"/>
      <x:c r="AJ1023"/>
    </x:row>
    <x:row r="1024">
      <x:c r="F1024" s="124"/>
      <x:c r="G1024" s="124"/>
      <x:c r="H1024" s="124"/>
      <x:c r="I1024" s="124"/>
      <x:c r="J1024" s="124"/>
      <x:c r="M1024" s="126"/>
      <x:c r="P1024" s="126"/>
      <x:c r="Q1024" s="126"/>
      <x:c r="R1024" s="126"/>
      <x:c r="S1024" s="124"/>
      <x:c r="T1024" s="124"/>
      <x:c r="U1024" s="124"/>
      <x:c r="V1024" s="124"/>
      <x:c r="W1024" s="124"/>
      <x:c r="X1024" s="124"/>
      <x:c r="AD1024"/>
      <x:c r="AE1024" s="145"/>
      <x:c r="AF1024" s="145"/>
      <x:c r="AG1024" s="145"/>
      <x:c r="AH1024" s="145"/>
      <x:c r="AI1024" s="145"/>
      <x:c r="AJ1024"/>
    </x:row>
    <x:row r="1025">
      <x:c r="F1025" s="124"/>
      <x:c r="G1025" s="124"/>
      <x:c r="H1025" s="124"/>
      <x:c r="I1025" s="124"/>
      <x:c r="J1025" s="124"/>
      <x:c r="M1025" s="126"/>
      <x:c r="P1025" s="126"/>
      <x:c r="Q1025" s="126"/>
      <x:c r="R1025" s="126"/>
      <x:c r="S1025" s="124"/>
      <x:c r="T1025" s="124"/>
      <x:c r="U1025" s="124"/>
      <x:c r="V1025" s="124"/>
      <x:c r="W1025" s="124"/>
      <x:c r="X1025" s="124"/>
      <x:c r="AD1025"/>
      <x:c r="AE1025" s="145"/>
      <x:c r="AF1025" s="145"/>
      <x:c r="AG1025" s="145"/>
      <x:c r="AH1025" s="145"/>
      <x:c r="AI1025" s="145"/>
      <x:c r="AJ1025"/>
    </x:row>
    <x:row r="1026">
      <x:c r="F1026" s="124"/>
      <x:c r="G1026" s="124"/>
      <x:c r="H1026" s="124"/>
      <x:c r="I1026" s="124"/>
      <x:c r="J1026" s="124"/>
      <x:c r="M1026" s="126"/>
      <x:c r="P1026" s="126"/>
      <x:c r="Q1026" s="126"/>
      <x:c r="R1026" s="126"/>
      <x:c r="S1026" s="124"/>
      <x:c r="T1026" s="124"/>
      <x:c r="U1026" s="124"/>
      <x:c r="V1026" s="124"/>
      <x:c r="W1026" s="124"/>
      <x:c r="X1026" s="124"/>
      <x:c r="AD1026"/>
      <x:c r="AE1026" s="145"/>
      <x:c r="AF1026" s="145"/>
      <x:c r="AG1026" s="145"/>
      <x:c r="AH1026" s="145"/>
      <x:c r="AI1026" s="145"/>
      <x:c r="AJ1026"/>
    </x:row>
    <x:row r="1027">
      <x:c r="F1027" s="124"/>
      <x:c r="G1027" s="124"/>
      <x:c r="H1027" s="124"/>
      <x:c r="I1027" s="124"/>
      <x:c r="J1027" s="124"/>
      <x:c r="M1027" s="126"/>
      <x:c r="P1027" s="126"/>
      <x:c r="Q1027" s="126"/>
      <x:c r="R1027" s="126"/>
      <x:c r="S1027" s="124"/>
      <x:c r="T1027" s="124"/>
      <x:c r="U1027" s="124"/>
      <x:c r="V1027" s="124"/>
      <x:c r="W1027" s="124"/>
      <x:c r="X1027" s="124"/>
      <x:c r="AD1027"/>
      <x:c r="AE1027" s="145"/>
      <x:c r="AF1027" s="145"/>
      <x:c r="AG1027" s="145"/>
      <x:c r="AH1027" s="145"/>
      <x:c r="AI1027" s="145"/>
      <x:c r="AJ1027"/>
    </x:row>
    <x:row r="1028">
      <x:c r="F1028" s="124"/>
      <x:c r="G1028" s="124"/>
      <x:c r="H1028" s="124"/>
      <x:c r="I1028" s="124"/>
      <x:c r="J1028" s="124"/>
      <x:c r="M1028" s="126"/>
      <x:c r="P1028" s="126"/>
      <x:c r="Q1028" s="126"/>
      <x:c r="R1028" s="126"/>
      <x:c r="S1028" s="124"/>
      <x:c r="T1028" s="124"/>
      <x:c r="U1028" s="124"/>
      <x:c r="V1028" s="124"/>
      <x:c r="W1028" s="124"/>
      <x:c r="X1028" s="124"/>
      <x:c r="AD1028"/>
      <x:c r="AE1028" s="145"/>
      <x:c r="AF1028" s="145"/>
      <x:c r="AG1028" s="145"/>
      <x:c r="AH1028" s="145"/>
      <x:c r="AI1028" s="145"/>
      <x:c r="AJ1028"/>
    </x:row>
    <x:row r="1029">
      <x:c r="F1029" s="124"/>
      <x:c r="G1029" s="124"/>
      <x:c r="H1029" s="124"/>
      <x:c r="I1029" s="124"/>
      <x:c r="J1029" s="124"/>
      <x:c r="M1029" s="126"/>
      <x:c r="P1029" s="126"/>
      <x:c r="Q1029" s="126"/>
      <x:c r="R1029" s="126"/>
      <x:c r="S1029" s="124"/>
      <x:c r="T1029" s="124"/>
      <x:c r="U1029" s="124"/>
      <x:c r="V1029" s="124"/>
      <x:c r="W1029" s="124"/>
      <x:c r="X1029" s="124"/>
      <x:c r="AD1029"/>
      <x:c r="AE1029" s="145"/>
      <x:c r="AF1029" s="145"/>
      <x:c r="AG1029" s="145"/>
      <x:c r="AH1029" s="145"/>
      <x:c r="AI1029" s="145"/>
      <x:c r="AJ1029"/>
    </x:row>
    <x:row r="1030">
      <x:c r="F1030" s="124"/>
      <x:c r="G1030" s="124"/>
      <x:c r="H1030" s="124"/>
      <x:c r="I1030" s="124"/>
      <x:c r="J1030" s="124"/>
      <x:c r="M1030" s="126"/>
      <x:c r="P1030" s="126"/>
      <x:c r="Q1030" s="126"/>
      <x:c r="R1030" s="126"/>
      <x:c r="S1030" s="124"/>
      <x:c r="T1030" s="124"/>
      <x:c r="U1030" s="124"/>
      <x:c r="V1030" s="124"/>
      <x:c r="W1030" s="124"/>
      <x:c r="X1030" s="124"/>
      <x:c r="AD1030"/>
      <x:c r="AE1030" s="145"/>
      <x:c r="AF1030" s="145"/>
      <x:c r="AG1030" s="145"/>
      <x:c r="AH1030" s="145"/>
      <x:c r="AI1030" s="145"/>
      <x:c r="AJ1030"/>
    </x:row>
    <x:row r="1031">
      <x:c r="F1031" s="124"/>
      <x:c r="G1031" s="124"/>
      <x:c r="H1031" s="124"/>
      <x:c r="I1031" s="124"/>
      <x:c r="J1031" s="124"/>
      <x:c r="M1031" s="126"/>
      <x:c r="P1031" s="126"/>
      <x:c r="Q1031" s="126"/>
      <x:c r="R1031" s="126"/>
      <x:c r="S1031" s="124"/>
      <x:c r="T1031" s="124"/>
      <x:c r="U1031" s="124"/>
      <x:c r="V1031" s="124"/>
      <x:c r="W1031" s="124"/>
      <x:c r="X1031" s="124"/>
      <x:c r="AD1031"/>
      <x:c r="AE1031" s="145"/>
      <x:c r="AF1031" s="145"/>
      <x:c r="AG1031" s="145"/>
      <x:c r="AH1031" s="145"/>
      <x:c r="AI1031" s="145"/>
      <x:c r="AJ1031"/>
    </x:row>
    <x:row r="1032">
      <x:c r="F1032" s="124"/>
      <x:c r="G1032" s="124"/>
      <x:c r="H1032" s="124"/>
      <x:c r="I1032" s="124"/>
      <x:c r="J1032" s="124"/>
      <x:c r="M1032" s="126"/>
      <x:c r="P1032" s="126"/>
      <x:c r="Q1032" s="126"/>
      <x:c r="R1032" s="126"/>
      <x:c r="S1032" s="124"/>
      <x:c r="T1032" s="124"/>
      <x:c r="U1032" s="124"/>
      <x:c r="V1032" s="124"/>
      <x:c r="W1032" s="124"/>
      <x:c r="X1032" s="124"/>
      <x:c r="AD1032"/>
      <x:c r="AE1032" s="145"/>
      <x:c r="AF1032" s="145"/>
      <x:c r="AG1032" s="145"/>
      <x:c r="AH1032" s="145"/>
      <x:c r="AI1032" s="145"/>
      <x:c r="AJ1032"/>
    </x:row>
    <x:row r="1033">
      <x:c r="F1033" s="124"/>
      <x:c r="G1033" s="124"/>
      <x:c r="H1033" s="124"/>
      <x:c r="I1033" s="124"/>
      <x:c r="J1033" s="124"/>
      <x:c r="M1033" s="126"/>
      <x:c r="P1033" s="126"/>
      <x:c r="Q1033" s="126"/>
      <x:c r="R1033" s="126"/>
      <x:c r="S1033" s="124"/>
      <x:c r="T1033" s="124"/>
      <x:c r="U1033" s="124"/>
      <x:c r="V1033" s="124"/>
      <x:c r="W1033" s="124"/>
      <x:c r="X1033" s="124"/>
      <x:c r="AD1033"/>
      <x:c r="AE1033" s="145"/>
      <x:c r="AF1033" s="145"/>
      <x:c r="AG1033" s="145"/>
      <x:c r="AH1033" s="145"/>
      <x:c r="AI1033" s="145"/>
      <x:c r="AJ1033"/>
    </x:row>
    <x:row r="1034">
      <x:c r="F1034" s="124"/>
      <x:c r="G1034" s="124"/>
      <x:c r="H1034" s="124"/>
      <x:c r="I1034" s="124"/>
      <x:c r="J1034" s="124"/>
      <x:c r="M1034" s="126"/>
      <x:c r="P1034" s="126"/>
      <x:c r="Q1034" s="126"/>
      <x:c r="R1034" s="126"/>
      <x:c r="S1034" s="124"/>
      <x:c r="T1034" s="124"/>
      <x:c r="U1034" s="124"/>
      <x:c r="V1034" s="124"/>
      <x:c r="W1034" s="124"/>
      <x:c r="X1034" s="124"/>
      <x:c r="AD1034"/>
      <x:c r="AE1034" s="145"/>
      <x:c r="AF1034" s="145"/>
      <x:c r="AG1034" s="145"/>
      <x:c r="AH1034" s="145"/>
      <x:c r="AI1034" s="145"/>
      <x:c r="AJ1034"/>
    </x:row>
    <x:row r="1035">
      <x:c r="F1035" s="124"/>
      <x:c r="G1035" s="124"/>
      <x:c r="H1035" s="124"/>
      <x:c r="I1035" s="124"/>
      <x:c r="J1035" s="124"/>
      <x:c r="M1035" s="126"/>
      <x:c r="P1035" s="126"/>
      <x:c r="Q1035" s="126"/>
      <x:c r="R1035" s="126"/>
      <x:c r="S1035" s="124"/>
      <x:c r="T1035" s="124"/>
      <x:c r="U1035" s="124"/>
      <x:c r="V1035" s="124"/>
      <x:c r="W1035" s="124"/>
      <x:c r="X1035" s="124"/>
      <x:c r="AD1035"/>
      <x:c r="AE1035" s="145"/>
      <x:c r="AF1035" s="145"/>
      <x:c r="AG1035" s="145"/>
      <x:c r="AH1035" s="145"/>
      <x:c r="AI1035" s="145"/>
      <x:c r="AJ1035"/>
    </x:row>
    <x:row r="1036">
      <x:c r="F1036" s="124"/>
      <x:c r="G1036" s="124"/>
      <x:c r="H1036" s="124"/>
      <x:c r="I1036" s="124"/>
      <x:c r="J1036" s="124"/>
      <x:c r="M1036" s="126"/>
      <x:c r="P1036" s="126"/>
      <x:c r="Q1036" s="126"/>
      <x:c r="R1036" s="126"/>
      <x:c r="S1036" s="124"/>
      <x:c r="T1036" s="124"/>
      <x:c r="U1036" s="124"/>
      <x:c r="V1036" s="124"/>
      <x:c r="W1036" s="124"/>
      <x:c r="X1036" s="124"/>
      <x:c r="AD1036"/>
      <x:c r="AE1036" s="145"/>
      <x:c r="AF1036" s="145"/>
      <x:c r="AG1036" s="145"/>
      <x:c r="AH1036" s="145"/>
      <x:c r="AI1036" s="145"/>
      <x:c r="AJ1036"/>
    </x:row>
    <x:row r="1037">
      <x:c r="F1037" s="124"/>
      <x:c r="G1037" s="124"/>
      <x:c r="H1037" s="124"/>
      <x:c r="I1037" s="124"/>
      <x:c r="J1037" s="124"/>
      <x:c r="M1037" s="126"/>
      <x:c r="P1037" s="126"/>
      <x:c r="Q1037" s="126"/>
      <x:c r="R1037" s="126"/>
      <x:c r="S1037" s="124"/>
      <x:c r="T1037" s="124"/>
      <x:c r="U1037" s="124"/>
      <x:c r="V1037" s="124"/>
      <x:c r="W1037" s="124"/>
      <x:c r="X1037" s="124"/>
      <x:c r="AD1037"/>
      <x:c r="AE1037" s="145"/>
      <x:c r="AF1037" s="145"/>
      <x:c r="AG1037" s="145"/>
      <x:c r="AH1037" s="145"/>
      <x:c r="AI1037" s="145"/>
      <x:c r="AJ1037"/>
    </x:row>
    <x:row r="1038">
      <x:c r="F1038" s="124"/>
      <x:c r="G1038" s="124"/>
      <x:c r="H1038" s="124"/>
      <x:c r="I1038" s="124"/>
      <x:c r="J1038" s="124"/>
      <x:c r="M1038" s="126"/>
      <x:c r="P1038" s="126"/>
      <x:c r="Q1038" s="126"/>
      <x:c r="R1038" s="126"/>
      <x:c r="S1038" s="124"/>
      <x:c r="T1038" s="124"/>
      <x:c r="U1038" s="124"/>
      <x:c r="V1038" s="124"/>
      <x:c r="W1038" s="124"/>
      <x:c r="X1038" s="124"/>
      <x:c r="AD1038"/>
      <x:c r="AE1038" s="145"/>
      <x:c r="AF1038" s="145"/>
      <x:c r="AG1038" s="145"/>
      <x:c r="AH1038" s="145"/>
      <x:c r="AI1038" s="145"/>
      <x:c r="AJ1038"/>
    </x:row>
    <x:row r="1039">
      <x:c r="F1039" s="124"/>
      <x:c r="G1039" s="124"/>
      <x:c r="H1039" s="124"/>
      <x:c r="I1039" s="124"/>
      <x:c r="J1039" s="124"/>
      <x:c r="M1039" s="126"/>
      <x:c r="P1039" s="126"/>
      <x:c r="Q1039" s="126"/>
      <x:c r="R1039" s="126"/>
      <x:c r="S1039" s="124"/>
      <x:c r="T1039" s="124"/>
      <x:c r="U1039" s="124"/>
      <x:c r="V1039" s="124"/>
      <x:c r="W1039" s="124"/>
      <x:c r="X1039" s="124"/>
      <x:c r="AD1039"/>
      <x:c r="AE1039" s="145"/>
      <x:c r="AF1039" s="145"/>
      <x:c r="AG1039" s="145"/>
      <x:c r="AH1039" s="145"/>
      <x:c r="AI1039" s="145"/>
      <x:c r="AJ1039"/>
    </x:row>
    <x:row r="1040">
      <x:c r="F1040" s="124"/>
      <x:c r="G1040" s="124"/>
      <x:c r="H1040" s="124"/>
      <x:c r="I1040" s="124"/>
      <x:c r="J1040" s="124"/>
      <x:c r="M1040" s="126"/>
      <x:c r="P1040" s="126"/>
      <x:c r="Q1040" s="126"/>
      <x:c r="R1040" s="126"/>
      <x:c r="S1040" s="124"/>
      <x:c r="T1040" s="124"/>
      <x:c r="U1040" s="124"/>
      <x:c r="V1040" s="124"/>
      <x:c r="W1040" s="124"/>
      <x:c r="X1040" s="124"/>
      <x:c r="AD1040"/>
      <x:c r="AE1040" s="145"/>
      <x:c r="AF1040" s="145"/>
      <x:c r="AG1040" s="145"/>
      <x:c r="AH1040" s="145"/>
      <x:c r="AI1040" s="145"/>
      <x:c r="AJ1040"/>
    </x:row>
    <x:row r="1041">
      <x:c r="F1041" s="124"/>
      <x:c r="G1041" s="124"/>
      <x:c r="H1041" s="124"/>
      <x:c r="I1041" s="124"/>
      <x:c r="J1041" s="124"/>
      <x:c r="M1041" s="126"/>
      <x:c r="P1041" s="126"/>
      <x:c r="Q1041" s="126"/>
      <x:c r="R1041" s="126"/>
      <x:c r="S1041" s="124"/>
      <x:c r="T1041" s="124"/>
      <x:c r="U1041" s="124"/>
      <x:c r="V1041" s="124"/>
      <x:c r="W1041" s="124"/>
      <x:c r="X1041" s="124"/>
      <x:c r="AD1041"/>
      <x:c r="AE1041" s="145"/>
      <x:c r="AF1041" s="145"/>
      <x:c r="AG1041" s="145"/>
      <x:c r="AH1041" s="145"/>
      <x:c r="AI1041" s="145"/>
      <x:c r="AJ1041"/>
    </x:row>
    <x:row r="1042">
      <x:c r="F1042" s="124"/>
      <x:c r="G1042" s="124"/>
      <x:c r="H1042" s="124"/>
      <x:c r="I1042" s="124"/>
      <x:c r="J1042" s="124"/>
      <x:c r="M1042" s="126"/>
      <x:c r="P1042" s="126"/>
      <x:c r="Q1042" s="126"/>
      <x:c r="R1042" s="126"/>
      <x:c r="S1042" s="124"/>
      <x:c r="T1042" s="124"/>
      <x:c r="U1042" s="124"/>
      <x:c r="V1042" s="124"/>
      <x:c r="W1042" s="124"/>
      <x:c r="X1042" s="124"/>
      <x:c r="AD1042"/>
      <x:c r="AE1042" s="145"/>
      <x:c r="AF1042" s="145"/>
      <x:c r="AG1042" s="145"/>
      <x:c r="AH1042" s="145"/>
      <x:c r="AI1042" s="145"/>
      <x:c r="AJ1042"/>
    </x:row>
    <x:row r="1043">
      <x:c r="F1043" s="124"/>
      <x:c r="G1043" s="124"/>
      <x:c r="H1043" s="124"/>
      <x:c r="I1043" s="124"/>
      <x:c r="J1043" s="124"/>
      <x:c r="M1043" s="126"/>
      <x:c r="P1043" s="126"/>
      <x:c r="Q1043" s="126"/>
      <x:c r="R1043" s="126"/>
      <x:c r="S1043" s="124"/>
      <x:c r="T1043" s="124"/>
      <x:c r="U1043" s="124"/>
      <x:c r="V1043" s="124"/>
      <x:c r="W1043" s="124"/>
      <x:c r="X1043" s="124"/>
      <x:c r="AD1043"/>
      <x:c r="AE1043" s="145"/>
      <x:c r="AF1043" s="145"/>
      <x:c r="AG1043" s="145"/>
      <x:c r="AH1043" s="145"/>
      <x:c r="AI1043" s="145"/>
      <x:c r="AJ1043"/>
    </x:row>
    <x:row r="1044">
      <x:c r="F1044" s="124"/>
      <x:c r="G1044" s="124"/>
      <x:c r="H1044" s="124"/>
      <x:c r="I1044" s="124"/>
      <x:c r="J1044" s="124"/>
      <x:c r="M1044" s="126"/>
      <x:c r="P1044" s="126"/>
      <x:c r="Q1044" s="126"/>
      <x:c r="R1044" s="126"/>
      <x:c r="S1044" s="124"/>
      <x:c r="T1044" s="124"/>
      <x:c r="U1044" s="124"/>
      <x:c r="V1044" s="124"/>
      <x:c r="W1044" s="124"/>
      <x:c r="X1044" s="124"/>
      <x:c r="AD1044"/>
      <x:c r="AE1044" s="145"/>
      <x:c r="AF1044" s="145"/>
      <x:c r="AG1044" s="145"/>
      <x:c r="AH1044" s="145"/>
      <x:c r="AI1044" s="145"/>
      <x:c r="AJ1044"/>
    </x:row>
    <x:row r="1045">
      <x:c r="F1045" s="124"/>
      <x:c r="G1045" s="124"/>
      <x:c r="H1045" s="124"/>
      <x:c r="I1045" s="124"/>
      <x:c r="J1045" s="124"/>
      <x:c r="M1045" s="126"/>
      <x:c r="P1045" s="126"/>
      <x:c r="Q1045" s="126"/>
      <x:c r="R1045" s="126"/>
      <x:c r="S1045" s="124"/>
      <x:c r="T1045" s="124"/>
      <x:c r="U1045" s="124"/>
      <x:c r="V1045" s="124"/>
      <x:c r="W1045" s="124"/>
      <x:c r="X1045" s="124"/>
      <x:c r="AD1045"/>
      <x:c r="AE1045" s="145"/>
      <x:c r="AF1045" s="145"/>
      <x:c r="AG1045" s="145"/>
      <x:c r="AH1045" s="145"/>
      <x:c r="AI1045" s="145"/>
      <x:c r="AJ1045"/>
    </x:row>
    <x:row r="1046">
      <x:c r="F1046" s="124"/>
      <x:c r="G1046" s="124"/>
      <x:c r="H1046" s="124"/>
      <x:c r="I1046" s="124"/>
      <x:c r="J1046" s="124"/>
      <x:c r="M1046" s="126"/>
      <x:c r="P1046" s="126"/>
      <x:c r="Q1046" s="126"/>
      <x:c r="R1046" s="126"/>
      <x:c r="S1046" s="124"/>
      <x:c r="T1046" s="124"/>
      <x:c r="U1046" s="124"/>
      <x:c r="V1046" s="124"/>
      <x:c r="W1046" s="124"/>
      <x:c r="X1046" s="124"/>
      <x:c r="AD1046"/>
      <x:c r="AE1046" s="145"/>
      <x:c r="AF1046" s="145"/>
      <x:c r="AG1046" s="145"/>
      <x:c r="AH1046" s="145"/>
      <x:c r="AI1046" s="145"/>
      <x:c r="AJ1046"/>
    </x:row>
    <x:row r="1047">
      <x:c r="F1047" s="124"/>
      <x:c r="G1047" s="124"/>
      <x:c r="H1047" s="124"/>
      <x:c r="I1047" s="124"/>
      <x:c r="J1047" s="124"/>
      <x:c r="M1047" s="126"/>
      <x:c r="P1047" s="126"/>
      <x:c r="Q1047" s="126"/>
      <x:c r="R1047" s="126"/>
      <x:c r="S1047" s="124"/>
      <x:c r="T1047" s="124"/>
      <x:c r="U1047" s="124"/>
      <x:c r="V1047" s="124"/>
      <x:c r="W1047" s="124"/>
      <x:c r="X1047" s="124"/>
      <x:c r="AD1047"/>
      <x:c r="AE1047" s="145"/>
      <x:c r="AF1047" s="145"/>
      <x:c r="AG1047" s="145"/>
      <x:c r="AH1047" s="145"/>
      <x:c r="AI1047" s="145"/>
      <x:c r="AJ1047"/>
    </x:row>
    <x:row r="1048">
      <x:c r="F1048" s="124"/>
      <x:c r="G1048" s="124"/>
      <x:c r="H1048" s="124"/>
      <x:c r="I1048" s="124"/>
      <x:c r="J1048" s="124"/>
      <x:c r="M1048" s="126"/>
      <x:c r="P1048" s="126"/>
      <x:c r="Q1048" s="126"/>
      <x:c r="R1048" s="126"/>
      <x:c r="S1048" s="124"/>
      <x:c r="T1048" s="124"/>
      <x:c r="U1048" s="124"/>
      <x:c r="V1048" s="124"/>
      <x:c r="W1048" s="124"/>
      <x:c r="X1048" s="124"/>
      <x:c r="AD1048"/>
      <x:c r="AE1048" s="145"/>
      <x:c r="AF1048" s="145"/>
      <x:c r="AG1048" s="145"/>
      <x:c r="AH1048" s="145"/>
      <x:c r="AI1048" s="145"/>
      <x:c r="AJ1048"/>
    </x:row>
    <x:row r="1049">
      <x:c r="F1049" s="124"/>
      <x:c r="G1049" s="124"/>
      <x:c r="H1049" s="124"/>
      <x:c r="I1049" s="124"/>
      <x:c r="J1049" s="124"/>
      <x:c r="M1049" s="126"/>
      <x:c r="P1049" s="126"/>
      <x:c r="Q1049" s="126"/>
      <x:c r="R1049" s="126"/>
      <x:c r="S1049" s="124"/>
      <x:c r="T1049" s="124"/>
      <x:c r="U1049" s="124"/>
      <x:c r="V1049" s="124"/>
      <x:c r="W1049" s="124"/>
      <x:c r="X1049" s="124"/>
      <x:c r="AD1049"/>
      <x:c r="AE1049" s="145"/>
      <x:c r="AF1049" s="145"/>
      <x:c r="AG1049" s="145"/>
      <x:c r="AH1049" s="145"/>
      <x:c r="AI1049" s="145"/>
      <x:c r="AJ1049"/>
    </x:row>
    <x:row r="1050">
      <x:c r="F1050" s="124"/>
      <x:c r="G1050" s="124"/>
      <x:c r="H1050" s="124"/>
      <x:c r="I1050" s="124"/>
      <x:c r="J1050" s="124"/>
      <x:c r="M1050" s="126"/>
      <x:c r="P1050" s="126"/>
      <x:c r="Q1050" s="126"/>
      <x:c r="R1050" s="126"/>
      <x:c r="S1050" s="124"/>
      <x:c r="T1050" s="124"/>
      <x:c r="U1050" s="124"/>
      <x:c r="V1050" s="124"/>
      <x:c r="W1050" s="124"/>
      <x:c r="X1050" s="124"/>
      <x:c r="AD1050"/>
      <x:c r="AE1050" s="145"/>
      <x:c r="AF1050" s="145"/>
      <x:c r="AG1050" s="145"/>
      <x:c r="AH1050" s="145"/>
      <x:c r="AI1050" s="145"/>
      <x:c r="AJ1050"/>
    </x:row>
    <x:row r="1051">
      <x:c r="F1051" s="124"/>
      <x:c r="G1051" s="124"/>
      <x:c r="H1051" s="124"/>
      <x:c r="I1051" s="124"/>
      <x:c r="J1051" s="124"/>
      <x:c r="M1051" s="126"/>
      <x:c r="P1051" s="126"/>
      <x:c r="Q1051" s="126"/>
      <x:c r="R1051" s="126"/>
      <x:c r="S1051" s="124"/>
      <x:c r="T1051" s="124"/>
      <x:c r="U1051" s="124"/>
      <x:c r="V1051" s="124"/>
      <x:c r="W1051" s="124"/>
      <x:c r="X1051" s="124"/>
      <x:c r="AD1051"/>
      <x:c r="AE1051" s="145"/>
      <x:c r="AF1051" s="145"/>
      <x:c r="AG1051" s="145"/>
      <x:c r="AH1051" s="145"/>
      <x:c r="AI1051" s="145"/>
      <x:c r="AJ1051"/>
    </x:row>
    <x:row r="1052">
      <x:c r="F1052" s="124"/>
      <x:c r="G1052" s="124"/>
      <x:c r="H1052" s="124"/>
      <x:c r="I1052" s="124"/>
      <x:c r="J1052" s="124"/>
      <x:c r="M1052" s="126"/>
      <x:c r="P1052" s="126"/>
      <x:c r="Q1052" s="126"/>
      <x:c r="R1052" s="126"/>
      <x:c r="S1052" s="124"/>
      <x:c r="T1052" s="124"/>
      <x:c r="U1052" s="124"/>
      <x:c r="V1052" s="124"/>
      <x:c r="W1052" s="124"/>
      <x:c r="X1052" s="124"/>
      <x:c r="AD1052"/>
      <x:c r="AE1052" s="145"/>
      <x:c r="AF1052" s="145"/>
      <x:c r="AG1052" s="145"/>
      <x:c r="AH1052" s="145"/>
      <x:c r="AI1052" s="145"/>
      <x:c r="AJ1052"/>
    </x:row>
    <x:row r="1053">
      <x:c r="F1053" s="124"/>
      <x:c r="G1053" s="124"/>
      <x:c r="H1053" s="124"/>
      <x:c r="I1053" s="124"/>
      <x:c r="J1053" s="124"/>
      <x:c r="M1053" s="126"/>
      <x:c r="P1053" s="126"/>
      <x:c r="Q1053" s="126"/>
      <x:c r="R1053" s="126"/>
      <x:c r="S1053" s="124"/>
      <x:c r="T1053" s="124"/>
      <x:c r="U1053" s="124"/>
      <x:c r="V1053" s="124"/>
      <x:c r="W1053" s="124"/>
      <x:c r="X1053" s="124"/>
      <x:c r="AD1053"/>
      <x:c r="AE1053" s="145"/>
      <x:c r="AF1053" s="145"/>
      <x:c r="AG1053" s="145"/>
      <x:c r="AH1053" s="145"/>
      <x:c r="AI1053" s="145"/>
      <x:c r="AJ1053"/>
    </x:row>
    <x:row r="1054">
      <x:c r="F1054" s="124"/>
      <x:c r="G1054" s="124"/>
      <x:c r="H1054" s="124"/>
      <x:c r="I1054" s="124"/>
      <x:c r="J1054" s="124"/>
      <x:c r="M1054" s="126"/>
      <x:c r="P1054" s="126"/>
      <x:c r="Q1054" s="126"/>
      <x:c r="R1054" s="126"/>
      <x:c r="S1054" s="124"/>
      <x:c r="T1054" s="124"/>
      <x:c r="U1054" s="124"/>
      <x:c r="V1054" s="124"/>
      <x:c r="W1054" s="124"/>
      <x:c r="X1054" s="124"/>
      <x:c r="AD1054"/>
      <x:c r="AE1054" s="145"/>
      <x:c r="AF1054" s="145"/>
      <x:c r="AG1054" s="145"/>
      <x:c r="AH1054" s="145"/>
      <x:c r="AI1054" s="145"/>
      <x:c r="AJ1054"/>
    </x:row>
    <x:row r="1055">
      <x:c r="F1055" s="124"/>
      <x:c r="G1055" s="124"/>
      <x:c r="H1055" s="124"/>
      <x:c r="I1055" s="124"/>
      <x:c r="J1055" s="124"/>
      <x:c r="M1055" s="126"/>
      <x:c r="P1055" s="126"/>
      <x:c r="Q1055" s="126"/>
      <x:c r="R1055" s="126"/>
      <x:c r="S1055" s="124"/>
      <x:c r="T1055" s="124"/>
      <x:c r="U1055" s="124"/>
      <x:c r="V1055" s="124"/>
      <x:c r="W1055" s="124"/>
      <x:c r="X1055" s="124"/>
      <x:c r="AD1055"/>
      <x:c r="AE1055" s="145"/>
      <x:c r="AF1055" s="145"/>
      <x:c r="AG1055" s="145"/>
      <x:c r="AH1055" s="145"/>
      <x:c r="AI1055" s="145"/>
      <x:c r="AJ1055"/>
    </x:row>
    <x:row r="1056">
      <x:c r="F1056" s="124"/>
      <x:c r="G1056" s="124"/>
      <x:c r="H1056" s="124"/>
      <x:c r="I1056" s="124"/>
      <x:c r="J1056" s="124"/>
      <x:c r="M1056" s="126"/>
      <x:c r="P1056" s="126"/>
      <x:c r="Q1056" s="126"/>
      <x:c r="R1056" s="126"/>
      <x:c r="S1056" s="124"/>
      <x:c r="T1056" s="124"/>
      <x:c r="U1056" s="124"/>
      <x:c r="V1056" s="124"/>
      <x:c r="W1056" s="124"/>
      <x:c r="X1056" s="124"/>
      <x:c r="AD1056"/>
      <x:c r="AE1056" s="145"/>
      <x:c r="AF1056" s="145"/>
      <x:c r="AG1056" s="145"/>
      <x:c r="AH1056" s="145"/>
      <x:c r="AI1056" s="145"/>
      <x:c r="AJ1056"/>
    </x:row>
    <x:row r="1057">
      <x:c r="F1057" s="124"/>
      <x:c r="G1057" s="124"/>
      <x:c r="H1057" s="124"/>
      <x:c r="I1057" s="124"/>
      <x:c r="J1057" s="124"/>
      <x:c r="M1057" s="126"/>
      <x:c r="P1057" s="126"/>
      <x:c r="Q1057" s="126"/>
      <x:c r="R1057" s="126"/>
      <x:c r="S1057" s="124"/>
      <x:c r="T1057" s="124"/>
      <x:c r="U1057" s="124"/>
      <x:c r="V1057" s="124"/>
      <x:c r="W1057" s="124"/>
      <x:c r="X1057" s="124"/>
      <x:c r="AD1057"/>
      <x:c r="AE1057" s="145"/>
      <x:c r="AF1057" s="145"/>
      <x:c r="AG1057" s="145"/>
      <x:c r="AH1057" s="145"/>
      <x:c r="AI1057" s="145"/>
      <x:c r="AJ1057"/>
    </x:row>
    <x:row r="1058">
      <x:c r="F1058" s="124"/>
      <x:c r="G1058" s="124"/>
      <x:c r="H1058" s="124"/>
      <x:c r="I1058" s="124"/>
      <x:c r="J1058" s="124"/>
      <x:c r="M1058" s="126"/>
      <x:c r="P1058" s="126"/>
      <x:c r="Q1058" s="126"/>
      <x:c r="R1058" s="126"/>
      <x:c r="S1058" s="124"/>
      <x:c r="T1058" s="124"/>
      <x:c r="U1058" s="124"/>
      <x:c r="V1058" s="124"/>
      <x:c r="W1058" s="124"/>
      <x:c r="X1058" s="124"/>
      <x:c r="AD1058"/>
      <x:c r="AE1058" s="145"/>
      <x:c r="AF1058" s="145"/>
      <x:c r="AG1058" s="145"/>
      <x:c r="AH1058" s="145"/>
      <x:c r="AI1058" s="145"/>
      <x:c r="AJ1058"/>
    </x:row>
    <x:row r="1059">
      <x:c r="F1059" s="124"/>
      <x:c r="G1059" s="124"/>
      <x:c r="H1059" s="124"/>
      <x:c r="I1059" s="124"/>
      <x:c r="J1059" s="124"/>
      <x:c r="M1059" s="126"/>
      <x:c r="P1059" s="126"/>
      <x:c r="Q1059" s="126"/>
      <x:c r="R1059" s="126"/>
      <x:c r="S1059" s="124"/>
      <x:c r="T1059" s="124"/>
      <x:c r="U1059" s="124"/>
      <x:c r="V1059" s="124"/>
      <x:c r="W1059" s="124"/>
      <x:c r="X1059" s="124"/>
      <x:c r="AD1059"/>
      <x:c r="AE1059" s="145"/>
      <x:c r="AF1059" s="145"/>
      <x:c r="AG1059" s="145"/>
      <x:c r="AH1059" s="145"/>
      <x:c r="AI1059" s="145"/>
      <x:c r="AJ1059"/>
    </x:row>
    <x:row r="1060">
      <x:c r="F1060" s="124"/>
      <x:c r="G1060" s="124"/>
      <x:c r="H1060" s="124"/>
      <x:c r="I1060" s="124"/>
      <x:c r="J1060" s="124"/>
      <x:c r="M1060" s="126"/>
      <x:c r="P1060" s="126"/>
      <x:c r="Q1060" s="126"/>
      <x:c r="R1060" s="126"/>
      <x:c r="S1060" s="124"/>
      <x:c r="T1060" s="124"/>
      <x:c r="U1060" s="124"/>
      <x:c r="V1060" s="124"/>
      <x:c r="W1060" s="124"/>
      <x:c r="X1060" s="124"/>
      <x:c r="AD1060"/>
      <x:c r="AE1060" s="145"/>
      <x:c r="AF1060" s="145"/>
      <x:c r="AG1060" s="145"/>
      <x:c r="AH1060" s="145"/>
      <x:c r="AI1060" s="145"/>
      <x:c r="AJ1060"/>
    </x:row>
    <x:row r="1061">
      <x:c r="F1061" s="124"/>
      <x:c r="G1061" s="124"/>
      <x:c r="H1061" s="124"/>
      <x:c r="I1061" s="124"/>
      <x:c r="J1061" s="124"/>
      <x:c r="M1061" s="126"/>
      <x:c r="P1061" s="126"/>
      <x:c r="Q1061" s="126"/>
      <x:c r="R1061" s="126"/>
      <x:c r="S1061" s="124"/>
      <x:c r="T1061" s="124"/>
      <x:c r="U1061" s="124"/>
      <x:c r="V1061" s="124"/>
      <x:c r="W1061" s="124"/>
      <x:c r="X1061" s="124"/>
      <x:c r="AD1061"/>
      <x:c r="AE1061" s="145"/>
      <x:c r="AF1061" s="145"/>
      <x:c r="AG1061" s="145"/>
      <x:c r="AH1061" s="145"/>
      <x:c r="AI1061" s="145"/>
      <x:c r="AJ1061"/>
    </x:row>
    <x:row r="1062">
      <x:c r="F1062" s="124"/>
      <x:c r="G1062" s="124"/>
      <x:c r="H1062" s="124"/>
      <x:c r="I1062" s="124"/>
      <x:c r="J1062" s="124"/>
      <x:c r="M1062" s="126"/>
      <x:c r="P1062" s="126"/>
      <x:c r="Q1062" s="126"/>
      <x:c r="R1062" s="126"/>
      <x:c r="S1062" s="124"/>
      <x:c r="T1062" s="124"/>
      <x:c r="U1062" s="124"/>
      <x:c r="V1062" s="124"/>
      <x:c r="W1062" s="124"/>
      <x:c r="X1062" s="124"/>
      <x:c r="AD1062"/>
      <x:c r="AE1062" s="145"/>
      <x:c r="AF1062" s="145"/>
      <x:c r="AG1062" s="145"/>
      <x:c r="AH1062" s="145"/>
      <x:c r="AI1062" s="145"/>
      <x:c r="AJ1062"/>
    </x:row>
    <x:row r="1063">
      <x:c r="F1063" s="124"/>
      <x:c r="G1063" s="124"/>
      <x:c r="H1063" s="124"/>
      <x:c r="I1063" s="124"/>
      <x:c r="J1063" s="124"/>
      <x:c r="M1063" s="126"/>
      <x:c r="P1063" s="126"/>
      <x:c r="Q1063" s="126"/>
      <x:c r="R1063" s="126"/>
      <x:c r="S1063" s="124"/>
      <x:c r="T1063" s="124"/>
      <x:c r="U1063" s="124"/>
      <x:c r="V1063" s="124"/>
      <x:c r="W1063" s="124"/>
      <x:c r="X1063" s="124"/>
      <x:c r="AD1063"/>
      <x:c r="AE1063" s="145"/>
      <x:c r="AF1063" s="145"/>
      <x:c r="AG1063" s="145"/>
      <x:c r="AH1063" s="145"/>
      <x:c r="AI1063" s="145"/>
      <x:c r="AJ1063"/>
    </x:row>
    <x:row r="1064">
      <x:c r="F1064" s="124"/>
      <x:c r="G1064" s="124"/>
      <x:c r="H1064" s="124"/>
      <x:c r="I1064" s="124"/>
      <x:c r="J1064" s="124"/>
      <x:c r="M1064" s="126"/>
      <x:c r="P1064" s="126"/>
      <x:c r="Q1064" s="126"/>
      <x:c r="R1064" s="126"/>
      <x:c r="S1064" s="124"/>
      <x:c r="T1064" s="124"/>
      <x:c r="U1064" s="124"/>
      <x:c r="V1064" s="124"/>
      <x:c r="W1064" s="124"/>
      <x:c r="X1064" s="124"/>
      <x:c r="AD1064"/>
      <x:c r="AE1064" s="145"/>
      <x:c r="AF1064" s="145"/>
      <x:c r="AG1064" s="145"/>
      <x:c r="AH1064" s="145"/>
      <x:c r="AI1064" s="145"/>
      <x:c r="AJ1064"/>
    </x:row>
    <x:row r="1065">
      <x:c r="F1065" s="124"/>
      <x:c r="G1065" s="124"/>
      <x:c r="H1065" s="124"/>
      <x:c r="I1065" s="124"/>
      <x:c r="J1065" s="124"/>
      <x:c r="M1065" s="126"/>
      <x:c r="P1065" s="126"/>
      <x:c r="Q1065" s="126"/>
      <x:c r="R1065" s="126"/>
      <x:c r="S1065" s="124"/>
      <x:c r="T1065" s="124"/>
      <x:c r="U1065" s="124"/>
      <x:c r="V1065" s="124"/>
      <x:c r="W1065" s="124"/>
      <x:c r="X1065" s="124"/>
      <x:c r="AD1065"/>
      <x:c r="AE1065" s="145"/>
      <x:c r="AF1065" s="145"/>
      <x:c r="AG1065" s="145"/>
      <x:c r="AH1065" s="145"/>
      <x:c r="AI1065" s="145"/>
      <x:c r="AJ1065"/>
    </x:row>
    <x:row r="1066">
      <x:c r="F1066" s="124"/>
      <x:c r="G1066" s="124"/>
      <x:c r="H1066" s="124"/>
      <x:c r="I1066" s="124"/>
      <x:c r="J1066" s="124"/>
      <x:c r="M1066" s="126"/>
      <x:c r="P1066" s="126"/>
      <x:c r="Q1066" s="126"/>
      <x:c r="R1066" s="126"/>
      <x:c r="S1066" s="124"/>
      <x:c r="T1066" s="124"/>
      <x:c r="U1066" s="124"/>
      <x:c r="V1066" s="124"/>
      <x:c r="W1066" s="124"/>
      <x:c r="X1066" s="124"/>
      <x:c r="AD1066"/>
      <x:c r="AE1066" s="145"/>
      <x:c r="AF1066" s="145"/>
      <x:c r="AG1066" s="145"/>
      <x:c r="AH1066" s="145"/>
      <x:c r="AI1066" s="145"/>
      <x:c r="AJ1066"/>
    </x:row>
    <x:row r="1067">
      <x:c r="F1067" s="124"/>
      <x:c r="G1067" s="124"/>
      <x:c r="H1067" s="124"/>
      <x:c r="I1067" s="124"/>
      <x:c r="J1067" s="124"/>
      <x:c r="M1067" s="126"/>
      <x:c r="P1067" s="126"/>
      <x:c r="Q1067" s="126"/>
      <x:c r="R1067" s="126"/>
      <x:c r="S1067" s="124"/>
      <x:c r="T1067" s="124"/>
      <x:c r="U1067" s="124"/>
      <x:c r="V1067" s="124"/>
      <x:c r="W1067" s="124"/>
      <x:c r="X1067" s="124"/>
      <x:c r="AD1067"/>
      <x:c r="AE1067" s="145"/>
      <x:c r="AF1067" s="145"/>
      <x:c r="AG1067" s="145"/>
      <x:c r="AH1067" s="145"/>
      <x:c r="AI1067" s="145"/>
      <x:c r="AJ1067"/>
    </x:row>
    <x:row r="1068">
      <x:c r="F1068" s="124"/>
      <x:c r="G1068" s="124"/>
      <x:c r="H1068" s="124"/>
      <x:c r="I1068" s="124"/>
      <x:c r="J1068" s="124"/>
      <x:c r="M1068" s="126"/>
      <x:c r="P1068" s="126"/>
      <x:c r="Q1068" s="126"/>
      <x:c r="R1068" s="126"/>
      <x:c r="S1068" s="124"/>
      <x:c r="T1068" s="124"/>
      <x:c r="U1068" s="124"/>
      <x:c r="V1068" s="124"/>
      <x:c r="W1068" s="124"/>
      <x:c r="X1068" s="124"/>
      <x:c r="AD1068"/>
      <x:c r="AE1068" s="145"/>
      <x:c r="AF1068" s="145"/>
      <x:c r="AG1068" s="145"/>
      <x:c r="AH1068" s="145"/>
      <x:c r="AI1068" s="145"/>
      <x:c r="AJ1068"/>
    </x:row>
    <x:row r="1069">
      <x:c r="F1069" s="124"/>
      <x:c r="G1069" s="124"/>
      <x:c r="H1069" s="124"/>
      <x:c r="I1069" s="124"/>
      <x:c r="J1069" s="124"/>
      <x:c r="M1069" s="126"/>
      <x:c r="P1069" s="126"/>
      <x:c r="Q1069" s="126"/>
      <x:c r="R1069" s="126"/>
      <x:c r="S1069" s="124"/>
      <x:c r="T1069" s="124"/>
      <x:c r="U1069" s="124"/>
      <x:c r="V1069" s="124"/>
      <x:c r="W1069" s="124"/>
      <x:c r="X1069" s="124"/>
      <x:c r="AD1069"/>
      <x:c r="AE1069" s="145"/>
      <x:c r="AF1069" s="145"/>
      <x:c r="AG1069" s="145"/>
      <x:c r="AH1069" s="145"/>
      <x:c r="AI1069" s="145"/>
      <x:c r="AJ1069"/>
    </x:row>
    <x:row r="1070">
      <x:c r="F1070" s="124"/>
      <x:c r="G1070" s="124"/>
      <x:c r="H1070" s="124"/>
      <x:c r="I1070" s="124"/>
      <x:c r="J1070" s="124"/>
      <x:c r="M1070" s="126"/>
      <x:c r="P1070" s="126"/>
      <x:c r="Q1070" s="126"/>
      <x:c r="R1070" s="126"/>
      <x:c r="S1070" s="124"/>
      <x:c r="T1070" s="124"/>
      <x:c r="U1070" s="124"/>
      <x:c r="V1070" s="124"/>
      <x:c r="W1070" s="124"/>
      <x:c r="X1070" s="124"/>
      <x:c r="AD1070"/>
      <x:c r="AE1070" s="145"/>
      <x:c r="AF1070" s="145"/>
      <x:c r="AG1070" s="145"/>
      <x:c r="AH1070" s="145"/>
      <x:c r="AI1070" s="145"/>
      <x:c r="AJ1070"/>
    </x:row>
    <x:row r="1071">
      <x:c r="F1071" s="124"/>
      <x:c r="G1071" s="124"/>
      <x:c r="H1071" s="124"/>
      <x:c r="I1071" s="124"/>
      <x:c r="J1071" s="124"/>
      <x:c r="M1071" s="126"/>
      <x:c r="P1071" s="126"/>
      <x:c r="Q1071" s="126"/>
      <x:c r="R1071" s="126"/>
      <x:c r="S1071" s="124"/>
      <x:c r="T1071" s="124"/>
      <x:c r="U1071" s="124"/>
      <x:c r="V1071" s="124"/>
      <x:c r="W1071" s="124"/>
      <x:c r="X1071" s="124"/>
      <x:c r="AD1071"/>
      <x:c r="AE1071" s="145"/>
      <x:c r="AF1071" s="145"/>
      <x:c r="AG1071" s="145"/>
      <x:c r="AH1071" s="145"/>
      <x:c r="AI1071" s="145"/>
      <x:c r="AJ1071"/>
    </x:row>
    <x:row r="1072">
      <x:c r="F1072" s="124"/>
      <x:c r="G1072" s="124"/>
      <x:c r="H1072" s="124"/>
      <x:c r="I1072" s="124"/>
      <x:c r="J1072" s="124"/>
      <x:c r="M1072" s="126"/>
      <x:c r="P1072" s="126"/>
      <x:c r="Q1072" s="126"/>
      <x:c r="R1072" s="126"/>
      <x:c r="S1072" s="124"/>
      <x:c r="T1072" s="124"/>
      <x:c r="U1072" s="124"/>
      <x:c r="V1072" s="124"/>
      <x:c r="W1072" s="124"/>
      <x:c r="X1072" s="124"/>
      <x:c r="AD1072"/>
      <x:c r="AE1072" s="145"/>
      <x:c r="AF1072" s="145"/>
      <x:c r="AG1072" s="145"/>
      <x:c r="AH1072" s="145"/>
      <x:c r="AI1072" s="145"/>
      <x:c r="AJ1072"/>
    </x:row>
    <x:row r="1073">
      <x:c r="F1073" s="124"/>
      <x:c r="G1073" s="124"/>
      <x:c r="H1073" s="124"/>
      <x:c r="I1073" s="124"/>
      <x:c r="J1073" s="124"/>
      <x:c r="M1073" s="126"/>
      <x:c r="P1073" s="126"/>
      <x:c r="Q1073" s="126"/>
      <x:c r="R1073" s="126"/>
      <x:c r="S1073" s="124"/>
      <x:c r="T1073" s="124"/>
      <x:c r="U1073" s="124"/>
      <x:c r="V1073" s="124"/>
      <x:c r="W1073" s="124"/>
      <x:c r="X1073" s="124"/>
      <x:c r="AD1073"/>
      <x:c r="AE1073" s="145"/>
      <x:c r="AF1073" s="145"/>
      <x:c r="AG1073" s="145"/>
      <x:c r="AH1073" s="145"/>
      <x:c r="AI1073" s="145"/>
      <x:c r="AJ1073"/>
    </x:row>
    <x:row r="1074">
      <x:c r="F1074" s="124"/>
      <x:c r="G1074" s="124"/>
      <x:c r="H1074" s="124"/>
      <x:c r="I1074" s="124"/>
      <x:c r="J1074" s="124"/>
      <x:c r="M1074" s="126"/>
      <x:c r="P1074" s="126"/>
      <x:c r="Q1074" s="126"/>
      <x:c r="R1074" s="126"/>
      <x:c r="S1074" s="124"/>
      <x:c r="T1074" s="124"/>
      <x:c r="U1074" s="124"/>
      <x:c r="V1074" s="124"/>
      <x:c r="W1074" s="124"/>
      <x:c r="X1074" s="124"/>
      <x:c r="AD1074"/>
      <x:c r="AE1074" s="145"/>
      <x:c r="AF1074" s="145"/>
      <x:c r="AG1074" s="145"/>
      <x:c r="AH1074" s="145"/>
      <x:c r="AI1074" s="145"/>
      <x:c r="AJ1074"/>
    </x:row>
    <x:row r="1075">
      <x:c r="F1075" s="124"/>
      <x:c r="G1075" s="124"/>
      <x:c r="H1075" s="124"/>
      <x:c r="I1075" s="124"/>
      <x:c r="J1075" s="124"/>
      <x:c r="M1075" s="126"/>
      <x:c r="P1075" s="126"/>
      <x:c r="Q1075" s="126"/>
      <x:c r="R1075" s="126"/>
      <x:c r="S1075" s="124"/>
      <x:c r="T1075" s="124"/>
      <x:c r="U1075" s="124"/>
      <x:c r="V1075" s="124"/>
      <x:c r="W1075" s="124"/>
      <x:c r="X1075" s="124"/>
      <x:c r="AD1075"/>
      <x:c r="AE1075" s="145"/>
      <x:c r="AF1075" s="145"/>
      <x:c r="AG1075" s="145"/>
      <x:c r="AH1075" s="145"/>
      <x:c r="AI1075" s="145"/>
      <x:c r="AJ1075"/>
    </x:row>
    <x:row r="1076">
      <x:c r="F1076" s="124"/>
      <x:c r="G1076" s="124"/>
      <x:c r="H1076" s="124"/>
      <x:c r="I1076" s="124"/>
      <x:c r="J1076" s="124"/>
      <x:c r="M1076" s="126"/>
      <x:c r="P1076" s="126"/>
      <x:c r="Q1076" s="126"/>
      <x:c r="R1076" s="126"/>
      <x:c r="S1076" s="124"/>
      <x:c r="T1076" s="124"/>
      <x:c r="U1076" s="124"/>
      <x:c r="V1076" s="124"/>
      <x:c r="W1076" s="124"/>
      <x:c r="X1076" s="124"/>
      <x:c r="AD1076"/>
      <x:c r="AE1076" s="145"/>
      <x:c r="AF1076" s="145"/>
      <x:c r="AG1076" s="145"/>
      <x:c r="AH1076" s="145"/>
      <x:c r="AI1076" s="145"/>
      <x:c r="AJ1076"/>
    </x:row>
    <x:row r="1077">
      <x:c r="F1077" s="124"/>
      <x:c r="G1077" s="124"/>
      <x:c r="H1077" s="124"/>
      <x:c r="I1077" s="124"/>
      <x:c r="J1077" s="124"/>
      <x:c r="M1077" s="126"/>
      <x:c r="P1077" s="126"/>
      <x:c r="Q1077" s="126"/>
      <x:c r="R1077" s="126"/>
      <x:c r="S1077" s="124"/>
      <x:c r="T1077" s="124"/>
      <x:c r="U1077" s="124"/>
      <x:c r="V1077" s="124"/>
      <x:c r="W1077" s="124"/>
      <x:c r="X1077" s="124"/>
      <x:c r="AD1077"/>
      <x:c r="AE1077" s="145"/>
      <x:c r="AF1077" s="145"/>
      <x:c r="AG1077" s="145"/>
      <x:c r="AH1077" s="145"/>
      <x:c r="AI1077" s="145"/>
      <x:c r="AJ1077"/>
    </x:row>
    <x:row r="1078">
      <x:c r="F1078" s="124"/>
      <x:c r="G1078" s="124"/>
      <x:c r="H1078" s="124"/>
      <x:c r="I1078" s="124"/>
      <x:c r="J1078" s="124"/>
      <x:c r="M1078" s="126"/>
      <x:c r="P1078" s="126"/>
      <x:c r="Q1078" s="126"/>
      <x:c r="R1078" s="126"/>
      <x:c r="S1078" s="124"/>
      <x:c r="T1078" s="124"/>
      <x:c r="U1078" s="124"/>
      <x:c r="V1078" s="124"/>
      <x:c r="W1078" s="124"/>
      <x:c r="X1078" s="124"/>
      <x:c r="AD1078"/>
      <x:c r="AE1078" s="145"/>
      <x:c r="AF1078" s="145"/>
      <x:c r="AG1078" s="145"/>
      <x:c r="AH1078" s="145"/>
      <x:c r="AI1078" s="145"/>
      <x:c r="AJ1078"/>
    </x:row>
    <x:row r="1079">
      <x:c r="F1079" s="124"/>
      <x:c r="G1079" s="124"/>
      <x:c r="H1079" s="124"/>
      <x:c r="I1079" s="124"/>
      <x:c r="J1079" s="124"/>
      <x:c r="M1079" s="126"/>
      <x:c r="P1079" s="126"/>
      <x:c r="Q1079" s="126"/>
      <x:c r="R1079" s="126"/>
      <x:c r="S1079" s="124"/>
      <x:c r="T1079" s="124"/>
      <x:c r="U1079" s="124"/>
      <x:c r="V1079" s="124"/>
      <x:c r="W1079" s="124"/>
      <x:c r="X1079" s="124"/>
      <x:c r="AD1079"/>
      <x:c r="AE1079" s="145"/>
      <x:c r="AF1079" s="145"/>
      <x:c r="AG1079" s="145"/>
      <x:c r="AH1079" s="145"/>
      <x:c r="AI1079" s="145"/>
      <x:c r="AJ1079"/>
    </x:row>
    <x:row r="1080">
      <x:c r="F1080" s="124"/>
      <x:c r="G1080" s="124"/>
      <x:c r="H1080" s="124"/>
      <x:c r="I1080" s="124"/>
      <x:c r="J1080" s="124"/>
      <x:c r="M1080" s="126"/>
      <x:c r="P1080" s="126"/>
      <x:c r="Q1080" s="126"/>
      <x:c r="R1080" s="126"/>
      <x:c r="S1080" s="124"/>
      <x:c r="T1080" s="124"/>
      <x:c r="U1080" s="124"/>
      <x:c r="V1080" s="124"/>
      <x:c r="W1080" s="124"/>
      <x:c r="X1080" s="124"/>
      <x:c r="AD1080"/>
      <x:c r="AE1080" s="145"/>
      <x:c r="AF1080" s="145"/>
      <x:c r="AG1080" s="145"/>
      <x:c r="AH1080" s="145"/>
      <x:c r="AI1080" s="145"/>
      <x:c r="AJ1080"/>
    </x:row>
    <x:row r="1081">
      <x:c r="F1081" s="124"/>
      <x:c r="G1081" s="124"/>
      <x:c r="H1081" s="124"/>
      <x:c r="I1081" s="124"/>
      <x:c r="J1081" s="124"/>
      <x:c r="M1081" s="126"/>
      <x:c r="P1081" s="126"/>
      <x:c r="Q1081" s="126"/>
      <x:c r="R1081" s="126"/>
      <x:c r="S1081" s="124"/>
      <x:c r="T1081" s="124"/>
      <x:c r="U1081" s="124"/>
      <x:c r="V1081" s="124"/>
      <x:c r="W1081" s="124"/>
      <x:c r="X1081" s="124"/>
      <x:c r="AD1081"/>
      <x:c r="AE1081" s="145"/>
      <x:c r="AF1081" s="145"/>
      <x:c r="AG1081" s="145"/>
      <x:c r="AH1081" s="145"/>
      <x:c r="AI1081" s="145"/>
      <x:c r="AJ1081"/>
    </x:row>
    <x:row r="1082">
      <x:c r="F1082" s="124"/>
      <x:c r="G1082" s="124"/>
      <x:c r="H1082" s="124"/>
      <x:c r="I1082" s="124"/>
      <x:c r="J1082" s="124"/>
      <x:c r="M1082" s="126"/>
      <x:c r="P1082" s="126"/>
      <x:c r="Q1082" s="126"/>
      <x:c r="R1082" s="126"/>
      <x:c r="S1082" s="124"/>
      <x:c r="T1082" s="124"/>
      <x:c r="U1082" s="124"/>
      <x:c r="V1082" s="124"/>
      <x:c r="W1082" s="124"/>
      <x:c r="X1082" s="124"/>
      <x:c r="AD1082"/>
      <x:c r="AE1082" s="145"/>
      <x:c r="AF1082" s="145"/>
      <x:c r="AG1082" s="145"/>
      <x:c r="AH1082" s="145"/>
      <x:c r="AI1082" s="145"/>
      <x:c r="AJ1082"/>
    </x:row>
    <x:row r="1083">
      <x:c r="F1083" s="124"/>
      <x:c r="G1083" s="124"/>
      <x:c r="H1083" s="124"/>
      <x:c r="I1083" s="124"/>
      <x:c r="J1083" s="124"/>
      <x:c r="M1083" s="126"/>
      <x:c r="P1083" s="126"/>
      <x:c r="Q1083" s="126"/>
      <x:c r="R1083" s="126"/>
      <x:c r="S1083" s="124"/>
      <x:c r="T1083" s="124"/>
      <x:c r="U1083" s="124"/>
      <x:c r="V1083" s="124"/>
      <x:c r="W1083" s="124"/>
      <x:c r="X1083" s="124"/>
      <x:c r="AD1083"/>
      <x:c r="AE1083" s="145"/>
      <x:c r="AF1083" s="145"/>
      <x:c r="AG1083" s="145"/>
      <x:c r="AH1083" s="145"/>
      <x:c r="AI1083" s="145"/>
      <x:c r="AJ1083"/>
    </x:row>
    <x:row r="1084">
      <x:c r="F1084" s="124"/>
      <x:c r="G1084" s="124"/>
      <x:c r="H1084" s="124"/>
      <x:c r="I1084" s="124"/>
      <x:c r="J1084" s="124"/>
      <x:c r="M1084" s="126"/>
      <x:c r="P1084" s="126"/>
      <x:c r="Q1084" s="126"/>
      <x:c r="R1084" s="126"/>
      <x:c r="S1084" s="124"/>
      <x:c r="T1084" s="124"/>
      <x:c r="U1084" s="124"/>
      <x:c r="V1084" s="124"/>
      <x:c r="W1084" s="124"/>
      <x:c r="X1084" s="124"/>
      <x:c r="AD1084"/>
      <x:c r="AE1084" s="145"/>
      <x:c r="AF1084" s="145"/>
      <x:c r="AG1084" s="145"/>
      <x:c r="AH1084" s="145"/>
      <x:c r="AI1084" s="145"/>
      <x:c r="AJ1084"/>
    </x:row>
    <x:row r="1085">
      <x:c r="F1085" s="124"/>
      <x:c r="G1085" s="124"/>
      <x:c r="H1085" s="124"/>
      <x:c r="I1085" s="124"/>
      <x:c r="J1085" s="124"/>
      <x:c r="M1085" s="126"/>
      <x:c r="P1085" s="126"/>
      <x:c r="Q1085" s="126"/>
      <x:c r="R1085" s="126"/>
      <x:c r="S1085" s="124"/>
      <x:c r="T1085" s="124"/>
      <x:c r="U1085" s="124"/>
      <x:c r="V1085" s="124"/>
      <x:c r="W1085" s="124"/>
      <x:c r="X1085" s="124"/>
      <x:c r="AD1085"/>
      <x:c r="AE1085" s="145"/>
      <x:c r="AF1085" s="145"/>
      <x:c r="AG1085" s="145"/>
      <x:c r="AH1085" s="145"/>
      <x:c r="AI1085" s="145"/>
      <x:c r="AJ1085"/>
    </x:row>
    <x:row r="1086">
      <x:c r="F1086" s="124"/>
      <x:c r="G1086" s="124"/>
      <x:c r="H1086" s="124"/>
      <x:c r="I1086" s="124"/>
      <x:c r="J1086" s="124"/>
      <x:c r="M1086" s="126"/>
      <x:c r="P1086" s="126"/>
      <x:c r="Q1086" s="126"/>
      <x:c r="R1086" s="126"/>
      <x:c r="S1086" s="124"/>
      <x:c r="T1086" s="124"/>
      <x:c r="U1086" s="124"/>
      <x:c r="V1086" s="124"/>
      <x:c r="W1086" s="124"/>
      <x:c r="X1086" s="124"/>
      <x:c r="AD1086"/>
      <x:c r="AE1086" s="145"/>
      <x:c r="AF1086" s="145"/>
      <x:c r="AG1086" s="145"/>
      <x:c r="AH1086" s="145"/>
      <x:c r="AI1086" s="145"/>
      <x:c r="AJ1086"/>
    </x:row>
    <x:row r="1087">
      <x:c r="F1087" s="124"/>
      <x:c r="G1087" s="124"/>
      <x:c r="H1087" s="124"/>
      <x:c r="I1087" s="124"/>
      <x:c r="J1087" s="124"/>
      <x:c r="M1087" s="126"/>
      <x:c r="P1087" s="126"/>
      <x:c r="Q1087" s="126"/>
      <x:c r="R1087" s="126"/>
      <x:c r="S1087" s="124"/>
      <x:c r="T1087" s="124"/>
      <x:c r="U1087" s="124"/>
      <x:c r="V1087" s="124"/>
      <x:c r="W1087" s="124"/>
      <x:c r="X1087" s="124"/>
      <x:c r="AD1087"/>
      <x:c r="AE1087" s="145"/>
      <x:c r="AF1087" s="145"/>
      <x:c r="AG1087" s="145"/>
      <x:c r="AH1087" s="145"/>
      <x:c r="AI1087" s="145"/>
      <x:c r="AJ1087"/>
    </x:row>
    <x:row r="1088">
      <x:c r="F1088" s="124"/>
      <x:c r="G1088" s="124"/>
      <x:c r="H1088" s="124"/>
      <x:c r="I1088" s="124"/>
      <x:c r="J1088" s="124"/>
      <x:c r="M1088" s="126"/>
      <x:c r="P1088" s="126"/>
      <x:c r="Q1088" s="126"/>
      <x:c r="R1088" s="126"/>
      <x:c r="S1088" s="124"/>
      <x:c r="T1088" s="124"/>
      <x:c r="U1088" s="124"/>
      <x:c r="V1088" s="124"/>
      <x:c r="W1088" s="124"/>
      <x:c r="X1088" s="124"/>
      <x:c r="AD1088"/>
      <x:c r="AE1088" s="145"/>
      <x:c r="AF1088" s="145"/>
      <x:c r="AG1088" s="145"/>
      <x:c r="AH1088" s="145"/>
      <x:c r="AI1088" s="145"/>
      <x:c r="AJ1088"/>
    </x:row>
    <x:row r="1089">
      <x:c r="F1089" s="124"/>
      <x:c r="G1089" s="124"/>
      <x:c r="H1089" s="124"/>
      <x:c r="I1089" s="124"/>
      <x:c r="J1089" s="124"/>
      <x:c r="M1089" s="126"/>
      <x:c r="P1089" s="126"/>
      <x:c r="Q1089" s="126"/>
      <x:c r="R1089" s="126"/>
      <x:c r="S1089" s="124"/>
      <x:c r="T1089" s="124"/>
      <x:c r="U1089" s="124"/>
      <x:c r="V1089" s="124"/>
      <x:c r="W1089" s="124"/>
      <x:c r="X1089" s="124"/>
      <x:c r="AD1089"/>
      <x:c r="AE1089" s="145"/>
      <x:c r="AF1089" s="145"/>
      <x:c r="AG1089" s="145"/>
      <x:c r="AH1089" s="145"/>
      <x:c r="AI1089" s="145"/>
      <x:c r="AJ1089"/>
    </x:row>
    <x:row r="1090">
      <x:c r="F1090" s="124"/>
      <x:c r="G1090" s="124"/>
      <x:c r="H1090" s="124"/>
      <x:c r="I1090" s="124"/>
      <x:c r="J1090" s="124"/>
      <x:c r="M1090" s="126"/>
      <x:c r="P1090" s="126"/>
      <x:c r="Q1090" s="126"/>
      <x:c r="R1090" s="126"/>
      <x:c r="S1090" s="124"/>
      <x:c r="T1090" s="124"/>
      <x:c r="U1090" s="124"/>
      <x:c r="V1090" s="124"/>
      <x:c r="W1090" s="124"/>
      <x:c r="X1090" s="124"/>
      <x:c r="AD1090"/>
      <x:c r="AE1090" s="145"/>
      <x:c r="AF1090" s="145"/>
      <x:c r="AG1090" s="145"/>
      <x:c r="AH1090" s="145"/>
      <x:c r="AI1090" s="145"/>
      <x:c r="AJ1090"/>
    </x:row>
    <x:row r="1091">
      <x:c r="F1091" s="124"/>
      <x:c r="G1091" s="124"/>
      <x:c r="H1091" s="124"/>
      <x:c r="I1091" s="124"/>
      <x:c r="J1091" s="124"/>
      <x:c r="M1091" s="126"/>
      <x:c r="P1091" s="126"/>
      <x:c r="Q1091" s="126"/>
      <x:c r="R1091" s="126"/>
      <x:c r="S1091" s="124"/>
      <x:c r="T1091" s="124"/>
      <x:c r="U1091" s="124"/>
      <x:c r="V1091" s="124"/>
      <x:c r="W1091" s="124"/>
      <x:c r="X1091" s="124"/>
      <x:c r="AD1091"/>
      <x:c r="AE1091" s="145"/>
      <x:c r="AF1091" s="145"/>
      <x:c r="AG1091" s="145"/>
      <x:c r="AH1091" s="145"/>
      <x:c r="AI1091" s="145"/>
      <x:c r="AJ1091"/>
    </x:row>
    <x:row r="1092">
      <x:c r="F1092" s="124"/>
      <x:c r="G1092" s="124"/>
      <x:c r="H1092" s="124"/>
      <x:c r="I1092" s="124"/>
      <x:c r="J1092" s="124"/>
      <x:c r="M1092" s="126"/>
      <x:c r="P1092" s="126"/>
      <x:c r="Q1092" s="126"/>
      <x:c r="R1092" s="126"/>
      <x:c r="S1092" s="124"/>
      <x:c r="T1092" s="124"/>
      <x:c r="U1092" s="124"/>
      <x:c r="V1092" s="124"/>
      <x:c r="W1092" s="124"/>
      <x:c r="X1092" s="124"/>
      <x:c r="AD1092"/>
      <x:c r="AE1092" s="145"/>
      <x:c r="AF1092" s="145"/>
      <x:c r="AG1092" s="145"/>
      <x:c r="AH1092" s="145"/>
      <x:c r="AI1092" s="145"/>
      <x:c r="AJ1092"/>
    </x:row>
    <x:row r="1093">
      <x:c r="F1093" s="124"/>
      <x:c r="G1093" s="124"/>
      <x:c r="H1093" s="124"/>
      <x:c r="I1093" s="124"/>
      <x:c r="J1093" s="124"/>
      <x:c r="M1093" s="126"/>
      <x:c r="P1093" s="126"/>
      <x:c r="Q1093" s="126"/>
      <x:c r="R1093" s="126"/>
      <x:c r="S1093" s="124"/>
      <x:c r="T1093" s="124"/>
      <x:c r="U1093" s="124"/>
      <x:c r="V1093" s="124"/>
      <x:c r="W1093" s="124"/>
      <x:c r="X1093" s="124"/>
      <x:c r="AD1093"/>
      <x:c r="AE1093" s="145"/>
      <x:c r="AF1093" s="145"/>
      <x:c r="AG1093" s="145"/>
      <x:c r="AH1093" s="145"/>
      <x:c r="AI1093" s="145"/>
      <x:c r="AJ1093"/>
    </x:row>
    <x:row r="1094">
      <x:c r="F1094" s="124"/>
      <x:c r="G1094" s="124"/>
      <x:c r="H1094" s="124"/>
      <x:c r="I1094" s="124"/>
      <x:c r="J1094" s="124"/>
      <x:c r="M1094" s="126"/>
      <x:c r="P1094" s="126"/>
      <x:c r="Q1094" s="126"/>
      <x:c r="R1094" s="126"/>
      <x:c r="S1094" s="124"/>
      <x:c r="T1094" s="124"/>
      <x:c r="U1094" s="124"/>
      <x:c r="V1094" s="124"/>
      <x:c r="W1094" s="124"/>
      <x:c r="X1094" s="124"/>
      <x:c r="AD1094"/>
      <x:c r="AE1094" s="145"/>
      <x:c r="AF1094" s="145"/>
      <x:c r="AG1094" s="145"/>
      <x:c r="AH1094" s="145"/>
      <x:c r="AI1094" s="145"/>
      <x:c r="AJ1094"/>
    </x:row>
    <x:row r="1095">
      <x:c r="F1095" s="124"/>
      <x:c r="G1095" s="124"/>
      <x:c r="H1095" s="124"/>
      <x:c r="I1095" s="124"/>
      <x:c r="J1095" s="124"/>
      <x:c r="M1095" s="126"/>
      <x:c r="P1095" s="126"/>
      <x:c r="Q1095" s="126"/>
      <x:c r="R1095" s="126"/>
      <x:c r="S1095" s="124"/>
      <x:c r="T1095" s="124"/>
      <x:c r="U1095" s="124"/>
      <x:c r="V1095" s="124"/>
      <x:c r="W1095" s="124"/>
      <x:c r="X1095" s="124"/>
      <x:c r="AD1095"/>
      <x:c r="AE1095" s="145"/>
      <x:c r="AF1095" s="145"/>
      <x:c r="AG1095" s="145"/>
      <x:c r="AH1095" s="145"/>
      <x:c r="AI1095" s="145"/>
      <x:c r="AJ1095"/>
    </x:row>
    <x:row r="1096">
      <x:c r="F1096" s="124"/>
      <x:c r="G1096" s="124"/>
      <x:c r="H1096" s="124"/>
      <x:c r="I1096" s="124"/>
      <x:c r="J1096" s="124"/>
      <x:c r="M1096" s="126"/>
      <x:c r="P1096" s="126"/>
      <x:c r="Q1096" s="126"/>
      <x:c r="R1096" s="126"/>
      <x:c r="S1096" s="124"/>
      <x:c r="T1096" s="124"/>
      <x:c r="U1096" s="124"/>
      <x:c r="V1096" s="124"/>
      <x:c r="W1096" s="124"/>
      <x:c r="X1096" s="124"/>
      <x:c r="AD1096"/>
      <x:c r="AE1096" s="145"/>
      <x:c r="AF1096" s="145"/>
      <x:c r="AG1096" s="145"/>
      <x:c r="AH1096" s="145"/>
      <x:c r="AI1096" s="145"/>
      <x:c r="AJ1096"/>
    </x:row>
    <x:row r="1097">
      <x:c r="F1097" s="124"/>
      <x:c r="G1097" s="124"/>
      <x:c r="H1097" s="124"/>
      <x:c r="I1097" s="124"/>
      <x:c r="J1097" s="124"/>
      <x:c r="M1097" s="126"/>
      <x:c r="P1097" s="126"/>
      <x:c r="Q1097" s="126"/>
      <x:c r="R1097" s="126"/>
      <x:c r="S1097" s="124"/>
      <x:c r="T1097" s="124"/>
      <x:c r="U1097" s="124"/>
      <x:c r="V1097" s="124"/>
      <x:c r="W1097" s="124"/>
      <x:c r="X1097" s="124"/>
      <x:c r="AD1097"/>
      <x:c r="AE1097" s="145"/>
      <x:c r="AF1097" s="145"/>
      <x:c r="AG1097" s="145"/>
      <x:c r="AH1097" s="145"/>
      <x:c r="AI1097" s="145"/>
      <x:c r="AJ1097"/>
    </x:row>
    <x:row r="1098">
      <x:c r="F1098" s="124"/>
      <x:c r="G1098" s="124"/>
      <x:c r="H1098" s="124"/>
      <x:c r="I1098" s="124"/>
      <x:c r="J1098" s="124"/>
      <x:c r="M1098" s="126"/>
      <x:c r="P1098" s="126"/>
      <x:c r="Q1098" s="126"/>
      <x:c r="R1098" s="126"/>
      <x:c r="S1098" s="124"/>
      <x:c r="T1098" s="124"/>
      <x:c r="U1098" s="124"/>
      <x:c r="V1098" s="124"/>
      <x:c r="W1098" s="124"/>
      <x:c r="X1098" s="124"/>
      <x:c r="AD1098"/>
      <x:c r="AE1098" s="145"/>
      <x:c r="AF1098" s="145"/>
      <x:c r="AG1098" s="145"/>
      <x:c r="AH1098" s="145"/>
      <x:c r="AI1098" s="145"/>
      <x:c r="AJ1098"/>
    </x:row>
    <x:row r="1099">
      <x:c r="F1099" s="124"/>
      <x:c r="G1099" s="124"/>
      <x:c r="H1099" s="124"/>
      <x:c r="I1099" s="124"/>
      <x:c r="J1099" s="124"/>
      <x:c r="M1099" s="126"/>
      <x:c r="P1099" s="126"/>
      <x:c r="Q1099" s="126"/>
      <x:c r="R1099" s="126"/>
      <x:c r="S1099" s="124"/>
      <x:c r="T1099" s="124"/>
      <x:c r="U1099" s="124"/>
      <x:c r="V1099" s="124"/>
      <x:c r="W1099" s="124"/>
      <x:c r="X1099" s="124"/>
      <x:c r="AD1099"/>
      <x:c r="AE1099" s="145"/>
      <x:c r="AF1099" s="145"/>
      <x:c r="AG1099" s="145"/>
      <x:c r="AH1099" s="145"/>
      <x:c r="AI1099" s="145"/>
      <x:c r="AJ1099"/>
    </x:row>
    <x:row r="1100">
      <x:c r="F1100" s="124"/>
      <x:c r="G1100" s="124"/>
      <x:c r="H1100" s="124"/>
      <x:c r="I1100" s="124"/>
      <x:c r="J1100" s="124"/>
      <x:c r="M1100" s="126"/>
      <x:c r="P1100" s="126"/>
      <x:c r="Q1100" s="126"/>
      <x:c r="R1100" s="126"/>
      <x:c r="S1100" s="124"/>
      <x:c r="T1100" s="124"/>
      <x:c r="U1100" s="124"/>
      <x:c r="V1100" s="124"/>
      <x:c r="W1100" s="124"/>
      <x:c r="X1100" s="124"/>
      <x:c r="AD1100"/>
      <x:c r="AE1100" s="145"/>
      <x:c r="AF1100" s="145"/>
      <x:c r="AG1100" s="145"/>
      <x:c r="AH1100" s="145"/>
      <x:c r="AI1100" s="145"/>
      <x:c r="AJ1100"/>
    </x:row>
    <x:row r="1101">
      <x:c r="F1101" s="124"/>
      <x:c r="G1101" s="124"/>
      <x:c r="H1101" s="124"/>
      <x:c r="I1101" s="124"/>
      <x:c r="J1101" s="124"/>
      <x:c r="M1101" s="126"/>
      <x:c r="P1101" s="126"/>
      <x:c r="Q1101" s="126"/>
      <x:c r="R1101" s="126"/>
      <x:c r="S1101" s="124"/>
      <x:c r="T1101" s="124"/>
      <x:c r="U1101" s="124"/>
      <x:c r="V1101" s="124"/>
      <x:c r="W1101" s="124"/>
      <x:c r="X1101" s="124"/>
      <x:c r="AD1101"/>
      <x:c r="AE1101" s="145"/>
      <x:c r="AF1101" s="145"/>
      <x:c r="AG1101" s="145"/>
      <x:c r="AH1101" s="145"/>
      <x:c r="AI1101" s="145"/>
      <x:c r="AJ1101"/>
    </x:row>
    <x:row r="1102">
      <x:c r="F1102" s="124"/>
      <x:c r="G1102" s="124"/>
      <x:c r="H1102" s="124"/>
      <x:c r="I1102" s="124"/>
      <x:c r="J1102" s="124"/>
      <x:c r="M1102" s="126"/>
      <x:c r="P1102" s="126"/>
      <x:c r="Q1102" s="126"/>
      <x:c r="R1102" s="126"/>
      <x:c r="S1102" s="124"/>
      <x:c r="T1102" s="124"/>
      <x:c r="U1102" s="124"/>
      <x:c r="V1102" s="124"/>
      <x:c r="W1102" s="124"/>
      <x:c r="X1102" s="124"/>
      <x:c r="AD1102"/>
      <x:c r="AE1102" s="145"/>
      <x:c r="AF1102" s="145"/>
      <x:c r="AG1102" s="145"/>
      <x:c r="AH1102" s="145"/>
      <x:c r="AI1102" s="145"/>
      <x:c r="AJ1102"/>
    </x:row>
    <x:row r="1103">
      <x:c r="F1103" s="124"/>
      <x:c r="G1103" s="124"/>
      <x:c r="H1103" s="124"/>
      <x:c r="I1103" s="124"/>
      <x:c r="J1103" s="124"/>
      <x:c r="M1103" s="126"/>
      <x:c r="P1103" s="126"/>
      <x:c r="Q1103" s="126"/>
      <x:c r="R1103" s="126"/>
      <x:c r="S1103" s="124"/>
      <x:c r="T1103" s="124"/>
      <x:c r="U1103" s="124"/>
      <x:c r="V1103" s="124"/>
      <x:c r="W1103" s="124"/>
      <x:c r="X1103" s="124"/>
      <x:c r="AD1103"/>
      <x:c r="AE1103" s="145"/>
      <x:c r="AF1103" s="145"/>
      <x:c r="AG1103" s="145"/>
      <x:c r="AH1103" s="145"/>
      <x:c r="AI1103" s="145"/>
      <x:c r="AJ1103"/>
    </x:row>
    <x:row r="1104">
      <x:c r="F1104" s="124"/>
      <x:c r="G1104" s="124"/>
      <x:c r="H1104" s="124"/>
      <x:c r="I1104" s="124"/>
      <x:c r="J1104" s="124"/>
      <x:c r="M1104" s="126"/>
      <x:c r="P1104" s="126"/>
      <x:c r="Q1104" s="126"/>
      <x:c r="R1104" s="126"/>
      <x:c r="S1104" s="124"/>
      <x:c r="T1104" s="124"/>
      <x:c r="U1104" s="124"/>
      <x:c r="V1104" s="124"/>
      <x:c r="W1104" s="124"/>
      <x:c r="X1104" s="124"/>
      <x:c r="AD1104"/>
      <x:c r="AE1104" s="145"/>
      <x:c r="AF1104" s="145"/>
      <x:c r="AG1104" s="145"/>
      <x:c r="AH1104" s="145"/>
      <x:c r="AI1104" s="145"/>
      <x:c r="AJ1104"/>
    </x:row>
    <x:row r="1105">
      <x:c r="F1105" s="124"/>
      <x:c r="G1105" s="124"/>
      <x:c r="H1105" s="124"/>
      <x:c r="I1105" s="124"/>
      <x:c r="J1105" s="124"/>
      <x:c r="M1105" s="126"/>
      <x:c r="P1105" s="126"/>
      <x:c r="Q1105" s="126"/>
      <x:c r="R1105" s="126"/>
      <x:c r="S1105" s="124"/>
      <x:c r="T1105" s="124"/>
      <x:c r="U1105" s="124"/>
      <x:c r="V1105" s="124"/>
      <x:c r="W1105" s="124"/>
      <x:c r="X1105" s="124"/>
      <x:c r="AD1105"/>
      <x:c r="AE1105" s="145"/>
      <x:c r="AF1105" s="145"/>
      <x:c r="AG1105" s="145"/>
      <x:c r="AH1105" s="145"/>
      <x:c r="AI1105" s="145"/>
      <x:c r="AJ1105"/>
    </x:row>
    <x:row r="1106">
      <x:c r="F1106" s="124"/>
      <x:c r="G1106" s="124"/>
      <x:c r="H1106" s="124"/>
      <x:c r="I1106" s="124"/>
      <x:c r="J1106" s="124"/>
      <x:c r="M1106" s="126"/>
      <x:c r="P1106" s="126"/>
      <x:c r="Q1106" s="126"/>
      <x:c r="R1106" s="126"/>
      <x:c r="S1106" s="124"/>
      <x:c r="T1106" s="124"/>
      <x:c r="U1106" s="124"/>
      <x:c r="V1106" s="124"/>
      <x:c r="W1106" s="124"/>
      <x:c r="X1106" s="124"/>
      <x:c r="AD1106"/>
      <x:c r="AE1106" s="145"/>
      <x:c r="AF1106" s="145"/>
      <x:c r="AG1106" s="145"/>
      <x:c r="AH1106" s="145"/>
      <x:c r="AI1106" s="145"/>
      <x:c r="AJ1106"/>
    </x:row>
    <x:row r="1107">
      <x:c r="F1107" s="124"/>
      <x:c r="G1107" s="124"/>
      <x:c r="H1107" s="124"/>
      <x:c r="I1107" s="124"/>
      <x:c r="J1107" s="124"/>
      <x:c r="M1107" s="126"/>
      <x:c r="P1107" s="126"/>
      <x:c r="Q1107" s="126"/>
      <x:c r="R1107" s="126"/>
      <x:c r="S1107" s="124"/>
      <x:c r="T1107" s="124"/>
      <x:c r="U1107" s="124"/>
      <x:c r="V1107" s="124"/>
      <x:c r="W1107" s="124"/>
      <x:c r="X1107" s="124"/>
      <x:c r="AD1107"/>
      <x:c r="AE1107" s="145"/>
      <x:c r="AF1107" s="145"/>
      <x:c r="AG1107" s="145"/>
      <x:c r="AH1107" s="145"/>
      <x:c r="AI1107" s="145"/>
      <x:c r="AJ1107"/>
    </x:row>
    <x:row r="1108">
      <x:c r="F1108" s="124"/>
      <x:c r="G1108" s="124"/>
      <x:c r="H1108" s="124"/>
      <x:c r="I1108" s="124"/>
      <x:c r="J1108" s="124"/>
      <x:c r="M1108" s="126"/>
      <x:c r="P1108" s="126"/>
      <x:c r="Q1108" s="126"/>
      <x:c r="R1108" s="126"/>
      <x:c r="S1108" s="124"/>
      <x:c r="T1108" s="124"/>
      <x:c r="U1108" s="124"/>
      <x:c r="V1108" s="124"/>
      <x:c r="W1108" s="124"/>
      <x:c r="X1108" s="124"/>
      <x:c r="AD1108"/>
      <x:c r="AE1108" s="145"/>
      <x:c r="AF1108" s="145"/>
      <x:c r="AG1108" s="145"/>
      <x:c r="AH1108" s="145"/>
      <x:c r="AI1108" s="145"/>
      <x:c r="AJ1108"/>
    </x:row>
    <x:row r="1109">
      <x:c r="F1109" s="124"/>
      <x:c r="G1109" s="124"/>
      <x:c r="H1109" s="124"/>
      <x:c r="I1109" s="124"/>
      <x:c r="J1109" s="124"/>
      <x:c r="M1109" s="126"/>
      <x:c r="P1109" s="126"/>
      <x:c r="Q1109" s="126"/>
      <x:c r="R1109" s="126"/>
      <x:c r="S1109" s="124"/>
      <x:c r="T1109" s="124"/>
      <x:c r="U1109" s="124"/>
      <x:c r="V1109" s="124"/>
      <x:c r="W1109" s="124"/>
      <x:c r="X1109" s="124"/>
      <x:c r="AD1109"/>
      <x:c r="AE1109" s="145"/>
      <x:c r="AF1109" s="145"/>
      <x:c r="AG1109" s="145"/>
      <x:c r="AH1109" s="145"/>
      <x:c r="AI1109" s="145"/>
      <x:c r="AJ1109"/>
    </x:row>
    <x:row r="1110">
      <x:c r="F1110" s="124"/>
      <x:c r="G1110" s="124"/>
      <x:c r="H1110" s="124"/>
      <x:c r="I1110" s="124"/>
      <x:c r="J1110" s="124"/>
      <x:c r="M1110" s="126"/>
      <x:c r="P1110" s="126"/>
      <x:c r="Q1110" s="126"/>
      <x:c r="R1110" s="126"/>
      <x:c r="S1110" s="124"/>
      <x:c r="T1110" s="124"/>
      <x:c r="U1110" s="124"/>
      <x:c r="V1110" s="124"/>
      <x:c r="W1110" s="124"/>
      <x:c r="X1110" s="124"/>
      <x:c r="AD1110"/>
      <x:c r="AE1110" s="145"/>
      <x:c r="AF1110" s="145"/>
      <x:c r="AG1110" s="145"/>
      <x:c r="AH1110" s="145"/>
      <x:c r="AI1110" s="145"/>
      <x:c r="AJ1110"/>
    </x:row>
    <x:row r="1111">
      <x:c r="F1111" s="124"/>
      <x:c r="G1111" s="124"/>
      <x:c r="H1111" s="124"/>
      <x:c r="I1111" s="124"/>
      <x:c r="J1111" s="124"/>
      <x:c r="M1111" s="126"/>
      <x:c r="P1111" s="126"/>
      <x:c r="Q1111" s="126"/>
      <x:c r="R1111" s="126"/>
      <x:c r="S1111" s="124"/>
      <x:c r="T1111" s="124"/>
      <x:c r="U1111" s="124"/>
      <x:c r="V1111" s="124"/>
      <x:c r="W1111" s="124"/>
      <x:c r="X1111" s="124"/>
      <x:c r="AD1111"/>
      <x:c r="AE1111" s="145"/>
      <x:c r="AF1111" s="145"/>
      <x:c r="AG1111" s="145"/>
      <x:c r="AH1111" s="145"/>
      <x:c r="AI1111" s="145"/>
      <x:c r="AJ1111"/>
    </x:row>
    <x:row r="1112">
      <x:c r="F1112" s="124"/>
      <x:c r="G1112" s="124"/>
      <x:c r="H1112" s="124"/>
      <x:c r="I1112" s="124"/>
      <x:c r="J1112" s="124"/>
      <x:c r="M1112" s="126"/>
      <x:c r="P1112" s="126"/>
      <x:c r="Q1112" s="126"/>
      <x:c r="R1112" s="126"/>
      <x:c r="S1112" s="124"/>
      <x:c r="T1112" s="124"/>
      <x:c r="U1112" s="124"/>
      <x:c r="V1112" s="124"/>
      <x:c r="W1112" s="124"/>
      <x:c r="X1112" s="124"/>
      <x:c r="AD1112"/>
      <x:c r="AE1112" s="145"/>
      <x:c r="AF1112" s="145"/>
      <x:c r="AG1112" s="145"/>
      <x:c r="AH1112" s="145"/>
      <x:c r="AI1112" s="145"/>
      <x:c r="AJ1112"/>
    </x:row>
    <x:row r="1113">
      <x:c r="F1113" s="124"/>
      <x:c r="G1113" s="124"/>
      <x:c r="H1113" s="124"/>
      <x:c r="I1113" s="124"/>
      <x:c r="J1113" s="124"/>
      <x:c r="M1113" s="126"/>
      <x:c r="P1113" s="126"/>
      <x:c r="Q1113" s="126"/>
      <x:c r="R1113" s="126"/>
      <x:c r="S1113" s="124"/>
      <x:c r="T1113" s="124"/>
      <x:c r="U1113" s="124"/>
      <x:c r="V1113" s="124"/>
      <x:c r="W1113" s="124"/>
      <x:c r="X1113" s="124"/>
      <x:c r="AD1113"/>
      <x:c r="AE1113" s="145"/>
      <x:c r="AF1113" s="145"/>
      <x:c r="AG1113" s="145"/>
      <x:c r="AH1113" s="145"/>
      <x:c r="AI1113" s="145"/>
      <x:c r="AJ1113"/>
    </x:row>
    <x:row r="1114">
      <x:c r="F1114" s="124"/>
      <x:c r="G1114" s="124"/>
      <x:c r="H1114" s="124"/>
      <x:c r="I1114" s="124"/>
      <x:c r="J1114" s="124"/>
      <x:c r="M1114" s="126"/>
      <x:c r="P1114" s="126"/>
      <x:c r="Q1114" s="126"/>
      <x:c r="R1114" s="126"/>
      <x:c r="S1114" s="124"/>
      <x:c r="T1114" s="124"/>
      <x:c r="U1114" s="124"/>
      <x:c r="V1114" s="124"/>
      <x:c r="W1114" s="124"/>
      <x:c r="X1114" s="124"/>
      <x:c r="AD1114"/>
      <x:c r="AE1114" s="145"/>
      <x:c r="AF1114" s="145"/>
      <x:c r="AG1114" s="145"/>
      <x:c r="AH1114" s="145"/>
      <x:c r="AI1114" s="145"/>
      <x:c r="AJ1114"/>
    </x:row>
    <x:row r="1115">
      <x:c r="F1115" s="124"/>
      <x:c r="G1115" s="124"/>
      <x:c r="H1115" s="124"/>
      <x:c r="I1115" s="124"/>
      <x:c r="J1115" s="124"/>
      <x:c r="M1115" s="126"/>
      <x:c r="P1115" s="126"/>
      <x:c r="Q1115" s="126"/>
      <x:c r="R1115" s="126"/>
      <x:c r="S1115" s="124"/>
      <x:c r="T1115" s="124"/>
      <x:c r="U1115" s="124"/>
      <x:c r="V1115" s="124"/>
      <x:c r="W1115" s="124"/>
      <x:c r="X1115" s="124"/>
      <x:c r="AD1115"/>
      <x:c r="AE1115" s="145"/>
      <x:c r="AF1115" s="145"/>
      <x:c r="AG1115" s="145"/>
      <x:c r="AH1115" s="145"/>
      <x:c r="AI1115" s="145"/>
      <x:c r="AJ1115"/>
    </x:row>
    <x:row r="1116">
      <x:c r="F1116" s="124"/>
      <x:c r="G1116" s="124"/>
      <x:c r="H1116" s="124"/>
      <x:c r="I1116" s="124"/>
      <x:c r="J1116" s="124"/>
      <x:c r="M1116" s="126"/>
      <x:c r="P1116" s="126"/>
      <x:c r="Q1116" s="126"/>
      <x:c r="R1116" s="126"/>
      <x:c r="S1116" s="124"/>
      <x:c r="T1116" s="124"/>
      <x:c r="U1116" s="124"/>
      <x:c r="V1116" s="124"/>
      <x:c r="W1116" s="124"/>
      <x:c r="X1116" s="124"/>
      <x:c r="AD1116"/>
      <x:c r="AE1116" s="145"/>
      <x:c r="AF1116" s="145"/>
      <x:c r="AG1116" s="145"/>
      <x:c r="AH1116" s="145"/>
      <x:c r="AI1116" s="145"/>
      <x:c r="AJ1116"/>
    </x:row>
    <x:row r="1117">
      <x:c r="F1117" s="124"/>
      <x:c r="G1117" s="124"/>
      <x:c r="H1117" s="124"/>
      <x:c r="I1117" s="124"/>
      <x:c r="J1117" s="124"/>
      <x:c r="M1117" s="126"/>
      <x:c r="P1117" s="126"/>
      <x:c r="Q1117" s="126"/>
      <x:c r="R1117" s="126"/>
      <x:c r="S1117" s="124"/>
      <x:c r="T1117" s="124"/>
      <x:c r="U1117" s="124"/>
      <x:c r="V1117" s="124"/>
      <x:c r="W1117" s="124"/>
      <x:c r="X1117" s="124"/>
      <x:c r="AD1117"/>
      <x:c r="AE1117" s="145"/>
      <x:c r="AF1117" s="145"/>
      <x:c r="AG1117" s="145"/>
      <x:c r="AH1117" s="145"/>
      <x:c r="AI1117" s="145"/>
      <x:c r="AJ1117"/>
    </x:row>
    <x:row r="1118">
      <x:c r="F1118" s="124"/>
      <x:c r="G1118" s="124"/>
      <x:c r="H1118" s="124"/>
      <x:c r="I1118" s="124"/>
      <x:c r="J1118" s="124"/>
      <x:c r="M1118" s="126"/>
      <x:c r="P1118" s="126"/>
      <x:c r="Q1118" s="126"/>
      <x:c r="R1118" s="126"/>
      <x:c r="S1118" s="124"/>
      <x:c r="T1118" s="124"/>
      <x:c r="U1118" s="124"/>
      <x:c r="V1118" s="124"/>
      <x:c r="W1118" s="124"/>
      <x:c r="X1118" s="124"/>
      <x:c r="AD1118"/>
      <x:c r="AE1118" s="145"/>
      <x:c r="AF1118" s="145"/>
      <x:c r="AG1118" s="145"/>
      <x:c r="AH1118" s="145"/>
      <x:c r="AI1118" s="145"/>
      <x:c r="AJ1118"/>
    </x:row>
    <x:row r="1119">
      <x:c r="F1119" s="124"/>
      <x:c r="G1119" s="124"/>
      <x:c r="H1119" s="124"/>
      <x:c r="I1119" s="124"/>
      <x:c r="J1119" s="124"/>
      <x:c r="M1119" s="126"/>
      <x:c r="P1119" s="126"/>
      <x:c r="Q1119" s="126"/>
      <x:c r="R1119" s="126"/>
      <x:c r="S1119" s="124"/>
      <x:c r="T1119" s="124"/>
      <x:c r="U1119" s="124"/>
      <x:c r="V1119" s="124"/>
      <x:c r="W1119" s="124"/>
      <x:c r="X1119" s="124"/>
      <x:c r="AD1119"/>
      <x:c r="AE1119" s="145"/>
      <x:c r="AF1119" s="145"/>
      <x:c r="AG1119" s="145"/>
      <x:c r="AH1119" s="145"/>
      <x:c r="AI1119" s="145"/>
      <x:c r="AJ1119"/>
    </x:row>
    <x:row r="1120">
      <x:c r="F1120" s="124"/>
      <x:c r="G1120" s="124"/>
      <x:c r="H1120" s="124"/>
      <x:c r="I1120" s="124"/>
      <x:c r="J1120" s="124"/>
      <x:c r="M1120" s="126"/>
      <x:c r="P1120" s="126"/>
      <x:c r="Q1120" s="126"/>
      <x:c r="R1120" s="126"/>
      <x:c r="S1120" s="124"/>
      <x:c r="T1120" s="124"/>
      <x:c r="U1120" s="124"/>
      <x:c r="V1120" s="124"/>
      <x:c r="W1120" s="124"/>
      <x:c r="X1120" s="124"/>
      <x:c r="AD1120"/>
      <x:c r="AE1120" s="145"/>
      <x:c r="AF1120" s="145"/>
      <x:c r="AG1120" s="145"/>
      <x:c r="AH1120" s="145"/>
      <x:c r="AI1120" s="145"/>
      <x:c r="AJ1120"/>
    </x:row>
    <x:row r="1121">
      <x:c r="F1121" s="124"/>
      <x:c r="G1121" s="124"/>
      <x:c r="H1121" s="124"/>
      <x:c r="I1121" s="124"/>
      <x:c r="J1121" s="124"/>
      <x:c r="M1121" s="126"/>
      <x:c r="P1121" s="126"/>
      <x:c r="Q1121" s="126"/>
      <x:c r="R1121" s="126"/>
      <x:c r="S1121" s="124"/>
      <x:c r="T1121" s="124"/>
      <x:c r="U1121" s="124"/>
      <x:c r="V1121" s="124"/>
      <x:c r="W1121" s="124"/>
      <x:c r="X1121" s="124"/>
      <x:c r="AD1121"/>
      <x:c r="AE1121" s="145"/>
      <x:c r="AF1121" s="145"/>
      <x:c r="AG1121" s="145"/>
      <x:c r="AH1121" s="145"/>
      <x:c r="AI1121" s="145"/>
      <x:c r="AJ1121"/>
    </x:row>
    <x:row r="1122">
      <x:c r="F1122" s="124"/>
      <x:c r="G1122" s="124"/>
      <x:c r="H1122" s="124"/>
      <x:c r="I1122" s="124"/>
      <x:c r="J1122" s="124"/>
      <x:c r="M1122" s="126"/>
      <x:c r="P1122" s="126"/>
      <x:c r="Q1122" s="126"/>
      <x:c r="R1122" s="126"/>
      <x:c r="S1122" s="124"/>
      <x:c r="T1122" s="124"/>
      <x:c r="U1122" s="124"/>
      <x:c r="V1122" s="124"/>
      <x:c r="W1122" s="124"/>
      <x:c r="X1122" s="124"/>
      <x:c r="AD1122"/>
      <x:c r="AE1122" s="145"/>
      <x:c r="AF1122" s="145"/>
      <x:c r="AG1122" s="145"/>
      <x:c r="AH1122" s="145"/>
      <x:c r="AI1122" s="145"/>
      <x:c r="AJ1122"/>
    </x:row>
    <x:row r="1123">
      <x:c r="F1123" s="124"/>
      <x:c r="G1123" s="124"/>
      <x:c r="H1123" s="124"/>
      <x:c r="I1123" s="124"/>
      <x:c r="J1123" s="124"/>
      <x:c r="M1123" s="126"/>
      <x:c r="P1123" s="126"/>
      <x:c r="Q1123" s="126"/>
      <x:c r="R1123" s="126"/>
      <x:c r="S1123" s="124"/>
      <x:c r="T1123" s="124"/>
      <x:c r="U1123" s="124"/>
      <x:c r="V1123" s="124"/>
      <x:c r="W1123" s="124"/>
      <x:c r="X1123" s="124"/>
      <x:c r="AD1123"/>
      <x:c r="AE1123" s="145"/>
      <x:c r="AF1123" s="145"/>
      <x:c r="AG1123" s="145"/>
      <x:c r="AH1123" s="145"/>
      <x:c r="AI1123" s="145"/>
      <x:c r="AJ1123"/>
    </x:row>
    <x:row r="1124">
      <x:c r="F1124" s="124"/>
      <x:c r="G1124" s="124"/>
      <x:c r="H1124" s="124"/>
      <x:c r="I1124" s="124"/>
      <x:c r="J1124" s="124"/>
      <x:c r="M1124" s="126"/>
      <x:c r="P1124" s="126"/>
      <x:c r="Q1124" s="126"/>
      <x:c r="R1124" s="126"/>
      <x:c r="S1124" s="124"/>
      <x:c r="T1124" s="124"/>
      <x:c r="U1124" s="124"/>
      <x:c r="V1124" s="124"/>
      <x:c r="W1124" s="124"/>
      <x:c r="X1124" s="124"/>
      <x:c r="AD1124"/>
      <x:c r="AE1124" s="145"/>
      <x:c r="AF1124" s="145"/>
      <x:c r="AG1124" s="145"/>
      <x:c r="AH1124" s="145"/>
      <x:c r="AI1124" s="145"/>
      <x:c r="AJ1124"/>
    </x:row>
    <x:row r="1125">
      <x:c r="F1125" s="124"/>
      <x:c r="G1125" s="124"/>
      <x:c r="H1125" s="124"/>
      <x:c r="I1125" s="124"/>
      <x:c r="J1125" s="124"/>
      <x:c r="M1125" s="126"/>
      <x:c r="P1125" s="126"/>
      <x:c r="Q1125" s="126"/>
      <x:c r="R1125" s="126"/>
      <x:c r="S1125" s="124"/>
      <x:c r="T1125" s="124"/>
      <x:c r="U1125" s="124"/>
      <x:c r="V1125" s="124"/>
      <x:c r="W1125" s="124"/>
      <x:c r="X1125" s="124"/>
      <x:c r="AD1125"/>
      <x:c r="AE1125" s="145"/>
      <x:c r="AF1125" s="145"/>
      <x:c r="AG1125" s="145"/>
      <x:c r="AH1125" s="145"/>
      <x:c r="AI1125" s="145"/>
      <x:c r="AJ1125"/>
    </x:row>
    <x:row r="1126">
      <x:c r="F1126" s="124"/>
      <x:c r="G1126" s="124"/>
      <x:c r="H1126" s="124"/>
      <x:c r="I1126" s="124"/>
      <x:c r="J1126" s="124"/>
      <x:c r="M1126" s="126"/>
      <x:c r="P1126" s="126"/>
      <x:c r="Q1126" s="126"/>
      <x:c r="R1126" s="126"/>
      <x:c r="S1126" s="124"/>
      <x:c r="T1126" s="124"/>
      <x:c r="U1126" s="124"/>
      <x:c r="V1126" s="124"/>
      <x:c r="W1126" s="124"/>
      <x:c r="X1126" s="124"/>
      <x:c r="AD1126"/>
      <x:c r="AE1126" s="145"/>
      <x:c r="AF1126" s="145"/>
      <x:c r="AG1126" s="145"/>
      <x:c r="AH1126" s="145"/>
      <x:c r="AI1126" s="145"/>
      <x:c r="AJ1126"/>
    </x:row>
    <x:row r="1127">
      <x:c r="F1127" s="124"/>
      <x:c r="G1127" s="124"/>
      <x:c r="H1127" s="124"/>
      <x:c r="I1127" s="124"/>
      <x:c r="J1127" s="124"/>
      <x:c r="M1127" s="126"/>
      <x:c r="P1127" s="126"/>
      <x:c r="Q1127" s="126"/>
      <x:c r="R1127" s="126"/>
      <x:c r="S1127" s="124"/>
      <x:c r="T1127" s="124"/>
      <x:c r="U1127" s="124"/>
      <x:c r="V1127" s="124"/>
      <x:c r="W1127" s="124"/>
      <x:c r="X1127" s="124"/>
      <x:c r="AD1127"/>
      <x:c r="AE1127" s="145"/>
      <x:c r="AF1127" s="145"/>
      <x:c r="AG1127" s="145"/>
      <x:c r="AH1127" s="145"/>
      <x:c r="AI1127" s="145"/>
      <x:c r="AJ1127"/>
    </x:row>
    <x:row r="1128">
      <x:c r="F1128" s="124"/>
      <x:c r="G1128" s="124"/>
      <x:c r="H1128" s="124"/>
      <x:c r="I1128" s="124"/>
      <x:c r="J1128" s="124"/>
      <x:c r="M1128" s="126"/>
      <x:c r="P1128" s="126"/>
      <x:c r="Q1128" s="126"/>
      <x:c r="R1128" s="126"/>
      <x:c r="S1128" s="124"/>
      <x:c r="T1128" s="124"/>
      <x:c r="U1128" s="124"/>
      <x:c r="V1128" s="124"/>
      <x:c r="W1128" s="124"/>
      <x:c r="X1128" s="124"/>
      <x:c r="AD1128"/>
      <x:c r="AE1128" s="145"/>
      <x:c r="AF1128" s="145"/>
      <x:c r="AG1128" s="145"/>
      <x:c r="AH1128" s="145"/>
      <x:c r="AI1128" s="145"/>
      <x:c r="AJ1128"/>
    </x:row>
    <x:row r="1129">
      <x:c r="F1129" s="124"/>
      <x:c r="G1129" s="124"/>
      <x:c r="H1129" s="124"/>
      <x:c r="I1129" s="124"/>
      <x:c r="J1129" s="124"/>
      <x:c r="M1129" s="126"/>
      <x:c r="P1129" s="126"/>
      <x:c r="Q1129" s="126"/>
      <x:c r="R1129" s="126"/>
      <x:c r="S1129" s="124"/>
      <x:c r="T1129" s="124"/>
      <x:c r="U1129" s="124"/>
      <x:c r="V1129" s="124"/>
      <x:c r="W1129" s="124"/>
      <x:c r="X1129" s="124"/>
      <x:c r="AD1129"/>
      <x:c r="AE1129" s="145"/>
      <x:c r="AF1129" s="145"/>
      <x:c r="AG1129" s="145"/>
      <x:c r="AH1129" s="145"/>
      <x:c r="AI1129" s="145"/>
      <x:c r="AJ1129"/>
    </x:row>
    <x:row r="1130">
      <x:c r="F1130" s="124"/>
      <x:c r="G1130" s="124"/>
      <x:c r="H1130" s="124"/>
      <x:c r="I1130" s="124"/>
      <x:c r="J1130" s="124"/>
      <x:c r="M1130" s="126"/>
      <x:c r="P1130" s="126"/>
      <x:c r="Q1130" s="126"/>
      <x:c r="R1130" s="126"/>
      <x:c r="S1130" s="124"/>
      <x:c r="T1130" s="124"/>
      <x:c r="U1130" s="124"/>
      <x:c r="V1130" s="124"/>
      <x:c r="W1130" s="124"/>
      <x:c r="X1130" s="124"/>
      <x:c r="AD1130"/>
      <x:c r="AE1130" s="145"/>
      <x:c r="AF1130" s="145"/>
      <x:c r="AG1130" s="145"/>
      <x:c r="AH1130" s="145"/>
      <x:c r="AI1130" s="145"/>
      <x:c r="AJ1130"/>
    </x:row>
    <x:row r="1131">
      <x:c r="F1131" s="124"/>
      <x:c r="G1131" s="124"/>
      <x:c r="H1131" s="124"/>
      <x:c r="I1131" s="124"/>
      <x:c r="J1131" s="124"/>
      <x:c r="M1131" s="126"/>
      <x:c r="P1131" s="126"/>
      <x:c r="Q1131" s="126"/>
      <x:c r="R1131" s="126"/>
      <x:c r="S1131" s="124"/>
      <x:c r="T1131" s="124"/>
      <x:c r="U1131" s="124"/>
      <x:c r="V1131" s="124"/>
      <x:c r="W1131" s="124"/>
      <x:c r="X1131" s="124"/>
      <x:c r="AD1131"/>
      <x:c r="AE1131" s="145"/>
      <x:c r="AF1131" s="145"/>
      <x:c r="AG1131" s="145"/>
      <x:c r="AH1131" s="145"/>
      <x:c r="AI1131" s="145"/>
      <x:c r="AJ1131"/>
    </x:row>
    <x:row r="1132">
      <x:c r="F1132" s="124"/>
      <x:c r="G1132" s="124"/>
      <x:c r="H1132" s="124"/>
      <x:c r="I1132" s="124"/>
      <x:c r="J1132" s="124"/>
      <x:c r="M1132" s="126"/>
      <x:c r="P1132" s="126"/>
      <x:c r="Q1132" s="126"/>
      <x:c r="R1132" s="126"/>
      <x:c r="S1132" s="124"/>
      <x:c r="T1132" s="124"/>
      <x:c r="U1132" s="124"/>
      <x:c r="V1132" s="124"/>
      <x:c r="W1132" s="124"/>
      <x:c r="X1132" s="124"/>
      <x:c r="AD1132"/>
      <x:c r="AE1132" s="145"/>
      <x:c r="AF1132" s="145"/>
      <x:c r="AG1132" s="145"/>
      <x:c r="AH1132" s="145"/>
      <x:c r="AI1132" s="145"/>
      <x:c r="AJ1132"/>
    </x:row>
    <x:row r="1133">
      <x:c r="F1133" s="124"/>
      <x:c r="G1133" s="124"/>
      <x:c r="H1133" s="124"/>
      <x:c r="I1133" s="124"/>
      <x:c r="J1133" s="124"/>
      <x:c r="M1133" s="126"/>
      <x:c r="P1133" s="126"/>
      <x:c r="Q1133" s="126"/>
      <x:c r="R1133" s="126"/>
      <x:c r="S1133" s="124"/>
      <x:c r="T1133" s="124"/>
      <x:c r="U1133" s="124"/>
      <x:c r="V1133" s="124"/>
      <x:c r="W1133" s="124"/>
      <x:c r="X1133" s="124"/>
      <x:c r="AD1133"/>
      <x:c r="AE1133" s="145"/>
      <x:c r="AF1133" s="145"/>
      <x:c r="AG1133" s="145"/>
      <x:c r="AH1133" s="145"/>
      <x:c r="AI1133" s="145"/>
      <x:c r="AJ1133"/>
    </x:row>
    <x:row r="1134">
      <x:c r="F1134" s="124"/>
      <x:c r="G1134" s="124"/>
      <x:c r="H1134" s="124"/>
      <x:c r="I1134" s="124"/>
      <x:c r="J1134" s="124"/>
      <x:c r="M1134" s="126"/>
      <x:c r="P1134" s="126"/>
      <x:c r="Q1134" s="126"/>
      <x:c r="R1134" s="126"/>
      <x:c r="S1134" s="124"/>
      <x:c r="T1134" s="124"/>
      <x:c r="U1134" s="124"/>
      <x:c r="V1134" s="124"/>
      <x:c r="W1134" s="124"/>
      <x:c r="X1134" s="124"/>
      <x:c r="AD1134"/>
      <x:c r="AE1134" s="145"/>
      <x:c r="AF1134" s="145"/>
      <x:c r="AG1134" s="145"/>
      <x:c r="AH1134" s="145"/>
      <x:c r="AI1134" s="145"/>
      <x:c r="AJ1134"/>
    </x:row>
    <x:row r="1135">
      <x:c r="F1135" s="124"/>
      <x:c r="G1135" s="124"/>
      <x:c r="H1135" s="124"/>
      <x:c r="I1135" s="124"/>
      <x:c r="J1135" s="124"/>
      <x:c r="M1135" s="126"/>
      <x:c r="P1135" s="126"/>
      <x:c r="Q1135" s="126"/>
      <x:c r="R1135" s="126"/>
      <x:c r="S1135" s="124"/>
      <x:c r="T1135" s="124"/>
      <x:c r="U1135" s="124"/>
      <x:c r="V1135" s="124"/>
      <x:c r="W1135" s="124"/>
      <x:c r="X1135" s="124"/>
      <x:c r="AD1135"/>
      <x:c r="AE1135" s="145"/>
      <x:c r="AF1135" s="145"/>
      <x:c r="AG1135" s="145"/>
      <x:c r="AH1135" s="145"/>
      <x:c r="AI1135" s="145"/>
      <x:c r="AJ1135"/>
    </x:row>
    <x:row r="1136">
      <x:c r="F1136" s="124"/>
      <x:c r="G1136" s="124"/>
      <x:c r="H1136" s="124"/>
      <x:c r="I1136" s="124"/>
      <x:c r="J1136" s="124"/>
      <x:c r="M1136" s="126"/>
      <x:c r="P1136" s="126"/>
      <x:c r="Q1136" s="126"/>
      <x:c r="R1136" s="126"/>
      <x:c r="S1136" s="124"/>
      <x:c r="T1136" s="124"/>
      <x:c r="U1136" s="124"/>
      <x:c r="V1136" s="124"/>
      <x:c r="W1136" s="124"/>
      <x:c r="X1136" s="124"/>
      <x:c r="AD1136"/>
      <x:c r="AE1136" s="145"/>
      <x:c r="AF1136" s="145"/>
      <x:c r="AG1136" s="145"/>
      <x:c r="AH1136" s="145"/>
      <x:c r="AI1136" s="145"/>
      <x:c r="AJ1136"/>
    </x:row>
    <x:row r="1137">
      <x:c r="F1137" s="124"/>
      <x:c r="G1137" s="124"/>
      <x:c r="H1137" s="124"/>
      <x:c r="I1137" s="124"/>
      <x:c r="J1137" s="124"/>
      <x:c r="M1137" s="126"/>
      <x:c r="P1137" s="126"/>
      <x:c r="Q1137" s="126"/>
      <x:c r="R1137" s="126"/>
      <x:c r="S1137" s="124"/>
      <x:c r="T1137" s="124"/>
      <x:c r="U1137" s="124"/>
      <x:c r="V1137" s="124"/>
      <x:c r="W1137" s="124"/>
      <x:c r="X1137" s="124"/>
      <x:c r="AD1137"/>
      <x:c r="AE1137" s="145"/>
      <x:c r="AF1137" s="145"/>
      <x:c r="AG1137" s="145"/>
      <x:c r="AH1137" s="145"/>
      <x:c r="AI1137" s="145"/>
      <x:c r="AJ1137"/>
    </x:row>
    <x:row r="1138">
      <x:c r="F1138" s="124"/>
      <x:c r="G1138" s="124"/>
      <x:c r="H1138" s="124"/>
      <x:c r="I1138" s="124"/>
      <x:c r="J1138" s="124"/>
      <x:c r="M1138" s="126"/>
      <x:c r="P1138" s="126"/>
      <x:c r="Q1138" s="126"/>
      <x:c r="R1138" s="126"/>
      <x:c r="S1138" s="124"/>
      <x:c r="T1138" s="124"/>
      <x:c r="U1138" s="124"/>
      <x:c r="V1138" s="124"/>
      <x:c r="W1138" s="124"/>
      <x:c r="X1138" s="124"/>
      <x:c r="AD1138"/>
      <x:c r="AE1138" s="145"/>
      <x:c r="AF1138" s="145"/>
      <x:c r="AG1138" s="145"/>
      <x:c r="AH1138" s="145"/>
      <x:c r="AI1138" s="145"/>
      <x:c r="AJ1138"/>
    </x:row>
    <x:row r="1139">
      <x:c r="F1139" s="124"/>
      <x:c r="G1139" s="124"/>
      <x:c r="H1139" s="124"/>
      <x:c r="I1139" s="124"/>
      <x:c r="J1139" s="124"/>
      <x:c r="M1139" s="126"/>
      <x:c r="P1139" s="126"/>
      <x:c r="Q1139" s="126"/>
      <x:c r="R1139" s="126"/>
      <x:c r="S1139" s="124"/>
      <x:c r="T1139" s="124"/>
      <x:c r="U1139" s="124"/>
      <x:c r="V1139" s="124"/>
      <x:c r="W1139" s="124"/>
      <x:c r="X1139" s="124"/>
      <x:c r="AD1139"/>
      <x:c r="AE1139" s="145"/>
      <x:c r="AF1139" s="145"/>
      <x:c r="AG1139" s="145"/>
      <x:c r="AH1139" s="145"/>
      <x:c r="AI1139" s="145"/>
      <x:c r="AJ1139"/>
    </x:row>
    <x:row r="1140">
      <x:c r="F1140" s="124"/>
      <x:c r="G1140" s="124"/>
      <x:c r="H1140" s="124"/>
      <x:c r="I1140" s="124"/>
      <x:c r="J1140" s="124"/>
      <x:c r="M1140" s="126"/>
      <x:c r="P1140" s="126"/>
      <x:c r="Q1140" s="126"/>
      <x:c r="R1140" s="126"/>
      <x:c r="S1140" s="124"/>
      <x:c r="T1140" s="124"/>
      <x:c r="U1140" s="124"/>
      <x:c r="V1140" s="124"/>
      <x:c r="W1140" s="124"/>
      <x:c r="X1140" s="124"/>
      <x:c r="AD1140"/>
      <x:c r="AE1140" s="145"/>
      <x:c r="AF1140" s="145"/>
      <x:c r="AG1140" s="145"/>
      <x:c r="AH1140" s="145"/>
      <x:c r="AI1140" s="145"/>
      <x:c r="AJ1140"/>
    </x:row>
    <x:row r="1141">
      <x:c r="F1141" s="124"/>
      <x:c r="G1141" s="124"/>
      <x:c r="H1141" s="124"/>
      <x:c r="I1141" s="124"/>
      <x:c r="J1141" s="124"/>
      <x:c r="M1141" s="126"/>
      <x:c r="P1141" s="126"/>
      <x:c r="Q1141" s="126"/>
      <x:c r="R1141" s="126"/>
      <x:c r="S1141" s="124"/>
      <x:c r="T1141" s="124"/>
      <x:c r="U1141" s="124"/>
      <x:c r="V1141" s="124"/>
      <x:c r="W1141" s="124"/>
      <x:c r="X1141" s="124"/>
      <x:c r="AD1141"/>
      <x:c r="AE1141" s="145"/>
      <x:c r="AF1141" s="145"/>
      <x:c r="AG1141" s="145"/>
      <x:c r="AH1141" s="145"/>
      <x:c r="AI1141" s="145"/>
      <x:c r="AJ1141"/>
    </x:row>
    <x:row r="1142">
      <x:c r="F1142" s="124"/>
      <x:c r="G1142" s="124"/>
      <x:c r="H1142" s="124"/>
      <x:c r="I1142" s="124"/>
      <x:c r="J1142" s="124"/>
      <x:c r="M1142" s="126"/>
      <x:c r="P1142" s="126"/>
      <x:c r="Q1142" s="126"/>
      <x:c r="R1142" s="126"/>
      <x:c r="S1142" s="124"/>
      <x:c r="T1142" s="124"/>
      <x:c r="U1142" s="124"/>
      <x:c r="V1142" s="124"/>
      <x:c r="W1142" s="124"/>
      <x:c r="X1142" s="124"/>
      <x:c r="AD1142"/>
      <x:c r="AE1142" s="145"/>
      <x:c r="AF1142" s="145"/>
      <x:c r="AG1142" s="145"/>
      <x:c r="AH1142" s="145"/>
      <x:c r="AI1142" s="145"/>
      <x:c r="AJ1142"/>
    </x:row>
    <x:row r="1143">
      <x:c r="F1143" s="124"/>
      <x:c r="G1143" s="124"/>
      <x:c r="H1143" s="124"/>
      <x:c r="I1143" s="124"/>
      <x:c r="J1143" s="124"/>
      <x:c r="M1143" s="126"/>
      <x:c r="P1143" s="126"/>
      <x:c r="Q1143" s="126"/>
      <x:c r="R1143" s="126"/>
      <x:c r="S1143" s="124"/>
      <x:c r="T1143" s="124"/>
      <x:c r="U1143" s="124"/>
      <x:c r="V1143" s="124"/>
      <x:c r="W1143" s="124"/>
      <x:c r="X1143" s="124"/>
      <x:c r="AD1143"/>
      <x:c r="AE1143" s="145"/>
      <x:c r="AF1143" s="145"/>
      <x:c r="AG1143" s="145"/>
      <x:c r="AH1143" s="145"/>
      <x:c r="AI1143" s="145"/>
      <x:c r="AJ1143"/>
    </x:row>
    <x:row r="1144">
      <x:c r="F1144" s="124"/>
      <x:c r="G1144" s="124"/>
      <x:c r="H1144" s="124"/>
      <x:c r="I1144" s="124"/>
      <x:c r="J1144" s="124"/>
      <x:c r="M1144" s="126"/>
      <x:c r="P1144" s="126"/>
      <x:c r="Q1144" s="126"/>
      <x:c r="R1144" s="126"/>
      <x:c r="S1144" s="124"/>
      <x:c r="T1144" s="124"/>
      <x:c r="U1144" s="124"/>
      <x:c r="V1144" s="124"/>
      <x:c r="W1144" s="124"/>
      <x:c r="X1144" s="124"/>
      <x:c r="AD1144"/>
      <x:c r="AE1144" s="145"/>
      <x:c r="AF1144" s="145"/>
      <x:c r="AG1144" s="145"/>
      <x:c r="AH1144" s="145"/>
      <x:c r="AI1144" s="145"/>
      <x:c r="AJ1144"/>
    </x:row>
    <x:row r="1145">
      <x:c r="F1145" s="124"/>
      <x:c r="G1145" s="124"/>
      <x:c r="H1145" s="124"/>
      <x:c r="I1145" s="124"/>
      <x:c r="J1145" s="124"/>
      <x:c r="M1145" s="126"/>
      <x:c r="P1145" s="126"/>
      <x:c r="Q1145" s="126"/>
      <x:c r="R1145" s="126"/>
      <x:c r="S1145" s="124"/>
      <x:c r="T1145" s="124"/>
      <x:c r="U1145" s="124"/>
      <x:c r="V1145" s="124"/>
      <x:c r="W1145" s="124"/>
      <x:c r="X1145" s="124"/>
      <x:c r="AD1145"/>
      <x:c r="AE1145" s="145"/>
      <x:c r="AF1145" s="145"/>
      <x:c r="AG1145" s="145"/>
      <x:c r="AH1145" s="145"/>
      <x:c r="AI1145" s="145"/>
      <x:c r="AJ1145"/>
    </x:row>
    <x:row r="1146">
      <x:c r="F1146" s="124"/>
      <x:c r="G1146" s="124"/>
      <x:c r="H1146" s="124"/>
      <x:c r="I1146" s="124"/>
      <x:c r="J1146" s="124"/>
      <x:c r="M1146" s="126"/>
      <x:c r="P1146" s="126"/>
      <x:c r="Q1146" s="126"/>
      <x:c r="R1146" s="126"/>
      <x:c r="S1146" s="124"/>
      <x:c r="T1146" s="124"/>
      <x:c r="U1146" s="124"/>
      <x:c r="V1146" s="124"/>
      <x:c r="W1146" s="124"/>
      <x:c r="X1146" s="124"/>
      <x:c r="AD1146"/>
      <x:c r="AE1146" s="145"/>
      <x:c r="AF1146" s="145"/>
      <x:c r="AG1146" s="145"/>
      <x:c r="AH1146" s="145"/>
      <x:c r="AI1146" s="145"/>
      <x:c r="AJ1146"/>
    </x:row>
    <x:row r="1147">
      <x:c r="F1147" s="124"/>
      <x:c r="G1147" s="124"/>
      <x:c r="H1147" s="124"/>
      <x:c r="I1147" s="124"/>
      <x:c r="J1147" s="124"/>
      <x:c r="M1147" s="126"/>
      <x:c r="P1147" s="126"/>
      <x:c r="Q1147" s="126"/>
      <x:c r="R1147" s="126"/>
      <x:c r="S1147" s="124"/>
      <x:c r="T1147" s="124"/>
      <x:c r="U1147" s="124"/>
      <x:c r="V1147" s="124"/>
      <x:c r="W1147" s="124"/>
      <x:c r="X1147" s="124"/>
      <x:c r="AD1147"/>
      <x:c r="AE1147" s="145"/>
      <x:c r="AF1147" s="145"/>
      <x:c r="AG1147" s="145"/>
      <x:c r="AH1147" s="145"/>
      <x:c r="AI1147" s="145"/>
      <x:c r="AJ1147"/>
    </x:row>
    <x:row r="1148">
      <x:c r="F1148" s="124"/>
      <x:c r="G1148" s="124"/>
      <x:c r="H1148" s="124"/>
      <x:c r="I1148" s="124"/>
      <x:c r="J1148" s="124"/>
      <x:c r="M1148" s="126"/>
      <x:c r="P1148" s="126"/>
      <x:c r="Q1148" s="126"/>
      <x:c r="R1148" s="126"/>
      <x:c r="S1148" s="124"/>
      <x:c r="T1148" s="124"/>
      <x:c r="U1148" s="124"/>
      <x:c r="V1148" s="124"/>
      <x:c r="W1148" s="124"/>
      <x:c r="X1148" s="124"/>
      <x:c r="AD1148"/>
      <x:c r="AE1148" s="145"/>
      <x:c r="AF1148" s="145"/>
      <x:c r="AG1148" s="145"/>
      <x:c r="AH1148" s="145"/>
      <x:c r="AI1148" s="145"/>
      <x:c r="AJ1148"/>
    </x:row>
    <x:row r="1149">
      <x:c r="F1149" s="124"/>
      <x:c r="G1149" s="124"/>
      <x:c r="H1149" s="124"/>
      <x:c r="I1149" s="124"/>
      <x:c r="J1149" s="124"/>
      <x:c r="M1149" s="126"/>
      <x:c r="P1149" s="126"/>
      <x:c r="Q1149" s="126"/>
      <x:c r="R1149" s="126"/>
      <x:c r="S1149" s="124"/>
      <x:c r="T1149" s="124"/>
      <x:c r="U1149" s="124"/>
      <x:c r="V1149" s="124"/>
      <x:c r="W1149" s="124"/>
      <x:c r="X1149" s="124"/>
      <x:c r="AD1149"/>
      <x:c r="AE1149" s="145"/>
      <x:c r="AF1149" s="145"/>
      <x:c r="AG1149" s="145"/>
      <x:c r="AH1149" s="145"/>
      <x:c r="AI1149" s="145"/>
      <x:c r="AJ1149"/>
    </x:row>
    <x:row r="1150">
      <x:c r="F1150" s="124"/>
      <x:c r="G1150" s="124"/>
      <x:c r="H1150" s="124"/>
      <x:c r="I1150" s="124"/>
      <x:c r="J1150" s="124"/>
      <x:c r="M1150" s="126"/>
      <x:c r="P1150" s="126"/>
      <x:c r="Q1150" s="126"/>
      <x:c r="R1150" s="126"/>
      <x:c r="S1150" s="124"/>
      <x:c r="T1150" s="124"/>
      <x:c r="U1150" s="124"/>
      <x:c r="V1150" s="124"/>
      <x:c r="W1150" s="124"/>
      <x:c r="X1150" s="124"/>
      <x:c r="AD1150"/>
      <x:c r="AE1150" s="145"/>
      <x:c r="AF1150" s="145"/>
      <x:c r="AG1150" s="145"/>
      <x:c r="AH1150" s="145"/>
      <x:c r="AI1150" s="145"/>
      <x:c r="AJ1150"/>
    </x:row>
    <x:row r="1151">
      <x:c r="F1151" s="124"/>
      <x:c r="G1151" s="124"/>
      <x:c r="H1151" s="124"/>
      <x:c r="I1151" s="124"/>
      <x:c r="J1151" s="124"/>
      <x:c r="M1151" s="126"/>
      <x:c r="P1151" s="126"/>
      <x:c r="Q1151" s="126"/>
      <x:c r="R1151" s="126"/>
      <x:c r="S1151" s="124"/>
      <x:c r="T1151" s="124"/>
      <x:c r="U1151" s="124"/>
      <x:c r="V1151" s="124"/>
      <x:c r="W1151" s="124"/>
      <x:c r="X1151" s="124"/>
      <x:c r="AD1151"/>
      <x:c r="AE1151" s="145"/>
      <x:c r="AF1151" s="145"/>
      <x:c r="AG1151" s="145"/>
      <x:c r="AH1151" s="145"/>
      <x:c r="AI1151" s="145"/>
      <x:c r="AJ1151"/>
    </x:row>
    <x:row r="1152">
      <x:c r="F1152" s="124"/>
      <x:c r="G1152" s="124"/>
      <x:c r="H1152" s="124"/>
      <x:c r="I1152" s="124"/>
      <x:c r="J1152" s="124"/>
      <x:c r="M1152" s="126"/>
      <x:c r="P1152" s="126"/>
      <x:c r="Q1152" s="126"/>
      <x:c r="R1152" s="126"/>
      <x:c r="S1152" s="124"/>
      <x:c r="T1152" s="124"/>
      <x:c r="U1152" s="124"/>
      <x:c r="V1152" s="124"/>
      <x:c r="W1152" s="124"/>
      <x:c r="X1152" s="124"/>
      <x:c r="AD1152"/>
      <x:c r="AE1152" s="145"/>
      <x:c r="AF1152" s="145"/>
      <x:c r="AG1152" s="145"/>
      <x:c r="AH1152" s="145"/>
      <x:c r="AI1152" s="145"/>
      <x:c r="AJ1152"/>
    </x:row>
    <x:row r="1153">
      <x:c r="F1153" s="124"/>
      <x:c r="G1153" s="124"/>
      <x:c r="H1153" s="124"/>
      <x:c r="I1153" s="124"/>
      <x:c r="J1153" s="124"/>
      <x:c r="M1153" s="126"/>
      <x:c r="P1153" s="126"/>
      <x:c r="Q1153" s="126"/>
      <x:c r="R1153" s="126"/>
      <x:c r="S1153" s="124"/>
      <x:c r="T1153" s="124"/>
      <x:c r="U1153" s="124"/>
      <x:c r="V1153" s="124"/>
      <x:c r="W1153" s="124"/>
      <x:c r="X1153" s="124"/>
      <x:c r="AD1153"/>
      <x:c r="AE1153" s="145"/>
      <x:c r="AF1153" s="145"/>
      <x:c r="AG1153" s="145"/>
      <x:c r="AH1153" s="145"/>
      <x:c r="AI1153" s="145"/>
      <x:c r="AJ1153"/>
    </x:row>
    <x:row r="1154">
      <x:c r="F1154" s="124"/>
      <x:c r="G1154" s="124"/>
      <x:c r="H1154" s="124"/>
      <x:c r="I1154" s="124"/>
      <x:c r="J1154" s="124"/>
      <x:c r="M1154" s="126"/>
      <x:c r="P1154" s="126"/>
      <x:c r="Q1154" s="126"/>
      <x:c r="R1154" s="126"/>
      <x:c r="S1154" s="124"/>
      <x:c r="T1154" s="124"/>
      <x:c r="U1154" s="124"/>
      <x:c r="V1154" s="124"/>
      <x:c r="W1154" s="124"/>
      <x:c r="X1154" s="124"/>
      <x:c r="AD1154"/>
      <x:c r="AE1154" s="145"/>
      <x:c r="AF1154" s="145"/>
      <x:c r="AG1154" s="145"/>
      <x:c r="AH1154" s="145"/>
      <x:c r="AI1154" s="145"/>
      <x:c r="AJ1154"/>
    </x:row>
    <x:row r="1155">
      <x:c r="F1155" s="124"/>
      <x:c r="G1155" s="124"/>
      <x:c r="H1155" s="124"/>
      <x:c r="I1155" s="124"/>
      <x:c r="J1155" s="124"/>
      <x:c r="M1155" s="126"/>
      <x:c r="P1155" s="126"/>
      <x:c r="Q1155" s="126"/>
      <x:c r="R1155" s="126"/>
      <x:c r="S1155" s="124"/>
      <x:c r="T1155" s="124"/>
      <x:c r="U1155" s="124"/>
      <x:c r="V1155" s="124"/>
      <x:c r="W1155" s="124"/>
      <x:c r="X1155" s="124"/>
      <x:c r="AD1155"/>
      <x:c r="AE1155" s="145"/>
      <x:c r="AF1155" s="145"/>
      <x:c r="AG1155" s="145"/>
      <x:c r="AH1155" s="145"/>
      <x:c r="AI1155" s="145"/>
      <x:c r="AJ1155"/>
    </x:row>
    <x:row r="1156">
      <x:c r="F1156" s="124"/>
      <x:c r="G1156" s="124"/>
      <x:c r="H1156" s="124"/>
      <x:c r="I1156" s="124"/>
      <x:c r="J1156" s="124"/>
      <x:c r="M1156" s="126"/>
      <x:c r="P1156" s="126"/>
      <x:c r="Q1156" s="126"/>
      <x:c r="R1156" s="126"/>
      <x:c r="S1156" s="124"/>
      <x:c r="T1156" s="124"/>
      <x:c r="U1156" s="124"/>
      <x:c r="V1156" s="124"/>
      <x:c r="W1156" s="124"/>
      <x:c r="X1156" s="124"/>
      <x:c r="AD1156"/>
      <x:c r="AE1156" s="145"/>
      <x:c r="AF1156" s="145"/>
      <x:c r="AG1156" s="145"/>
      <x:c r="AH1156" s="145"/>
      <x:c r="AI1156" s="145"/>
      <x:c r="AJ1156"/>
    </x:row>
    <x:row r="1157">
      <x:c r="F1157" s="124"/>
      <x:c r="G1157" s="124"/>
      <x:c r="H1157" s="124"/>
      <x:c r="I1157" s="124"/>
      <x:c r="J1157" s="124"/>
      <x:c r="M1157" s="126"/>
      <x:c r="P1157" s="126"/>
      <x:c r="Q1157" s="126"/>
      <x:c r="R1157" s="126"/>
      <x:c r="S1157" s="124"/>
      <x:c r="T1157" s="124"/>
      <x:c r="U1157" s="124"/>
      <x:c r="V1157" s="124"/>
      <x:c r="W1157" s="124"/>
      <x:c r="X1157" s="124"/>
      <x:c r="AD1157"/>
      <x:c r="AE1157" s="145"/>
      <x:c r="AF1157" s="145"/>
      <x:c r="AG1157" s="145"/>
      <x:c r="AH1157" s="145"/>
      <x:c r="AI1157" s="145"/>
      <x:c r="AJ1157"/>
    </x:row>
    <x:row r="1158">
      <x:c r="F1158" s="124"/>
      <x:c r="G1158" s="124"/>
      <x:c r="H1158" s="124"/>
      <x:c r="I1158" s="124"/>
      <x:c r="J1158" s="124"/>
      <x:c r="M1158" s="126"/>
      <x:c r="P1158" s="126"/>
      <x:c r="Q1158" s="126"/>
      <x:c r="R1158" s="126"/>
      <x:c r="S1158" s="124"/>
      <x:c r="T1158" s="124"/>
      <x:c r="U1158" s="124"/>
      <x:c r="V1158" s="124"/>
      <x:c r="W1158" s="124"/>
      <x:c r="X1158" s="124"/>
      <x:c r="AD1158"/>
      <x:c r="AE1158" s="145"/>
      <x:c r="AF1158" s="145"/>
      <x:c r="AG1158" s="145"/>
      <x:c r="AH1158" s="145"/>
      <x:c r="AI1158" s="145"/>
      <x:c r="AJ1158"/>
    </x:row>
    <x:row r="1159">
      <x:c r="F1159" s="124"/>
      <x:c r="G1159" s="124"/>
      <x:c r="H1159" s="124"/>
      <x:c r="I1159" s="124"/>
      <x:c r="J1159" s="124"/>
      <x:c r="M1159" s="126"/>
      <x:c r="P1159" s="126"/>
      <x:c r="Q1159" s="126"/>
      <x:c r="R1159" s="126"/>
      <x:c r="S1159" s="124"/>
      <x:c r="T1159" s="124"/>
      <x:c r="U1159" s="124"/>
      <x:c r="V1159" s="124"/>
      <x:c r="W1159" s="124"/>
      <x:c r="X1159" s="124"/>
      <x:c r="AD1159"/>
      <x:c r="AE1159" s="145"/>
      <x:c r="AF1159" s="145"/>
      <x:c r="AG1159" s="145"/>
      <x:c r="AH1159" s="145"/>
      <x:c r="AI1159" s="145"/>
      <x:c r="AJ1159"/>
    </x:row>
    <x:row r="1160">
      <x:c r="F1160" s="124"/>
      <x:c r="G1160" s="124"/>
      <x:c r="H1160" s="124"/>
      <x:c r="I1160" s="124"/>
      <x:c r="J1160" s="124"/>
      <x:c r="M1160" s="126"/>
      <x:c r="P1160" s="126"/>
      <x:c r="Q1160" s="126"/>
      <x:c r="R1160" s="126"/>
      <x:c r="S1160" s="124"/>
      <x:c r="T1160" s="124"/>
      <x:c r="U1160" s="124"/>
      <x:c r="V1160" s="124"/>
      <x:c r="W1160" s="124"/>
      <x:c r="X1160" s="124"/>
      <x:c r="AD1160"/>
      <x:c r="AE1160" s="145"/>
      <x:c r="AF1160" s="145"/>
      <x:c r="AG1160" s="145"/>
      <x:c r="AH1160" s="145"/>
      <x:c r="AI1160" s="145"/>
      <x:c r="AJ1160"/>
    </x:row>
    <x:row r="1161">
      <x:c r="F1161" s="124"/>
      <x:c r="G1161" s="124"/>
      <x:c r="H1161" s="124"/>
      <x:c r="I1161" s="124"/>
      <x:c r="J1161" s="124"/>
      <x:c r="M1161" s="126"/>
      <x:c r="P1161" s="126"/>
      <x:c r="Q1161" s="126"/>
      <x:c r="R1161" s="126"/>
      <x:c r="S1161" s="124"/>
      <x:c r="T1161" s="124"/>
      <x:c r="U1161" s="124"/>
      <x:c r="V1161" s="124"/>
      <x:c r="W1161" s="124"/>
      <x:c r="X1161" s="124"/>
      <x:c r="AD1161"/>
      <x:c r="AE1161" s="145"/>
      <x:c r="AF1161" s="145"/>
      <x:c r="AG1161" s="145"/>
      <x:c r="AH1161" s="145"/>
      <x:c r="AI1161" s="145"/>
      <x:c r="AJ1161"/>
    </x:row>
    <x:row r="1162">
      <x:c r="F1162" s="124"/>
      <x:c r="G1162" s="124"/>
      <x:c r="H1162" s="124"/>
      <x:c r="I1162" s="124"/>
      <x:c r="J1162" s="124"/>
      <x:c r="M1162" s="126"/>
      <x:c r="P1162" s="126"/>
      <x:c r="Q1162" s="126"/>
      <x:c r="R1162" s="126"/>
      <x:c r="S1162" s="124"/>
      <x:c r="T1162" s="124"/>
      <x:c r="U1162" s="124"/>
      <x:c r="V1162" s="124"/>
      <x:c r="W1162" s="124"/>
      <x:c r="X1162" s="124"/>
      <x:c r="AD1162"/>
      <x:c r="AE1162" s="145"/>
      <x:c r="AF1162" s="145"/>
      <x:c r="AG1162" s="145"/>
      <x:c r="AH1162" s="145"/>
      <x:c r="AI1162" s="145"/>
      <x:c r="AJ1162"/>
    </x:row>
    <x:row r="1163">
      <x:c r="F1163" s="124"/>
      <x:c r="G1163" s="124"/>
      <x:c r="H1163" s="124"/>
      <x:c r="I1163" s="124"/>
      <x:c r="J1163" s="124"/>
      <x:c r="M1163" s="126"/>
      <x:c r="P1163" s="126"/>
      <x:c r="Q1163" s="126"/>
      <x:c r="R1163" s="126"/>
      <x:c r="S1163" s="124"/>
      <x:c r="T1163" s="124"/>
      <x:c r="U1163" s="124"/>
      <x:c r="V1163" s="124"/>
      <x:c r="W1163" s="124"/>
      <x:c r="X1163" s="124"/>
      <x:c r="AD1163"/>
      <x:c r="AE1163" s="145"/>
      <x:c r="AF1163" s="145"/>
      <x:c r="AG1163" s="145"/>
      <x:c r="AH1163" s="145"/>
      <x:c r="AI1163" s="145"/>
      <x:c r="AJ1163"/>
    </x:row>
    <x:row r="1164">
      <x:c r="F1164" s="124"/>
      <x:c r="G1164" s="124"/>
      <x:c r="H1164" s="124"/>
      <x:c r="I1164" s="124"/>
      <x:c r="J1164" s="124"/>
      <x:c r="M1164" s="126"/>
      <x:c r="P1164" s="126"/>
      <x:c r="Q1164" s="126"/>
      <x:c r="R1164" s="126"/>
      <x:c r="S1164" s="124"/>
      <x:c r="T1164" s="124"/>
      <x:c r="U1164" s="124"/>
      <x:c r="V1164" s="124"/>
      <x:c r="W1164" s="124"/>
      <x:c r="X1164" s="124"/>
      <x:c r="AD1164"/>
      <x:c r="AE1164" s="145"/>
      <x:c r="AF1164" s="145"/>
      <x:c r="AG1164" s="145"/>
      <x:c r="AH1164" s="145"/>
      <x:c r="AI1164" s="145"/>
      <x:c r="AJ1164"/>
    </x:row>
    <x:row r="1165">
      <x:c r="F1165" s="124"/>
      <x:c r="G1165" s="124"/>
      <x:c r="H1165" s="124"/>
      <x:c r="I1165" s="124"/>
      <x:c r="J1165" s="124"/>
      <x:c r="M1165" s="126"/>
      <x:c r="P1165" s="126"/>
      <x:c r="Q1165" s="126"/>
      <x:c r="R1165" s="126"/>
      <x:c r="S1165" s="124"/>
      <x:c r="T1165" s="124"/>
      <x:c r="U1165" s="124"/>
      <x:c r="V1165" s="124"/>
      <x:c r="W1165" s="124"/>
      <x:c r="X1165" s="124"/>
      <x:c r="AD1165"/>
      <x:c r="AE1165" s="145"/>
      <x:c r="AF1165" s="145"/>
      <x:c r="AG1165" s="145"/>
      <x:c r="AH1165" s="145"/>
      <x:c r="AI1165" s="145"/>
      <x:c r="AJ1165"/>
    </x:row>
    <x:row r="1166">
      <x:c r="F1166" s="124"/>
      <x:c r="G1166" s="124"/>
      <x:c r="H1166" s="124"/>
      <x:c r="I1166" s="124"/>
      <x:c r="J1166" s="124"/>
      <x:c r="M1166" s="126"/>
      <x:c r="P1166" s="126"/>
      <x:c r="Q1166" s="126"/>
      <x:c r="R1166" s="126"/>
      <x:c r="S1166" s="124"/>
      <x:c r="T1166" s="124"/>
      <x:c r="U1166" s="124"/>
      <x:c r="V1166" s="124"/>
      <x:c r="W1166" s="124"/>
      <x:c r="X1166" s="124"/>
      <x:c r="AD1166"/>
      <x:c r="AE1166" s="145"/>
      <x:c r="AF1166" s="145"/>
      <x:c r="AG1166" s="145"/>
      <x:c r="AH1166" s="145"/>
      <x:c r="AI1166" s="145"/>
      <x:c r="AJ1166"/>
    </x:row>
    <x:row r="1167">
      <x:c r="F1167" s="124"/>
      <x:c r="G1167" s="124"/>
      <x:c r="H1167" s="124"/>
      <x:c r="I1167" s="124"/>
      <x:c r="J1167" s="124"/>
      <x:c r="M1167" s="126"/>
      <x:c r="P1167" s="126"/>
      <x:c r="Q1167" s="126"/>
      <x:c r="R1167" s="126"/>
      <x:c r="S1167" s="124"/>
      <x:c r="T1167" s="124"/>
      <x:c r="U1167" s="124"/>
      <x:c r="V1167" s="124"/>
      <x:c r="W1167" s="124"/>
      <x:c r="X1167" s="124"/>
      <x:c r="AD1167"/>
      <x:c r="AE1167" s="145"/>
      <x:c r="AF1167" s="145"/>
      <x:c r="AG1167" s="145"/>
      <x:c r="AH1167" s="145"/>
      <x:c r="AI1167" s="145"/>
      <x:c r="AJ1167"/>
    </x:row>
    <x:row r="1168">
      <x:c r="F1168" s="124"/>
      <x:c r="G1168" s="124"/>
      <x:c r="H1168" s="124"/>
      <x:c r="I1168" s="124"/>
      <x:c r="J1168" s="124"/>
      <x:c r="M1168" s="126"/>
      <x:c r="P1168" s="126"/>
      <x:c r="Q1168" s="126"/>
      <x:c r="R1168" s="126"/>
      <x:c r="S1168" s="124"/>
      <x:c r="T1168" s="124"/>
      <x:c r="U1168" s="124"/>
      <x:c r="V1168" s="124"/>
      <x:c r="W1168" s="124"/>
      <x:c r="X1168" s="124"/>
      <x:c r="AD1168"/>
      <x:c r="AE1168" s="145"/>
      <x:c r="AF1168" s="145"/>
      <x:c r="AG1168" s="145"/>
      <x:c r="AH1168" s="145"/>
      <x:c r="AI1168" s="145"/>
      <x:c r="AJ1168"/>
    </x:row>
    <x:row r="1169">
      <x:c r="F1169" s="124"/>
      <x:c r="G1169" s="124"/>
      <x:c r="H1169" s="124"/>
      <x:c r="I1169" s="124"/>
      <x:c r="J1169" s="124"/>
      <x:c r="M1169" s="126"/>
      <x:c r="P1169" s="126"/>
      <x:c r="Q1169" s="126"/>
      <x:c r="R1169" s="126"/>
      <x:c r="S1169" s="124"/>
      <x:c r="T1169" s="124"/>
      <x:c r="U1169" s="124"/>
      <x:c r="V1169" s="124"/>
      <x:c r="W1169" s="124"/>
      <x:c r="X1169" s="124"/>
      <x:c r="AD1169"/>
      <x:c r="AE1169" s="145"/>
      <x:c r="AF1169" s="145"/>
      <x:c r="AG1169" s="145"/>
      <x:c r="AH1169" s="145"/>
      <x:c r="AI1169" s="145"/>
      <x:c r="AJ1169"/>
    </x:row>
    <x:row r="1170">
      <x:c r="F1170" s="124"/>
      <x:c r="G1170" s="124"/>
      <x:c r="H1170" s="124"/>
      <x:c r="I1170" s="124"/>
      <x:c r="J1170" s="124"/>
      <x:c r="M1170" s="126"/>
      <x:c r="P1170" s="126"/>
      <x:c r="Q1170" s="126"/>
      <x:c r="R1170" s="126"/>
      <x:c r="S1170" s="124"/>
      <x:c r="T1170" s="124"/>
      <x:c r="U1170" s="124"/>
      <x:c r="V1170" s="124"/>
      <x:c r="W1170" s="124"/>
      <x:c r="X1170" s="124"/>
      <x:c r="AD1170"/>
      <x:c r="AE1170" s="145"/>
      <x:c r="AF1170" s="145"/>
      <x:c r="AG1170" s="145"/>
      <x:c r="AH1170" s="145"/>
      <x:c r="AI1170" s="145"/>
      <x:c r="AJ1170"/>
    </x:row>
    <x:row r="1171">
      <x:c r="F1171" s="124"/>
      <x:c r="G1171" s="124"/>
      <x:c r="H1171" s="124"/>
      <x:c r="I1171" s="124"/>
      <x:c r="J1171" s="124"/>
      <x:c r="M1171" s="126"/>
      <x:c r="P1171" s="126"/>
      <x:c r="Q1171" s="126"/>
      <x:c r="R1171" s="126"/>
      <x:c r="S1171" s="124"/>
      <x:c r="T1171" s="124"/>
      <x:c r="U1171" s="124"/>
      <x:c r="V1171" s="124"/>
      <x:c r="W1171" s="124"/>
      <x:c r="X1171" s="124"/>
      <x:c r="AD1171"/>
      <x:c r="AE1171" s="145"/>
      <x:c r="AF1171" s="145"/>
      <x:c r="AG1171" s="145"/>
      <x:c r="AH1171" s="145"/>
      <x:c r="AI1171" s="145"/>
      <x:c r="AJ1171"/>
    </x:row>
    <x:row r="1172">
      <x:c r="F1172" s="124"/>
      <x:c r="G1172" s="124"/>
      <x:c r="H1172" s="124"/>
      <x:c r="I1172" s="124"/>
      <x:c r="J1172" s="124"/>
      <x:c r="M1172" s="126"/>
      <x:c r="P1172" s="126"/>
      <x:c r="Q1172" s="126"/>
      <x:c r="R1172" s="126"/>
      <x:c r="S1172" s="124"/>
      <x:c r="T1172" s="124"/>
      <x:c r="U1172" s="124"/>
      <x:c r="V1172" s="124"/>
      <x:c r="W1172" s="124"/>
      <x:c r="X1172" s="124"/>
      <x:c r="AD1172"/>
      <x:c r="AE1172" s="145"/>
      <x:c r="AF1172" s="145"/>
      <x:c r="AG1172" s="145"/>
      <x:c r="AH1172" s="145"/>
      <x:c r="AI1172" s="145"/>
      <x:c r="AJ1172"/>
    </x:row>
    <x:row r="1173">
      <x:c r="F1173" s="124"/>
      <x:c r="G1173" s="124"/>
      <x:c r="H1173" s="124"/>
      <x:c r="I1173" s="124"/>
      <x:c r="J1173" s="124"/>
      <x:c r="M1173" s="126"/>
      <x:c r="P1173" s="126"/>
      <x:c r="Q1173" s="126"/>
      <x:c r="R1173" s="126"/>
      <x:c r="S1173" s="124"/>
      <x:c r="T1173" s="124"/>
      <x:c r="U1173" s="124"/>
      <x:c r="V1173" s="124"/>
      <x:c r="W1173" s="124"/>
      <x:c r="X1173" s="124"/>
      <x:c r="AD1173"/>
      <x:c r="AE1173" s="145"/>
      <x:c r="AF1173" s="145"/>
      <x:c r="AG1173" s="145"/>
      <x:c r="AH1173" s="145"/>
      <x:c r="AI1173" s="145"/>
      <x:c r="AJ1173"/>
    </x:row>
    <x:row r="1174">
      <x:c r="F1174" s="124"/>
      <x:c r="G1174" s="124"/>
      <x:c r="H1174" s="124"/>
      <x:c r="I1174" s="124"/>
      <x:c r="J1174" s="124"/>
      <x:c r="M1174" s="126"/>
      <x:c r="P1174" s="126"/>
      <x:c r="Q1174" s="126"/>
      <x:c r="R1174" s="126"/>
      <x:c r="S1174" s="124"/>
      <x:c r="T1174" s="124"/>
      <x:c r="U1174" s="124"/>
      <x:c r="V1174" s="124"/>
      <x:c r="W1174" s="124"/>
      <x:c r="X1174" s="124"/>
      <x:c r="AD1174"/>
      <x:c r="AE1174" s="145"/>
      <x:c r="AF1174" s="145"/>
      <x:c r="AG1174" s="145"/>
      <x:c r="AH1174" s="145"/>
      <x:c r="AI1174" s="145"/>
      <x:c r="AJ1174"/>
    </x:row>
    <x:row r="1175">
      <x:c r="F1175" s="124"/>
      <x:c r="G1175" s="124"/>
      <x:c r="H1175" s="124"/>
      <x:c r="I1175" s="124"/>
      <x:c r="J1175" s="124"/>
      <x:c r="M1175" s="126"/>
      <x:c r="P1175" s="126"/>
      <x:c r="Q1175" s="126"/>
      <x:c r="R1175" s="126"/>
      <x:c r="S1175" s="124"/>
      <x:c r="T1175" s="124"/>
      <x:c r="U1175" s="124"/>
      <x:c r="V1175" s="124"/>
      <x:c r="W1175" s="124"/>
      <x:c r="X1175" s="124"/>
      <x:c r="AD1175"/>
      <x:c r="AE1175" s="145"/>
      <x:c r="AF1175" s="145"/>
      <x:c r="AG1175" s="145"/>
      <x:c r="AH1175" s="145"/>
      <x:c r="AI1175" s="145"/>
      <x:c r="AJ1175"/>
    </x:row>
    <x:row r="1176">
      <x:c r="F1176" s="124"/>
      <x:c r="G1176" s="124"/>
      <x:c r="H1176" s="124"/>
      <x:c r="I1176" s="124"/>
      <x:c r="J1176" s="124"/>
      <x:c r="M1176" s="126"/>
      <x:c r="P1176" s="126"/>
      <x:c r="Q1176" s="126"/>
      <x:c r="R1176" s="126"/>
      <x:c r="S1176" s="124"/>
      <x:c r="T1176" s="124"/>
      <x:c r="U1176" s="124"/>
      <x:c r="V1176" s="124"/>
      <x:c r="W1176" s="124"/>
      <x:c r="X1176" s="124"/>
      <x:c r="AD1176"/>
      <x:c r="AE1176" s="145"/>
      <x:c r="AF1176" s="145"/>
      <x:c r="AG1176" s="145"/>
      <x:c r="AH1176" s="145"/>
      <x:c r="AI1176" s="145"/>
      <x:c r="AJ1176"/>
    </x:row>
    <x:row r="1177">
      <x:c r="F1177" s="124"/>
      <x:c r="G1177" s="124"/>
      <x:c r="H1177" s="124"/>
      <x:c r="I1177" s="124"/>
      <x:c r="J1177" s="124"/>
      <x:c r="M1177" s="126"/>
      <x:c r="P1177" s="126"/>
      <x:c r="Q1177" s="126"/>
      <x:c r="R1177" s="126"/>
      <x:c r="S1177" s="124"/>
      <x:c r="T1177" s="124"/>
      <x:c r="U1177" s="124"/>
      <x:c r="V1177" s="124"/>
      <x:c r="W1177" s="124"/>
      <x:c r="X1177" s="124"/>
      <x:c r="AD1177"/>
      <x:c r="AE1177" s="145"/>
      <x:c r="AF1177" s="145"/>
      <x:c r="AG1177" s="145"/>
      <x:c r="AH1177" s="145"/>
      <x:c r="AI1177" s="145"/>
      <x:c r="AJ1177"/>
    </x:row>
    <x:row r="1178">
      <x:c r="F1178" s="124"/>
      <x:c r="G1178" s="124"/>
      <x:c r="H1178" s="124"/>
      <x:c r="I1178" s="124"/>
      <x:c r="J1178" s="124"/>
      <x:c r="M1178" s="126"/>
      <x:c r="P1178" s="126"/>
      <x:c r="Q1178" s="126"/>
      <x:c r="R1178" s="126"/>
      <x:c r="S1178" s="124"/>
      <x:c r="T1178" s="124"/>
      <x:c r="U1178" s="124"/>
      <x:c r="V1178" s="124"/>
      <x:c r="W1178" s="124"/>
      <x:c r="X1178" s="124"/>
      <x:c r="AD1178"/>
      <x:c r="AE1178" s="145"/>
      <x:c r="AF1178" s="145"/>
      <x:c r="AG1178" s="145"/>
      <x:c r="AH1178" s="145"/>
      <x:c r="AI1178" s="145"/>
      <x:c r="AJ1178"/>
    </x:row>
    <x:row r="1179">
      <x:c r="F1179" s="124"/>
      <x:c r="G1179" s="124"/>
      <x:c r="H1179" s="124"/>
      <x:c r="I1179" s="124"/>
      <x:c r="J1179" s="124"/>
      <x:c r="M1179" s="126"/>
      <x:c r="P1179" s="126"/>
      <x:c r="Q1179" s="126"/>
      <x:c r="R1179" s="126"/>
      <x:c r="S1179" s="124"/>
      <x:c r="T1179" s="124"/>
      <x:c r="U1179" s="124"/>
      <x:c r="V1179" s="124"/>
      <x:c r="W1179" s="124"/>
      <x:c r="X1179" s="124"/>
      <x:c r="AD1179"/>
      <x:c r="AE1179" s="145"/>
      <x:c r="AF1179" s="145"/>
      <x:c r="AG1179" s="145"/>
      <x:c r="AH1179" s="145"/>
      <x:c r="AI1179" s="145"/>
      <x:c r="AJ1179"/>
    </x:row>
    <x:row r="1180">
      <x:c r="F1180" s="124"/>
      <x:c r="G1180" s="124"/>
      <x:c r="H1180" s="124"/>
      <x:c r="I1180" s="124"/>
      <x:c r="J1180" s="124"/>
      <x:c r="M1180" s="126"/>
      <x:c r="P1180" s="126"/>
      <x:c r="Q1180" s="126"/>
      <x:c r="R1180" s="126"/>
      <x:c r="S1180" s="124"/>
      <x:c r="T1180" s="124"/>
      <x:c r="U1180" s="124"/>
      <x:c r="V1180" s="124"/>
      <x:c r="W1180" s="124"/>
      <x:c r="X1180" s="124"/>
      <x:c r="AD1180"/>
      <x:c r="AE1180" s="145"/>
      <x:c r="AF1180" s="145"/>
      <x:c r="AG1180" s="145"/>
      <x:c r="AH1180" s="145"/>
      <x:c r="AI1180" s="145"/>
      <x:c r="AJ1180"/>
    </x:row>
    <x:row r="1181">
      <x:c r="F1181" s="124"/>
      <x:c r="G1181" s="124"/>
      <x:c r="H1181" s="124"/>
      <x:c r="I1181" s="124"/>
      <x:c r="J1181" s="124"/>
      <x:c r="M1181" s="126"/>
      <x:c r="P1181" s="126"/>
      <x:c r="Q1181" s="126"/>
      <x:c r="R1181" s="126"/>
      <x:c r="S1181" s="124"/>
      <x:c r="T1181" s="124"/>
      <x:c r="U1181" s="124"/>
      <x:c r="V1181" s="124"/>
      <x:c r="W1181" s="124"/>
      <x:c r="X1181" s="124"/>
      <x:c r="AD1181"/>
      <x:c r="AE1181" s="145"/>
      <x:c r="AF1181" s="145"/>
      <x:c r="AG1181" s="145"/>
      <x:c r="AH1181" s="145"/>
      <x:c r="AI1181" s="145"/>
      <x:c r="AJ1181"/>
    </x:row>
    <x:row r="1182">
      <x:c r="F1182" s="124"/>
      <x:c r="G1182" s="124"/>
      <x:c r="H1182" s="124"/>
      <x:c r="I1182" s="124"/>
      <x:c r="J1182" s="124"/>
      <x:c r="M1182" s="126"/>
      <x:c r="P1182" s="126"/>
      <x:c r="Q1182" s="126"/>
      <x:c r="R1182" s="126"/>
      <x:c r="S1182" s="124"/>
      <x:c r="T1182" s="124"/>
      <x:c r="U1182" s="124"/>
      <x:c r="V1182" s="124"/>
      <x:c r="W1182" s="124"/>
      <x:c r="X1182" s="124"/>
      <x:c r="AD1182"/>
      <x:c r="AE1182" s="145"/>
      <x:c r="AF1182" s="145"/>
      <x:c r="AG1182" s="145"/>
      <x:c r="AH1182" s="145"/>
      <x:c r="AI1182" s="145"/>
      <x:c r="AJ1182"/>
    </x:row>
    <x:row r="1183">
      <x:c r="F1183" s="124"/>
      <x:c r="G1183" s="124"/>
      <x:c r="H1183" s="124"/>
      <x:c r="I1183" s="124"/>
      <x:c r="J1183" s="124"/>
      <x:c r="M1183" s="126"/>
      <x:c r="P1183" s="126"/>
      <x:c r="Q1183" s="126"/>
      <x:c r="R1183" s="126"/>
      <x:c r="S1183" s="124"/>
      <x:c r="T1183" s="124"/>
      <x:c r="U1183" s="124"/>
      <x:c r="V1183" s="124"/>
      <x:c r="W1183" s="124"/>
      <x:c r="X1183" s="124"/>
      <x:c r="AD1183"/>
      <x:c r="AE1183" s="145"/>
      <x:c r="AF1183" s="145"/>
      <x:c r="AG1183" s="145"/>
      <x:c r="AH1183" s="145"/>
      <x:c r="AI1183" s="145"/>
      <x:c r="AJ1183"/>
    </x:row>
    <x:row r="1184">
      <x:c r="F1184" s="124"/>
      <x:c r="G1184" s="124"/>
      <x:c r="H1184" s="124"/>
      <x:c r="I1184" s="124"/>
      <x:c r="J1184" s="124"/>
      <x:c r="M1184" s="126"/>
      <x:c r="P1184" s="126"/>
      <x:c r="Q1184" s="126"/>
      <x:c r="R1184" s="126"/>
      <x:c r="S1184" s="124"/>
      <x:c r="T1184" s="124"/>
      <x:c r="U1184" s="124"/>
      <x:c r="V1184" s="124"/>
      <x:c r="W1184" s="124"/>
      <x:c r="X1184" s="124"/>
      <x:c r="AD1184"/>
      <x:c r="AE1184" s="145"/>
      <x:c r="AF1184" s="145"/>
      <x:c r="AG1184" s="145"/>
      <x:c r="AH1184" s="145"/>
      <x:c r="AI1184" s="145"/>
      <x:c r="AJ1184"/>
    </x:row>
    <x:row r="1185">
      <x:c r="F1185" s="124"/>
      <x:c r="G1185" s="124"/>
      <x:c r="H1185" s="124"/>
      <x:c r="I1185" s="124"/>
      <x:c r="J1185" s="124"/>
      <x:c r="M1185" s="126"/>
      <x:c r="P1185" s="126"/>
      <x:c r="Q1185" s="126"/>
      <x:c r="R1185" s="126"/>
      <x:c r="S1185" s="124"/>
      <x:c r="T1185" s="124"/>
      <x:c r="U1185" s="124"/>
      <x:c r="V1185" s="124"/>
      <x:c r="W1185" s="124"/>
      <x:c r="X1185" s="124"/>
      <x:c r="AD1185"/>
      <x:c r="AE1185" s="145"/>
      <x:c r="AF1185" s="145"/>
      <x:c r="AG1185" s="145"/>
      <x:c r="AH1185" s="145"/>
      <x:c r="AI1185" s="145"/>
      <x:c r="AJ1185"/>
    </x:row>
    <x:row r="1186">
      <x:c r="F1186" s="124"/>
      <x:c r="G1186" s="124"/>
      <x:c r="H1186" s="124"/>
      <x:c r="I1186" s="124"/>
      <x:c r="J1186" s="124"/>
      <x:c r="M1186" s="126"/>
      <x:c r="P1186" s="126"/>
      <x:c r="Q1186" s="126"/>
      <x:c r="R1186" s="126"/>
      <x:c r="S1186" s="124"/>
      <x:c r="T1186" s="124"/>
      <x:c r="U1186" s="124"/>
      <x:c r="V1186" s="124"/>
      <x:c r="W1186" s="124"/>
      <x:c r="X1186" s="124"/>
      <x:c r="AD1186"/>
      <x:c r="AE1186" s="145"/>
      <x:c r="AF1186" s="145"/>
      <x:c r="AG1186" s="145"/>
      <x:c r="AH1186" s="145"/>
      <x:c r="AI1186" s="145"/>
      <x:c r="AJ1186"/>
    </x:row>
    <x:row r="1187">
      <x:c r="F1187" s="124"/>
      <x:c r="G1187" s="124"/>
      <x:c r="H1187" s="124"/>
      <x:c r="I1187" s="124"/>
      <x:c r="J1187" s="124"/>
      <x:c r="M1187" s="126"/>
      <x:c r="P1187" s="126"/>
      <x:c r="Q1187" s="126"/>
      <x:c r="R1187" s="126"/>
      <x:c r="S1187" s="124"/>
      <x:c r="T1187" s="124"/>
      <x:c r="U1187" s="124"/>
      <x:c r="V1187" s="124"/>
      <x:c r="W1187" s="124"/>
      <x:c r="X1187" s="124"/>
      <x:c r="AD1187"/>
      <x:c r="AE1187" s="145"/>
      <x:c r="AF1187" s="145"/>
      <x:c r="AG1187" s="145"/>
      <x:c r="AH1187" s="145"/>
      <x:c r="AI1187" s="145"/>
      <x:c r="AJ1187"/>
    </x:row>
    <x:row r="1188">
      <x:c r="F1188" s="124"/>
      <x:c r="G1188" s="124"/>
      <x:c r="H1188" s="124"/>
      <x:c r="I1188" s="124"/>
      <x:c r="J1188" s="124"/>
      <x:c r="M1188" s="126"/>
      <x:c r="P1188" s="126"/>
      <x:c r="Q1188" s="126"/>
      <x:c r="R1188" s="126"/>
      <x:c r="S1188" s="124"/>
      <x:c r="T1188" s="124"/>
      <x:c r="U1188" s="124"/>
      <x:c r="V1188" s="124"/>
      <x:c r="W1188" s="124"/>
      <x:c r="X1188" s="124"/>
      <x:c r="AD1188"/>
      <x:c r="AE1188" s="145"/>
      <x:c r="AF1188" s="145"/>
      <x:c r="AG1188" s="145"/>
      <x:c r="AH1188" s="145"/>
      <x:c r="AI1188" s="145"/>
      <x:c r="AJ1188"/>
    </x:row>
    <x:row r="1189">
      <x:c r="F1189" s="124"/>
      <x:c r="G1189" s="124"/>
      <x:c r="H1189" s="124"/>
      <x:c r="I1189" s="124"/>
      <x:c r="J1189" s="124"/>
      <x:c r="M1189" s="126"/>
      <x:c r="P1189" s="126"/>
      <x:c r="Q1189" s="126"/>
      <x:c r="R1189" s="126"/>
      <x:c r="S1189" s="124"/>
      <x:c r="T1189" s="124"/>
      <x:c r="U1189" s="124"/>
      <x:c r="V1189" s="124"/>
      <x:c r="W1189" s="124"/>
      <x:c r="X1189" s="124"/>
      <x:c r="AD1189"/>
      <x:c r="AE1189" s="145"/>
      <x:c r="AF1189" s="145"/>
      <x:c r="AG1189" s="145"/>
      <x:c r="AH1189" s="145"/>
      <x:c r="AI1189" s="145"/>
      <x:c r="AJ1189"/>
    </x:row>
    <x:row r="1190">
      <x:c r="F1190" s="124"/>
      <x:c r="G1190" s="124"/>
      <x:c r="H1190" s="124"/>
      <x:c r="I1190" s="124"/>
      <x:c r="J1190" s="124"/>
      <x:c r="M1190" s="126"/>
      <x:c r="P1190" s="126"/>
      <x:c r="Q1190" s="126"/>
      <x:c r="R1190" s="126"/>
      <x:c r="S1190" s="124"/>
      <x:c r="T1190" s="124"/>
      <x:c r="U1190" s="124"/>
      <x:c r="V1190" s="124"/>
      <x:c r="W1190" s="124"/>
      <x:c r="X1190" s="124"/>
      <x:c r="AD1190"/>
      <x:c r="AE1190" s="145"/>
      <x:c r="AF1190" s="145"/>
      <x:c r="AG1190" s="145"/>
      <x:c r="AH1190" s="145"/>
      <x:c r="AI1190" s="145"/>
      <x:c r="AJ1190"/>
    </x:row>
    <x:row r="1191">
      <x:c r="F1191" s="124"/>
      <x:c r="G1191" s="124"/>
      <x:c r="H1191" s="124"/>
      <x:c r="I1191" s="124"/>
      <x:c r="J1191" s="124"/>
      <x:c r="M1191" s="126"/>
      <x:c r="P1191" s="126"/>
      <x:c r="Q1191" s="126"/>
      <x:c r="R1191" s="126"/>
      <x:c r="S1191" s="124"/>
      <x:c r="T1191" s="124"/>
      <x:c r="U1191" s="124"/>
      <x:c r="V1191" s="124"/>
      <x:c r="W1191" s="124"/>
      <x:c r="X1191" s="124"/>
      <x:c r="AD1191"/>
      <x:c r="AE1191" s="145"/>
      <x:c r="AF1191" s="145"/>
      <x:c r="AG1191" s="145"/>
      <x:c r="AH1191" s="145"/>
      <x:c r="AI1191" s="145"/>
      <x:c r="AJ1191"/>
    </x:row>
    <x:row r="1192">
      <x:c r="F1192" s="124"/>
      <x:c r="G1192" s="124"/>
      <x:c r="H1192" s="124"/>
      <x:c r="I1192" s="124"/>
      <x:c r="J1192" s="124"/>
      <x:c r="M1192" s="126"/>
      <x:c r="P1192" s="126"/>
      <x:c r="Q1192" s="126"/>
      <x:c r="R1192" s="126"/>
      <x:c r="S1192" s="124"/>
      <x:c r="T1192" s="124"/>
      <x:c r="U1192" s="124"/>
      <x:c r="V1192" s="124"/>
      <x:c r="W1192" s="124"/>
      <x:c r="X1192" s="124"/>
      <x:c r="AD1192"/>
      <x:c r="AE1192" s="145"/>
      <x:c r="AF1192" s="145"/>
      <x:c r="AG1192" s="145"/>
      <x:c r="AH1192" s="145"/>
      <x:c r="AI1192" s="145"/>
      <x:c r="AJ1192"/>
    </x:row>
    <x:row r="1193">
      <x:c r="F1193" s="124"/>
      <x:c r="G1193" s="124"/>
      <x:c r="H1193" s="124"/>
      <x:c r="I1193" s="124"/>
      <x:c r="J1193" s="124"/>
      <x:c r="M1193" s="126"/>
      <x:c r="P1193" s="126"/>
      <x:c r="Q1193" s="126"/>
      <x:c r="R1193" s="126"/>
      <x:c r="S1193" s="124"/>
      <x:c r="T1193" s="124"/>
      <x:c r="U1193" s="124"/>
      <x:c r="V1193" s="124"/>
      <x:c r="W1193" s="124"/>
      <x:c r="X1193" s="124"/>
      <x:c r="AD1193"/>
      <x:c r="AE1193" s="145"/>
      <x:c r="AF1193" s="145"/>
      <x:c r="AG1193" s="145"/>
      <x:c r="AH1193" s="145"/>
      <x:c r="AI1193" s="145"/>
      <x:c r="AJ1193"/>
    </x:row>
    <x:row r="1194">
      <x:c r="F1194" s="124"/>
      <x:c r="G1194" s="124"/>
      <x:c r="H1194" s="124"/>
      <x:c r="I1194" s="124"/>
      <x:c r="J1194" s="124"/>
      <x:c r="M1194" s="126"/>
      <x:c r="P1194" s="126"/>
      <x:c r="Q1194" s="126"/>
      <x:c r="R1194" s="126"/>
      <x:c r="S1194" s="124"/>
      <x:c r="T1194" s="124"/>
      <x:c r="U1194" s="124"/>
      <x:c r="V1194" s="124"/>
      <x:c r="W1194" s="124"/>
      <x:c r="X1194" s="124"/>
      <x:c r="AD1194"/>
      <x:c r="AE1194" s="145"/>
      <x:c r="AF1194" s="145"/>
      <x:c r="AG1194" s="145"/>
      <x:c r="AH1194" s="145"/>
      <x:c r="AI1194" s="145"/>
      <x:c r="AJ1194"/>
    </x:row>
    <x:row r="1195">
      <x:c r="F1195" s="124"/>
      <x:c r="G1195" s="124"/>
      <x:c r="H1195" s="124"/>
      <x:c r="I1195" s="124"/>
      <x:c r="J1195" s="124"/>
      <x:c r="M1195" s="126"/>
      <x:c r="P1195" s="126"/>
      <x:c r="Q1195" s="126"/>
      <x:c r="R1195" s="126"/>
      <x:c r="S1195" s="124"/>
      <x:c r="T1195" s="124"/>
      <x:c r="U1195" s="124"/>
      <x:c r="V1195" s="124"/>
      <x:c r="W1195" s="124"/>
      <x:c r="X1195" s="124"/>
      <x:c r="AD1195"/>
      <x:c r="AE1195" s="145"/>
      <x:c r="AF1195" s="145"/>
      <x:c r="AG1195" s="145"/>
      <x:c r="AH1195" s="145"/>
      <x:c r="AI1195" s="145"/>
      <x:c r="AJ1195"/>
    </x:row>
    <x:row r="1196">
      <x:c r="F1196" s="124"/>
      <x:c r="G1196" s="124"/>
      <x:c r="H1196" s="124"/>
      <x:c r="I1196" s="124"/>
      <x:c r="J1196" s="124"/>
      <x:c r="M1196" s="126"/>
      <x:c r="P1196" s="126"/>
      <x:c r="Q1196" s="126"/>
      <x:c r="R1196" s="126"/>
      <x:c r="S1196" s="124"/>
      <x:c r="T1196" s="124"/>
      <x:c r="U1196" s="124"/>
      <x:c r="V1196" s="124"/>
      <x:c r="W1196" s="124"/>
      <x:c r="X1196" s="124"/>
      <x:c r="AD1196"/>
      <x:c r="AE1196" s="145"/>
      <x:c r="AF1196" s="145"/>
      <x:c r="AG1196" s="145"/>
      <x:c r="AH1196" s="145"/>
      <x:c r="AI1196" s="145"/>
      <x:c r="AJ1196"/>
    </x:row>
    <x:row r="1197">
      <x:c r="F1197" s="124"/>
      <x:c r="G1197" s="124"/>
      <x:c r="H1197" s="124"/>
      <x:c r="I1197" s="124"/>
      <x:c r="J1197" s="124"/>
      <x:c r="M1197" s="126"/>
      <x:c r="P1197" s="126"/>
      <x:c r="Q1197" s="126"/>
      <x:c r="R1197" s="126"/>
      <x:c r="S1197" s="124"/>
      <x:c r="T1197" s="124"/>
      <x:c r="U1197" s="124"/>
      <x:c r="V1197" s="124"/>
      <x:c r="W1197" s="124"/>
      <x:c r="X1197" s="124"/>
      <x:c r="AD1197"/>
      <x:c r="AE1197" s="145"/>
      <x:c r="AF1197" s="145"/>
      <x:c r="AG1197" s="145"/>
      <x:c r="AH1197" s="145"/>
      <x:c r="AI1197" s="145"/>
      <x:c r="AJ1197"/>
    </x:row>
    <x:row r="1198">
      <x:c r="F1198" s="124"/>
      <x:c r="G1198" s="124"/>
      <x:c r="H1198" s="124"/>
      <x:c r="I1198" s="124"/>
      <x:c r="J1198" s="124"/>
      <x:c r="M1198" s="126"/>
      <x:c r="P1198" s="126"/>
      <x:c r="Q1198" s="126"/>
      <x:c r="R1198" s="126"/>
      <x:c r="S1198" s="124"/>
      <x:c r="T1198" s="124"/>
      <x:c r="U1198" s="124"/>
      <x:c r="V1198" s="124"/>
      <x:c r="W1198" s="124"/>
      <x:c r="X1198" s="124"/>
      <x:c r="AD1198"/>
      <x:c r="AE1198" s="145"/>
      <x:c r="AF1198" s="145"/>
      <x:c r="AG1198" s="145"/>
      <x:c r="AH1198" s="145"/>
      <x:c r="AI1198" s="145"/>
      <x:c r="AJ1198"/>
    </x:row>
    <x:row r="1199">
      <x:c r="F1199" s="124"/>
      <x:c r="G1199" s="124"/>
      <x:c r="H1199" s="124"/>
      <x:c r="I1199" s="124"/>
      <x:c r="J1199" s="124"/>
      <x:c r="M1199" s="126"/>
      <x:c r="P1199" s="126"/>
      <x:c r="Q1199" s="126"/>
      <x:c r="R1199" s="126"/>
      <x:c r="S1199" s="124"/>
      <x:c r="T1199" s="124"/>
      <x:c r="U1199" s="124"/>
      <x:c r="V1199" s="124"/>
      <x:c r="W1199" s="124"/>
      <x:c r="X1199" s="124"/>
      <x:c r="AD1199"/>
      <x:c r="AE1199" s="145"/>
      <x:c r="AF1199" s="145"/>
      <x:c r="AG1199" s="145"/>
      <x:c r="AH1199" s="145"/>
      <x:c r="AI1199" s="145"/>
      <x:c r="AJ1199"/>
    </x:row>
    <x:row r="1200">
      <x:c r="F1200" s="124"/>
      <x:c r="G1200" s="124"/>
      <x:c r="H1200" s="124"/>
      <x:c r="I1200" s="124"/>
      <x:c r="J1200" s="124"/>
      <x:c r="M1200" s="126"/>
      <x:c r="P1200" s="126"/>
      <x:c r="Q1200" s="126"/>
      <x:c r="R1200" s="126"/>
      <x:c r="S1200" s="124"/>
      <x:c r="T1200" s="124"/>
      <x:c r="U1200" s="124"/>
      <x:c r="V1200" s="124"/>
      <x:c r="W1200" s="124"/>
      <x:c r="X1200" s="124"/>
      <x:c r="AD1200"/>
      <x:c r="AE1200" s="145"/>
      <x:c r="AF1200" s="145"/>
      <x:c r="AG1200" s="145"/>
      <x:c r="AH1200" s="145"/>
      <x:c r="AI1200" s="145"/>
      <x:c r="AJ1200"/>
    </x:row>
    <x:row r="1201">
      <x:c r="F1201" s="124"/>
      <x:c r="G1201" s="124"/>
      <x:c r="H1201" s="124"/>
      <x:c r="I1201" s="124"/>
      <x:c r="J1201" s="124"/>
      <x:c r="M1201" s="126"/>
      <x:c r="P1201" s="126"/>
      <x:c r="Q1201" s="126"/>
      <x:c r="R1201" s="126"/>
      <x:c r="S1201" s="124"/>
      <x:c r="T1201" s="124"/>
      <x:c r="U1201" s="124"/>
      <x:c r="V1201" s="124"/>
      <x:c r="W1201" s="124"/>
      <x:c r="X1201" s="124"/>
      <x:c r="AD1201"/>
      <x:c r="AE1201" s="145"/>
      <x:c r="AF1201" s="145"/>
      <x:c r="AG1201" s="145"/>
      <x:c r="AH1201" s="145"/>
      <x:c r="AI1201" s="145"/>
      <x:c r="AJ1201"/>
    </x:row>
    <x:row r="1202">
      <x:c r="F1202" s="124"/>
      <x:c r="G1202" s="124"/>
      <x:c r="H1202" s="124"/>
      <x:c r="I1202" s="124"/>
      <x:c r="J1202" s="124"/>
      <x:c r="M1202" s="126"/>
      <x:c r="P1202" s="126"/>
      <x:c r="Q1202" s="126"/>
      <x:c r="R1202" s="126"/>
      <x:c r="S1202" s="124"/>
      <x:c r="T1202" s="124"/>
      <x:c r="U1202" s="124"/>
      <x:c r="V1202" s="124"/>
      <x:c r="W1202" s="124"/>
      <x:c r="X1202" s="124"/>
      <x:c r="AD1202"/>
      <x:c r="AE1202" s="145"/>
      <x:c r="AF1202" s="145"/>
      <x:c r="AG1202" s="145"/>
      <x:c r="AH1202" s="145"/>
      <x:c r="AI1202" s="145"/>
      <x:c r="AJ1202"/>
    </x:row>
    <x:row r="1203">
      <x:c r="F1203" s="124"/>
      <x:c r="G1203" s="124"/>
      <x:c r="H1203" s="124"/>
      <x:c r="I1203" s="124"/>
      <x:c r="J1203" s="124"/>
      <x:c r="M1203" s="126"/>
      <x:c r="P1203" s="126"/>
      <x:c r="Q1203" s="126"/>
      <x:c r="R1203" s="126"/>
      <x:c r="S1203" s="124"/>
      <x:c r="T1203" s="124"/>
      <x:c r="U1203" s="124"/>
      <x:c r="V1203" s="124"/>
      <x:c r="W1203" s="124"/>
      <x:c r="X1203" s="124"/>
      <x:c r="AD1203"/>
      <x:c r="AE1203" s="145"/>
      <x:c r="AF1203" s="145"/>
      <x:c r="AG1203" s="145"/>
      <x:c r="AH1203" s="145"/>
      <x:c r="AI1203" s="145"/>
      <x:c r="AJ1203"/>
    </x:row>
    <x:row r="1204">
      <x:c r="F1204" s="124"/>
      <x:c r="G1204" s="124"/>
      <x:c r="H1204" s="124"/>
      <x:c r="I1204" s="124"/>
      <x:c r="J1204" s="124"/>
      <x:c r="M1204" s="126"/>
      <x:c r="P1204" s="126"/>
      <x:c r="Q1204" s="126"/>
      <x:c r="R1204" s="126"/>
      <x:c r="S1204" s="124"/>
      <x:c r="T1204" s="124"/>
      <x:c r="U1204" s="124"/>
      <x:c r="V1204" s="124"/>
      <x:c r="W1204" s="124"/>
      <x:c r="X1204" s="124"/>
      <x:c r="AD1204"/>
      <x:c r="AE1204" s="145"/>
      <x:c r="AF1204" s="145"/>
      <x:c r="AG1204" s="145"/>
      <x:c r="AH1204" s="145"/>
      <x:c r="AI1204" s="145"/>
      <x:c r="AJ1204"/>
    </x:row>
    <x:row r="1205">
      <x:c r="F1205" s="124"/>
      <x:c r="G1205" s="124"/>
      <x:c r="H1205" s="124"/>
      <x:c r="I1205" s="124"/>
      <x:c r="J1205" s="124"/>
      <x:c r="M1205" s="126"/>
      <x:c r="P1205" s="126"/>
      <x:c r="Q1205" s="126"/>
      <x:c r="R1205" s="126"/>
      <x:c r="S1205" s="124"/>
      <x:c r="T1205" s="124"/>
      <x:c r="U1205" s="124"/>
      <x:c r="V1205" s="124"/>
      <x:c r="W1205" s="124"/>
      <x:c r="X1205" s="124"/>
      <x:c r="AD1205"/>
      <x:c r="AE1205" s="145"/>
      <x:c r="AF1205" s="145"/>
      <x:c r="AG1205" s="145"/>
      <x:c r="AH1205" s="145"/>
      <x:c r="AI1205" s="145"/>
      <x:c r="AJ1205"/>
    </x:row>
    <x:row r="1206">
      <x:c r="F1206" s="124"/>
      <x:c r="G1206" s="124"/>
      <x:c r="H1206" s="124"/>
      <x:c r="I1206" s="124"/>
      <x:c r="J1206" s="124"/>
      <x:c r="M1206" s="126"/>
      <x:c r="P1206" s="126"/>
      <x:c r="Q1206" s="126"/>
      <x:c r="R1206" s="126"/>
      <x:c r="S1206" s="124"/>
      <x:c r="T1206" s="124"/>
      <x:c r="U1206" s="124"/>
      <x:c r="V1206" s="124"/>
      <x:c r="W1206" s="124"/>
      <x:c r="X1206" s="124"/>
      <x:c r="AD1206"/>
      <x:c r="AE1206" s="145"/>
      <x:c r="AF1206" s="145"/>
      <x:c r="AG1206" s="145"/>
      <x:c r="AH1206" s="145"/>
      <x:c r="AI1206" s="145"/>
      <x:c r="AJ1206"/>
    </x:row>
    <x:row r="1207">
      <x:c r="F1207" s="124"/>
      <x:c r="G1207" s="124"/>
      <x:c r="H1207" s="124"/>
      <x:c r="I1207" s="124"/>
      <x:c r="J1207" s="124"/>
      <x:c r="M1207" s="126"/>
      <x:c r="P1207" s="126"/>
      <x:c r="Q1207" s="126"/>
      <x:c r="R1207" s="126"/>
      <x:c r="S1207" s="124"/>
      <x:c r="T1207" s="124"/>
      <x:c r="U1207" s="124"/>
      <x:c r="V1207" s="124"/>
      <x:c r="W1207" s="124"/>
      <x:c r="X1207" s="124"/>
      <x:c r="AD1207"/>
      <x:c r="AE1207" s="145"/>
      <x:c r="AF1207" s="145"/>
      <x:c r="AG1207" s="145"/>
      <x:c r="AH1207" s="145"/>
      <x:c r="AI1207" s="145"/>
      <x:c r="AJ1207"/>
    </x:row>
    <x:row r="1208">
      <x:c r="F1208" s="124"/>
      <x:c r="G1208" s="124"/>
      <x:c r="H1208" s="124"/>
      <x:c r="I1208" s="124"/>
      <x:c r="J1208" s="124"/>
      <x:c r="M1208" s="126"/>
      <x:c r="P1208" s="126"/>
      <x:c r="Q1208" s="126"/>
      <x:c r="R1208" s="126"/>
      <x:c r="S1208" s="124"/>
      <x:c r="T1208" s="124"/>
      <x:c r="U1208" s="124"/>
      <x:c r="V1208" s="124"/>
      <x:c r="W1208" s="124"/>
      <x:c r="X1208" s="124"/>
      <x:c r="AD1208"/>
      <x:c r="AE1208" s="145"/>
      <x:c r="AF1208" s="145"/>
      <x:c r="AG1208" s="145"/>
      <x:c r="AH1208" s="145"/>
      <x:c r="AI1208" s="145"/>
      <x:c r="AJ1208"/>
    </x:row>
    <x:row r="1209">
      <x:c r="F1209" s="124"/>
      <x:c r="G1209" s="124"/>
      <x:c r="H1209" s="124"/>
      <x:c r="I1209" s="124"/>
      <x:c r="J1209" s="124"/>
      <x:c r="M1209" s="126"/>
      <x:c r="P1209" s="126"/>
      <x:c r="Q1209" s="126"/>
      <x:c r="R1209" s="126"/>
      <x:c r="S1209" s="124"/>
      <x:c r="T1209" s="124"/>
      <x:c r="U1209" s="124"/>
      <x:c r="V1209" s="124"/>
      <x:c r="W1209" s="124"/>
      <x:c r="X1209" s="124"/>
      <x:c r="AD1209"/>
      <x:c r="AE1209" s="145"/>
      <x:c r="AF1209" s="145"/>
      <x:c r="AG1209" s="145"/>
      <x:c r="AH1209" s="145"/>
      <x:c r="AI1209" s="145"/>
      <x:c r="AJ1209"/>
    </x:row>
    <x:row r="1210">
      <x:c r="F1210" s="124"/>
      <x:c r="G1210" s="124"/>
      <x:c r="H1210" s="124"/>
      <x:c r="I1210" s="124"/>
      <x:c r="J1210" s="124"/>
      <x:c r="M1210" s="126"/>
      <x:c r="P1210" s="126"/>
      <x:c r="Q1210" s="126"/>
      <x:c r="R1210" s="126"/>
      <x:c r="S1210" s="124"/>
      <x:c r="T1210" s="124"/>
      <x:c r="U1210" s="124"/>
      <x:c r="V1210" s="124"/>
      <x:c r="W1210" s="124"/>
      <x:c r="X1210" s="124"/>
      <x:c r="AD1210"/>
      <x:c r="AE1210" s="145"/>
      <x:c r="AF1210" s="145"/>
      <x:c r="AG1210" s="145"/>
      <x:c r="AH1210" s="145"/>
      <x:c r="AI1210" s="145"/>
      <x:c r="AJ1210"/>
    </x:row>
    <x:row r="1211">
      <x:c r="F1211" s="124"/>
      <x:c r="G1211" s="124"/>
      <x:c r="H1211" s="124"/>
      <x:c r="I1211" s="124"/>
      <x:c r="J1211" s="124"/>
      <x:c r="M1211" s="126"/>
      <x:c r="P1211" s="126"/>
      <x:c r="Q1211" s="126"/>
      <x:c r="R1211" s="126"/>
      <x:c r="S1211" s="124"/>
      <x:c r="T1211" s="124"/>
      <x:c r="U1211" s="124"/>
      <x:c r="V1211" s="124"/>
      <x:c r="W1211" s="124"/>
      <x:c r="X1211" s="124"/>
      <x:c r="AD1211"/>
      <x:c r="AE1211" s="145"/>
      <x:c r="AF1211" s="145"/>
      <x:c r="AG1211" s="145"/>
      <x:c r="AH1211" s="145"/>
      <x:c r="AI1211" s="145"/>
      <x:c r="AJ1211"/>
    </x:row>
    <x:row r="1212">
      <x:c r="F1212" s="124"/>
      <x:c r="G1212" s="124"/>
      <x:c r="H1212" s="124"/>
      <x:c r="I1212" s="124"/>
      <x:c r="J1212" s="124"/>
      <x:c r="M1212" s="126"/>
      <x:c r="P1212" s="126"/>
      <x:c r="Q1212" s="126"/>
      <x:c r="R1212" s="126"/>
      <x:c r="S1212" s="124"/>
      <x:c r="T1212" s="124"/>
      <x:c r="U1212" s="124"/>
      <x:c r="V1212" s="124"/>
      <x:c r="W1212" s="124"/>
      <x:c r="X1212" s="124"/>
      <x:c r="AD1212"/>
      <x:c r="AE1212" s="145"/>
      <x:c r="AF1212" s="145"/>
      <x:c r="AG1212" s="145"/>
      <x:c r="AH1212" s="145"/>
      <x:c r="AI1212" s="145"/>
      <x:c r="AJ1212"/>
    </x:row>
    <x:row r="1213">
      <x:c r="F1213" s="124"/>
      <x:c r="G1213" s="124"/>
      <x:c r="H1213" s="124"/>
      <x:c r="I1213" s="124"/>
      <x:c r="J1213" s="124"/>
      <x:c r="M1213" s="126"/>
      <x:c r="P1213" s="126"/>
      <x:c r="Q1213" s="126"/>
      <x:c r="R1213" s="126"/>
      <x:c r="S1213" s="124"/>
      <x:c r="T1213" s="124"/>
      <x:c r="U1213" s="124"/>
      <x:c r="V1213" s="124"/>
      <x:c r="W1213" s="124"/>
      <x:c r="X1213" s="124"/>
      <x:c r="AD1213"/>
      <x:c r="AE1213" s="145"/>
      <x:c r="AF1213" s="145"/>
      <x:c r="AG1213" s="145"/>
      <x:c r="AH1213" s="145"/>
      <x:c r="AI1213" s="145"/>
      <x:c r="AJ1213"/>
    </x:row>
    <x:row r="1214">
      <x:c r="F1214" s="124"/>
      <x:c r="G1214" s="124"/>
      <x:c r="H1214" s="124"/>
      <x:c r="I1214" s="124"/>
      <x:c r="J1214" s="124"/>
      <x:c r="M1214" s="126"/>
      <x:c r="P1214" s="126"/>
      <x:c r="Q1214" s="126"/>
      <x:c r="R1214" s="126"/>
      <x:c r="S1214" s="124"/>
      <x:c r="T1214" s="124"/>
      <x:c r="U1214" s="124"/>
      <x:c r="V1214" s="124"/>
      <x:c r="W1214" s="124"/>
      <x:c r="X1214" s="124"/>
      <x:c r="AD1214"/>
      <x:c r="AE1214" s="145"/>
      <x:c r="AF1214" s="145"/>
      <x:c r="AG1214" s="145"/>
      <x:c r="AH1214" s="145"/>
      <x:c r="AI1214" s="145"/>
      <x:c r="AJ1214"/>
    </x:row>
    <x:row r="1215">
      <x:c r="F1215" s="124"/>
      <x:c r="G1215" s="124"/>
      <x:c r="H1215" s="124"/>
      <x:c r="I1215" s="124"/>
      <x:c r="J1215" s="124"/>
      <x:c r="M1215" s="126"/>
      <x:c r="P1215" s="126"/>
      <x:c r="Q1215" s="126"/>
      <x:c r="R1215" s="126"/>
      <x:c r="S1215" s="124"/>
      <x:c r="T1215" s="124"/>
      <x:c r="U1215" s="124"/>
      <x:c r="V1215" s="124"/>
      <x:c r="W1215" s="124"/>
      <x:c r="X1215" s="124"/>
      <x:c r="AD1215"/>
      <x:c r="AE1215" s="145"/>
      <x:c r="AF1215" s="145"/>
      <x:c r="AG1215" s="145"/>
      <x:c r="AH1215" s="145"/>
      <x:c r="AI1215" s="145"/>
      <x:c r="AJ1215"/>
    </x:row>
    <x:row r="1216">
      <x:c r="F1216" s="124"/>
      <x:c r="G1216" s="124"/>
      <x:c r="H1216" s="124"/>
      <x:c r="I1216" s="124"/>
      <x:c r="J1216" s="124"/>
      <x:c r="M1216" s="126"/>
      <x:c r="P1216" s="126"/>
      <x:c r="Q1216" s="126"/>
      <x:c r="R1216" s="126"/>
      <x:c r="S1216" s="124"/>
      <x:c r="T1216" s="124"/>
      <x:c r="U1216" s="124"/>
      <x:c r="V1216" s="124"/>
      <x:c r="W1216" s="124"/>
      <x:c r="X1216" s="124"/>
      <x:c r="AD1216"/>
      <x:c r="AE1216" s="145"/>
      <x:c r="AF1216" s="145"/>
      <x:c r="AG1216" s="145"/>
      <x:c r="AH1216" s="145"/>
      <x:c r="AI1216" s="145"/>
      <x:c r="AJ1216"/>
    </x:row>
    <x:row r="1217">
      <x:c r="F1217" s="124"/>
      <x:c r="G1217" s="124"/>
      <x:c r="H1217" s="124"/>
      <x:c r="I1217" s="124"/>
      <x:c r="J1217" s="124"/>
      <x:c r="M1217" s="126"/>
      <x:c r="P1217" s="126"/>
      <x:c r="Q1217" s="126"/>
      <x:c r="R1217" s="126"/>
      <x:c r="S1217" s="124"/>
      <x:c r="T1217" s="124"/>
      <x:c r="U1217" s="124"/>
      <x:c r="V1217" s="124"/>
      <x:c r="W1217" s="124"/>
      <x:c r="X1217" s="124"/>
      <x:c r="AD1217"/>
      <x:c r="AE1217" s="145"/>
      <x:c r="AF1217" s="145"/>
      <x:c r="AG1217" s="145"/>
      <x:c r="AH1217" s="145"/>
      <x:c r="AI1217" s="145"/>
      <x:c r="AJ1217"/>
    </x:row>
    <x:row r="1218">
      <x:c r="F1218" s="124"/>
      <x:c r="G1218" s="124"/>
      <x:c r="H1218" s="124"/>
      <x:c r="I1218" s="124"/>
      <x:c r="J1218" s="124"/>
      <x:c r="M1218" s="126"/>
      <x:c r="P1218" s="126"/>
      <x:c r="Q1218" s="126"/>
      <x:c r="R1218" s="126"/>
      <x:c r="S1218" s="124"/>
      <x:c r="T1218" s="124"/>
      <x:c r="U1218" s="124"/>
      <x:c r="V1218" s="124"/>
      <x:c r="W1218" s="124"/>
      <x:c r="X1218" s="124"/>
      <x:c r="AD1218"/>
      <x:c r="AE1218" s="145"/>
      <x:c r="AF1218" s="145"/>
      <x:c r="AG1218" s="145"/>
      <x:c r="AH1218" s="145"/>
      <x:c r="AI1218" s="145"/>
      <x:c r="AJ1218"/>
    </x:row>
    <x:row r="1219">
      <x:c r="F1219" s="124"/>
      <x:c r="G1219" s="124"/>
      <x:c r="H1219" s="124"/>
      <x:c r="I1219" s="124"/>
      <x:c r="J1219" s="124"/>
      <x:c r="M1219" s="126"/>
      <x:c r="P1219" s="126"/>
      <x:c r="Q1219" s="126"/>
      <x:c r="R1219" s="126"/>
      <x:c r="S1219" s="124"/>
      <x:c r="T1219" s="124"/>
      <x:c r="U1219" s="124"/>
      <x:c r="V1219" s="124"/>
      <x:c r="W1219" s="124"/>
      <x:c r="X1219" s="124"/>
      <x:c r="AD1219"/>
      <x:c r="AE1219" s="145"/>
      <x:c r="AF1219" s="145"/>
      <x:c r="AG1219" s="145"/>
      <x:c r="AH1219" s="145"/>
      <x:c r="AI1219" s="145"/>
      <x:c r="AJ1219"/>
    </x:row>
    <x:row r="1220">
      <x:c r="F1220" s="124"/>
      <x:c r="G1220" s="124"/>
      <x:c r="H1220" s="124"/>
      <x:c r="I1220" s="124"/>
      <x:c r="J1220" s="124"/>
      <x:c r="M1220" s="126"/>
      <x:c r="P1220" s="126"/>
      <x:c r="Q1220" s="126"/>
      <x:c r="R1220" s="126"/>
      <x:c r="S1220" s="124"/>
      <x:c r="T1220" s="124"/>
      <x:c r="U1220" s="124"/>
      <x:c r="V1220" s="124"/>
      <x:c r="W1220" s="124"/>
      <x:c r="X1220" s="124"/>
      <x:c r="AD1220"/>
      <x:c r="AE1220" s="145"/>
      <x:c r="AF1220" s="145"/>
      <x:c r="AG1220" s="145"/>
      <x:c r="AH1220" s="145"/>
      <x:c r="AI1220" s="145"/>
      <x:c r="AJ1220"/>
    </x:row>
    <x:row r="1221">
      <x:c r="F1221" s="124"/>
      <x:c r="G1221" s="124"/>
      <x:c r="H1221" s="124"/>
      <x:c r="I1221" s="124"/>
      <x:c r="J1221" s="124"/>
      <x:c r="M1221" s="126"/>
      <x:c r="P1221" s="126"/>
      <x:c r="Q1221" s="126"/>
      <x:c r="R1221" s="126"/>
      <x:c r="S1221" s="124"/>
      <x:c r="T1221" s="124"/>
      <x:c r="U1221" s="124"/>
      <x:c r="V1221" s="124"/>
      <x:c r="W1221" s="124"/>
      <x:c r="X1221" s="124"/>
      <x:c r="AD1221"/>
      <x:c r="AE1221" s="145"/>
      <x:c r="AF1221" s="145"/>
      <x:c r="AG1221" s="145"/>
      <x:c r="AH1221" s="145"/>
      <x:c r="AI1221" s="145"/>
      <x:c r="AJ1221"/>
    </x:row>
    <x:row r="1222">
      <x:c r="F1222" s="124"/>
      <x:c r="G1222" s="124"/>
      <x:c r="H1222" s="124"/>
      <x:c r="I1222" s="124"/>
      <x:c r="J1222" s="124"/>
      <x:c r="M1222" s="126"/>
      <x:c r="P1222" s="126"/>
      <x:c r="Q1222" s="126"/>
      <x:c r="R1222" s="126"/>
      <x:c r="S1222" s="124"/>
      <x:c r="T1222" s="124"/>
      <x:c r="U1222" s="124"/>
      <x:c r="V1222" s="124"/>
      <x:c r="W1222" s="124"/>
      <x:c r="X1222" s="124"/>
      <x:c r="AD1222"/>
      <x:c r="AE1222" s="145"/>
      <x:c r="AF1222" s="145"/>
      <x:c r="AG1222" s="145"/>
      <x:c r="AH1222" s="145"/>
      <x:c r="AI1222" s="145"/>
      <x:c r="AJ1222"/>
    </x:row>
    <x:row r="1223">
      <x:c r="F1223" s="124"/>
      <x:c r="G1223" s="124"/>
      <x:c r="H1223" s="124"/>
      <x:c r="I1223" s="124"/>
      <x:c r="J1223" s="124"/>
      <x:c r="M1223" s="126"/>
      <x:c r="P1223" s="126"/>
      <x:c r="Q1223" s="126"/>
      <x:c r="R1223" s="126"/>
      <x:c r="S1223" s="124"/>
      <x:c r="T1223" s="124"/>
      <x:c r="U1223" s="124"/>
      <x:c r="V1223" s="124"/>
      <x:c r="W1223" s="124"/>
      <x:c r="X1223" s="124"/>
      <x:c r="AD1223"/>
      <x:c r="AE1223" s="145"/>
      <x:c r="AF1223" s="145"/>
      <x:c r="AG1223" s="145"/>
      <x:c r="AH1223" s="145"/>
      <x:c r="AI1223" s="145"/>
      <x:c r="AJ1223"/>
    </x:row>
    <x:row r="1224">
      <x:c r="F1224" s="124"/>
      <x:c r="G1224" s="124"/>
      <x:c r="H1224" s="124"/>
      <x:c r="I1224" s="124"/>
      <x:c r="J1224" s="124"/>
      <x:c r="M1224" s="126"/>
      <x:c r="P1224" s="126"/>
      <x:c r="Q1224" s="126"/>
      <x:c r="R1224" s="126"/>
      <x:c r="S1224" s="124"/>
      <x:c r="T1224" s="124"/>
      <x:c r="U1224" s="124"/>
      <x:c r="V1224" s="124"/>
      <x:c r="W1224" s="124"/>
      <x:c r="X1224" s="124"/>
      <x:c r="AD1224"/>
      <x:c r="AE1224" s="145"/>
      <x:c r="AF1224" s="145"/>
      <x:c r="AG1224" s="145"/>
      <x:c r="AH1224" s="145"/>
      <x:c r="AI1224" s="145"/>
      <x:c r="AJ1224"/>
    </x:row>
    <x:row r="1225">
      <x:c r="F1225" s="124"/>
      <x:c r="G1225" s="124"/>
      <x:c r="H1225" s="124"/>
      <x:c r="I1225" s="124"/>
      <x:c r="J1225" s="124"/>
      <x:c r="M1225" s="126"/>
      <x:c r="P1225" s="126"/>
      <x:c r="Q1225" s="126"/>
      <x:c r="R1225" s="126"/>
      <x:c r="S1225" s="124"/>
      <x:c r="T1225" s="124"/>
      <x:c r="U1225" s="124"/>
      <x:c r="V1225" s="124"/>
      <x:c r="W1225" s="124"/>
      <x:c r="X1225" s="124"/>
      <x:c r="AD1225"/>
      <x:c r="AE1225" s="145"/>
      <x:c r="AF1225" s="145"/>
      <x:c r="AG1225" s="145"/>
      <x:c r="AH1225" s="145"/>
      <x:c r="AI1225" s="145"/>
      <x:c r="AJ1225"/>
    </x:row>
    <x:row r="1226">
      <x:c r="F1226" s="124"/>
      <x:c r="G1226" s="124"/>
      <x:c r="H1226" s="124"/>
      <x:c r="I1226" s="124"/>
      <x:c r="J1226" s="124"/>
      <x:c r="M1226" s="126"/>
      <x:c r="P1226" s="126"/>
      <x:c r="Q1226" s="126"/>
      <x:c r="R1226" s="126"/>
      <x:c r="S1226" s="124"/>
      <x:c r="T1226" s="124"/>
      <x:c r="U1226" s="124"/>
      <x:c r="V1226" s="124"/>
      <x:c r="W1226" s="124"/>
      <x:c r="X1226" s="124"/>
      <x:c r="AD1226"/>
      <x:c r="AE1226" s="145"/>
      <x:c r="AF1226" s="145"/>
      <x:c r="AG1226" s="145"/>
      <x:c r="AH1226" s="145"/>
      <x:c r="AI1226" s="145"/>
      <x:c r="AJ1226"/>
    </x:row>
    <x:row r="1227">
      <x:c r="F1227" s="124"/>
      <x:c r="G1227" s="124"/>
      <x:c r="H1227" s="124"/>
      <x:c r="I1227" s="124"/>
      <x:c r="J1227" s="124"/>
      <x:c r="M1227" s="126"/>
      <x:c r="P1227" s="126"/>
      <x:c r="Q1227" s="126"/>
      <x:c r="R1227" s="126"/>
      <x:c r="S1227" s="124"/>
      <x:c r="T1227" s="124"/>
      <x:c r="U1227" s="124"/>
      <x:c r="V1227" s="124"/>
      <x:c r="W1227" s="124"/>
      <x:c r="X1227" s="124"/>
      <x:c r="AD1227"/>
      <x:c r="AE1227" s="145"/>
      <x:c r="AF1227" s="145"/>
      <x:c r="AG1227" s="145"/>
      <x:c r="AH1227" s="145"/>
      <x:c r="AI1227" s="145"/>
      <x:c r="AJ1227"/>
    </x:row>
    <x:row r="1228">
      <x:c r="F1228" s="124"/>
      <x:c r="G1228" s="124"/>
      <x:c r="H1228" s="124"/>
      <x:c r="I1228" s="124"/>
      <x:c r="J1228" s="124"/>
      <x:c r="M1228" s="126"/>
      <x:c r="P1228" s="126"/>
      <x:c r="Q1228" s="126"/>
      <x:c r="R1228" s="126"/>
      <x:c r="S1228" s="124"/>
      <x:c r="T1228" s="124"/>
      <x:c r="U1228" s="124"/>
      <x:c r="V1228" s="124"/>
      <x:c r="W1228" s="124"/>
      <x:c r="X1228" s="124"/>
      <x:c r="AD1228"/>
      <x:c r="AE1228" s="145"/>
      <x:c r="AF1228" s="145"/>
      <x:c r="AG1228" s="145"/>
      <x:c r="AH1228" s="145"/>
      <x:c r="AI1228" s="145"/>
      <x:c r="AJ1228"/>
    </x:row>
    <x:row r="1229">
      <x:c r="F1229" s="124"/>
      <x:c r="G1229" s="124"/>
      <x:c r="H1229" s="124"/>
      <x:c r="I1229" s="124"/>
      <x:c r="J1229" s="124"/>
      <x:c r="M1229" s="126"/>
      <x:c r="P1229" s="126"/>
      <x:c r="Q1229" s="126"/>
      <x:c r="R1229" s="126"/>
      <x:c r="S1229" s="124"/>
      <x:c r="T1229" s="124"/>
      <x:c r="U1229" s="124"/>
      <x:c r="V1229" s="124"/>
      <x:c r="W1229" s="124"/>
      <x:c r="X1229" s="124"/>
      <x:c r="AD1229"/>
      <x:c r="AE1229" s="145"/>
      <x:c r="AF1229" s="145"/>
      <x:c r="AG1229" s="145"/>
      <x:c r="AH1229" s="145"/>
      <x:c r="AI1229" s="145"/>
      <x:c r="AJ1229"/>
    </x:row>
    <x:row r="1230">
      <x:c r="F1230" s="124"/>
      <x:c r="G1230" s="124"/>
      <x:c r="H1230" s="124"/>
      <x:c r="I1230" s="124"/>
      <x:c r="J1230" s="124"/>
      <x:c r="M1230" s="126"/>
      <x:c r="P1230" s="126"/>
      <x:c r="Q1230" s="126"/>
      <x:c r="R1230" s="126"/>
      <x:c r="S1230" s="124"/>
      <x:c r="T1230" s="124"/>
      <x:c r="U1230" s="124"/>
      <x:c r="V1230" s="124"/>
      <x:c r="W1230" s="124"/>
      <x:c r="X1230" s="124"/>
      <x:c r="AD1230"/>
      <x:c r="AE1230" s="145"/>
      <x:c r="AF1230" s="145"/>
      <x:c r="AG1230" s="145"/>
      <x:c r="AH1230" s="145"/>
      <x:c r="AI1230" s="145"/>
      <x:c r="AJ1230"/>
    </x:row>
    <x:row r="1231">
      <x:c r="F1231" s="124"/>
      <x:c r="G1231" s="124"/>
      <x:c r="H1231" s="124"/>
      <x:c r="I1231" s="124"/>
      <x:c r="J1231" s="124"/>
      <x:c r="M1231" s="126"/>
      <x:c r="P1231" s="126"/>
      <x:c r="Q1231" s="126"/>
      <x:c r="R1231" s="126"/>
      <x:c r="S1231" s="124"/>
      <x:c r="T1231" s="124"/>
      <x:c r="U1231" s="124"/>
      <x:c r="V1231" s="124"/>
      <x:c r="W1231" s="124"/>
      <x:c r="X1231" s="124"/>
      <x:c r="AD1231"/>
      <x:c r="AE1231" s="145"/>
      <x:c r="AF1231" s="145"/>
      <x:c r="AG1231" s="145"/>
      <x:c r="AH1231" s="145"/>
      <x:c r="AI1231" s="145"/>
      <x:c r="AJ1231"/>
    </x:row>
    <x:row r="1232">
      <x:c r="F1232" s="124"/>
      <x:c r="G1232" s="124"/>
      <x:c r="H1232" s="124"/>
      <x:c r="I1232" s="124"/>
      <x:c r="J1232" s="124"/>
      <x:c r="M1232" s="126"/>
      <x:c r="P1232" s="126"/>
      <x:c r="Q1232" s="126"/>
      <x:c r="R1232" s="126"/>
      <x:c r="S1232" s="124"/>
      <x:c r="T1232" s="124"/>
      <x:c r="U1232" s="124"/>
      <x:c r="V1232" s="124"/>
      <x:c r="W1232" s="124"/>
      <x:c r="X1232" s="124"/>
      <x:c r="AD1232"/>
      <x:c r="AE1232" s="145"/>
      <x:c r="AF1232" s="145"/>
      <x:c r="AG1232" s="145"/>
      <x:c r="AH1232" s="145"/>
      <x:c r="AI1232" s="145"/>
      <x:c r="AJ1232"/>
    </x:row>
    <x:row r="1233">
      <x:c r="F1233" s="124"/>
      <x:c r="G1233" s="124"/>
      <x:c r="H1233" s="124"/>
      <x:c r="I1233" s="124"/>
      <x:c r="J1233" s="124"/>
      <x:c r="M1233" s="126"/>
      <x:c r="P1233" s="126"/>
      <x:c r="Q1233" s="126"/>
      <x:c r="R1233" s="126"/>
      <x:c r="S1233" s="124"/>
      <x:c r="T1233" s="124"/>
      <x:c r="U1233" s="124"/>
      <x:c r="V1233" s="124"/>
      <x:c r="W1233" s="124"/>
      <x:c r="X1233" s="124"/>
      <x:c r="AD1233"/>
      <x:c r="AE1233" s="145"/>
      <x:c r="AF1233" s="145"/>
      <x:c r="AG1233" s="145"/>
      <x:c r="AH1233" s="145"/>
      <x:c r="AI1233" s="145"/>
      <x:c r="AJ1233"/>
    </x:row>
    <x:row r="1234">
      <x:c r="F1234" s="124"/>
      <x:c r="G1234" s="124"/>
      <x:c r="H1234" s="124"/>
      <x:c r="I1234" s="124"/>
      <x:c r="J1234" s="124"/>
      <x:c r="M1234" s="126"/>
      <x:c r="P1234" s="126"/>
      <x:c r="Q1234" s="126"/>
      <x:c r="R1234" s="126"/>
      <x:c r="S1234" s="124"/>
      <x:c r="T1234" s="124"/>
      <x:c r="U1234" s="124"/>
      <x:c r="V1234" s="124"/>
      <x:c r="W1234" s="124"/>
      <x:c r="X1234" s="124"/>
      <x:c r="AD1234"/>
      <x:c r="AE1234" s="145"/>
      <x:c r="AF1234" s="145"/>
      <x:c r="AG1234" s="145"/>
      <x:c r="AH1234" s="145"/>
      <x:c r="AI1234" s="145"/>
      <x:c r="AJ1234"/>
    </x:row>
    <x:row r="1235">
      <x:c r="F1235" s="124"/>
      <x:c r="G1235" s="124"/>
      <x:c r="H1235" s="124"/>
      <x:c r="I1235" s="124"/>
      <x:c r="J1235" s="124"/>
      <x:c r="M1235" s="126"/>
      <x:c r="P1235" s="126"/>
      <x:c r="Q1235" s="126"/>
      <x:c r="R1235" s="126"/>
      <x:c r="S1235" s="124"/>
      <x:c r="T1235" s="124"/>
      <x:c r="U1235" s="124"/>
      <x:c r="V1235" s="124"/>
      <x:c r="W1235" s="124"/>
      <x:c r="X1235" s="124"/>
      <x:c r="AD1235"/>
      <x:c r="AE1235" s="145"/>
      <x:c r="AF1235" s="145"/>
      <x:c r="AG1235" s="145"/>
      <x:c r="AH1235" s="145"/>
      <x:c r="AI1235" s="145"/>
      <x:c r="AJ1235"/>
    </x:row>
    <x:row r="1236">
      <x:c r="F1236" s="124"/>
      <x:c r="G1236" s="124"/>
      <x:c r="H1236" s="124"/>
      <x:c r="I1236" s="124"/>
      <x:c r="J1236" s="124"/>
      <x:c r="M1236" s="126"/>
      <x:c r="P1236" s="126"/>
      <x:c r="Q1236" s="126"/>
      <x:c r="R1236" s="126"/>
      <x:c r="S1236" s="124"/>
      <x:c r="T1236" s="124"/>
      <x:c r="U1236" s="124"/>
      <x:c r="V1236" s="124"/>
      <x:c r="W1236" s="124"/>
      <x:c r="X1236" s="124"/>
      <x:c r="AD1236"/>
      <x:c r="AE1236" s="145"/>
      <x:c r="AF1236" s="145"/>
      <x:c r="AG1236" s="145"/>
      <x:c r="AH1236" s="145"/>
      <x:c r="AI1236" s="145"/>
      <x:c r="AJ1236"/>
    </x:row>
    <x:row r="1237">
      <x:c r="F1237" s="124"/>
      <x:c r="G1237" s="124"/>
      <x:c r="H1237" s="124"/>
      <x:c r="I1237" s="124"/>
      <x:c r="J1237" s="124"/>
      <x:c r="M1237" s="126"/>
      <x:c r="P1237" s="126"/>
      <x:c r="Q1237" s="126"/>
      <x:c r="R1237" s="126"/>
      <x:c r="S1237" s="124"/>
      <x:c r="T1237" s="124"/>
      <x:c r="U1237" s="124"/>
      <x:c r="V1237" s="124"/>
      <x:c r="W1237" s="124"/>
      <x:c r="X1237" s="124"/>
      <x:c r="AD1237"/>
      <x:c r="AE1237" s="145"/>
      <x:c r="AF1237" s="145"/>
      <x:c r="AG1237" s="145"/>
      <x:c r="AH1237" s="145"/>
      <x:c r="AI1237" s="145"/>
      <x:c r="AJ1237"/>
    </x:row>
    <x:row r="1238">
      <x:c r="F1238" s="124"/>
      <x:c r="G1238" s="124"/>
      <x:c r="H1238" s="124"/>
      <x:c r="I1238" s="124"/>
      <x:c r="J1238" s="124"/>
      <x:c r="M1238" s="126"/>
      <x:c r="P1238" s="126"/>
      <x:c r="Q1238" s="126"/>
      <x:c r="R1238" s="126"/>
      <x:c r="S1238" s="124"/>
      <x:c r="T1238" s="124"/>
      <x:c r="U1238" s="124"/>
      <x:c r="V1238" s="124"/>
      <x:c r="W1238" s="124"/>
      <x:c r="X1238" s="124"/>
      <x:c r="AD1238"/>
      <x:c r="AE1238" s="145"/>
      <x:c r="AF1238" s="145"/>
      <x:c r="AG1238" s="145"/>
      <x:c r="AH1238" s="145"/>
      <x:c r="AI1238" s="145"/>
      <x:c r="AJ1238"/>
    </x:row>
    <x:row r="1239">
      <x:c r="F1239" s="124"/>
      <x:c r="G1239" s="124"/>
      <x:c r="H1239" s="124"/>
      <x:c r="I1239" s="124"/>
      <x:c r="J1239" s="124"/>
      <x:c r="M1239" s="126"/>
      <x:c r="P1239" s="126"/>
      <x:c r="Q1239" s="126"/>
      <x:c r="R1239" s="126"/>
      <x:c r="S1239" s="124"/>
      <x:c r="T1239" s="124"/>
      <x:c r="U1239" s="124"/>
      <x:c r="V1239" s="124"/>
      <x:c r="W1239" s="124"/>
      <x:c r="X1239" s="124"/>
      <x:c r="AD1239"/>
      <x:c r="AE1239" s="145"/>
      <x:c r="AF1239" s="145"/>
      <x:c r="AG1239" s="145"/>
      <x:c r="AH1239" s="145"/>
      <x:c r="AI1239" s="145"/>
      <x:c r="AJ1239"/>
    </x:row>
    <x:row r="1240">
      <x:c r="F1240" s="124"/>
      <x:c r="G1240" s="124"/>
      <x:c r="H1240" s="124"/>
      <x:c r="I1240" s="124"/>
      <x:c r="J1240" s="124"/>
      <x:c r="M1240" s="126"/>
      <x:c r="P1240" s="126"/>
      <x:c r="Q1240" s="126"/>
      <x:c r="R1240" s="126"/>
      <x:c r="S1240" s="124"/>
      <x:c r="T1240" s="124"/>
      <x:c r="U1240" s="124"/>
      <x:c r="V1240" s="124"/>
      <x:c r="W1240" s="124"/>
      <x:c r="X1240" s="124"/>
      <x:c r="AD1240"/>
      <x:c r="AE1240" s="145"/>
      <x:c r="AF1240" s="145"/>
      <x:c r="AG1240" s="145"/>
      <x:c r="AH1240" s="145"/>
      <x:c r="AI1240" s="145"/>
      <x:c r="AJ1240"/>
    </x:row>
    <x:row r="1241">
      <x:c r="F1241" s="124"/>
      <x:c r="G1241" s="124"/>
      <x:c r="H1241" s="124"/>
      <x:c r="I1241" s="124"/>
      <x:c r="J1241" s="124"/>
      <x:c r="M1241" s="126"/>
      <x:c r="P1241" s="126"/>
      <x:c r="Q1241" s="126"/>
      <x:c r="R1241" s="126"/>
      <x:c r="S1241" s="124"/>
      <x:c r="T1241" s="124"/>
      <x:c r="U1241" s="124"/>
      <x:c r="V1241" s="124"/>
      <x:c r="W1241" s="124"/>
      <x:c r="X1241" s="124"/>
      <x:c r="AD1241"/>
      <x:c r="AE1241" s="145"/>
      <x:c r="AF1241" s="145"/>
      <x:c r="AG1241" s="145"/>
      <x:c r="AH1241" s="145"/>
      <x:c r="AI1241" s="145"/>
      <x:c r="AJ1241"/>
    </x:row>
    <x:row r="1242">
      <x:c r="F1242" s="124"/>
      <x:c r="G1242" s="124"/>
      <x:c r="H1242" s="124"/>
      <x:c r="I1242" s="124"/>
      <x:c r="J1242" s="124"/>
      <x:c r="M1242" s="126"/>
      <x:c r="P1242" s="126"/>
      <x:c r="Q1242" s="126"/>
      <x:c r="R1242" s="126"/>
      <x:c r="S1242" s="124"/>
      <x:c r="T1242" s="124"/>
      <x:c r="U1242" s="124"/>
      <x:c r="V1242" s="124"/>
      <x:c r="W1242" s="124"/>
      <x:c r="X1242" s="124"/>
      <x:c r="AD1242"/>
      <x:c r="AE1242" s="145"/>
      <x:c r="AF1242" s="145"/>
      <x:c r="AG1242" s="145"/>
      <x:c r="AH1242" s="145"/>
      <x:c r="AI1242" s="145"/>
      <x:c r="AJ1242"/>
    </x:row>
    <x:row r="1243">
      <x:c r="F1243" s="124"/>
      <x:c r="G1243" s="124"/>
      <x:c r="H1243" s="124"/>
      <x:c r="I1243" s="124"/>
      <x:c r="J1243" s="124"/>
      <x:c r="M1243" s="126"/>
      <x:c r="P1243" s="126"/>
      <x:c r="Q1243" s="126"/>
      <x:c r="R1243" s="126"/>
      <x:c r="S1243" s="124"/>
      <x:c r="T1243" s="124"/>
      <x:c r="U1243" s="124"/>
      <x:c r="V1243" s="124"/>
      <x:c r="W1243" s="124"/>
      <x:c r="X1243" s="124"/>
      <x:c r="AD1243"/>
      <x:c r="AE1243" s="145"/>
      <x:c r="AF1243" s="145"/>
      <x:c r="AG1243" s="145"/>
      <x:c r="AH1243" s="145"/>
      <x:c r="AI1243" s="145"/>
      <x:c r="AJ1243"/>
    </x:row>
    <x:row r="1244">
      <x:c r="F1244" s="124"/>
      <x:c r="G1244" s="124"/>
      <x:c r="H1244" s="124"/>
      <x:c r="I1244" s="124"/>
      <x:c r="J1244" s="124"/>
      <x:c r="M1244" s="126"/>
      <x:c r="P1244" s="126"/>
      <x:c r="Q1244" s="126"/>
      <x:c r="R1244" s="126"/>
      <x:c r="S1244" s="124"/>
      <x:c r="T1244" s="124"/>
      <x:c r="U1244" s="124"/>
      <x:c r="V1244" s="124"/>
      <x:c r="W1244" s="124"/>
      <x:c r="X1244" s="124"/>
      <x:c r="AD1244"/>
      <x:c r="AE1244" s="145"/>
      <x:c r="AF1244" s="145"/>
      <x:c r="AG1244" s="145"/>
      <x:c r="AH1244" s="145"/>
      <x:c r="AI1244" s="145"/>
      <x:c r="AJ1244"/>
    </x:row>
    <x:row r="1245">
      <x:c r="F1245" s="124"/>
      <x:c r="G1245" s="124"/>
      <x:c r="H1245" s="124"/>
      <x:c r="I1245" s="124"/>
      <x:c r="J1245" s="124"/>
      <x:c r="M1245" s="126"/>
      <x:c r="P1245" s="126"/>
      <x:c r="Q1245" s="126"/>
      <x:c r="R1245" s="126"/>
      <x:c r="S1245" s="124"/>
      <x:c r="T1245" s="124"/>
      <x:c r="U1245" s="124"/>
      <x:c r="V1245" s="124"/>
      <x:c r="W1245" s="124"/>
      <x:c r="X1245" s="124"/>
      <x:c r="AD1245"/>
      <x:c r="AE1245" s="145"/>
      <x:c r="AF1245" s="145"/>
      <x:c r="AG1245" s="145"/>
      <x:c r="AH1245" s="145"/>
      <x:c r="AI1245" s="145"/>
      <x:c r="AJ1245"/>
    </x:row>
    <x:row r="1246">
      <x:c r="F1246" s="124"/>
      <x:c r="G1246" s="124"/>
      <x:c r="H1246" s="124"/>
      <x:c r="I1246" s="124"/>
      <x:c r="J1246" s="124"/>
      <x:c r="M1246" s="126"/>
      <x:c r="P1246" s="126"/>
      <x:c r="Q1246" s="126"/>
      <x:c r="R1246" s="126"/>
      <x:c r="S1246" s="124"/>
      <x:c r="T1246" s="124"/>
      <x:c r="U1246" s="124"/>
      <x:c r="V1246" s="124"/>
      <x:c r="W1246" s="124"/>
      <x:c r="X1246" s="124"/>
      <x:c r="AD1246"/>
      <x:c r="AE1246" s="145"/>
      <x:c r="AF1246" s="145"/>
      <x:c r="AG1246" s="145"/>
      <x:c r="AH1246" s="145"/>
      <x:c r="AI1246" s="145"/>
      <x:c r="AJ1246"/>
    </x:row>
    <x:row r="1247">
      <x:c r="F1247" s="124"/>
      <x:c r="G1247" s="124"/>
      <x:c r="H1247" s="124"/>
      <x:c r="I1247" s="124"/>
      <x:c r="J1247" s="124"/>
      <x:c r="M1247" s="126"/>
      <x:c r="P1247" s="126"/>
      <x:c r="Q1247" s="126"/>
      <x:c r="R1247" s="126"/>
      <x:c r="S1247" s="124"/>
      <x:c r="T1247" s="124"/>
      <x:c r="U1247" s="124"/>
      <x:c r="V1247" s="124"/>
      <x:c r="W1247" s="124"/>
      <x:c r="X1247" s="124"/>
      <x:c r="AD1247"/>
      <x:c r="AE1247" s="145"/>
      <x:c r="AF1247" s="145"/>
      <x:c r="AG1247" s="145"/>
      <x:c r="AH1247" s="145"/>
      <x:c r="AI1247" s="145"/>
      <x:c r="AJ1247"/>
    </x:row>
    <x:row r="1248">
      <x:c r="F1248" s="124"/>
      <x:c r="G1248" s="124"/>
      <x:c r="H1248" s="124"/>
      <x:c r="I1248" s="124"/>
      <x:c r="J1248" s="124"/>
      <x:c r="M1248" s="126"/>
      <x:c r="P1248" s="126"/>
      <x:c r="Q1248" s="126"/>
      <x:c r="R1248" s="126"/>
      <x:c r="S1248" s="124"/>
      <x:c r="T1248" s="124"/>
      <x:c r="U1248" s="124"/>
      <x:c r="V1248" s="124"/>
      <x:c r="W1248" s="124"/>
      <x:c r="X1248" s="124"/>
      <x:c r="AD1248"/>
      <x:c r="AE1248" s="145"/>
      <x:c r="AF1248" s="145"/>
      <x:c r="AG1248" s="145"/>
      <x:c r="AH1248" s="145"/>
      <x:c r="AI1248" s="145"/>
      <x:c r="AJ1248"/>
    </x:row>
    <x:row r="1249">
      <x:c r="F1249" s="124"/>
      <x:c r="G1249" s="124"/>
      <x:c r="H1249" s="124"/>
      <x:c r="I1249" s="124"/>
      <x:c r="J1249" s="124"/>
      <x:c r="M1249" s="126"/>
      <x:c r="P1249" s="126"/>
      <x:c r="Q1249" s="126"/>
      <x:c r="R1249" s="126"/>
      <x:c r="S1249" s="124"/>
      <x:c r="T1249" s="124"/>
      <x:c r="U1249" s="124"/>
      <x:c r="V1249" s="124"/>
      <x:c r="W1249" s="124"/>
      <x:c r="X1249" s="124"/>
      <x:c r="AD1249"/>
      <x:c r="AE1249" s="145"/>
      <x:c r="AF1249" s="145"/>
      <x:c r="AG1249" s="145"/>
      <x:c r="AH1249" s="145"/>
      <x:c r="AI1249" s="145"/>
      <x:c r="AJ1249"/>
    </x:row>
    <x:row r="1250">
      <x:c r="F1250" s="124"/>
      <x:c r="G1250" s="124"/>
      <x:c r="H1250" s="124"/>
      <x:c r="I1250" s="124"/>
      <x:c r="J1250" s="124"/>
      <x:c r="M1250" s="126"/>
      <x:c r="P1250" s="126"/>
      <x:c r="Q1250" s="126"/>
      <x:c r="R1250" s="126"/>
      <x:c r="S1250" s="124"/>
      <x:c r="T1250" s="124"/>
      <x:c r="U1250" s="124"/>
      <x:c r="V1250" s="124"/>
      <x:c r="W1250" s="124"/>
      <x:c r="X1250" s="124"/>
      <x:c r="AD1250"/>
      <x:c r="AE1250" s="145"/>
      <x:c r="AF1250" s="145"/>
      <x:c r="AG1250" s="145"/>
      <x:c r="AH1250" s="145"/>
      <x:c r="AI1250" s="145"/>
      <x:c r="AJ1250"/>
    </x:row>
    <x:row r="1251">
      <x:c r="F1251" s="124"/>
      <x:c r="G1251" s="124"/>
      <x:c r="H1251" s="124"/>
      <x:c r="I1251" s="124"/>
      <x:c r="J1251" s="124"/>
      <x:c r="M1251" s="126"/>
      <x:c r="P1251" s="126"/>
      <x:c r="Q1251" s="126"/>
      <x:c r="R1251" s="126"/>
      <x:c r="S1251" s="124"/>
      <x:c r="T1251" s="124"/>
      <x:c r="U1251" s="124"/>
      <x:c r="V1251" s="124"/>
      <x:c r="W1251" s="124"/>
      <x:c r="X1251" s="124"/>
      <x:c r="AD1251"/>
      <x:c r="AE1251" s="145"/>
      <x:c r="AF1251" s="145"/>
      <x:c r="AG1251" s="145"/>
      <x:c r="AH1251" s="145"/>
      <x:c r="AI1251" s="145"/>
      <x:c r="AJ1251"/>
    </x:row>
    <x:row r="1252">
      <x:c r="F1252" s="124"/>
      <x:c r="G1252" s="124"/>
      <x:c r="H1252" s="124"/>
      <x:c r="I1252" s="124"/>
      <x:c r="J1252" s="124"/>
      <x:c r="M1252" s="126"/>
      <x:c r="P1252" s="126"/>
      <x:c r="Q1252" s="126"/>
      <x:c r="R1252" s="126"/>
      <x:c r="S1252" s="124"/>
      <x:c r="T1252" s="124"/>
      <x:c r="U1252" s="124"/>
      <x:c r="V1252" s="124"/>
      <x:c r="W1252" s="124"/>
      <x:c r="X1252" s="124"/>
      <x:c r="AD1252"/>
      <x:c r="AE1252" s="145"/>
      <x:c r="AF1252" s="145"/>
      <x:c r="AG1252" s="145"/>
      <x:c r="AH1252" s="145"/>
      <x:c r="AI1252" s="145"/>
      <x:c r="AJ1252"/>
    </x:row>
    <x:row r="1253">
      <x:c r="F1253" s="124"/>
      <x:c r="G1253" s="124"/>
      <x:c r="H1253" s="124"/>
      <x:c r="I1253" s="124"/>
      <x:c r="J1253" s="124"/>
      <x:c r="M1253" s="126"/>
      <x:c r="P1253" s="126"/>
      <x:c r="Q1253" s="126"/>
      <x:c r="R1253" s="126"/>
      <x:c r="S1253" s="124"/>
      <x:c r="T1253" s="124"/>
      <x:c r="U1253" s="124"/>
      <x:c r="V1253" s="124"/>
      <x:c r="W1253" s="124"/>
      <x:c r="X1253" s="124"/>
      <x:c r="AD1253"/>
      <x:c r="AE1253" s="145"/>
      <x:c r="AF1253" s="145"/>
      <x:c r="AG1253" s="145"/>
      <x:c r="AH1253" s="145"/>
      <x:c r="AI1253" s="145"/>
      <x:c r="AJ1253"/>
    </x:row>
    <x:row r="1254">
      <x:c r="F1254" s="124"/>
      <x:c r="G1254" s="124"/>
      <x:c r="H1254" s="124"/>
      <x:c r="I1254" s="124"/>
      <x:c r="J1254" s="124"/>
      <x:c r="M1254" s="126"/>
      <x:c r="P1254" s="126"/>
      <x:c r="Q1254" s="126"/>
      <x:c r="R1254" s="126"/>
      <x:c r="S1254" s="124"/>
      <x:c r="T1254" s="124"/>
      <x:c r="U1254" s="124"/>
      <x:c r="V1254" s="124"/>
      <x:c r="W1254" s="124"/>
      <x:c r="X1254" s="124"/>
      <x:c r="AD1254"/>
      <x:c r="AE1254" s="145"/>
      <x:c r="AF1254" s="145"/>
      <x:c r="AG1254" s="145"/>
      <x:c r="AH1254" s="145"/>
      <x:c r="AI1254" s="145"/>
      <x:c r="AJ1254"/>
    </x:row>
    <x:row r="1255">
      <x:c r="F1255" s="124"/>
      <x:c r="G1255" s="124"/>
      <x:c r="H1255" s="124"/>
      <x:c r="I1255" s="124"/>
      <x:c r="J1255" s="124"/>
      <x:c r="M1255" s="126"/>
      <x:c r="P1255" s="126"/>
      <x:c r="Q1255" s="126"/>
      <x:c r="R1255" s="126"/>
      <x:c r="S1255" s="124"/>
      <x:c r="T1255" s="124"/>
      <x:c r="U1255" s="124"/>
      <x:c r="V1255" s="124"/>
      <x:c r="W1255" s="124"/>
      <x:c r="X1255" s="124"/>
      <x:c r="AD1255"/>
      <x:c r="AE1255" s="145"/>
      <x:c r="AF1255" s="145"/>
      <x:c r="AG1255" s="145"/>
      <x:c r="AH1255" s="145"/>
      <x:c r="AI1255" s="145"/>
      <x:c r="AJ1255"/>
    </x:row>
    <x:row r="1256">
      <x:c r="F1256" s="124"/>
      <x:c r="G1256" s="124"/>
      <x:c r="H1256" s="124"/>
      <x:c r="I1256" s="124"/>
      <x:c r="J1256" s="124"/>
      <x:c r="M1256" s="126"/>
      <x:c r="P1256" s="126"/>
      <x:c r="Q1256" s="126"/>
      <x:c r="R1256" s="126"/>
      <x:c r="S1256" s="124"/>
      <x:c r="T1256" s="124"/>
      <x:c r="U1256" s="124"/>
      <x:c r="V1256" s="124"/>
      <x:c r="W1256" s="124"/>
      <x:c r="X1256" s="124"/>
      <x:c r="AD1256"/>
      <x:c r="AE1256" s="145"/>
      <x:c r="AF1256" s="145"/>
      <x:c r="AG1256" s="145"/>
      <x:c r="AH1256" s="145"/>
      <x:c r="AI1256" s="145"/>
      <x:c r="AJ1256"/>
    </x:row>
    <x:row r="1257">
      <x:c r="F1257" s="124"/>
      <x:c r="G1257" s="124"/>
      <x:c r="H1257" s="124"/>
      <x:c r="I1257" s="124"/>
      <x:c r="J1257" s="124"/>
      <x:c r="M1257" s="126"/>
      <x:c r="P1257" s="126"/>
      <x:c r="Q1257" s="126"/>
      <x:c r="R1257" s="126"/>
      <x:c r="S1257" s="124"/>
      <x:c r="T1257" s="124"/>
      <x:c r="U1257" s="124"/>
      <x:c r="V1257" s="124"/>
      <x:c r="W1257" s="124"/>
      <x:c r="X1257" s="124"/>
      <x:c r="AD1257"/>
      <x:c r="AE1257" s="145"/>
      <x:c r="AF1257" s="145"/>
      <x:c r="AG1257" s="145"/>
      <x:c r="AH1257" s="145"/>
      <x:c r="AI1257" s="145"/>
      <x:c r="AJ1257"/>
    </x:row>
    <x:row r="1258">
      <x:c r="F1258" s="124"/>
      <x:c r="G1258" s="124"/>
      <x:c r="H1258" s="124"/>
      <x:c r="I1258" s="124"/>
      <x:c r="J1258" s="124"/>
      <x:c r="M1258" s="126"/>
      <x:c r="P1258" s="126"/>
      <x:c r="Q1258" s="126"/>
      <x:c r="R1258" s="126"/>
      <x:c r="S1258" s="124"/>
      <x:c r="T1258" s="124"/>
      <x:c r="U1258" s="124"/>
      <x:c r="V1258" s="124"/>
      <x:c r="W1258" s="124"/>
      <x:c r="X1258" s="124"/>
      <x:c r="AD1258"/>
      <x:c r="AE1258" s="145"/>
      <x:c r="AF1258" s="145"/>
      <x:c r="AG1258" s="145"/>
      <x:c r="AH1258" s="145"/>
      <x:c r="AI1258" s="145"/>
      <x:c r="AJ1258"/>
    </x:row>
    <x:row r="1259">
      <x:c r="F1259" s="124"/>
      <x:c r="G1259" s="124"/>
      <x:c r="H1259" s="124"/>
      <x:c r="I1259" s="124"/>
      <x:c r="J1259" s="124"/>
      <x:c r="M1259" s="126"/>
      <x:c r="P1259" s="126"/>
      <x:c r="Q1259" s="126"/>
      <x:c r="R1259" s="126"/>
      <x:c r="S1259" s="124"/>
      <x:c r="T1259" s="124"/>
      <x:c r="U1259" s="124"/>
      <x:c r="V1259" s="124"/>
      <x:c r="W1259" s="124"/>
      <x:c r="X1259" s="124"/>
      <x:c r="AD1259"/>
      <x:c r="AE1259" s="145"/>
      <x:c r="AF1259" s="145"/>
      <x:c r="AG1259" s="145"/>
      <x:c r="AH1259" s="145"/>
      <x:c r="AI1259" s="145"/>
      <x:c r="AJ1259"/>
    </x:row>
    <x:row r="1260">
      <x:c r="F1260" s="124"/>
      <x:c r="G1260" s="124"/>
      <x:c r="H1260" s="124"/>
      <x:c r="I1260" s="124"/>
      <x:c r="J1260" s="124"/>
      <x:c r="M1260" s="126"/>
      <x:c r="P1260" s="126"/>
      <x:c r="Q1260" s="126"/>
      <x:c r="R1260" s="126"/>
      <x:c r="S1260" s="124"/>
      <x:c r="T1260" s="124"/>
      <x:c r="U1260" s="124"/>
      <x:c r="V1260" s="124"/>
      <x:c r="W1260" s="124"/>
      <x:c r="X1260" s="124"/>
      <x:c r="AD1260"/>
      <x:c r="AE1260" s="145"/>
      <x:c r="AF1260" s="145"/>
      <x:c r="AG1260" s="145"/>
      <x:c r="AH1260" s="145"/>
      <x:c r="AI1260" s="145"/>
      <x:c r="AJ1260"/>
    </x:row>
    <x:row r="1261">
      <x:c r="F1261" s="124"/>
      <x:c r="G1261" s="124"/>
      <x:c r="H1261" s="124"/>
      <x:c r="I1261" s="124"/>
      <x:c r="J1261" s="124"/>
      <x:c r="M1261" s="126"/>
      <x:c r="P1261" s="126"/>
      <x:c r="Q1261" s="126"/>
      <x:c r="R1261" s="126"/>
      <x:c r="S1261" s="124"/>
      <x:c r="T1261" s="124"/>
      <x:c r="U1261" s="124"/>
      <x:c r="V1261" s="124"/>
      <x:c r="W1261" s="124"/>
      <x:c r="X1261" s="124"/>
      <x:c r="AD1261"/>
      <x:c r="AE1261" s="145"/>
      <x:c r="AF1261" s="145"/>
      <x:c r="AG1261" s="145"/>
      <x:c r="AH1261" s="145"/>
      <x:c r="AI1261" s="145"/>
      <x:c r="AJ1261"/>
    </x:row>
    <x:row r="1262">
      <x:c r="F1262" s="124"/>
      <x:c r="G1262" s="124"/>
      <x:c r="H1262" s="124"/>
      <x:c r="I1262" s="124"/>
      <x:c r="J1262" s="124"/>
      <x:c r="M1262" s="126"/>
      <x:c r="P1262" s="126"/>
      <x:c r="Q1262" s="126"/>
      <x:c r="R1262" s="126"/>
      <x:c r="S1262" s="124"/>
      <x:c r="T1262" s="124"/>
      <x:c r="U1262" s="124"/>
      <x:c r="V1262" s="124"/>
      <x:c r="W1262" s="124"/>
      <x:c r="X1262" s="124"/>
      <x:c r="AD1262"/>
      <x:c r="AE1262" s="145"/>
      <x:c r="AF1262" s="145"/>
      <x:c r="AG1262" s="145"/>
      <x:c r="AH1262" s="145"/>
      <x:c r="AI1262" s="145"/>
      <x:c r="AJ1262"/>
    </x:row>
    <x:row r="1263">
      <x:c r="F1263" s="124"/>
      <x:c r="G1263" s="124"/>
      <x:c r="H1263" s="124"/>
      <x:c r="I1263" s="124"/>
      <x:c r="J1263" s="124"/>
      <x:c r="M1263" s="126"/>
      <x:c r="P1263" s="126"/>
      <x:c r="Q1263" s="126"/>
      <x:c r="R1263" s="126"/>
      <x:c r="S1263" s="124"/>
      <x:c r="T1263" s="124"/>
      <x:c r="U1263" s="124"/>
      <x:c r="V1263" s="124"/>
      <x:c r="W1263" s="124"/>
      <x:c r="X1263" s="124"/>
      <x:c r="AD1263"/>
      <x:c r="AE1263" s="145"/>
      <x:c r="AF1263" s="145"/>
      <x:c r="AG1263" s="145"/>
      <x:c r="AH1263" s="145"/>
      <x:c r="AI1263" s="145"/>
      <x:c r="AJ1263"/>
    </x:row>
    <x:row r="1264">
      <x:c r="F1264" s="124"/>
      <x:c r="G1264" s="124"/>
      <x:c r="H1264" s="124"/>
      <x:c r="I1264" s="124"/>
      <x:c r="J1264" s="124"/>
      <x:c r="M1264" s="126"/>
      <x:c r="P1264" s="126"/>
      <x:c r="Q1264" s="126"/>
      <x:c r="R1264" s="126"/>
      <x:c r="S1264" s="124"/>
      <x:c r="T1264" s="124"/>
      <x:c r="U1264" s="124"/>
      <x:c r="V1264" s="124"/>
      <x:c r="W1264" s="124"/>
      <x:c r="X1264" s="124"/>
      <x:c r="AD1264"/>
      <x:c r="AE1264" s="145"/>
      <x:c r="AF1264" s="145"/>
      <x:c r="AG1264" s="145"/>
      <x:c r="AH1264" s="145"/>
      <x:c r="AI1264" s="145"/>
      <x:c r="AJ1264"/>
    </x:row>
    <x:row r="1265">
      <x:c r="F1265" s="124"/>
      <x:c r="G1265" s="124"/>
      <x:c r="H1265" s="124"/>
      <x:c r="I1265" s="124"/>
      <x:c r="J1265" s="124"/>
      <x:c r="M1265" s="126"/>
      <x:c r="P1265" s="126"/>
      <x:c r="Q1265" s="126"/>
      <x:c r="R1265" s="126"/>
      <x:c r="S1265" s="124"/>
      <x:c r="T1265" s="124"/>
      <x:c r="U1265" s="124"/>
      <x:c r="V1265" s="124"/>
      <x:c r="W1265" s="124"/>
      <x:c r="X1265" s="124"/>
      <x:c r="AD1265"/>
      <x:c r="AE1265" s="145"/>
      <x:c r="AF1265" s="145"/>
      <x:c r="AG1265" s="145"/>
      <x:c r="AH1265" s="145"/>
      <x:c r="AI1265" s="145"/>
      <x:c r="AJ1265"/>
    </x:row>
    <x:row r="1266">
      <x:c r="F1266" s="124"/>
      <x:c r="G1266" s="124"/>
      <x:c r="H1266" s="124"/>
      <x:c r="I1266" s="124"/>
      <x:c r="J1266" s="124"/>
      <x:c r="M1266" s="126"/>
      <x:c r="P1266" s="126"/>
      <x:c r="Q1266" s="126"/>
      <x:c r="R1266" s="126"/>
      <x:c r="S1266" s="124"/>
      <x:c r="T1266" s="124"/>
      <x:c r="U1266" s="124"/>
      <x:c r="V1266" s="124"/>
      <x:c r="W1266" s="124"/>
      <x:c r="X1266" s="124"/>
      <x:c r="AD1266"/>
      <x:c r="AE1266" s="145"/>
      <x:c r="AF1266" s="145"/>
      <x:c r="AG1266" s="145"/>
      <x:c r="AH1266" s="145"/>
      <x:c r="AI1266" s="145"/>
      <x:c r="AJ1266"/>
    </x:row>
    <x:row r="1267">
      <x:c r="F1267" s="124"/>
      <x:c r="G1267" s="124"/>
      <x:c r="H1267" s="124"/>
      <x:c r="I1267" s="124"/>
      <x:c r="J1267" s="124"/>
      <x:c r="M1267" s="126"/>
      <x:c r="P1267" s="126"/>
      <x:c r="Q1267" s="126"/>
      <x:c r="R1267" s="126"/>
      <x:c r="S1267" s="124"/>
      <x:c r="T1267" s="124"/>
      <x:c r="U1267" s="124"/>
      <x:c r="V1267" s="124"/>
      <x:c r="W1267" s="124"/>
      <x:c r="X1267" s="124"/>
      <x:c r="AD1267"/>
      <x:c r="AE1267" s="145"/>
      <x:c r="AF1267" s="145"/>
      <x:c r="AG1267" s="145"/>
      <x:c r="AH1267" s="145"/>
      <x:c r="AI1267" s="145"/>
      <x:c r="AJ1267"/>
    </x:row>
    <x:row r="1268">
      <x:c r="F1268" s="124"/>
      <x:c r="G1268" s="124"/>
      <x:c r="H1268" s="124"/>
      <x:c r="I1268" s="124"/>
      <x:c r="J1268" s="124"/>
      <x:c r="M1268" s="126"/>
      <x:c r="P1268" s="126"/>
      <x:c r="Q1268" s="126"/>
      <x:c r="R1268" s="126"/>
      <x:c r="S1268" s="124"/>
      <x:c r="T1268" s="124"/>
      <x:c r="U1268" s="124"/>
      <x:c r="V1268" s="124"/>
      <x:c r="W1268" s="124"/>
      <x:c r="X1268" s="124"/>
      <x:c r="AD1268"/>
      <x:c r="AE1268" s="145"/>
      <x:c r="AF1268" s="145"/>
      <x:c r="AG1268" s="145"/>
      <x:c r="AH1268" s="145"/>
      <x:c r="AI1268" s="145"/>
      <x:c r="AJ1268"/>
    </x:row>
    <x:row r="1269">
      <x:c r="F1269" s="124"/>
      <x:c r="G1269" s="124"/>
      <x:c r="H1269" s="124"/>
      <x:c r="I1269" s="124"/>
      <x:c r="J1269" s="124"/>
      <x:c r="M1269" s="126"/>
      <x:c r="P1269" s="126"/>
      <x:c r="Q1269" s="126"/>
      <x:c r="R1269" s="126"/>
      <x:c r="S1269" s="124"/>
      <x:c r="T1269" s="124"/>
      <x:c r="U1269" s="124"/>
      <x:c r="V1269" s="124"/>
      <x:c r="W1269" s="124"/>
      <x:c r="X1269" s="124"/>
      <x:c r="AD1269"/>
      <x:c r="AE1269" s="145"/>
      <x:c r="AF1269" s="145"/>
      <x:c r="AG1269" s="145"/>
      <x:c r="AH1269" s="145"/>
      <x:c r="AI1269" s="145"/>
      <x:c r="AJ1269"/>
    </x:row>
    <x:row r="1270">
      <x:c r="F1270" s="124"/>
      <x:c r="G1270" s="124"/>
      <x:c r="H1270" s="124"/>
      <x:c r="I1270" s="124"/>
      <x:c r="J1270" s="124"/>
      <x:c r="M1270" s="126"/>
      <x:c r="P1270" s="126"/>
      <x:c r="Q1270" s="126"/>
      <x:c r="R1270" s="126"/>
      <x:c r="S1270" s="124"/>
      <x:c r="T1270" s="124"/>
      <x:c r="U1270" s="124"/>
      <x:c r="V1270" s="124"/>
      <x:c r="W1270" s="124"/>
      <x:c r="X1270" s="124"/>
      <x:c r="AD1270"/>
      <x:c r="AE1270" s="145"/>
      <x:c r="AF1270" s="145"/>
      <x:c r="AG1270" s="145"/>
      <x:c r="AH1270" s="145"/>
      <x:c r="AI1270" s="145"/>
      <x:c r="AJ1270"/>
    </x:row>
    <x:row r="1271">
      <x:c r="F1271" s="124"/>
      <x:c r="G1271" s="124"/>
      <x:c r="H1271" s="124"/>
      <x:c r="I1271" s="124"/>
      <x:c r="J1271" s="124"/>
      <x:c r="M1271" s="126"/>
      <x:c r="P1271" s="126"/>
      <x:c r="Q1271" s="126"/>
      <x:c r="R1271" s="126"/>
      <x:c r="S1271" s="124"/>
      <x:c r="T1271" s="124"/>
      <x:c r="U1271" s="124"/>
      <x:c r="V1271" s="124"/>
      <x:c r="W1271" s="124"/>
      <x:c r="X1271" s="124"/>
      <x:c r="AD1271"/>
      <x:c r="AE1271" s="145"/>
      <x:c r="AF1271" s="145"/>
      <x:c r="AG1271" s="145"/>
      <x:c r="AH1271" s="145"/>
      <x:c r="AI1271" s="145"/>
      <x:c r="AJ1271"/>
    </x:row>
    <x:row r="1272">
      <x:c r="F1272" s="124"/>
      <x:c r="G1272" s="124"/>
      <x:c r="H1272" s="124"/>
      <x:c r="I1272" s="124"/>
      <x:c r="J1272" s="124"/>
      <x:c r="M1272" s="126"/>
      <x:c r="P1272" s="126"/>
      <x:c r="Q1272" s="126"/>
      <x:c r="R1272" s="126"/>
      <x:c r="S1272" s="124"/>
      <x:c r="T1272" s="124"/>
      <x:c r="U1272" s="124"/>
      <x:c r="V1272" s="124"/>
      <x:c r="W1272" s="124"/>
      <x:c r="X1272" s="124"/>
      <x:c r="AD1272"/>
      <x:c r="AE1272" s="145"/>
      <x:c r="AF1272" s="145"/>
      <x:c r="AG1272" s="145"/>
      <x:c r="AH1272" s="145"/>
      <x:c r="AI1272" s="145"/>
      <x:c r="AJ1272"/>
    </x:row>
    <x:row r="1273">
      <x:c r="F1273" s="124"/>
      <x:c r="G1273" s="124"/>
      <x:c r="H1273" s="124"/>
      <x:c r="I1273" s="124"/>
      <x:c r="J1273" s="124"/>
      <x:c r="M1273" s="126"/>
      <x:c r="P1273" s="126"/>
      <x:c r="Q1273" s="126"/>
      <x:c r="R1273" s="126"/>
      <x:c r="S1273" s="124"/>
      <x:c r="T1273" s="124"/>
      <x:c r="U1273" s="124"/>
      <x:c r="V1273" s="124"/>
      <x:c r="W1273" s="124"/>
      <x:c r="X1273" s="124"/>
      <x:c r="AD1273"/>
      <x:c r="AE1273" s="145"/>
      <x:c r="AF1273" s="145"/>
      <x:c r="AG1273" s="145"/>
      <x:c r="AH1273" s="145"/>
      <x:c r="AI1273" s="145"/>
      <x:c r="AJ1273"/>
    </x:row>
    <x:row r="1274">
      <x:c r="F1274" s="124"/>
      <x:c r="G1274" s="124"/>
      <x:c r="H1274" s="124"/>
      <x:c r="I1274" s="124"/>
      <x:c r="J1274" s="124"/>
      <x:c r="M1274" s="126"/>
      <x:c r="P1274" s="126"/>
      <x:c r="Q1274" s="126"/>
      <x:c r="R1274" s="126"/>
      <x:c r="S1274" s="124"/>
      <x:c r="T1274" s="124"/>
      <x:c r="U1274" s="124"/>
      <x:c r="V1274" s="124"/>
      <x:c r="W1274" s="124"/>
      <x:c r="X1274" s="124"/>
      <x:c r="AD1274"/>
      <x:c r="AE1274" s="145"/>
      <x:c r="AF1274" s="145"/>
      <x:c r="AG1274" s="145"/>
      <x:c r="AH1274" s="145"/>
      <x:c r="AI1274" s="145"/>
      <x:c r="AJ1274"/>
    </x:row>
    <x:row r="1275">
      <x:c r="F1275" s="124"/>
      <x:c r="G1275" s="124"/>
      <x:c r="H1275" s="124"/>
      <x:c r="I1275" s="124"/>
      <x:c r="J1275" s="124"/>
      <x:c r="M1275" s="126"/>
      <x:c r="P1275" s="126"/>
      <x:c r="Q1275" s="126"/>
      <x:c r="R1275" s="126"/>
      <x:c r="S1275" s="124"/>
      <x:c r="T1275" s="124"/>
      <x:c r="U1275" s="124"/>
      <x:c r="V1275" s="124"/>
      <x:c r="W1275" s="124"/>
      <x:c r="X1275" s="124"/>
      <x:c r="AD1275"/>
      <x:c r="AE1275" s="145"/>
      <x:c r="AF1275" s="145"/>
      <x:c r="AG1275" s="145"/>
      <x:c r="AH1275" s="145"/>
      <x:c r="AI1275" s="145"/>
      <x:c r="AJ1275"/>
    </x:row>
    <x:row r="1276">
      <x:c r="F1276" s="124"/>
      <x:c r="G1276" s="124"/>
      <x:c r="H1276" s="124"/>
      <x:c r="I1276" s="124"/>
      <x:c r="J1276" s="124"/>
      <x:c r="M1276" s="126"/>
      <x:c r="P1276" s="126"/>
      <x:c r="Q1276" s="126"/>
      <x:c r="R1276" s="126"/>
      <x:c r="S1276" s="124"/>
      <x:c r="T1276" s="124"/>
      <x:c r="U1276" s="124"/>
      <x:c r="V1276" s="124"/>
      <x:c r="W1276" s="124"/>
      <x:c r="X1276" s="124"/>
      <x:c r="AD1276"/>
      <x:c r="AE1276" s="145"/>
      <x:c r="AF1276" s="145"/>
      <x:c r="AG1276" s="145"/>
      <x:c r="AH1276" s="145"/>
      <x:c r="AI1276" s="145"/>
      <x:c r="AJ1276"/>
    </x:row>
    <x:row r="1277">
      <x:c r="F1277" s="124"/>
      <x:c r="G1277" s="124"/>
      <x:c r="H1277" s="124"/>
      <x:c r="I1277" s="124"/>
      <x:c r="J1277" s="124"/>
      <x:c r="M1277" s="126"/>
      <x:c r="P1277" s="126"/>
      <x:c r="Q1277" s="126"/>
      <x:c r="R1277" s="126"/>
      <x:c r="S1277" s="124"/>
      <x:c r="T1277" s="124"/>
      <x:c r="U1277" s="124"/>
      <x:c r="V1277" s="124"/>
      <x:c r="W1277" s="124"/>
      <x:c r="X1277" s="124"/>
      <x:c r="AD1277"/>
      <x:c r="AE1277" s="145"/>
      <x:c r="AF1277" s="145"/>
      <x:c r="AG1277" s="145"/>
      <x:c r="AH1277" s="145"/>
      <x:c r="AI1277" s="145"/>
      <x:c r="AJ1277"/>
    </x:row>
    <x:row r="1278">
      <x:c r="F1278" s="124"/>
      <x:c r="G1278" s="124"/>
      <x:c r="H1278" s="124"/>
      <x:c r="I1278" s="124"/>
      <x:c r="J1278" s="124"/>
      <x:c r="M1278" s="126"/>
      <x:c r="P1278" s="126"/>
      <x:c r="Q1278" s="126"/>
      <x:c r="R1278" s="126"/>
      <x:c r="S1278" s="124"/>
      <x:c r="T1278" s="124"/>
      <x:c r="U1278" s="124"/>
      <x:c r="V1278" s="124"/>
      <x:c r="W1278" s="124"/>
      <x:c r="X1278" s="124"/>
      <x:c r="AD1278"/>
      <x:c r="AE1278" s="145"/>
      <x:c r="AF1278" s="145"/>
      <x:c r="AG1278" s="145"/>
      <x:c r="AH1278" s="145"/>
      <x:c r="AI1278" s="145"/>
      <x:c r="AJ1278"/>
    </x:row>
    <x:row r="1279">
      <x:c r="F1279" s="124"/>
      <x:c r="G1279" s="124"/>
      <x:c r="H1279" s="124"/>
      <x:c r="I1279" s="124"/>
      <x:c r="J1279" s="124"/>
      <x:c r="M1279" s="126"/>
      <x:c r="P1279" s="126"/>
      <x:c r="Q1279" s="126"/>
      <x:c r="R1279" s="126"/>
      <x:c r="S1279" s="124"/>
      <x:c r="T1279" s="124"/>
      <x:c r="U1279" s="124"/>
      <x:c r="V1279" s="124"/>
      <x:c r="W1279" s="124"/>
      <x:c r="X1279" s="124"/>
      <x:c r="AD1279"/>
      <x:c r="AE1279" s="145"/>
      <x:c r="AF1279" s="145"/>
      <x:c r="AG1279" s="145"/>
      <x:c r="AH1279" s="145"/>
      <x:c r="AI1279" s="145"/>
      <x:c r="AJ1279"/>
    </x:row>
    <x:row r="1280">
      <x:c r="F1280" s="124"/>
      <x:c r="G1280" s="124"/>
      <x:c r="H1280" s="124"/>
      <x:c r="I1280" s="124"/>
      <x:c r="J1280" s="124"/>
      <x:c r="M1280" s="126"/>
      <x:c r="P1280" s="126"/>
      <x:c r="Q1280" s="126"/>
      <x:c r="R1280" s="126"/>
      <x:c r="S1280" s="124"/>
      <x:c r="T1280" s="124"/>
      <x:c r="U1280" s="124"/>
      <x:c r="V1280" s="124"/>
      <x:c r="W1280" s="124"/>
      <x:c r="X1280" s="124"/>
      <x:c r="AD1280"/>
      <x:c r="AE1280" s="145"/>
      <x:c r="AF1280" s="145"/>
      <x:c r="AG1280" s="145"/>
      <x:c r="AH1280" s="145"/>
      <x:c r="AI1280" s="145"/>
      <x:c r="AJ1280"/>
    </x:row>
    <x:row r="1281">
      <x:c r="F1281" s="124"/>
      <x:c r="G1281" s="124"/>
      <x:c r="H1281" s="124"/>
      <x:c r="I1281" s="124"/>
      <x:c r="J1281" s="124"/>
      <x:c r="M1281" s="126"/>
      <x:c r="P1281" s="126"/>
      <x:c r="Q1281" s="126"/>
      <x:c r="R1281" s="126"/>
      <x:c r="S1281" s="124"/>
      <x:c r="T1281" s="124"/>
      <x:c r="U1281" s="124"/>
      <x:c r="V1281" s="124"/>
      <x:c r="W1281" s="124"/>
      <x:c r="X1281" s="124"/>
      <x:c r="AD1281"/>
      <x:c r="AE1281" s="145"/>
      <x:c r="AF1281" s="145"/>
      <x:c r="AG1281" s="145"/>
      <x:c r="AH1281" s="145"/>
      <x:c r="AI1281" s="145"/>
      <x:c r="AJ1281"/>
    </x:row>
    <x:row r="1282">
      <x:c r="F1282" s="124"/>
      <x:c r="G1282" s="124"/>
      <x:c r="H1282" s="124"/>
      <x:c r="I1282" s="124"/>
      <x:c r="J1282" s="124"/>
      <x:c r="M1282" s="126"/>
      <x:c r="P1282" s="126"/>
      <x:c r="Q1282" s="126"/>
      <x:c r="R1282" s="126"/>
      <x:c r="S1282" s="124"/>
      <x:c r="T1282" s="124"/>
      <x:c r="U1282" s="124"/>
      <x:c r="V1282" s="124"/>
      <x:c r="W1282" s="124"/>
      <x:c r="X1282" s="124"/>
      <x:c r="AD1282"/>
      <x:c r="AE1282" s="145"/>
      <x:c r="AF1282" s="145"/>
      <x:c r="AG1282" s="145"/>
      <x:c r="AH1282" s="145"/>
      <x:c r="AI1282" s="145"/>
      <x:c r="AJ1282"/>
    </x:row>
    <x:row r="1283">
      <x:c r="F1283" s="124"/>
      <x:c r="G1283" s="124"/>
      <x:c r="H1283" s="124"/>
      <x:c r="I1283" s="124"/>
      <x:c r="J1283" s="124"/>
      <x:c r="M1283" s="126"/>
      <x:c r="P1283" s="126"/>
      <x:c r="Q1283" s="126"/>
      <x:c r="R1283" s="126"/>
      <x:c r="S1283" s="124"/>
      <x:c r="T1283" s="124"/>
      <x:c r="U1283" s="124"/>
      <x:c r="V1283" s="124"/>
      <x:c r="W1283" s="124"/>
      <x:c r="X1283" s="124"/>
      <x:c r="AD1283"/>
      <x:c r="AE1283" s="145"/>
      <x:c r="AF1283" s="145"/>
      <x:c r="AG1283" s="145"/>
      <x:c r="AH1283" s="145"/>
      <x:c r="AI1283" s="145"/>
      <x:c r="AJ1283"/>
    </x:row>
    <x:row r="1284">
      <x:c r="F1284" s="124"/>
      <x:c r="G1284" s="124"/>
      <x:c r="H1284" s="124"/>
      <x:c r="I1284" s="124"/>
      <x:c r="J1284" s="124"/>
      <x:c r="M1284" s="126"/>
      <x:c r="P1284" s="126"/>
      <x:c r="Q1284" s="126"/>
      <x:c r="R1284" s="126"/>
      <x:c r="S1284" s="124"/>
      <x:c r="T1284" s="124"/>
      <x:c r="U1284" s="124"/>
      <x:c r="V1284" s="124"/>
      <x:c r="W1284" s="124"/>
      <x:c r="X1284" s="124"/>
      <x:c r="AD1284"/>
      <x:c r="AE1284" s="145"/>
      <x:c r="AF1284" s="145"/>
      <x:c r="AG1284" s="145"/>
      <x:c r="AH1284" s="145"/>
      <x:c r="AI1284" s="145"/>
      <x:c r="AJ1284"/>
    </x:row>
    <x:row r="1285">
      <x:c r="F1285" s="124"/>
      <x:c r="G1285" s="124"/>
      <x:c r="H1285" s="124"/>
      <x:c r="I1285" s="124"/>
      <x:c r="J1285" s="124"/>
      <x:c r="M1285" s="126"/>
      <x:c r="P1285" s="126"/>
      <x:c r="Q1285" s="126"/>
      <x:c r="R1285" s="126"/>
      <x:c r="S1285" s="124"/>
      <x:c r="T1285" s="124"/>
      <x:c r="U1285" s="124"/>
      <x:c r="V1285" s="124"/>
      <x:c r="W1285" s="124"/>
      <x:c r="X1285" s="124"/>
      <x:c r="AD1285"/>
      <x:c r="AE1285" s="145"/>
      <x:c r="AF1285" s="145"/>
      <x:c r="AG1285" s="145"/>
      <x:c r="AH1285" s="145"/>
      <x:c r="AI1285" s="145"/>
      <x:c r="AJ1285"/>
    </x:row>
    <x:row r="1286">
      <x:c r="F1286" s="124"/>
      <x:c r="G1286" s="124"/>
      <x:c r="H1286" s="124"/>
      <x:c r="I1286" s="124"/>
      <x:c r="J1286" s="124"/>
      <x:c r="M1286" s="126"/>
      <x:c r="P1286" s="126"/>
      <x:c r="Q1286" s="126"/>
      <x:c r="R1286" s="126"/>
      <x:c r="S1286" s="124"/>
      <x:c r="T1286" s="124"/>
      <x:c r="U1286" s="124"/>
      <x:c r="V1286" s="124"/>
      <x:c r="W1286" s="124"/>
      <x:c r="X1286" s="124"/>
      <x:c r="AD1286"/>
      <x:c r="AE1286" s="145"/>
      <x:c r="AF1286" s="145"/>
      <x:c r="AG1286" s="145"/>
      <x:c r="AH1286" s="145"/>
      <x:c r="AI1286" s="145"/>
      <x:c r="AJ1286"/>
    </x:row>
    <x:row r="1287">
      <x:c r="F1287" s="124"/>
      <x:c r="G1287" s="124"/>
      <x:c r="H1287" s="124"/>
      <x:c r="I1287" s="124"/>
      <x:c r="J1287" s="124"/>
      <x:c r="M1287" s="126"/>
      <x:c r="P1287" s="126"/>
      <x:c r="Q1287" s="126"/>
      <x:c r="R1287" s="126"/>
      <x:c r="S1287" s="124"/>
      <x:c r="T1287" s="124"/>
      <x:c r="U1287" s="124"/>
      <x:c r="V1287" s="124"/>
      <x:c r="W1287" s="124"/>
      <x:c r="X1287" s="124"/>
      <x:c r="AD1287"/>
      <x:c r="AE1287" s="145"/>
      <x:c r="AF1287" s="145"/>
      <x:c r="AG1287" s="145"/>
      <x:c r="AH1287" s="145"/>
      <x:c r="AI1287" s="145"/>
      <x:c r="AJ1287"/>
    </x:row>
    <x:row r="1288">
      <x:c r="F1288" s="124"/>
      <x:c r="G1288" s="124"/>
      <x:c r="H1288" s="124"/>
      <x:c r="I1288" s="124"/>
      <x:c r="J1288" s="124"/>
      <x:c r="M1288" s="126"/>
      <x:c r="P1288" s="126"/>
      <x:c r="Q1288" s="126"/>
      <x:c r="R1288" s="126"/>
      <x:c r="S1288" s="124"/>
      <x:c r="T1288" s="124"/>
      <x:c r="U1288" s="124"/>
      <x:c r="V1288" s="124"/>
      <x:c r="W1288" s="124"/>
      <x:c r="X1288" s="124"/>
      <x:c r="AD1288"/>
      <x:c r="AE1288" s="145"/>
      <x:c r="AF1288" s="145"/>
      <x:c r="AG1288" s="145"/>
      <x:c r="AH1288" s="145"/>
      <x:c r="AI1288" s="145"/>
      <x:c r="AJ1288"/>
    </x:row>
    <x:row r="1289">
      <x:c r="F1289" s="124"/>
      <x:c r="G1289" s="124"/>
      <x:c r="H1289" s="124"/>
      <x:c r="I1289" s="124"/>
      <x:c r="J1289" s="124"/>
      <x:c r="M1289" s="126"/>
      <x:c r="P1289" s="126"/>
      <x:c r="Q1289" s="126"/>
      <x:c r="R1289" s="126"/>
      <x:c r="S1289" s="124"/>
      <x:c r="T1289" s="124"/>
      <x:c r="U1289" s="124"/>
      <x:c r="V1289" s="124"/>
      <x:c r="W1289" s="124"/>
      <x:c r="X1289" s="124"/>
      <x:c r="AD1289"/>
      <x:c r="AE1289" s="145"/>
      <x:c r="AF1289" s="145"/>
      <x:c r="AG1289" s="145"/>
      <x:c r="AH1289" s="145"/>
      <x:c r="AI1289" s="145"/>
      <x:c r="AJ1289"/>
    </x:row>
    <x:row r="1290">
      <x:c r="F1290" s="124"/>
      <x:c r="G1290" s="124"/>
      <x:c r="H1290" s="124"/>
      <x:c r="I1290" s="124"/>
      <x:c r="J1290" s="124"/>
      <x:c r="M1290" s="126"/>
      <x:c r="P1290" s="126"/>
      <x:c r="Q1290" s="126"/>
      <x:c r="R1290" s="126"/>
      <x:c r="S1290" s="124"/>
      <x:c r="T1290" s="124"/>
      <x:c r="U1290" s="124"/>
      <x:c r="V1290" s="124"/>
      <x:c r="W1290" s="124"/>
      <x:c r="X1290" s="124"/>
      <x:c r="AD1290"/>
      <x:c r="AE1290" s="145"/>
      <x:c r="AF1290" s="145"/>
      <x:c r="AG1290" s="145"/>
      <x:c r="AH1290" s="145"/>
      <x:c r="AI1290" s="145"/>
      <x:c r="AJ1290"/>
    </x:row>
    <x:row r="1291">
      <x:c r="F1291" s="124"/>
      <x:c r="G1291" s="124"/>
      <x:c r="H1291" s="124"/>
      <x:c r="I1291" s="124"/>
      <x:c r="J1291" s="124"/>
      <x:c r="M1291" s="126"/>
      <x:c r="P1291" s="126"/>
      <x:c r="Q1291" s="126"/>
      <x:c r="R1291" s="126"/>
      <x:c r="S1291" s="124"/>
      <x:c r="T1291" s="124"/>
      <x:c r="U1291" s="124"/>
      <x:c r="V1291" s="124"/>
      <x:c r="W1291" s="124"/>
      <x:c r="X1291" s="124"/>
      <x:c r="AD1291"/>
      <x:c r="AE1291" s="145"/>
      <x:c r="AF1291" s="145"/>
      <x:c r="AG1291" s="145"/>
      <x:c r="AH1291" s="145"/>
      <x:c r="AI1291" s="145"/>
      <x:c r="AJ1291"/>
    </x:row>
    <x:row r="1292">
      <x:c r="F1292" s="124"/>
      <x:c r="G1292" s="124"/>
      <x:c r="H1292" s="124"/>
      <x:c r="I1292" s="124"/>
      <x:c r="J1292" s="124"/>
      <x:c r="M1292" s="126"/>
      <x:c r="P1292" s="126"/>
      <x:c r="Q1292" s="126"/>
      <x:c r="R1292" s="126"/>
      <x:c r="S1292" s="124"/>
      <x:c r="T1292" s="124"/>
      <x:c r="U1292" s="124"/>
      <x:c r="V1292" s="124"/>
      <x:c r="W1292" s="124"/>
      <x:c r="X1292" s="124"/>
      <x:c r="AD1292"/>
      <x:c r="AE1292" s="145"/>
      <x:c r="AF1292" s="145"/>
      <x:c r="AG1292" s="145"/>
      <x:c r="AH1292" s="145"/>
      <x:c r="AI1292" s="145"/>
      <x:c r="AJ1292"/>
    </x:row>
    <x:row r="1293">
      <x:c r="F1293" s="124"/>
      <x:c r="G1293" s="124"/>
      <x:c r="H1293" s="124"/>
      <x:c r="I1293" s="124"/>
      <x:c r="J1293" s="124"/>
      <x:c r="M1293" s="126"/>
      <x:c r="P1293" s="126"/>
      <x:c r="Q1293" s="126"/>
      <x:c r="R1293" s="126"/>
      <x:c r="S1293" s="124"/>
      <x:c r="T1293" s="124"/>
      <x:c r="U1293" s="124"/>
      <x:c r="V1293" s="124"/>
      <x:c r="W1293" s="124"/>
      <x:c r="X1293" s="124"/>
      <x:c r="AD1293"/>
      <x:c r="AE1293" s="145"/>
      <x:c r="AF1293" s="145"/>
      <x:c r="AG1293" s="145"/>
      <x:c r="AH1293" s="145"/>
      <x:c r="AI1293" s="145"/>
      <x:c r="AJ1293"/>
    </x:row>
    <x:row r="1294">
      <x:c r="F1294" s="124"/>
      <x:c r="G1294" s="124"/>
      <x:c r="H1294" s="124"/>
      <x:c r="I1294" s="124"/>
      <x:c r="J1294" s="124"/>
      <x:c r="M1294" s="126"/>
      <x:c r="P1294" s="126"/>
      <x:c r="Q1294" s="126"/>
      <x:c r="R1294" s="126"/>
      <x:c r="S1294" s="124"/>
      <x:c r="T1294" s="124"/>
      <x:c r="U1294" s="124"/>
      <x:c r="V1294" s="124"/>
      <x:c r="W1294" s="124"/>
      <x:c r="X1294" s="124"/>
      <x:c r="AD1294"/>
      <x:c r="AE1294" s="145"/>
      <x:c r="AF1294" s="145"/>
      <x:c r="AG1294" s="145"/>
      <x:c r="AH1294" s="145"/>
      <x:c r="AI1294" s="145"/>
      <x:c r="AJ1294"/>
    </x:row>
    <x:row r="1295">
      <x:c r="F1295" s="124"/>
      <x:c r="G1295" s="124"/>
      <x:c r="H1295" s="124"/>
      <x:c r="I1295" s="124"/>
      <x:c r="J1295" s="124"/>
      <x:c r="M1295" s="126"/>
      <x:c r="P1295" s="126"/>
      <x:c r="Q1295" s="126"/>
      <x:c r="R1295" s="126"/>
      <x:c r="S1295" s="124"/>
      <x:c r="T1295" s="124"/>
      <x:c r="U1295" s="124"/>
      <x:c r="V1295" s="124"/>
      <x:c r="W1295" s="124"/>
      <x:c r="X1295" s="124"/>
      <x:c r="AD1295"/>
      <x:c r="AE1295" s="145"/>
      <x:c r="AF1295" s="145"/>
      <x:c r="AG1295" s="145"/>
      <x:c r="AH1295" s="145"/>
      <x:c r="AI1295" s="145"/>
      <x:c r="AJ1295"/>
    </x:row>
    <x:row r="1296">
      <x:c r="F1296" s="124"/>
      <x:c r="G1296" s="124"/>
      <x:c r="H1296" s="124"/>
      <x:c r="I1296" s="124"/>
      <x:c r="J1296" s="124"/>
      <x:c r="M1296" s="126"/>
      <x:c r="P1296" s="126"/>
      <x:c r="Q1296" s="126"/>
      <x:c r="R1296" s="126"/>
      <x:c r="S1296" s="124"/>
      <x:c r="T1296" s="124"/>
      <x:c r="U1296" s="124"/>
      <x:c r="V1296" s="124"/>
      <x:c r="W1296" s="124"/>
      <x:c r="X1296" s="124"/>
      <x:c r="AD1296"/>
      <x:c r="AE1296" s="145"/>
      <x:c r="AF1296" s="145"/>
      <x:c r="AG1296" s="145"/>
      <x:c r="AH1296" s="145"/>
      <x:c r="AI1296" s="145"/>
      <x:c r="AJ1296"/>
    </x:row>
    <x:row r="1297">
      <x:c r="F1297" s="124"/>
      <x:c r="G1297" s="124"/>
      <x:c r="H1297" s="124"/>
      <x:c r="I1297" s="124"/>
      <x:c r="J1297" s="124"/>
      <x:c r="M1297" s="126"/>
      <x:c r="P1297" s="126"/>
      <x:c r="Q1297" s="126"/>
      <x:c r="R1297" s="126"/>
      <x:c r="S1297" s="124"/>
      <x:c r="T1297" s="124"/>
      <x:c r="U1297" s="124"/>
      <x:c r="V1297" s="124"/>
      <x:c r="W1297" s="124"/>
      <x:c r="X1297" s="124"/>
      <x:c r="AD1297"/>
      <x:c r="AE1297" s="145"/>
      <x:c r="AF1297" s="145"/>
      <x:c r="AG1297" s="145"/>
      <x:c r="AH1297" s="145"/>
      <x:c r="AI1297" s="145"/>
      <x:c r="AJ1297"/>
    </x:row>
    <x:row r="1298">
      <x:c r="F1298" s="124"/>
      <x:c r="G1298" s="124"/>
      <x:c r="H1298" s="124"/>
      <x:c r="I1298" s="124"/>
      <x:c r="J1298" s="124"/>
      <x:c r="M1298" s="126"/>
      <x:c r="P1298" s="126"/>
      <x:c r="Q1298" s="126"/>
      <x:c r="R1298" s="126"/>
      <x:c r="S1298" s="124"/>
      <x:c r="T1298" s="124"/>
      <x:c r="U1298" s="124"/>
      <x:c r="V1298" s="124"/>
      <x:c r="W1298" s="124"/>
      <x:c r="X1298" s="124"/>
      <x:c r="AD1298"/>
      <x:c r="AE1298" s="145"/>
      <x:c r="AF1298" s="145"/>
      <x:c r="AG1298" s="145"/>
      <x:c r="AH1298" s="145"/>
      <x:c r="AI1298" s="145"/>
      <x:c r="AJ1298"/>
    </x:row>
    <x:row r="1299">
      <x:c r="F1299" s="124"/>
      <x:c r="G1299" s="124"/>
      <x:c r="H1299" s="124"/>
      <x:c r="I1299" s="124"/>
      <x:c r="J1299" s="124"/>
      <x:c r="M1299" s="126"/>
      <x:c r="P1299" s="126"/>
      <x:c r="Q1299" s="126"/>
      <x:c r="R1299" s="126"/>
      <x:c r="S1299" s="124"/>
      <x:c r="T1299" s="124"/>
      <x:c r="U1299" s="124"/>
      <x:c r="V1299" s="124"/>
      <x:c r="W1299" s="124"/>
      <x:c r="X1299" s="124"/>
      <x:c r="AD1299"/>
      <x:c r="AE1299" s="145"/>
      <x:c r="AF1299" s="145"/>
      <x:c r="AG1299" s="145"/>
      <x:c r="AH1299" s="145"/>
      <x:c r="AI1299" s="145"/>
      <x:c r="AJ1299"/>
    </x:row>
    <x:row r="1300">
      <x:c r="F1300" s="124"/>
      <x:c r="G1300" s="124"/>
      <x:c r="H1300" s="124"/>
      <x:c r="I1300" s="124"/>
      <x:c r="J1300" s="124"/>
      <x:c r="M1300" s="126"/>
      <x:c r="P1300" s="126"/>
      <x:c r="Q1300" s="126"/>
      <x:c r="R1300" s="126"/>
      <x:c r="S1300" s="124"/>
      <x:c r="T1300" s="124"/>
      <x:c r="U1300" s="124"/>
      <x:c r="V1300" s="124"/>
      <x:c r="W1300" s="124"/>
      <x:c r="X1300" s="124"/>
      <x:c r="AD1300"/>
      <x:c r="AE1300" s="145"/>
      <x:c r="AF1300" s="145"/>
      <x:c r="AG1300" s="145"/>
      <x:c r="AH1300" s="145"/>
      <x:c r="AI1300" s="145"/>
      <x:c r="AJ1300"/>
    </x:row>
    <x:row r="1301">
      <x:c r="F1301" s="124"/>
      <x:c r="G1301" s="124"/>
      <x:c r="H1301" s="124"/>
      <x:c r="I1301" s="124"/>
      <x:c r="J1301" s="124"/>
      <x:c r="M1301" s="126"/>
      <x:c r="P1301" s="126"/>
      <x:c r="Q1301" s="126"/>
      <x:c r="R1301" s="126"/>
      <x:c r="S1301" s="124"/>
      <x:c r="T1301" s="124"/>
      <x:c r="U1301" s="124"/>
      <x:c r="V1301" s="124"/>
      <x:c r="W1301" s="124"/>
      <x:c r="X1301" s="124"/>
      <x:c r="AD1301"/>
      <x:c r="AE1301" s="145"/>
      <x:c r="AF1301" s="145"/>
      <x:c r="AG1301" s="145"/>
      <x:c r="AH1301" s="145"/>
      <x:c r="AI1301" s="145"/>
      <x:c r="AJ1301"/>
    </x:row>
    <x:row r="1302">
      <x:c r="F1302" s="124"/>
      <x:c r="G1302" s="124"/>
      <x:c r="H1302" s="124"/>
      <x:c r="I1302" s="124"/>
      <x:c r="J1302" s="124"/>
      <x:c r="M1302" s="126"/>
      <x:c r="P1302" s="126"/>
      <x:c r="Q1302" s="126"/>
      <x:c r="R1302" s="126"/>
      <x:c r="S1302" s="124"/>
      <x:c r="T1302" s="124"/>
      <x:c r="U1302" s="124"/>
      <x:c r="V1302" s="124"/>
      <x:c r="W1302" s="124"/>
      <x:c r="X1302" s="124"/>
      <x:c r="AD1302"/>
      <x:c r="AE1302" s="145"/>
      <x:c r="AF1302" s="145"/>
      <x:c r="AG1302" s="145"/>
      <x:c r="AH1302" s="145"/>
      <x:c r="AI1302" s="145"/>
      <x:c r="AJ1302"/>
    </x:row>
    <x:row r="1303">
      <x:c r="F1303" s="124"/>
      <x:c r="G1303" s="124"/>
      <x:c r="H1303" s="124"/>
      <x:c r="I1303" s="124"/>
      <x:c r="J1303" s="124"/>
      <x:c r="M1303" s="126"/>
      <x:c r="P1303" s="126"/>
      <x:c r="Q1303" s="126"/>
      <x:c r="R1303" s="126"/>
      <x:c r="S1303" s="124"/>
      <x:c r="T1303" s="124"/>
      <x:c r="U1303" s="124"/>
      <x:c r="V1303" s="124"/>
      <x:c r="W1303" s="124"/>
      <x:c r="X1303" s="124"/>
      <x:c r="AD1303"/>
      <x:c r="AE1303" s="145"/>
      <x:c r="AF1303" s="145"/>
      <x:c r="AG1303" s="145"/>
      <x:c r="AH1303" s="145"/>
      <x:c r="AI1303" s="145"/>
      <x:c r="AJ1303"/>
    </x:row>
    <x:row r="1304">
      <x:c r="F1304" s="124"/>
      <x:c r="G1304" s="124"/>
      <x:c r="H1304" s="124"/>
      <x:c r="I1304" s="124"/>
      <x:c r="J1304" s="124"/>
      <x:c r="M1304" s="126"/>
      <x:c r="P1304" s="126"/>
      <x:c r="Q1304" s="126"/>
      <x:c r="R1304" s="126"/>
      <x:c r="S1304" s="124"/>
      <x:c r="T1304" s="124"/>
      <x:c r="U1304" s="124"/>
      <x:c r="V1304" s="124"/>
      <x:c r="W1304" s="124"/>
      <x:c r="X1304" s="124"/>
      <x:c r="AD1304"/>
      <x:c r="AE1304" s="145"/>
      <x:c r="AF1304" s="145"/>
      <x:c r="AG1304" s="145"/>
      <x:c r="AH1304" s="145"/>
      <x:c r="AI1304" s="145"/>
      <x:c r="AJ1304"/>
    </x:row>
    <x:row r="1305">
      <x:c r="F1305" s="124"/>
      <x:c r="G1305" s="124"/>
      <x:c r="H1305" s="124"/>
      <x:c r="I1305" s="124"/>
      <x:c r="J1305" s="124"/>
      <x:c r="M1305" s="126"/>
      <x:c r="P1305" s="126"/>
      <x:c r="Q1305" s="126"/>
      <x:c r="R1305" s="126"/>
      <x:c r="S1305" s="124"/>
      <x:c r="T1305" s="124"/>
      <x:c r="U1305" s="124"/>
      <x:c r="V1305" s="124"/>
      <x:c r="W1305" s="124"/>
      <x:c r="X1305" s="124"/>
      <x:c r="AD1305"/>
      <x:c r="AE1305" s="145"/>
      <x:c r="AF1305" s="145"/>
      <x:c r="AG1305" s="145"/>
      <x:c r="AH1305" s="145"/>
      <x:c r="AI1305" s="145"/>
      <x:c r="AJ1305"/>
    </x:row>
    <x:row r="1306">
      <x:c r="F1306" s="124"/>
      <x:c r="G1306" s="124"/>
      <x:c r="H1306" s="124"/>
      <x:c r="I1306" s="124"/>
      <x:c r="J1306" s="124"/>
      <x:c r="M1306" s="126"/>
      <x:c r="P1306" s="126"/>
      <x:c r="Q1306" s="126"/>
      <x:c r="R1306" s="126"/>
      <x:c r="S1306" s="124"/>
      <x:c r="T1306" s="124"/>
      <x:c r="U1306" s="124"/>
      <x:c r="V1306" s="124"/>
      <x:c r="W1306" s="124"/>
      <x:c r="X1306" s="124"/>
      <x:c r="AD1306"/>
      <x:c r="AE1306" s="145"/>
      <x:c r="AF1306" s="145"/>
      <x:c r="AG1306" s="145"/>
      <x:c r="AH1306" s="145"/>
      <x:c r="AI1306" s="145"/>
      <x:c r="AJ1306"/>
    </x:row>
    <x:row r="1307">
      <x:c r="F1307" s="124"/>
      <x:c r="G1307" s="124"/>
      <x:c r="H1307" s="124"/>
      <x:c r="I1307" s="124"/>
      <x:c r="J1307" s="124"/>
      <x:c r="M1307" s="126"/>
      <x:c r="P1307" s="126"/>
      <x:c r="Q1307" s="126"/>
      <x:c r="R1307" s="126"/>
      <x:c r="S1307" s="124"/>
      <x:c r="T1307" s="124"/>
      <x:c r="U1307" s="124"/>
      <x:c r="V1307" s="124"/>
      <x:c r="W1307" s="124"/>
      <x:c r="X1307" s="124"/>
      <x:c r="AD1307"/>
      <x:c r="AE1307" s="145"/>
      <x:c r="AF1307" s="145"/>
      <x:c r="AG1307" s="145"/>
      <x:c r="AH1307" s="145"/>
      <x:c r="AI1307" s="145"/>
      <x:c r="AJ1307"/>
    </x:row>
    <x:row r="1308">
      <x:c r="F1308" s="124"/>
      <x:c r="G1308" s="124"/>
      <x:c r="H1308" s="124"/>
      <x:c r="I1308" s="124"/>
      <x:c r="J1308" s="124"/>
      <x:c r="M1308" s="126"/>
      <x:c r="P1308" s="126"/>
      <x:c r="Q1308" s="126"/>
      <x:c r="R1308" s="126"/>
      <x:c r="S1308" s="124"/>
      <x:c r="T1308" s="124"/>
      <x:c r="U1308" s="124"/>
      <x:c r="V1308" s="124"/>
      <x:c r="W1308" s="124"/>
      <x:c r="X1308" s="124"/>
      <x:c r="AD1308"/>
      <x:c r="AE1308" s="145"/>
      <x:c r="AF1308" s="145"/>
      <x:c r="AG1308" s="145"/>
      <x:c r="AH1308" s="145"/>
      <x:c r="AI1308" s="145"/>
      <x:c r="AJ1308"/>
    </x:row>
    <x:row r="1309">
      <x:c r="F1309" s="124"/>
      <x:c r="G1309" s="124"/>
      <x:c r="H1309" s="124"/>
      <x:c r="I1309" s="124"/>
      <x:c r="J1309" s="124"/>
      <x:c r="M1309" s="126"/>
      <x:c r="P1309" s="126"/>
      <x:c r="Q1309" s="126"/>
      <x:c r="R1309" s="126"/>
      <x:c r="S1309" s="124"/>
      <x:c r="T1309" s="124"/>
      <x:c r="U1309" s="124"/>
      <x:c r="V1309" s="124"/>
      <x:c r="W1309" s="124"/>
      <x:c r="X1309" s="124"/>
      <x:c r="AD1309"/>
      <x:c r="AE1309" s="145"/>
      <x:c r="AF1309" s="145"/>
      <x:c r="AG1309" s="145"/>
      <x:c r="AH1309" s="145"/>
      <x:c r="AI1309" s="145"/>
      <x:c r="AJ1309"/>
    </x:row>
    <x:row r="1310">
      <x:c r="F1310" s="124"/>
      <x:c r="G1310" s="124"/>
      <x:c r="H1310" s="124"/>
      <x:c r="I1310" s="124"/>
      <x:c r="J1310" s="124"/>
      <x:c r="M1310" s="126"/>
      <x:c r="P1310" s="126"/>
      <x:c r="Q1310" s="126"/>
      <x:c r="R1310" s="126"/>
      <x:c r="S1310" s="124"/>
      <x:c r="T1310" s="124"/>
      <x:c r="U1310" s="124"/>
      <x:c r="V1310" s="124"/>
      <x:c r="W1310" s="124"/>
      <x:c r="X1310" s="124"/>
      <x:c r="AD1310"/>
      <x:c r="AE1310" s="145"/>
      <x:c r="AF1310" s="145"/>
      <x:c r="AG1310" s="145"/>
      <x:c r="AH1310" s="145"/>
      <x:c r="AI1310" s="145"/>
      <x:c r="AJ1310"/>
    </x:row>
    <x:row r="1311">
      <x:c r="F1311" s="124"/>
      <x:c r="G1311" s="124"/>
      <x:c r="H1311" s="124"/>
      <x:c r="I1311" s="124"/>
      <x:c r="J1311" s="124"/>
      <x:c r="M1311" s="126"/>
      <x:c r="P1311" s="126"/>
      <x:c r="Q1311" s="126"/>
      <x:c r="R1311" s="126"/>
      <x:c r="S1311" s="124"/>
      <x:c r="T1311" s="124"/>
      <x:c r="U1311" s="124"/>
      <x:c r="V1311" s="124"/>
      <x:c r="W1311" s="124"/>
      <x:c r="X1311" s="124"/>
      <x:c r="AD1311"/>
      <x:c r="AE1311" s="145"/>
      <x:c r="AF1311" s="145"/>
      <x:c r="AG1311" s="145"/>
      <x:c r="AH1311" s="145"/>
      <x:c r="AI1311" s="145"/>
      <x:c r="AJ1311"/>
    </x:row>
    <x:row r="1312">
      <x:c r="F1312" s="124"/>
      <x:c r="G1312" s="124"/>
      <x:c r="H1312" s="124"/>
      <x:c r="I1312" s="124"/>
      <x:c r="J1312" s="124"/>
      <x:c r="M1312" s="126"/>
      <x:c r="P1312" s="126"/>
      <x:c r="Q1312" s="126"/>
      <x:c r="R1312" s="126"/>
      <x:c r="S1312" s="124"/>
      <x:c r="T1312" s="124"/>
      <x:c r="U1312" s="124"/>
      <x:c r="V1312" s="124"/>
      <x:c r="W1312" s="124"/>
      <x:c r="X1312" s="124"/>
      <x:c r="AD1312"/>
      <x:c r="AE1312" s="145"/>
      <x:c r="AF1312" s="145"/>
      <x:c r="AG1312" s="145"/>
      <x:c r="AH1312" s="145"/>
      <x:c r="AI1312" s="145"/>
      <x:c r="AJ1312"/>
    </x:row>
    <x:row r="1313">
      <x:c r="F1313" s="124"/>
      <x:c r="G1313" s="124"/>
      <x:c r="H1313" s="124"/>
      <x:c r="I1313" s="124"/>
      <x:c r="J1313" s="124"/>
      <x:c r="M1313" s="126"/>
      <x:c r="P1313" s="126"/>
      <x:c r="Q1313" s="126"/>
      <x:c r="R1313" s="126"/>
      <x:c r="S1313" s="124"/>
      <x:c r="T1313" s="124"/>
      <x:c r="U1313" s="124"/>
      <x:c r="V1313" s="124"/>
      <x:c r="W1313" s="124"/>
      <x:c r="X1313" s="124"/>
      <x:c r="AD1313"/>
      <x:c r="AE1313" s="145"/>
      <x:c r="AF1313" s="145"/>
      <x:c r="AG1313" s="145"/>
      <x:c r="AH1313" s="145"/>
      <x:c r="AI1313" s="145"/>
      <x:c r="AJ1313"/>
    </x:row>
    <x:row r="1314">
      <x:c r="F1314" s="124"/>
      <x:c r="G1314" s="124"/>
      <x:c r="H1314" s="124"/>
      <x:c r="I1314" s="124"/>
      <x:c r="J1314" s="124"/>
      <x:c r="M1314" s="126"/>
      <x:c r="P1314" s="126"/>
      <x:c r="Q1314" s="126"/>
      <x:c r="R1314" s="126"/>
      <x:c r="S1314" s="124"/>
      <x:c r="T1314" s="124"/>
      <x:c r="U1314" s="124"/>
      <x:c r="V1314" s="124"/>
      <x:c r="W1314" s="124"/>
      <x:c r="X1314" s="124"/>
      <x:c r="AD1314"/>
      <x:c r="AE1314" s="145"/>
      <x:c r="AF1314" s="145"/>
      <x:c r="AG1314" s="145"/>
      <x:c r="AH1314" s="145"/>
      <x:c r="AI1314" s="145"/>
      <x:c r="AJ1314"/>
    </x:row>
    <x:row r="1315">
      <x:c r="F1315" s="124"/>
      <x:c r="G1315" s="124"/>
      <x:c r="H1315" s="124"/>
      <x:c r="I1315" s="124"/>
      <x:c r="J1315" s="124"/>
      <x:c r="M1315" s="126"/>
      <x:c r="P1315" s="126"/>
      <x:c r="Q1315" s="126"/>
      <x:c r="R1315" s="126"/>
      <x:c r="S1315" s="124"/>
      <x:c r="T1315" s="124"/>
      <x:c r="U1315" s="124"/>
      <x:c r="V1315" s="124"/>
      <x:c r="W1315" s="124"/>
      <x:c r="X1315" s="124"/>
      <x:c r="AD1315"/>
      <x:c r="AE1315" s="145"/>
      <x:c r="AF1315" s="145"/>
      <x:c r="AG1315" s="145"/>
      <x:c r="AH1315" s="145"/>
      <x:c r="AI1315" s="145"/>
      <x:c r="AJ1315"/>
    </x:row>
    <x:row r="1316">
      <x:c r="F1316" s="124"/>
      <x:c r="G1316" s="124"/>
      <x:c r="H1316" s="124"/>
      <x:c r="I1316" s="124"/>
      <x:c r="J1316" s="124"/>
      <x:c r="M1316" s="126"/>
      <x:c r="P1316" s="126"/>
      <x:c r="Q1316" s="126"/>
      <x:c r="R1316" s="126"/>
      <x:c r="S1316" s="124"/>
      <x:c r="T1316" s="124"/>
      <x:c r="U1316" s="124"/>
      <x:c r="V1316" s="124"/>
      <x:c r="W1316" s="124"/>
      <x:c r="X1316" s="124"/>
      <x:c r="AD1316"/>
      <x:c r="AE1316" s="145"/>
      <x:c r="AF1316" s="145"/>
      <x:c r="AG1316" s="145"/>
      <x:c r="AH1316" s="145"/>
      <x:c r="AI1316" s="145"/>
      <x:c r="AJ1316"/>
    </x:row>
    <x:row r="1317">
      <x:c r="F1317" s="124"/>
      <x:c r="G1317" s="124"/>
      <x:c r="H1317" s="124"/>
      <x:c r="I1317" s="124"/>
      <x:c r="J1317" s="124"/>
      <x:c r="M1317" s="126"/>
      <x:c r="P1317" s="126"/>
      <x:c r="Q1317" s="126"/>
      <x:c r="R1317" s="126"/>
      <x:c r="S1317" s="124"/>
      <x:c r="T1317" s="124"/>
      <x:c r="U1317" s="124"/>
      <x:c r="V1317" s="124"/>
      <x:c r="W1317" s="124"/>
      <x:c r="X1317" s="124"/>
      <x:c r="AD1317"/>
      <x:c r="AE1317" s="145"/>
      <x:c r="AF1317" s="145"/>
      <x:c r="AG1317" s="145"/>
      <x:c r="AH1317" s="145"/>
      <x:c r="AI1317" s="145"/>
      <x:c r="AJ1317"/>
    </x:row>
    <x:row r="1318">
      <x:c r="F1318" s="124"/>
      <x:c r="G1318" s="124"/>
      <x:c r="H1318" s="124"/>
      <x:c r="I1318" s="124"/>
      <x:c r="J1318" s="124"/>
      <x:c r="M1318" s="126"/>
      <x:c r="P1318" s="126"/>
      <x:c r="Q1318" s="126"/>
      <x:c r="R1318" s="126"/>
      <x:c r="S1318" s="124"/>
      <x:c r="T1318" s="124"/>
      <x:c r="U1318" s="124"/>
      <x:c r="V1318" s="124"/>
      <x:c r="W1318" s="124"/>
      <x:c r="X1318" s="124"/>
      <x:c r="AD1318"/>
      <x:c r="AE1318" s="145"/>
      <x:c r="AF1318" s="145"/>
      <x:c r="AG1318" s="145"/>
      <x:c r="AH1318" s="145"/>
      <x:c r="AI1318" s="145"/>
      <x:c r="AJ1318"/>
    </x:row>
    <x:row r="1319">
      <x:c r="F1319" s="124"/>
      <x:c r="G1319" s="124"/>
      <x:c r="H1319" s="124"/>
      <x:c r="I1319" s="124"/>
      <x:c r="J1319" s="124"/>
      <x:c r="M1319" s="126"/>
      <x:c r="P1319" s="126"/>
      <x:c r="Q1319" s="126"/>
      <x:c r="R1319" s="126"/>
      <x:c r="S1319" s="124"/>
      <x:c r="T1319" s="124"/>
      <x:c r="U1319" s="124"/>
      <x:c r="V1319" s="124"/>
      <x:c r="W1319" s="124"/>
      <x:c r="X1319" s="124"/>
      <x:c r="AD1319"/>
      <x:c r="AE1319" s="145"/>
      <x:c r="AF1319" s="145"/>
      <x:c r="AG1319" s="145"/>
      <x:c r="AH1319" s="145"/>
      <x:c r="AI1319" s="145"/>
      <x:c r="AJ1319"/>
    </x:row>
    <x:row r="1320">
      <x:c r="F1320" s="124"/>
      <x:c r="G1320" s="124"/>
      <x:c r="H1320" s="124"/>
      <x:c r="I1320" s="124"/>
      <x:c r="J1320" s="124"/>
      <x:c r="M1320" s="126"/>
      <x:c r="P1320" s="126"/>
      <x:c r="Q1320" s="126"/>
      <x:c r="R1320" s="126"/>
      <x:c r="S1320" s="124"/>
      <x:c r="T1320" s="124"/>
      <x:c r="U1320" s="124"/>
      <x:c r="V1320" s="124"/>
      <x:c r="W1320" s="124"/>
      <x:c r="X1320" s="124"/>
      <x:c r="AD1320"/>
      <x:c r="AE1320" s="145"/>
      <x:c r="AF1320" s="145"/>
      <x:c r="AG1320" s="145"/>
      <x:c r="AH1320" s="145"/>
      <x:c r="AI1320" s="145"/>
      <x:c r="AJ1320"/>
    </x:row>
    <x:row r="1321">
      <x:c r="F1321" s="124"/>
      <x:c r="G1321" s="124"/>
      <x:c r="H1321" s="124"/>
      <x:c r="I1321" s="124"/>
      <x:c r="J1321" s="124"/>
      <x:c r="M1321" s="126"/>
      <x:c r="P1321" s="126"/>
      <x:c r="Q1321" s="126"/>
      <x:c r="R1321" s="126"/>
      <x:c r="S1321" s="124"/>
      <x:c r="T1321" s="124"/>
      <x:c r="U1321" s="124"/>
      <x:c r="V1321" s="124"/>
      <x:c r="W1321" s="124"/>
      <x:c r="X1321" s="124"/>
      <x:c r="AD1321"/>
      <x:c r="AE1321" s="145"/>
      <x:c r="AF1321" s="145"/>
      <x:c r="AG1321" s="145"/>
      <x:c r="AH1321" s="145"/>
      <x:c r="AI1321" s="145"/>
      <x:c r="AJ1321"/>
    </x:row>
    <x:row r="1322">
      <x:c r="F1322" s="124"/>
      <x:c r="G1322" s="124"/>
      <x:c r="H1322" s="124"/>
      <x:c r="I1322" s="124"/>
      <x:c r="J1322" s="124"/>
      <x:c r="M1322" s="126"/>
      <x:c r="P1322" s="126"/>
      <x:c r="Q1322" s="126"/>
      <x:c r="R1322" s="126"/>
      <x:c r="S1322" s="124"/>
      <x:c r="T1322" s="124"/>
      <x:c r="U1322" s="124"/>
      <x:c r="V1322" s="124"/>
      <x:c r="W1322" s="124"/>
      <x:c r="X1322" s="124"/>
      <x:c r="AD1322"/>
      <x:c r="AE1322" s="145"/>
      <x:c r="AF1322" s="145"/>
      <x:c r="AG1322" s="145"/>
      <x:c r="AH1322" s="145"/>
      <x:c r="AI1322" s="145"/>
      <x:c r="AJ1322"/>
    </x:row>
    <x:row r="1323">
      <x:c r="F1323" s="124"/>
      <x:c r="G1323" s="124"/>
      <x:c r="H1323" s="124"/>
      <x:c r="I1323" s="124"/>
      <x:c r="J1323" s="124"/>
      <x:c r="M1323" s="126"/>
      <x:c r="P1323" s="126"/>
      <x:c r="Q1323" s="126"/>
      <x:c r="R1323" s="126"/>
      <x:c r="S1323" s="124"/>
      <x:c r="T1323" s="124"/>
      <x:c r="U1323" s="124"/>
      <x:c r="V1323" s="124"/>
      <x:c r="W1323" s="124"/>
      <x:c r="X1323" s="124"/>
      <x:c r="AD1323"/>
      <x:c r="AE1323" s="145"/>
      <x:c r="AF1323" s="145"/>
      <x:c r="AG1323" s="145"/>
      <x:c r="AH1323" s="145"/>
      <x:c r="AI1323" s="145"/>
      <x:c r="AJ1323"/>
    </x:row>
    <x:row r="1324">
      <x:c r="F1324" s="124"/>
      <x:c r="G1324" s="124"/>
      <x:c r="H1324" s="124"/>
      <x:c r="I1324" s="124"/>
      <x:c r="J1324" s="124"/>
      <x:c r="M1324" s="126"/>
      <x:c r="P1324" s="126"/>
      <x:c r="Q1324" s="126"/>
      <x:c r="R1324" s="126"/>
      <x:c r="S1324" s="124"/>
      <x:c r="T1324" s="124"/>
      <x:c r="U1324" s="124"/>
      <x:c r="V1324" s="124"/>
      <x:c r="W1324" s="124"/>
      <x:c r="X1324" s="124"/>
      <x:c r="AD1324"/>
      <x:c r="AE1324" s="145"/>
      <x:c r="AF1324" s="145"/>
      <x:c r="AG1324" s="145"/>
      <x:c r="AH1324" s="145"/>
      <x:c r="AI1324" s="145"/>
      <x:c r="AJ1324"/>
    </x:row>
    <x:row r="1325">
      <x:c r="F1325" s="124"/>
      <x:c r="G1325" s="124"/>
      <x:c r="H1325" s="124"/>
      <x:c r="I1325" s="124"/>
      <x:c r="J1325" s="124"/>
      <x:c r="M1325" s="126"/>
      <x:c r="P1325" s="126"/>
      <x:c r="Q1325" s="126"/>
      <x:c r="R1325" s="126"/>
      <x:c r="S1325" s="124"/>
      <x:c r="T1325" s="124"/>
      <x:c r="U1325" s="124"/>
      <x:c r="V1325" s="124"/>
      <x:c r="W1325" s="124"/>
      <x:c r="X1325" s="124"/>
      <x:c r="AD1325"/>
      <x:c r="AE1325" s="145"/>
      <x:c r="AF1325" s="145"/>
      <x:c r="AG1325" s="145"/>
      <x:c r="AH1325" s="145"/>
      <x:c r="AI1325" s="145"/>
      <x:c r="AJ1325"/>
    </x:row>
    <x:row r="1326">
      <x:c r="F1326" s="124"/>
      <x:c r="G1326" s="124"/>
      <x:c r="H1326" s="124"/>
      <x:c r="I1326" s="124"/>
      <x:c r="J1326" s="124"/>
      <x:c r="M1326" s="126"/>
      <x:c r="P1326" s="126"/>
      <x:c r="Q1326" s="126"/>
      <x:c r="R1326" s="126"/>
      <x:c r="S1326" s="124"/>
      <x:c r="T1326" s="124"/>
      <x:c r="U1326" s="124"/>
      <x:c r="V1326" s="124"/>
      <x:c r="W1326" s="124"/>
      <x:c r="X1326" s="124"/>
      <x:c r="AD1326"/>
      <x:c r="AE1326" s="145"/>
      <x:c r="AF1326" s="145"/>
      <x:c r="AG1326" s="145"/>
      <x:c r="AH1326" s="145"/>
      <x:c r="AI1326" s="145"/>
      <x:c r="AJ1326"/>
    </x:row>
    <x:row r="1327">
      <x:c r="F1327" s="124"/>
      <x:c r="G1327" s="124"/>
      <x:c r="H1327" s="124"/>
      <x:c r="I1327" s="124"/>
      <x:c r="J1327" s="124"/>
      <x:c r="M1327" s="126"/>
      <x:c r="P1327" s="126"/>
      <x:c r="Q1327" s="126"/>
      <x:c r="R1327" s="126"/>
      <x:c r="S1327" s="124"/>
      <x:c r="T1327" s="124"/>
      <x:c r="U1327" s="124"/>
      <x:c r="V1327" s="124"/>
      <x:c r="W1327" s="124"/>
      <x:c r="X1327" s="124"/>
      <x:c r="AD1327"/>
      <x:c r="AE1327" s="145"/>
      <x:c r="AF1327" s="145"/>
      <x:c r="AG1327" s="145"/>
      <x:c r="AH1327" s="145"/>
      <x:c r="AI1327" s="145"/>
      <x:c r="AJ1327"/>
    </x:row>
    <x:row r="1328">
      <x:c r="F1328" s="124"/>
      <x:c r="G1328" s="124"/>
      <x:c r="H1328" s="124"/>
      <x:c r="I1328" s="124"/>
      <x:c r="J1328" s="124"/>
      <x:c r="M1328" s="126"/>
      <x:c r="P1328" s="126"/>
      <x:c r="Q1328" s="126"/>
      <x:c r="R1328" s="126"/>
      <x:c r="S1328" s="124"/>
      <x:c r="T1328" s="124"/>
      <x:c r="U1328" s="124"/>
      <x:c r="V1328" s="124"/>
      <x:c r="W1328" s="124"/>
      <x:c r="X1328" s="124"/>
      <x:c r="AD1328"/>
      <x:c r="AE1328" s="145"/>
      <x:c r="AF1328" s="145"/>
      <x:c r="AG1328" s="145"/>
      <x:c r="AH1328" s="145"/>
      <x:c r="AI1328" s="145"/>
      <x:c r="AJ1328"/>
    </x:row>
    <x:row r="1329">
      <x:c r="F1329" s="124"/>
      <x:c r="G1329" s="124"/>
      <x:c r="H1329" s="124"/>
      <x:c r="I1329" s="124"/>
      <x:c r="J1329" s="124"/>
      <x:c r="M1329" s="126"/>
      <x:c r="P1329" s="126"/>
      <x:c r="Q1329" s="126"/>
      <x:c r="R1329" s="126"/>
      <x:c r="S1329" s="124"/>
      <x:c r="T1329" s="124"/>
      <x:c r="U1329" s="124"/>
      <x:c r="V1329" s="124"/>
      <x:c r="W1329" s="124"/>
      <x:c r="X1329" s="124"/>
      <x:c r="AD1329"/>
      <x:c r="AE1329" s="145"/>
      <x:c r="AF1329" s="145"/>
      <x:c r="AG1329" s="145"/>
      <x:c r="AH1329" s="145"/>
      <x:c r="AI1329" s="145"/>
      <x:c r="AJ1329"/>
    </x:row>
    <x:row r="1330">
      <x:c r="F1330" s="124"/>
      <x:c r="G1330" s="124"/>
      <x:c r="H1330" s="124"/>
      <x:c r="I1330" s="124"/>
      <x:c r="J1330" s="124"/>
      <x:c r="M1330" s="126"/>
      <x:c r="P1330" s="126"/>
      <x:c r="Q1330" s="126"/>
      <x:c r="R1330" s="126"/>
      <x:c r="S1330" s="124"/>
      <x:c r="T1330" s="124"/>
      <x:c r="U1330" s="124"/>
      <x:c r="V1330" s="124"/>
      <x:c r="W1330" s="124"/>
      <x:c r="X1330" s="124"/>
      <x:c r="AD1330"/>
      <x:c r="AE1330" s="145"/>
      <x:c r="AF1330" s="145"/>
      <x:c r="AG1330" s="145"/>
      <x:c r="AH1330" s="145"/>
      <x:c r="AI1330" s="145"/>
      <x:c r="AJ1330"/>
    </x:row>
    <x:row r="1331">
      <x:c r="F1331" s="124"/>
      <x:c r="G1331" s="124"/>
      <x:c r="H1331" s="124"/>
      <x:c r="I1331" s="124"/>
      <x:c r="J1331" s="124"/>
      <x:c r="M1331" s="126"/>
      <x:c r="P1331" s="126"/>
      <x:c r="Q1331" s="126"/>
      <x:c r="R1331" s="126"/>
      <x:c r="S1331" s="124"/>
      <x:c r="T1331" s="124"/>
      <x:c r="U1331" s="124"/>
      <x:c r="V1331" s="124"/>
      <x:c r="W1331" s="124"/>
      <x:c r="X1331" s="124"/>
      <x:c r="AD1331"/>
      <x:c r="AE1331" s="145"/>
      <x:c r="AF1331" s="145"/>
      <x:c r="AG1331" s="145"/>
      <x:c r="AH1331" s="145"/>
      <x:c r="AI1331" s="145"/>
      <x:c r="AJ1331"/>
    </x:row>
    <x:row r="1332">
      <x:c r="F1332" s="124"/>
      <x:c r="G1332" s="124"/>
      <x:c r="H1332" s="124"/>
      <x:c r="I1332" s="124"/>
      <x:c r="J1332" s="124"/>
      <x:c r="M1332" s="126"/>
      <x:c r="P1332" s="126"/>
      <x:c r="Q1332" s="126"/>
      <x:c r="R1332" s="126"/>
      <x:c r="S1332" s="124"/>
      <x:c r="T1332" s="124"/>
      <x:c r="U1332" s="124"/>
      <x:c r="V1332" s="124"/>
      <x:c r="W1332" s="124"/>
      <x:c r="X1332" s="124"/>
      <x:c r="AD1332"/>
      <x:c r="AE1332" s="145"/>
      <x:c r="AF1332" s="145"/>
      <x:c r="AG1332" s="145"/>
      <x:c r="AH1332" s="145"/>
      <x:c r="AI1332" s="145"/>
      <x:c r="AJ1332"/>
    </x:row>
    <x:row r="1333">
      <x:c r="F1333" s="124"/>
      <x:c r="G1333" s="124"/>
      <x:c r="H1333" s="124"/>
      <x:c r="I1333" s="124"/>
      <x:c r="J1333" s="124"/>
      <x:c r="M1333" s="126"/>
      <x:c r="P1333" s="126"/>
      <x:c r="Q1333" s="126"/>
      <x:c r="R1333" s="126"/>
      <x:c r="S1333" s="124"/>
      <x:c r="T1333" s="124"/>
      <x:c r="U1333" s="124"/>
      <x:c r="V1333" s="124"/>
      <x:c r="W1333" s="124"/>
      <x:c r="X1333" s="124"/>
      <x:c r="AD1333"/>
      <x:c r="AE1333" s="145"/>
      <x:c r="AF1333" s="145"/>
      <x:c r="AG1333" s="145"/>
      <x:c r="AH1333" s="145"/>
      <x:c r="AI1333" s="145"/>
      <x:c r="AJ1333"/>
    </x:row>
    <x:row r="1334">
      <x:c r="F1334" s="124"/>
      <x:c r="G1334" s="124"/>
      <x:c r="H1334" s="124"/>
      <x:c r="I1334" s="124"/>
      <x:c r="J1334" s="124"/>
      <x:c r="M1334" s="126"/>
      <x:c r="P1334" s="126"/>
      <x:c r="Q1334" s="126"/>
      <x:c r="R1334" s="126"/>
      <x:c r="S1334" s="124"/>
      <x:c r="T1334" s="124"/>
      <x:c r="U1334" s="124"/>
      <x:c r="V1334" s="124"/>
      <x:c r="W1334" s="124"/>
      <x:c r="X1334" s="124"/>
      <x:c r="AD1334"/>
      <x:c r="AE1334" s="145"/>
      <x:c r="AF1334" s="145"/>
      <x:c r="AG1334" s="145"/>
      <x:c r="AH1334" s="145"/>
      <x:c r="AI1334" s="145"/>
      <x:c r="AJ1334"/>
    </x:row>
    <x:row r="1335">
      <x:c r="F1335" s="124"/>
      <x:c r="G1335" s="124"/>
      <x:c r="H1335" s="124"/>
      <x:c r="I1335" s="124"/>
      <x:c r="J1335" s="124"/>
      <x:c r="M1335" s="126"/>
      <x:c r="P1335" s="126"/>
      <x:c r="Q1335" s="126"/>
      <x:c r="R1335" s="126"/>
      <x:c r="S1335" s="124"/>
      <x:c r="T1335" s="124"/>
      <x:c r="U1335" s="124"/>
      <x:c r="V1335" s="124"/>
      <x:c r="W1335" s="124"/>
      <x:c r="X1335" s="124"/>
      <x:c r="AD1335"/>
      <x:c r="AE1335" s="145"/>
      <x:c r="AF1335" s="145"/>
      <x:c r="AG1335" s="145"/>
      <x:c r="AH1335" s="145"/>
      <x:c r="AI1335" s="145"/>
      <x:c r="AJ1335"/>
    </x:row>
    <x:row r="1336">
      <x:c r="F1336" s="124"/>
      <x:c r="G1336" s="124"/>
      <x:c r="H1336" s="124"/>
      <x:c r="I1336" s="124"/>
      <x:c r="J1336" s="124"/>
      <x:c r="M1336" s="126"/>
      <x:c r="P1336" s="126"/>
      <x:c r="Q1336" s="126"/>
      <x:c r="R1336" s="126"/>
      <x:c r="S1336" s="124"/>
      <x:c r="T1336" s="124"/>
      <x:c r="U1336" s="124"/>
      <x:c r="V1336" s="124"/>
      <x:c r="W1336" s="124"/>
      <x:c r="X1336" s="124"/>
      <x:c r="AD1336"/>
      <x:c r="AE1336" s="145"/>
      <x:c r="AF1336" s="145"/>
      <x:c r="AG1336" s="145"/>
      <x:c r="AH1336" s="145"/>
      <x:c r="AI1336" s="145"/>
      <x:c r="AJ1336"/>
    </x:row>
    <x:row r="1337">
      <x:c r="F1337" s="124"/>
      <x:c r="G1337" s="124"/>
      <x:c r="H1337" s="124"/>
      <x:c r="I1337" s="124"/>
      <x:c r="J1337" s="124"/>
      <x:c r="M1337" s="126"/>
      <x:c r="P1337" s="126"/>
      <x:c r="Q1337" s="126"/>
      <x:c r="R1337" s="126"/>
      <x:c r="S1337" s="124"/>
      <x:c r="T1337" s="124"/>
      <x:c r="U1337" s="124"/>
      <x:c r="V1337" s="124"/>
      <x:c r="W1337" s="124"/>
      <x:c r="X1337" s="124"/>
      <x:c r="AD1337"/>
      <x:c r="AE1337" s="145"/>
      <x:c r="AF1337" s="145"/>
      <x:c r="AG1337" s="145"/>
      <x:c r="AH1337" s="145"/>
      <x:c r="AI1337" s="145"/>
      <x:c r="AJ1337"/>
    </x:row>
    <x:row r="1338">
      <x:c r="F1338" s="124"/>
      <x:c r="G1338" s="124"/>
      <x:c r="H1338" s="124"/>
      <x:c r="I1338" s="124"/>
      <x:c r="J1338" s="124"/>
      <x:c r="M1338" s="126"/>
      <x:c r="P1338" s="126"/>
      <x:c r="Q1338" s="126"/>
      <x:c r="R1338" s="126"/>
      <x:c r="S1338" s="124"/>
      <x:c r="T1338" s="124"/>
      <x:c r="U1338" s="124"/>
      <x:c r="V1338" s="124"/>
      <x:c r="W1338" s="124"/>
      <x:c r="X1338" s="124"/>
      <x:c r="AD1338"/>
      <x:c r="AE1338" s="145"/>
      <x:c r="AF1338" s="145"/>
      <x:c r="AG1338" s="145"/>
      <x:c r="AH1338" s="145"/>
      <x:c r="AI1338" s="145"/>
      <x:c r="AJ1338"/>
    </x:row>
    <x:row r="1339">
      <x:c r="F1339" s="124"/>
      <x:c r="G1339" s="124"/>
      <x:c r="H1339" s="124"/>
      <x:c r="I1339" s="124"/>
      <x:c r="J1339" s="124"/>
      <x:c r="M1339" s="126"/>
      <x:c r="P1339" s="126"/>
      <x:c r="Q1339" s="126"/>
      <x:c r="R1339" s="126"/>
      <x:c r="S1339" s="124"/>
      <x:c r="T1339" s="124"/>
      <x:c r="U1339" s="124"/>
      <x:c r="V1339" s="124"/>
      <x:c r="W1339" s="124"/>
      <x:c r="X1339" s="124"/>
      <x:c r="AD1339"/>
      <x:c r="AE1339" s="145"/>
      <x:c r="AF1339" s="145"/>
      <x:c r="AG1339" s="145"/>
      <x:c r="AH1339" s="145"/>
      <x:c r="AI1339" s="145"/>
      <x:c r="AJ1339"/>
    </x:row>
    <x:row r="1340">
      <x:c r="F1340" s="124"/>
      <x:c r="G1340" s="124"/>
      <x:c r="H1340" s="124"/>
      <x:c r="I1340" s="124"/>
      <x:c r="J1340" s="124"/>
      <x:c r="M1340" s="126"/>
      <x:c r="P1340" s="126"/>
      <x:c r="Q1340" s="126"/>
      <x:c r="R1340" s="126"/>
      <x:c r="S1340" s="124"/>
      <x:c r="T1340" s="124"/>
      <x:c r="U1340" s="124"/>
      <x:c r="V1340" s="124"/>
      <x:c r="W1340" s="124"/>
      <x:c r="X1340" s="124"/>
      <x:c r="AD1340"/>
      <x:c r="AE1340" s="145"/>
      <x:c r="AF1340" s="145"/>
      <x:c r="AG1340" s="145"/>
      <x:c r="AH1340" s="145"/>
      <x:c r="AI1340" s="145"/>
      <x:c r="AJ1340"/>
    </x:row>
    <x:row r="1341">
      <x:c r="F1341" s="124"/>
      <x:c r="G1341" s="124"/>
      <x:c r="H1341" s="124"/>
      <x:c r="I1341" s="124"/>
      <x:c r="J1341" s="124"/>
      <x:c r="M1341" s="126"/>
      <x:c r="P1341" s="126"/>
      <x:c r="Q1341" s="126"/>
      <x:c r="R1341" s="126"/>
      <x:c r="S1341" s="124"/>
      <x:c r="T1341" s="124"/>
      <x:c r="U1341" s="124"/>
      <x:c r="V1341" s="124"/>
      <x:c r="W1341" s="124"/>
      <x:c r="X1341" s="124"/>
      <x:c r="AD1341"/>
      <x:c r="AE1341" s="145"/>
      <x:c r="AF1341" s="145"/>
      <x:c r="AG1341" s="145"/>
      <x:c r="AH1341" s="145"/>
      <x:c r="AI1341" s="145"/>
      <x:c r="AJ1341"/>
    </x:row>
    <x:row r="1342">
      <x:c r="F1342" s="124"/>
      <x:c r="G1342" s="124"/>
      <x:c r="H1342" s="124"/>
      <x:c r="I1342" s="124"/>
      <x:c r="J1342" s="124"/>
      <x:c r="M1342" s="126"/>
      <x:c r="P1342" s="126"/>
      <x:c r="Q1342" s="126"/>
      <x:c r="R1342" s="126"/>
      <x:c r="S1342" s="124"/>
      <x:c r="T1342" s="124"/>
      <x:c r="U1342" s="124"/>
      <x:c r="V1342" s="124"/>
      <x:c r="W1342" s="124"/>
      <x:c r="X1342" s="124"/>
      <x:c r="AD1342"/>
      <x:c r="AE1342" s="145"/>
      <x:c r="AF1342" s="145"/>
      <x:c r="AG1342" s="145"/>
      <x:c r="AH1342" s="145"/>
      <x:c r="AI1342" s="145"/>
      <x:c r="AJ1342"/>
    </x:row>
    <x:row r="1343">
      <x:c r="F1343" s="124"/>
      <x:c r="G1343" s="124"/>
      <x:c r="H1343" s="124"/>
      <x:c r="I1343" s="124"/>
      <x:c r="J1343" s="124"/>
      <x:c r="M1343" s="126"/>
      <x:c r="P1343" s="126"/>
      <x:c r="Q1343" s="126"/>
      <x:c r="R1343" s="126"/>
      <x:c r="S1343" s="124"/>
      <x:c r="T1343" s="124"/>
      <x:c r="U1343" s="124"/>
      <x:c r="V1343" s="124"/>
      <x:c r="W1343" s="124"/>
      <x:c r="X1343" s="124"/>
      <x:c r="AD1343"/>
      <x:c r="AE1343" s="145"/>
      <x:c r="AF1343" s="145"/>
      <x:c r="AG1343" s="145"/>
      <x:c r="AH1343" s="145"/>
      <x:c r="AI1343" s="145"/>
      <x:c r="AJ1343"/>
    </x:row>
    <x:row r="1344">
      <x:c r="F1344" s="124"/>
      <x:c r="G1344" s="124"/>
      <x:c r="H1344" s="124"/>
      <x:c r="I1344" s="124"/>
      <x:c r="J1344" s="124"/>
      <x:c r="M1344" s="126"/>
      <x:c r="P1344" s="126"/>
      <x:c r="Q1344" s="126"/>
      <x:c r="R1344" s="126"/>
      <x:c r="S1344" s="124"/>
      <x:c r="T1344" s="124"/>
      <x:c r="U1344" s="124"/>
      <x:c r="V1344" s="124"/>
      <x:c r="W1344" s="124"/>
      <x:c r="X1344" s="124"/>
      <x:c r="AD1344"/>
      <x:c r="AE1344" s="145"/>
      <x:c r="AF1344" s="145"/>
      <x:c r="AG1344" s="145"/>
      <x:c r="AH1344" s="145"/>
      <x:c r="AI1344" s="145"/>
      <x:c r="AJ1344"/>
    </x:row>
    <x:row r="1345">
      <x:c r="F1345" s="124"/>
      <x:c r="G1345" s="124"/>
      <x:c r="H1345" s="124"/>
      <x:c r="I1345" s="124"/>
      <x:c r="J1345" s="124"/>
      <x:c r="M1345" s="126"/>
      <x:c r="P1345" s="126"/>
      <x:c r="Q1345" s="126"/>
      <x:c r="R1345" s="126"/>
      <x:c r="S1345" s="124"/>
      <x:c r="T1345" s="124"/>
      <x:c r="U1345" s="124"/>
      <x:c r="V1345" s="124"/>
      <x:c r="W1345" s="124"/>
      <x:c r="X1345" s="124"/>
      <x:c r="AD1345"/>
      <x:c r="AE1345" s="145"/>
      <x:c r="AF1345" s="145"/>
      <x:c r="AG1345" s="145"/>
      <x:c r="AH1345" s="145"/>
      <x:c r="AI1345" s="145"/>
      <x:c r="AJ1345"/>
    </x:row>
    <x:row r="1346">
      <x:c r="F1346" s="124"/>
      <x:c r="G1346" s="124"/>
      <x:c r="H1346" s="124"/>
      <x:c r="I1346" s="124"/>
      <x:c r="J1346" s="124"/>
      <x:c r="M1346" s="126"/>
      <x:c r="P1346" s="126"/>
      <x:c r="Q1346" s="126"/>
      <x:c r="R1346" s="126"/>
      <x:c r="S1346" s="124"/>
      <x:c r="T1346" s="124"/>
      <x:c r="U1346" s="124"/>
      <x:c r="V1346" s="124"/>
      <x:c r="W1346" s="124"/>
      <x:c r="X1346" s="124"/>
      <x:c r="AD1346"/>
      <x:c r="AE1346" s="145"/>
      <x:c r="AF1346" s="145"/>
      <x:c r="AG1346" s="145"/>
      <x:c r="AH1346" s="145"/>
      <x:c r="AI1346" s="145"/>
      <x:c r="AJ1346"/>
    </x:row>
    <x:row r="1347">
      <x:c r="F1347" s="124"/>
      <x:c r="G1347" s="124"/>
      <x:c r="H1347" s="124"/>
      <x:c r="I1347" s="124"/>
      <x:c r="J1347" s="124"/>
      <x:c r="M1347" s="126"/>
      <x:c r="P1347" s="126"/>
      <x:c r="Q1347" s="126"/>
      <x:c r="R1347" s="126"/>
      <x:c r="S1347" s="124"/>
      <x:c r="T1347" s="124"/>
      <x:c r="U1347" s="124"/>
      <x:c r="V1347" s="124"/>
      <x:c r="W1347" s="124"/>
      <x:c r="X1347" s="124"/>
      <x:c r="AD1347"/>
      <x:c r="AE1347" s="145"/>
      <x:c r="AF1347" s="145"/>
      <x:c r="AG1347" s="145"/>
      <x:c r="AH1347" s="145"/>
      <x:c r="AI1347" s="145"/>
      <x:c r="AJ1347"/>
    </x:row>
    <x:row r="1348">
      <x:c r="F1348" s="124"/>
      <x:c r="G1348" s="124"/>
      <x:c r="H1348" s="124"/>
      <x:c r="I1348" s="124"/>
      <x:c r="J1348" s="124"/>
      <x:c r="M1348" s="126"/>
      <x:c r="P1348" s="126"/>
      <x:c r="Q1348" s="126"/>
      <x:c r="R1348" s="126"/>
      <x:c r="S1348" s="124"/>
      <x:c r="T1348" s="124"/>
      <x:c r="U1348" s="124"/>
      <x:c r="V1348" s="124"/>
      <x:c r="W1348" s="124"/>
      <x:c r="X1348" s="124"/>
      <x:c r="AD1348"/>
      <x:c r="AE1348" s="145"/>
      <x:c r="AF1348" s="145"/>
      <x:c r="AG1348" s="145"/>
      <x:c r="AH1348" s="145"/>
      <x:c r="AI1348" s="145"/>
      <x:c r="AJ1348"/>
    </x:row>
    <x:row r="1349">
      <x:c r="F1349" s="124"/>
      <x:c r="G1349" s="124"/>
      <x:c r="H1349" s="124"/>
      <x:c r="I1349" s="124"/>
      <x:c r="J1349" s="124"/>
      <x:c r="M1349" s="126"/>
      <x:c r="P1349" s="126"/>
      <x:c r="Q1349" s="126"/>
      <x:c r="R1349" s="126"/>
      <x:c r="S1349" s="124"/>
      <x:c r="T1349" s="124"/>
      <x:c r="U1349" s="124"/>
      <x:c r="V1349" s="124"/>
      <x:c r="W1349" s="124"/>
      <x:c r="X1349" s="124"/>
      <x:c r="AD1349"/>
      <x:c r="AE1349" s="145"/>
      <x:c r="AF1349" s="145"/>
      <x:c r="AG1349" s="145"/>
      <x:c r="AH1349" s="145"/>
      <x:c r="AI1349" s="145"/>
      <x:c r="AJ1349"/>
    </x:row>
    <x:row r="1350">
      <x:c r="F1350" s="124"/>
      <x:c r="G1350" s="124"/>
      <x:c r="H1350" s="124"/>
      <x:c r="I1350" s="124"/>
      <x:c r="J1350" s="124"/>
      <x:c r="M1350" s="126"/>
      <x:c r="P1350" s="126"/>
      <x:c r="Q1350" s="126"/>
      <x:c r="R1350" s="126"/>
      <x:c r="S1350" s="124"/>
      <x:c r="T1350" s="124"/>
      <x:c r="U1350" s="124"/>
      <x:c r="V1350" s="124"/>
      <x:c r="W1350" s="124"/>
      <x:c r="X1350" s="124"/>
      <x:c r="AD1350"/>
      <x:c r="AE1350" s="145"/>
      <x:c r="AF1350" s="145"/>
      <x:c r="AG1350" s="145"/>
      <x:c r="AH1350" s="145"/>
      <x:c r="AI1350" s="145"/>
      <x:c r="AJ1350"/>
    </x:row>
    <x:row r="1351">
      <x:c r="F1351" s="124"/>
      <x:c r="G1351" s="124"/>
      <x:c r="H1351" s="124"/>
      <x:c r="I1351" s="124"/>
      <x:c r="J1351" s="124"/>
      <x:c r="M1351" s="126"/>
      <x:c r="P1351" s="126"/>
      <x:c r="Q1351" s="126"/>
      <x:c r="R1351" s="126"/>
      <x:c r="S1351" s="124"/>
      <x:c r="T1351" s="124"/>
      <x:c r="U1351" s="124"/>
      <x:c r="V1351" s="124"/>
      <x:c r="W1351" s="124"/>
      <x:c r="X1351" s="124"/>
      <x:c r="AD1351"/>
      <x:c r="AE1351" s="145"/>
      <x:c r="AF1351" s="145"/>
      <x:c r="AG1351" s="145"/>
      <x:c r="AH1351" s="145"/>
      <x:c r="AI1351" s="145"/>
      <x:c r="AJ1351"/>
    </x:row>
    <x:row r="1352">
      <x:c r="F1352" s="124"/>
      <x:c r="G1352" s="124"/>
      <x:c r="H1352" s="124"/>
      <x:c r="I1352" s="124"/>
      <x:c r="J1352" s="124"/>
      <x:c r="M1352" s="126"/>
      <x:c r="P1352" s="126"/>
      <x:c r="Q1352" s="126"/>
      <x:c r="R1352" s="126"/>
      <x:c r="S1352" s="124"/>
      <x:c r="T1352" s="124"/>
      <x:c r="U1352" s="124"/>
      <x:c r="V1352" s="124"/>
      <x:c r="W1352" s="124"/>
      <x:c r="X1352" s="124"/>
      <x:c r="AD1352"/>
      <x:c r="AE1352" s="145"/>
      <x:c r="AF1352" s="145"/>
      <x:c r="AG1352" s="145"/>
      <x:c r="AH1352" s="145"/>
      <x:c r="AI1352" s="145"/>
      <x:c r="AJ1352"/>
    </x:row>
    <x:row r="1353">
      <x:c r="F1353" s="124"/>
      <x:c r="G1353" s="124"/>
      <x:c r="H1353" s="124"/>
      <x:c r="I1353" s="124"/>
      <x:c r="J1353" s="124"/>
      <x:c r="M1353" s="126"/>
      <x:c r="P1353" s="126"/>
      <x:c r="Q1353" s="126"/>
      <x:c r="R1353" s="126"/>
      <x:c r="S1353" s="124"/>
      <x:c r="T1353" s="124"/>
      <x:c r="U1353" s="124"/>
      <x:c r="V1353" s="124"/>
      <x:c r="W1353" s="124"/>
      <x:c r="X1353" s="124"/>
      <x:c r="AD1353"/>
      <x:c r="AE1353" s="145"/>
      <x:c r="AF1353" s="145"/>
      <x:c r="AG1353" s="145"/>
      <x:c r="AH1353" s="145"/>
      <x:c r="AI1353" s="145"/>
      <x:c r="AJ1353"/>
    </x:row>
    <x:row r="1354">
      <x:c r="F1354" s="124"/>
      <x:c r="G1354" s="124"/>
      <x:c r="H1354" s="124"/>
      <x:c r="I1354" s="124"/>
      <x:c r="J1354" s="124"/>
      <x:c r="M1354" s="126"/>
      <x:c r="P1354" s="126"/>
      <x:c r="Q1354" s="126"/>
      <x:c r="R1354" s="126"/>
      <x:c r="S1354" s="124"/>
      <x:c r="T1354" s="124"/>
      <x:c r="U1354" s="124"/>
      <x:c r="V1354" s="124"/>
      <x:c r="W1354" s="124"/>
      <x:c r="X1354" s="124"/>
      <x:c r="AD1354"/>
      <x:c r="AE1354" s="145"/>
      <x:c r="AF1354" s="145"/>
      <x:c r="AG1354" s="145"/>
      <x:c r="AH1354" s="145"/>
      <x:c r="AI1354" s="145"/>
      <x:c r="AJ1354"/>
    </x:row>
    <x:row r="1355">
      <x:c r="F1355" s="124"/>
      <x:c r="G1355" s="124"/>
      <x:c r="H1355" s="124"/>
      <x:c r="I1355" s="124"/>
      <x:c r="J1355" s="124"/>
      <x:c r="M1355" s="126"/>
      <x:c r="P1355" s="126"/>
      <x:c r="Q1355" s="126"/>
      <x:c r="R1355" s="126"/>
      <x:c r="S1355" s="124"/>
      <x:c r="T1355" s="124"/>
      <x:c r="U1355" s="124"/>
      <x:c r="V1355" s="124"/>
      <x:c r="W1355" s="124"/>
      <x:c r="X1355" s="124"/>
      <x:c r="AD1355"/>
      <x:c r="AE1355" s="145"/>
      <x:c r="AF1355" s="145"/>
      <x:c r="AG1355" s="145"/>
      <x:c r="AH1355" s="145"/>
      <x:c r="AI1355" s="145"/>
      <x:c r="AJ1355"/>
    </x:row>
    <x:row r="1356">
      <x:c r="F1356" s="124"/>
      <x:c r="G1356" s="124"/>
      <x:c r="H1356" s="124"/>
      <x:c r="I1356" s="124"/>
      <x:c r="J1356" s="124"/>
      <x:c r="M1356" s="126"/>
      <x:c r="P1356" s="126"/>
      <x:c r="Q1356" s="126"/>
      <x:c r="R1356" s="126"/>
      <x:c r="S1356" s="124"/>
      <x:c r="T1356" s="124"/>
      <x:c r="U1356" s="124"/>
      <x:c r="V1356" s="124"/>
      <x:c r="W1356" s="124"/>
      <x:c r="X1356" s="124"/>
      <x:c r="AD1356"/>
      <x:c r="AE1356" s="145"/>
      <x:c r="AF1356" s="145"/>
      <x:c r="AG1356" s="145"/>
      <x:c r="AH1356" s="145"/>
      <x:c r="AI1356" s="145"/>
      <x:c r="AJ1356"/>
    </x:row>
    <x:row r="1357">
      <x:c r="F1357" s="124"/>
      <x:c r="G1357" s="124"/>
      <x:c r="H1357" s="124"/>
      <x:c r="I1357" s="124"/>
      <x:c r="J1357" s="124"/>
      <x:c r="M1357" s="126"/>
      <x:c r="P1357" s="126"/>
      <x:c r="Q1357" s="126"/>
      <x:c r="R1357" s="126"/>
      <x:c r="S1357" s="124"/>
      <x:c r="T1357" s="124"/>
      <x:c r="U1357" s="124"/>
      <x:c r="V1357" s="124"/>
      <x:c r="W1357" s="124"/>
      <x:c r="X1357" s="124"/>
      <x:c r="AD1357"/>
      <x:c r="AE1357" s="145"/>
      <x:c r="AF1357" s="145"/>
      <x:c r="AG1357" s="145"/>
      <x:c r="AH1357" s="145"/>
      <x:c r="AI1357" s="145"/>
      <x:c r="AJ1357"/>
    </x:row>
    <x:row r="1358">
      <x:c r="F1358" s="124"/>
      <x:c r="G1358" s="124"/>
      <x:c r="H1358" s="124"/>
      <x:c r="I1358" s="124"/>
      <x:c r="J1358" s="124"/>
      <x:c r="M1358" s="126"/>
      <x:c r="P1358" s="126"/>
      <x:c r="Q1358" s="126"/>
      <x:c r="R1358" s="126"/>
      <x:c r="S1358" s="124"/>
      <x:c r="T1358" s="124"/>
      <x:c r="U1358" s="124"/>
      <x:c r="V1358" s="124"/>
      <x:c r="W1358" s="124"/>
      <x:c r="X1358" s="124"/>
      <x:c r="AD1358"/>
      <x:c r="AE1358" s="145"/>
      <x:c r="AF1358" s="145"/>
      <x:c r="AG1358" s="145"/>
      <x:c r="AH1358" s="145"/>
      <x:c r="AI1358" s="145"/>
      <x:c r="AJ1358"/>
    </x:row>
    <x:row r="1359">
      <x:c r="F1359" s="124"/>
      <x:c r="G1359" s="124"/>
      <x:c r="H1359" s="124"/>
      <x:c r="I1359" s="124"/>
      <x:c r="J1359" s="124"/>
      <x:c r="M1359" s="126"/>
      <x:c r="P1359" s="126"/>
      <x:c r="Q1359" s="126"/>
      <x:c r="R1359" s="126"/>
      <x:c r="S1359" s="124"/>
      <x:c r="T1359" s="124"/>
      <x:c r="U1359" s="124"/>
      <x:c r="V1359" s="124"/>
      <x:c r="W1359" s="124"/>
      <x:c r="X1359" s="124"/>
      <x:c r="AD1359"/>
      <x:c r="AE1359" s="145"/>
      <x:c r="AF1359" s="145"/>
      <x:c r="AG1359" s="145"/>
      <x:c r="AH1359" s="145"/>
      <x:c r="AI1359" s="145"/>
      <x:c r="AJ1359"/>
    </x:row>
    <x:row r="1360">
      <x:c r="F1360" s="124"/>
      <x:c r="G1360" s="124"/>
      <x:c r="H1360" s="124"/>
      <x:c r="I1360" s="124"/>
      <x:c r="J1360" s="124"/>
      <x:c r="M1360" s="126"/>
      <x:c r="P1360" s="126"/>
      <x:c r="Q1360" s="126"/>
      <x:c r="R1360" s="126"/>
      <x:c r="S1360" s="124"/>
      <x:c r="T1360" s="124"/>
      <x:c r="U1360" s="124"/>
      <x:c r="V1360" s="124"/>
      <x:c r="W1360" s="124"/>
      <x:c r="X1360" s="124"/>
      <x:c r="AD1360"/>
      <x:c r="AE1360" s="145"/>
      <x:c r="AF1360" s="145"/>
      <x:c r="AG1360" s="145"/>
      <x:c r="AH1360" s="145"/>
      <x:c r="AI1360" s="145"/>
      <x:c r="AJ1360"/>
    </x:row>
    <x:row r="1361">
      <x:c r="F1361" s="124"/>
      <x:c r="G1361" s="124"/>
      <x:c r="H1361" s="124"/>
      <x:c r="I1361" s="124"/>
      <x:c r="J1361" s="124"/>
      <x:c r="M1361" s="126"/>
      <x:c r="P1361" s="126"/>
      <x:c r="Q1361" s="126"/>
      <x:c r="R1361" s="126"/>
      <x:c r="S1361" s="124"/>
      <x:c r="T1361" s="124"/>
      <x:c r="U1361" s="124"/>
      <x:c r="V1361" s="124"/>
      <x:c r="W1361" s="124"/>
      <x:c r="X1361" s="124"/>
      <x:c r="AD1361"/>
      <x:c r="AE1361" s="145"/>
      <x:c r="AF1361" s="145"/>
      <x:c r="AG1361" s="145"/>
      <x:c r="AH1361" s="145"/>
      <x:c r="AI1361" s="145"/>
      <x:c r="AJ1361"/>
    </x:row>
    <x:row r="1362">
      <x:c r="F1362" s="124"/>
      <x:c r="G1362" s="124"/>
      <x:c r="H1362" s="124"/>
      <x:c r="I1362" s="124"/>
      <x:c r="J1362" s="124"/>
      <x:c r="M1362" s="126"/>
      <x:c r="P1362" s="126"/>
      <x:c r="Q1362" s="126"/>
      <x:c r="R1362" s="126"/>
      <x:c r="S1362" s="124"/>
      <x:c r="T1362" s="124"/>
      <x:c r="U1362" s="124"/>
      <x:c r="V1362" s="124"/>
      <x:c r="W1362" s="124"/>
      <x:c r="X1362" s="124"/>
      <x:c r="AD1362"/>
      <x:c r="AE1362" s="145"/>
      <x:c r="AF1362" s="145"/>
      <x:c r="AG1362" s="145"/>
      <x:c r="AH1362" s="145"/>
      <x:c r="AI1362" s="145"/>
      <x:c r="AJ1362"/>
    </x:row>
    <x:row r="1363">
      <x:c r="F1363" s="124"/>
      <x:c r="G1363" s="124"/>
      <x:c r="H1363" s="124"/>
      <x:c r="I1363" s="124"/>
      <x:c r="J1363" s="124"/>
      <x:c r="M1363" s="126"/>
      <x:c r="P1363" s="126"/>
      <x:c r="Q1363" s="126"/>
      <x:c r="R1363" s="126"/>
      <x:c r="S1363" s="124"/>
      <x:c r="T1363" s="124"/>
      <x:c r="U1363" s="124"/>
      <x:c r="V1363" s="124"/>
      <x:c r="W1363" s="124"/>
      <x:c r="X1363" s="124"/>
      <x:c r="AD1363"/>
      <x:c r="AE1363" s="145"/>
      <x:c r="AF1363" s="145"/>
      <x:c r="AG1363" s="145"/>
      <x:c r="AH1363" s="145"/>
      <x:c r="AI1363" s="145"/>
      <x:c r="AJ1363"/>
    </x:row>
    <x:row r="1364">
      <x:c r="F1364" s="124"/>
      <x:c r="G1364" s="124"/>
      <x:c r="H1364" s="124"/>
      <x:c r="I1364" s="124"/>
      <x:c r="J1364" s="124"/>
      <x:c r="M1364" s="126"/>
      <x:c r="P1364" s="126"/>
      <x:c r="Q1364" s="126"/>
      <x:c r="R1364" s="126"/>
      <x:c r="S1364" s="124"/>
      <x:c r="T1364" s="124"/>
      <x:c r="U1364" s="124"/>
      <x:c r="V1364" s="124"/>
      <x:c r="W1364" s="124"/>
      <x:c r="X1364" s="124"/>
      <x:c r="AD1364"/>
      <x:c r="AE1364" s="145"/>
      <x:c r="AF1364" s="145"/>
      <x:c r="AG1364" s="145"/>
      <x:c r="AH1364" s="145"/>
      <x:c r="AI1364" s="145"/>
      <x:c r="AJ1364"/>
    </x:row>
    <x:row r="1365">
      <x:c r="F1365" s="124"/>
      <x:c r="G1365" s="124"/>
      <x:c r="H1365" s="124"/>
      <x:c r="I1365" s="124"/>
      <x:c r="J1365" s="124"/>
      <x:c r="M1365" s="126"/>
      <x:c r="P1365" s="126"/>
      <x:c r="Q1365" s="126"/>
      <x:c r="R1365" s="126"/>
      <x:c r="S1365" s="124"/>
      <x:c r="T1365" s="124"/>
      <x:c r="U1365" s="124"/>
      <x:c r="V1365" s="124"/>
      <x:c r="W1365" s="124"/>
      <x:c r="X1365" s="124"/>
      <x:c r="AD1365"/>
      <x:c r="AE1365" s="145"/>
      <x:c r="AF1365" s="145"/>
      <x:c r="AG1365" s="145"/>
      <x:c r="AH1365" s="145"/>
      <x:c r="AI1365" s="145"/>
      <x:c r="AJ1365"/>
    </x:row>
    <x:row r="1366">
      <x:c r="F1366" s="124"/>
      <x:c r="G1366" s="124"/>
      <x:c r="H1366" s="124"/>
      <x:c r="I1366" s="124"/>
      <x:c r="J1366" s="124"/>
      <x:c r="M1366" s="126"/>
      <x:c r="P1366" s="126"/>
      <x:c r="Q1366" s="126"/>
      <x:c r="R1366" s="126"/>
      <x:c r="S1366" s="124"/>
      <x:c r="T1366" s="124"/>
      <x:c r="U1366" s="124"/>
      <x:c r="V1366" s="124"/>
      <x:c r="W1366" s="124"/>
      <x:c r="X1366" s="124"/>
      <x:c r="AD1366"/>
      <x:c r="AE1366" s="145"/>
      <x:c r="AF1366" s="145"/>
      <x:c r="AG1366" s="145"/>
      <x:c r="AH1366" s="145"/>
      <x:c r="AI1366" s="145"/>
      <x:c r="AJ1366"/>
    </x:row>
    <x:row r="1367">
      <x:c r="F1367" s="124"/>
      <x:c r="G1367" s="124"/>
      <x:c r="H1367" s="124"/>
      <x:c r="I1367" s="124"/>
      <x:c r="J1367" s="124"/>
      <x:c r="M1367" s="126"/>
      <x:c r="P1367" s="126"/>
      <x:c r="Q1367" s="126"/>
      <x:c r="R1367" s="126"/>
      <x:c r="S1367" s="124"/>
      <x:c r="T1367" s="124"/>
      <x:c r="U1367" s="124"/>
      <x:c r="V1367" s="124"/>
      <x:c r="W1367" s="124"/>
      <x:c r="X1367" s="124"/>
      <x:c r="AD1367"/>
      <x:c r="AE1367" s="145"/>
      <x:c r="AF1367" s="145"/>
      <x:c r="AG1367" s="145"/>
      <x:c r="AH1367" s="145"/>
      <x:c r="AI1367" s="145"/>
      <x:c r="AJ1367"/>
    </x:row>
    <x:row r="1368">
      <x:c r="F1368" s="124"/>
      <x:c r="G1368" s="124"/>
      <x:c r="H1368" s="124"/>
      <x:c r="I1368" s="124"/>
      <x:c r="J1368" s="124"/>
      <x:c r="M1368" s="126"/>
      <x:c r="P1368" s="126"/>
      <x:c r="Q1368" s="126"/>
      <x:c r="R1368" s="126"/>
      <x:c r="S1368" s="124"/>
      <x:c r="T1368" s="124"/>
      <x:c r="U1368" s="124"/>
      <x:c r="V1368" s="124"/>
      <x:c r="W1368" s="124"/>
      <x:c r="X1368" s="124"/>
      <x:c r="AD1368"/>
      <x:c r="AE1368" s="145"/>
      <x:c r="AF1368" s="145"/>
      <x:c r="AG1368" s="145"/>
      <x:c r="AH1368" s="145"/>
      <x:c r="AI1368" s="145"/>
      <x:c r="AJ1368"/>
    </x:row>
    <x:row r="1369">
      <x:c r="F1369" s="124"/>
      <x:c r="G1369" s="124"/>
      <x:c r="H1369" s="124"/>
      <x:c r="I1369" s="124"/>
      <x:c r="J1369" s="124"/>
      <x:c r="M1369" s="126"/>
      <x:c r="P1369" s="126"/>
      <x:c r="Q1369" s="126"/>
      <x:c r="R1369" s="126"/>
      <x:c r="S1369" s="124"/>
      <x:c r="T1369" s="124"/>
      <x:c r="U1369" s="124"/>
      <x:c r="V1369" s="124"/>
      <x:c r="W1369" s="124"/>
      <x:c r="X1369" s="124"/>
      <x:c r="AD1369"/>
      <x:c r="AE1369" s="145"/>
      <x:c r="AF1369" s="145"/>
      <x:c r="AG1369" s="145"/>
      <x:c r="AH1369" s="145"/>
      <x:c r="AI1369" s="145"/>
      <x:c r="AJ1369"/>
    </x:row>
    <x:row r="1370">
      <x:c r="F1370" s="124"/>
      <x:c r="G1370" s="124"/>
      <x:c r="H1370" s="124"/>
      <x:c r="I1370" s="124"/>
      <x:c r="J1370" s="124"/>
      <x:c r="M1370" s="126"/>
      <x:c r="P1370" s="126"/>
      <x:c r="Q1370" s="126"/>
      <x:c r="R1370" s="126"/>
      <x:c r="S1370" s="124"/>
      <x:c r="T1370" s="124"/>
      <x:c r="U1370" s="124"/>
      <x:c r="V1370" s="124"/>
      <x:c r="W1370" s="124"/>
      <x:c r="X1370" s="124"/>
      <x:c r="AD1370"/>
      <x:c r="AE1370" s="145"/>
      <x:c r="AF1370" s="145"/>
      <x:c r="AG1370" s="145"/>
      <x:c r="AH1370" s="145"/>
      <x:c r="AI1370" s="145"/>
      <x:c r="AJ1370"/>
    </x:row>
    <x:row r="1371">
      <x:c r="F1371" s="124"/>
      <x:c r="G1371" s="124"/>
      <x:c r="H1371" s="124"/>
      <x:c r="I1371" s="124"/>
      <x:c r="J1371" s="124"/>
      <x:c r="M1371" s="126"/>
      <x:c r="P1371" s="126"/>
      <x:c r="Q1371" s="126"/>
      <x:c r="R1371" s="126"/>
      <x:c r="S1371" s="124"/>
      <x:c r="T1371" s="124"/>
      <x:c r="U1371" s="124"/>
      <x:c r="V1371" s="124"/>
      <x:c r="W1371" s="124"/>
      <x:c r="X1371" s="124"/>
      <x:c r="AD1371"/>
      <x:c r="AE1371" s="145"/>
      <x:c r="AF1371" s="145"/>
      <x:c r="AG1371" s="145"/>
      <x:c r="AH1371" s="145"/>
      <x:c r="AI1371" s="145"/>
      <x:c r="AJ1371"/>
    </x:row>
    <x:row r="1372">
      <x:c r="F1372" s="124"/>
      <x:c r="G1372" s="124"/>
      <x:c r="H1372" s="124"/>
      <x:c r="I1372" s="124"/>
      <x:c r="J1372" s="124"/>
      <x:c r="M1372" s="126"/>
      <x:c r="P1372" s="126"/>
      <x:c r="Q1372" s="126"/>
      <x:c r="R1372" s="126"/>
      <x:c r="S1372" s="124"/>
      <x:c r="T1372" s="124"/>
      <x:c r="U1372" s="124"/>
      <x:c r="V1372" s="124"/>
      <x:c r="W1372" s="124"/>
      <x:c r="X1372" s="124"/>
      <x:c r="AD1372"/>
      <x:c r="AE1372" s="145"/>
      <x:c r="AF1372" s="145"/>
      <x:c r="AG1372" s="145"/>
      <x:c r="AH1372" s="145"/>
      <x:c r="AI1372" s="145"/>
      <x:c r="AJ1372"/>
    </x:row>
    <x:row r="1373">
      <x:c r="F1373" s="124"/>
      <x:c r="G1373" s="124"/>
      <x:c r="H1373" s="124"/>
      <x:c r="I1373" s="124"/>
      <x:c r="J1373" s="124"/>
      <x:c r="M1373" s="126"/>
      <x:c r="P1373" s="126"/>
      <x:c r="Q1373" s="126"/>
      <x:c r="R1373" s="126"/>
      <x:c r="S1373" s="124"/>
      <x:c r="T1373" s="124"/>
      <x:c r="U1373" s="124"/>
      <x:c r="V1373" s="124"/>
      <x:c r="W1373" s="124"/>
      <x:c r="X1373" s="124"/>
      <x:c r="AD1373"/>
      <x:c r="AE1373" s="145"/>
      <x:c r="AF1373" s="145"/>
      <x:c r="AG1373" s="145"/>
      <x:c r="AH1373" s="145"/>
      <x:c r="AI1373" s="145"/>
      <x:c r="AJ1373"/>
    </x:row>
    <x:row r="1374">
      <x:c r="F1374" s="124"/>
      <x:c r="G1374" s="124"/>
      <x:c r="H1374" s="124"/>
      <x:c r="I1374" s="124"/>
      <x:c r="J1374" s="124"/>
      <x:c r="M1374" s="126"/>
      <x:c r="P1374" s="126"/>
      <x:c r="Q1374" s="126"/>
      <x:c r="R1374" s="126"/>
      <x:c r="S1374" s="124"/>
      <x:c r="T1374" s="124"/>
      <x:c r="U1374" s="124"/>
      <x:c r="V1374" s="124"/>
      <x:c r="W1374" s="124"/>
      <x:c r="X1374" s="124"/>
      <x:c r="AD1374"/>
      <x:c r="AE1374" s="145"/>
      <x:c r="AF1374" s="145"/>
      <x:c r="AG1374" s="145"/>
      <x:c r="AH1374" s="145"/>
      <x:c r="AI1374" s="145"/>
      <x:c r="AJ1374"/>
    </x:row>
    <x:row r="1375">
      <x:c r="F1375" s="124"/>
      <x:c r="G1375" s="124"/>
      <x:c r="H1375" s="124"/>
      <x:c r="I1375" s="124"/>
      <x:c r="J1375" s="124"/>
      <x:c r="M1375" s="126"/>
      <x:c r="P1375" s="126"/>
      <x:c r="Q1375" s="126"/>
      <x:c r="R1375" s="126"/>
      <x:c r="S1375" s="124"/>
      <x:c r="T1375" s="124"/>
      <x:c r="U1375" s="124"/>
      <x:c r="V1375" s="124"/>
      <x:c r="W1375" s="124"/>
      <x:c r="X1375" s="124"/>
      <x:c r="AD1375"/>
      <x:c r="AE1375" s="145"/>
      <x:c r="AF1375" s="145"/>
      <x:c r="AG1375" s="145"/>
      <x:c r="AH1375" s="145"/>
      <x:c r="AI1375" s="145"/>
      <x:c r="AJ1375"/>
    </x:row>
    <x:row r="1376">
      <x:c r="F1376" s="124"/>
      <x:c r="G1376" s="124"/>
      <x:c r="H1376" s="124"/>
      <x:c r="I1376" s="124"/>
      <x:c r="J1376" s="124"/>
      <x:c r="M1376" s="126"/>
      <x:c r="P1376" s="126"/>
      <x:c r="Q1376" s="126"/>
      <x:c r="R1376" s="126"/>
      <x:c r="S1376" s="124"/>
      <x:c r="T1376" s="124"/>
      <x:c r="U1376" s="124"/>
      <x:c r="V1376" s="124"/>
      <x:c r="W1376" s="124"/>
      <x:c r="X1376" s="124"/>
      <x:c r="AD1376"/>
      <x:c r="AE1376" s="145"/>
      <x:c r="AF1376" s="145"/>
      <x:c r="AG1376" s="145"/>
      <x:c r="AH1376" s="145"/>
      <x:c r="AI1376" s="145"/>
      <x:c r="AJ1376"/>
    </x:row>
    <x:row r="1377">
      <x:c r="F1377" s="124"/>
      <x:c r="G1377" s="124"/>
      <x:c r="H1377" s="124"/>
      <x:c r="I1377" s="124"/>
      <x:c r="J1377" s="124"/>
      <x:c r="M1377" s="126"/>
      <x:c r="P1377" s="126"/>
      <x:c r="Q1377" s="126"/>
      <x:c r="R1377" s="126"/>
      <x:c r="S1377" s="124"/>
      <x:c r="T1377" s="124"/>
      <x:c r="U1377" s="124"/>
      <x:c r="V1377" s="124"/>
      <x:c r="W1377" s="124"/>
      <x:c r="X1377" s="124"/>
      <x:c r="AD1377"/>
      <x:c r="AE1377" s="145"/>
      <x:c r="AF1377" s="145"/>
      <x:c r="AG1377" s="145"/>
      <x:c r="AH1377" s="145"/>
      <x:c r="AI1377" s="145"/>
      <x:c r="AJ1377"/>
    </x:row>
    <x:row r="1378">
      <x:c r="F1378" s="124"/>
      <x:c r="G1378" s="124"/>
      <x:c r="H1378" s="124"/>
      <x:c r="I1378" s="124"/>
      <x:c r="J1378" s="124"/>
      <x:c r="M1378" s="126"/>
      <x:c r="P1378" s="126"/>
      <x:c r="Q1378" s="126"/>
      <x:c r="R1378" s="126"/>
      <x:c r="S1378" s="124"/>
      <x:c r="T1378" s="124"/>
      <x:c r="U1378" s="124"/>
      <x:c r="V1378" s="124"/>
      <x:c r="W1378" s="124"/>
      <x:c r="X1378" s="124"/>
      <x:c r="AD1378"/>
      <x:c r="AE1378" s="145"/>
      <x:c r="AF1378" s="145"/>
      <x:c r="AG1378" s="145"/>
      <x:c r="AH1378" s="145"/>
      <x:c r="AI1378" s="145"/>
      <x:c r="AJ1378"/>
    </x:row>
    <x:row r="1379">
      <x:c r="F1379" s="124"/>
      <x:c r="G1379" s="124"/>
      <x:c r="H1379" s="124"/>
      <x:c r="I1379" s="124"/>
      <x:c r="J1379" s="124"/>
      <x:c r="M1379" s="126"/>
      <x:c r="P1379" s="126"/>
      <x:c r="Q1379" s="126"/>
      <x:c r="R1379" s="126"/>
      <x:c r="S1379" s="124"/>
      <x:c r="T1379" s="124"/>
      <x:c r="U1379" s="124"/>
      <x:c r="V1379" s="124"/>
      <x:c r="W1379" s="124"/>
      <x:c r="X1379" s="124"/>
      <x:c r="AD1379"/>
      <x:c r="AE1379" s="145"/>
      <x:c r="AF1379" s="145"/>
      <x:c r="AG1379" s="145"/>
      <x:c r="AH1379" s="145"/>
      <x:c r="AI1379" s="145"/>
      <x:c r="AJ1379"/>
    </x:row>
    <x:row r="1380">
      <x:c r="F1380" s="124"/>
      <x:c r="G1380" s="124"/>
      <x:c r="H1380" s="124"/>
      <x:c r="I1380" s="124"/>
      <x:c r="J1380" s="124"/>
      <x:c r="M1380" s="126"/>
      <x:c r="P1380" s="126"/>
      <x:c r="Q1380" s="126"/>
      <x:c r="R1380" s="126"/>
      <x:c r="S1380" s="124"/>
      <x:c r="T1380" s="124"/>
      <x:c r="U1380" s="124"/>
      <x:c r="V1380" s="124"/>
      <x:c r="W1380" s="124"/>
      <x:c r="X1380" s="124"/>
      <x:c r="AD1380"/>
      <x:c r="AE1380" s="145"/>
      <x:c r="AF1380" s="145"/>
      <x:c r="AG1380" s="145"/>
      <x:c r="AH1380" s="145"/>
      <x:c r="AI1380" s="145"/>
      <x:c r="AJ1380"/>
    </x:row>
    <x:row r="1381">
      <x:c r="F1381" s="124"/>
      <x:c r="G1381" s="124"/>
      <x:c r="H1381" s="124"/>
      <x:c r="I1381" s="124"/>
      <x:c r="J1381" s="124"/>
      <x:c r="M1381" s="126"/>
      <x:c r="P1381" s="126"/>
      <x:c r="Q1381" s="126"/>
      <x:c r="R1381" s="126"/>
      <x:c r="S1381" s="124"/>
      <x:c r="T1381" s="124"/>
      <x:c r="U1381" s="124"/>
      <x:c r="V1381" s="124"/>
      <x:c r="W1381" s="124"/>
      <x:c r="X1381" s="124"/>
      <x:c r="AD1381"/>
      <x:c r="AE1381" s="145"/>
      <x:c r="AF1381" s="145"/>
      <x:c r="AG1381" s="145"/>
      <x:c r="AH1381" s="145"/>
      <x:c r="AI1381" s="145"/>
      <x:c r="AJ1381"/>
    </x:row>
    <x:row r="1382">
      <x:c r="F1382" s="124"/>
      <x:c r="G1382" s="124"/>
      <x:c r="H1382" s="124"/>
      <x:c r="I1382" s="124"/>
      <x:c r="J1382" s="124"/>
      <x:c r="M1382" s="126"/>
      <x:c r="P1382" s="126"/>
      <x:c r="Q1382" s="126"/>
      <x:c r="R1382" s="126"/>
      <x:c r="S1382" s="124"/>
      <x:c r="T1382" s="124"/>
      <x:c r="U1382" s="124"/>
      <x:c r="V1382" s="124"/>
      <x:c r="W1382" s="124"/>
      <x:c r="X1382" s="124"/>
      <x:c r="AD1382"/>
      <x:c r="AE1382" s="145"/>
      <x:c r="AF1382" s="145"/>
      <x:c r="AG1382" s="145"/>
      <x:c r="AH1382" s="145"/>
      <x:c r="AI1382" s="145"/>
      <x:c r="AJ1382"/>
    </x:row>
    <x:row r="1383">
      <x:c r="F1383" s="124"/>
      <x:c r="G1383" s="124"/>
      <x:c r="H1383" s="124"/>
      <x:c r="I1383" s="124"/>
      <x:c r="J1383" s="124"/>
      <x:c r="M1383" s="126"/>
      <x:c r="P1383" s="126"/>
      <x:c r="Q1383" s="126"/>
      <x:c r="R1383" s="126"/>
      <x:c r="S1383" s="124"/>
      <x:c r="T1383" s="124"/>
      <x:c r="U1383" s="124"/>
      <x:c r="V1383" s="124"/>
      <x:c r="W1383" s="124"/>
      <x:c r="X1383" s="124"/>
      <x:c r="AD1383"/>
      <x:c r="AE1383" s="145"/>
      <x:c r="AF1383" s="145"/>
      <x:c r="AG1383" s="145"/>
      <x:c r="AH1383" s="145"/>
      <x:c r="AI1383" s="145"/>
      <x:c r="AJ1383"/>
    </x:row>
    <x:row r="1384">
      <x:c r="F1384" s="124"/>
      <x:c r="G1384" s="124"/>
      <x:c r="H1384" s="124"/>
      <x:c r="I1384" s="124"/>
      <x:c r="J1384" s="124"/>
      <x:c r="M1384" s="126"/>
      <x:c r="P1384" s="126"/>
      <x:c r="Q1384" s="126"/>
      <x:c r="R1384" s="126"/>
      <x:c r="S1384" s="124"/>
      <x:c r="T1384" s="124"/>
      <x:c r="U1384" s="124"/>
      <x:c r="V1384" s="124"/>
      <x:c r="W1384" s="124"/>
      <x:c r="X1384" s="124"/>
      <x:c r="AD1384"/>
      <x:c r="AE1384" s="145"/>
      <x:c r="AF1384" s="145"/>
      <x:c r="AG1384" s="145"/>
      <x:c r="AH1384" s="145"/>
      <x:c r="AI1384" s="145"/>
      <x:c r="AJ1384"/>
    </x:row>
    <x:row r="1385">
      <x:c r="F1385" s="124"/>
      <x:c r="G1385" s="124"/>
      <x:c r="H1385" s="124"/>
      <x:c r="I1385" s="124"/>
      <x:c r="J1385" s="124"/>
      <x:c r="M1385" s="126"/>
      <x:c r="P1385" s="126"/>
      <x:c r="Q1385" s="126"/>
      <x:c r="R1385" s="126"/>
      <x:c r="S1385" s="124"/>
      <x:c r="T1385" s="124"/>
      <x:c r="U1385" s="124"/>
      <x:c r="V1385" s="124"/>
      <x:c r="W1385" s="124"/>
      <x:c r="X1385" s="124"/>
      <x:c r="AD1385"/>
      <x:c r="AE1385" s="145"/>
      <x:c r="AF1385" s="145"/>
      <x:c r="AG1385" s="145"/>
      <x:c r="AH1385" s="145"/>
      <x:c r="AI1385" s="145"/>
      <x:c r="AJ1385"/>
    </x:row>
    <x:row r="1386">
      <x:c r="F1386" s="124"/>
      <x:c r="G1386" s="124"/>
      <x:c r="H1386" s="124"/>
      <x:c r="I1386" s="124"/>
      <x:c r="J1386" s="124"/>
      <x:c r="M1386" s="126"/>
      <x:c r="P1386" s="126"/>
      <x:c r="Q1386" s="126"/>
      <x:c r="R1386" s="126"/>
      <x:c r="S1386" s="124"/>
      <x:c r="T1386" s="124"/>
      <x:c r="U1386" s="124"/>
      <x:c r="V1386" s="124"/>
      <x:c r="W1386" s="124"/>
      <x:c r="X1386" s="124"/>
      <x:c r="AD1386"/>
      <x:c r="AE1386" s="145"/>
      <x:c r="AF1386" s="145"/>
      <x:c r="AG1386" s="145"/>
      <x:c r="AH1386" s="145"/>
      <x:c r="AI1386" s="145"/>
      <x:c r="AJ1386"/>
    </x:row>
    <x:row r="1387">
      <x:c r="F1387" s="124"/>
      <x:c r="G1387" s="124"/>
      <x:c r="H1387" s="124"/>
      <x:c r="I1387" s="124"/>
      <x:c r="J1387" s="124"/>
      <x:c r="M1387" s="126"/>
      <x:c r="P1387" s="126"/>
      <x:c r="Q1387" s="126"/>
      <x:c r="R1387" s="126"/>
      <x:c r="S1387" s="124"/>
      <x:c r="T1387" s="124"/>
      <x:c r="U1387" s="124"/>
      <x:c r="V1387" s="124"/>
      <x:c r="W1387" s="124"/>
      <x:c r="X1387" s="124"/>
      <x:c r="AD1387"/>
      <x:c r="AE1387" s="145"/>
      <x:c r="AF1387" s="145"/>
      <x:c r="AG1387" s="145"/>
      <x:c r="AH1387" s="145"/>
      <x:c r="AI1387" s="145"/>
      <x:c r="AJ1387"/>
    </x:row>
    <x:row r="1388">
      <x:c r="F1388" s="124"/>
      <x:c r="G1388" s="124"/>
      <x:c r="H1388" s="124"/>
      <x:c r="I1388" s="124"/>
      <x:c r="J1388" s="124"/>
      <x:c r="M1388" s="126"/>
      <x:c r="P1388" s="126"/>
      <x:c r="Q1388" s="126"/>
      <x:c r="R1388" s="126"/>
      <x:c r="S1388" s="124"/>
      <x:c r="T1388" s="124"/>
      <x:c r="U1388" s="124"/>
      <x:c r="V1388" s="124"/>
      <x:c r="W1388" s="124"/>
      <x:c r="X1388" s="124"/>
      <x:c r="AD1388"/>
      <x:c r="AE1388" s="145"/>
      <x:c r="AF1388" s="145"/>
      <x:c r="AG1388" s="145"/>
      <x:c r="AH1388" s="145"/>
      <x:c r="AI1388" s="145"/>
      <x:c r="AJ1388"/>
    </x:row>
    <x:row r="1389">
      <x:c r="F1389" s="124"/>
      <x:c r="G1389" s="124"/>
      <x:c r="H1389" s="124"/>
      <x:c r="I1389" s="124"/>
      <x:c r="J1389" s="124"/>
      <x:c r="M1389" s="126"/>
      <x:c r="P1389" s="126"/>
      <x:c r="Q1389" s="126"/>
      <x:c r="R1389" s="126"/>
      <x:c r="S1389" s="124"/>
      <x:c r="T1389" s="124"/>
      <x:c r="U1389" s="124"/>
      <x:c r="V1389" s="124"/>
      <x:c r="W1389" s="124"/>
      <x:c r="X1389" s="124"/>
      <x:c r="AD1389"/>
      <x:c r="AE1389" s="145"/>
      <x:c r="AF1389" s="145"/>
      <x:c r="AG1389" s="145"/>
      <x:c r="AH1389" s="145"/>
      <x:c r="AI1389" s="145"/>
      <x:c r="AJ1389"/>
    </x:row>
    <x:row r="1390">
      <x:c r="F1390" s="124"/>
      <x:c r="G1390" s="124"/>
      <x:c r="H1390" s="124"/>
      <x:c r="I1390" s="124"/>
      <x:c r="J1390" s="124"/>
      <x:c r="M1390" s="126"/>
      <x:c r="P1390" s="126"/>
      <x:c r="Q1390" s="126"/>
      <x:c r="R1390" s="126"/>
      <x:c r="S1390" s="124"/>
      <x:c r="T1390" s="124"/>
      <x:c r="U1390" s="124"/>
      <x:c r="V1390" s="124"/>
      <x:c r="W1390" s="124"/>
      <x:c r="X1390" s="124"/>
      <x:c r="AD1390"/>
      <x:c r="AE1390" s="145"/>
      <x:c r="AF1390" s="145"/>
      <x:c r="AG1390" s="145"/>
      <x:c r="AH1390" s="145"/>
      <x:c r="AI1390" s="145"/>
      <x:c r="AJ1390"/>
    </x:row>
    <x:row r="1391">
      <x:c r="F1391" s="124"/>
      <x:c r="G1391" s="124"/>
      <x:c r="H1391" s="124"/>
      <x:c r="I1391" s="124"/>
      <x:c r="J1391" s="124"/>
      <x:c r="M1391" s="126"/>
      <x:c r="P1391" s="126"/>
      <x:c r="Q1391" s="126"/>
      <x:c r="R1391" s="126"/>
      <x:c r="S1391" s="124"/>
      <x:c r="T1391" s="124"/>
      <x:c r="U1391" s="124"/>
      <x:c r="V1391" s="124"/>
      <x:c r="W1391" s="124"/>
      <x:c r="X1391" s="124"/>
      <x:c r="AD1391"/>
      <x:c r="AE1391" s="145"/>
      <x:c r="AF1391" s="145"/>
      <x:c r="AG1391" s="145"/>
      <x:c r="AH1391" s="145"/>
      <x:c r="AI1391" s="145"/>
      <x:c r="AJ1391"/>
    </x:row>
    <x:row r="1392">
      <x:c r="F1392" s="124"/>
      <x:c r="G1392" s="124"/>
      <x:c r="H1392" s="124"/>
      <x:c r="I1392" s="124"/>
      <x:c r="J1392" s="124"/>
      <x:c r="M1392" s="126"/>
      <x:c r="P1392" s="126"/>
      <x:c r="Q1392" s="126"/>
      <x:c r="R1392" s="126"/>
      <x:c r="S1392" s="124"/>
      <x:c r="T1392" s="124"/>
      <x:c r="U1392" s="124"/>
      <x:c r="V1392" s="124"/>
      <x:c r="W1392" s="124"/>
      <x:c r="X1392" s="124"/>
      <x:c r="AD1392"/>
      <x:c r="AE1392" s="145"/>
      <x:c r="AF1392" s="145"/>
      <x:c r="AG1392" s="145"/>
      <x:c r="AH1392" s="145"/>
      <x:c r="AI1392" s="145"/>
      <x:c r="AJ1392"/>
    </x:row>
    <x:row r="1393">
      <x:c r="F1393" s="124"/>
      <x:c r="G1393" s="124"/>
      <x:c r="H1393" s="124"/>
      <x:c r="I1393" s="124"/>
      <x:c r="J1393" s="124"/>
      <x:c r="M1393" s="126"/>
      <x:c r="P1393" s="126"/>
      <x:c r="Q1393" s="126"/>
      <x:c r="R1393" s="126"/>
      <x:c r="S1393" s="124"/>
      <x:c r="T1393" s="124"/>
      <x:c r="U1393" s="124"/>
      <x:c r="V1393" s="124"/>
      <x:c r="W1393" s="124"/>
      <x:c r="X1393" s="124"/>
      <x:c r="AD1393"/>
      <x:c r="AE1393" s="145"/>
      <x:c r="AF1393" s="145"/>
      <x:c r="AG1393" s="145"/>
      <x:c r="AH1393" s="145"/>
      <x:c r="AI1393" s="145"/>
      <x:c r="AJ1393"/>
    </x:row>
    <x:row r="1394">
      <x:c r="F1394" s="124"/>
      <x:c r="G1394" s="124"/>
      <x:c r="H1394" s="124"/>
      <x:c r="I1394" s="124"/>
      <x:c r="J1394" s="124"/>
      <x:c r="M1394" s="126"/>
      <x:c r="P1394" s="126"/>
      <x:c r="Q1394" s="126"/>
      <x:c r="R1394" s="126"/>
      <x:c r="S1394" s="124"/>
      <x:c r="T1394" s="124"/>
      <x:c r="U1394" s="124"/>
      <x:c r="V1394" s="124"/>
      <x:c r="W1394" s="124"/>
      <x:c r="X1394" s="124"/>
      <x:c r="AD1394"/>
      <x:c r="AE1394" s="145"/>
      <x:c r="AF1394" s="145"/>
      <x:c r="AG1394" s="145"/>
      <x:c r="AH1394" s="145"/>
      <x:c r="AI1394" s="145"/>
      <x:c r="AJ1394"/>
    </x:row>
    <x:row r="1395">
      <x:c r="F1395" s="124"/>
      <x:c r="G1395" s="124"/>
      <x:c r="H1395" s="124"/>
      <x:c r="I1395" s="124"/>
      <x:c r="J1395" s="124"/>
      <x:c r="M1395" s="126"/>
      <x:c r="P1395" s="126"/>
      <x:c r="Q1395" s="126"/>
      <x:c r="R1395" s="126"/>
      <x:c r="S1395" s="124"/>
      <x:c r="T1395" s="124"/>
      <x:c r="U1395" s="124"/>
      <x:c r="V1395" s="124"/>
      <x:c r="W1395" s="124"/>
      <x:c r="X1395" s="124"/>
      <x:c r="AD1395"/>
      <x:c r="AE1395" s="145"/>
      <x:c r="AF1395" s="145"/>
      <x:c r="AG1395" s="145"/>
      <x:c r="AH1395" s="145"/>
      <x:c r="AI1395" s="145"/>
      <x:c r="AJ1395"/>
    </x:row>
    <x:row r="1396">
      <x:c r="F1396" s="124"/>
      <x:c r="G1396" s="124"/>
      <x:c r="H1396" s="124"/>
      <x:c r="I1396" s="124"/>
      <x:c r="J1396" s="124"/>
      <x:c r="M1396" s="126"/>
      <x:c r="P1396" s="126"/>
      <x:c r="Q1396" s="126"/>
      <x:c r="R1396" s="126"/>
      <x:c r="S1396" s="124"/>
      <x:c r="T1396" s="124"/>
      <x:c r="U1396" s="124"/>
      <x:c r="V1396" s="124"/>
      <x:c r="W1396" s="124"/>
      <x:c r="X1396" s="124"/>
      <x:c r="AD1396"/>
      <x:c r="AE1396" s="145"/>
      <x:c r="AF1396" s="145"/>
      <x:c r="AG1396" s="145"/>
      <x:c r="AH1396" s="145"/>
      <x:c r="AI1396" s="145"/>
      <x:c r="AJ1396"/>
    </x:row>
    <x:row r="1397">
      <x:c r="F1397" s="124"/>
      <x:c r="G1397" s="124"/>
      <x:c r="H1397" s="124"/>
      <x:c r="I1397" s="124"/>
      <x:c r="J1397" s="124"/>
      <x:c r="M1397" s="126"/>
      <x:c r="P1397" s="126"/>
      <x:c r="Q1397" s="126"/>
      <x:c r="R1397" s="126"/>
      <x:c r="S1397" s="124"/>
      <x:c r="T1397" s="124"/>
      <x:c r="U1397" s="124"/>
      <x:c r="V1397" s="124"/>
      <x:c r="W1397" s="124"/>
      <x:c r="X1397" s="124"/>
      <x:c r="AD1397"/>
      <x:c r="AE1397" s="145"/>
      <x:c r="AF1397" s="145"/>
      <x:c r="AG1397" s="145"/>
      <x:c r="AH1397" s="145"/>
      <x:c r="AI1397" s="145"/>
      <x:c r="AJ1397"/>
    </x:row>
    <x:row r="1398">
      <x:c r="F1398" s="124"/>
      <x:c r="G1398" s="124"/>
      <x:c r="H1398" s="124"/>
      <x:c r="I1398" s="124"/>
      <x:c r="J1398" s="124"/>
      <x:c r="M1398" s="126"/>
      <x:c r="P1398" s="126"/>
      <x:c r="Q1398" s="126"/>
      <x:c r="R1398" s="126"/>
      <x:c r="S1398" s="124"/>
      <x:c r="T1398" s="124"/>
      <x:c r="U1398" s="124"/>
      <x:c r="V1398" s="124"/>
      <x:c r="W1398" s="124"/>
      <x:c r="X1398" s="124"/>
      <x:c r="AD1398"/>
      <x:c r="AE1398" s="145"/>
      <x:c r="AF1398" s="145"/>
      <x:c r="AG1398" s="145"/>
      <x:c r="AH1398" s="145"/>
      <x:c r="AI1398" s="145"/>
      <x:c r="AJ1398"/>
    </x:row>
    <x:row r="1399">
      <x:c r="F1399" s="124"/>
      <x:c r="G1399" s="124"/>
      <x:c r="H1399" s="124"/>
      <x:c r="I1399" s="124"/>
      <x:c r="J1399" s="124"/>
      <x:c r="M1399" s="126"/>
      <x:c r="P1399" s="126"/>
      <x:c r="Q1399" s="126"/>
      <x:c r="R1399" s="126"/>
      <x:c r="S1399" s="124"/>
      <x:c r="T1399" s="124"/>
      <x:c r="U1399" s="124"/>
      <x:c r="V1399" s="124"/>
      <x:c r="W1399" s="124"/>
      <x:c r="X1399" s="124"/>
      <x:c r="AD1399"/>
      <x:c r="AE1399" s="145"/>
      <x:c r="AF1399" s="145"/>
      <x:c r="AG1399" s="145"/>
      <x:c r="AH1399" s="145"/>
      <x:c r="AI1399" s="145"/>
      <x:c r="AJ1399"/>
    </x:row>
    <x:row r="1400">
      <x:c r="F1400" s="124"/>
      <x:c r="G1400" s="124"/>
      <x:c r="H1400" s="124"/>
      <x:c r="I1400" s="124"/>
      <x:c r="J1400" s="124"/>
      <x:c r="M1400" s="126"/>
      <x:c r="P1400" s="126"/>
      <x:c r="Q1400" s="126"/>
      <x:c r="R1400" s="126"/>
      <x:c r="S1400" s="124"/>
      <x:c r="T1400" s="124"/>
      <x:c r="U1400" s="124"/>
      <x:c r="V1400" s="124"/>
      <x:c r="W1400" s="124"/>
      <x:c r="X1400" s="124"/>
      <x:c r="AD1400"/>
      <x:c r="AE1400" s="145"/>
      <x:c r="AF1400" s="145"/>
      <x:c r="AG1400" s="145"/>
      <x:c r="AH1400" s="145"/>
      <x:c r="AI1400" s="145"/>
      <x:c r="AJ1400"/>
    </x:row>
    <x:row r="1401">
      <x:c r="F1401" s="124"/>
      <x:c r="G1401" s="124"/>
      <x:c r="H1401" s="124"/>
      <x:c r="I1401" s="124"/>
      <x:c r="J1401" s="124"/>
      <x:c r="M1401" s="126"/>
      <x:c r="P1401" s="126"/>
      <x:c r="Q1401" s="126"/>
      <x:c r="R1401" s="126"/>
      <x:c r="S1401" s="124"/>
      <x:c r="T1401" s="124"/>
      <x:c r="U1401" s="124"/>
      <x:c r="V1401" s="124"/>
      <x:c r="W1401" s="124"/>
      <x:c r="X1401" s="124"/>
      <x:c r="AD1401"/>
      <x:c r="AE1401" s="145"/>
      <x:c r="AF1401" s="145"/>
      <x:c r="AG1401" s="145"/>
      <x:c r="AH1401" s="145"/>
      <x:c r="AI1401" s="145"/>
      <x:c r="AJ1401"/>
    </x:row>
    <x:row r="1402">
      <x:c r="F1402" s="124"/>
      <x:c r="G1402" s="124"/>
      <x:c r="H1402" s="124"/>
      <x:c r="I1402" s="124"/>
      <x:c r="J1402" s="124"/>
      <x:c r="M1402" s="126"/>
      <x:c r="P1402" s="126"/>
      <x:c r="Q1402" s="126"/>
      <x:c r="R1402" s="126"/>
      <x:c r="S1402" s="124"/>
      <x:c r="T1402" s="124"/>
      <x:c r="U1402" s="124"/>
      <x:c r="V1402" s="124"/>
      <x:c r="W1402" s="124"/>
      <x:c r="X1402" s="124"/>
      <x:c r="AD1402"/>
      <x:c r="AE1402" s="145"/>
      <x:c r="AF1402" s="145"/>
      <x:c r="AG1402" s="145"/>
      <x:c r="AH1402" s="145"/>
      <x:c r="AI1402" s="145"/>
      <x:c r="AJ1402"/>
    </x:row>
    <x:row r="1403">
      <x:c r="F1403" s="124"/>
      <x:c r="G1403" s="124"/>
      <x:c r="H1403" s="124"/>
      <x:c r="I1403" s="124"/>
      <x:c r="J1403" s="124"/>
      <x:c r="M1403" s="126"/>
      <x:c r="P1403" s="126"/>
      <x:c r="Q1403" s="126"/>
      <x:c r="R1403" s="126"/>
      <x:c r="S1403" s="124"/>
      <x:c r="T1403" s="124"/>
      <x:c r="U1403" s="124"/>
      <x:c r="V1403" s="124"/>
      <x:c r="W1403" s="124"/>
      <x:c r="X1403" s="124"/>
      <x:c r="AD1403"/>
      <x:c r="AE1403" s="145"/>
      <x:c r="AF1403" s="145"/>
      <x:c r="AG1403" s="145"/>
      <x:c r="AH1403" s="145"/>
      <x:c r="AI1403" s="145"/>
      <x:c r="AJ1403"/>
    </x:row>
    <x:row r="1404">
      <x:c r="F1404" s="124"/>
      <x:c r="G1404" s="124"/>
      <x:c r="H1404" s="124"/>
      <x:c r="I1404" s="124"/>
      <x:c r="J1404" s="124"/>
      <x:c r="M1404" s="126"/>
      <x:c r="P1404" s="126"/>
      <x:c r="Q1404" s="126"/>
      <x:c r="R1404" s="126"/>
      <x:c r="S1404" s="124"/>
      <x:c r="T1404" s="124"/>
      <x:c r="U1404" s="124"/>
      <x:c r="V1404" s="124"/>
      <x:c r="W1404" s="124"/>
      <x:c r="X1404" s="124"/>
      <x:c r="AD1404"/>
      <x:c r="AE1404" s="145"/>
      <x:c r="AF1404" s="145"/>
      <x:c r="AG1404" s="145"/>
      <x:c r="AH1404" s="145"/>
      <x:c r="AI1404" s="145"/>
      <x:c r="AJ1404"/>
    </x:row>
    <x:row r="1405">
      <x:c r="F1405" s="124"/>
      <x:c r="G1405" s="124"/>
      <x:c r="H1405" s="124"/>
      <x:c r="I1405" s="124"/>
      <x:c r="J1405" s="124"/>
      <x:c r="M1405" s="126"/>
      <x:c r="P1405" s="126"/>
      <x:c r="Q1405" s="126"/>
      <x:c r="R1405" s="126"/>
      <x:c r="S1405" s="124"/>
      <x:c r="T1405" s="124"/>
      <x:c r="U1405" s="124"/>
      <x:c r="V1405" s="124"/>
      <x:c r="W1405" s="124"/>
      <x:c r="X1405" s="124"/>
      <x:c r="AD1405"/>
      <x:c r="AE1405" s="145"/>
      <x:c r="AF1405" s="145"/>
      <x:c r="AG1405" s="145"/>
      <x:c r="AH1405" s="145"/>
      <x:c r="AI1405" s="145"/>
      <x:c r="AJ1405"/>
    </x:row>
    <x:row r="1406">
      <x:c r="F1406" s="124"/>
      <x:c r="G1406" s="124"/>
      <x:c r="H1406" s="124"/>
      <x:c r="I1406" s="124"/>
      <x:c r="J1406" s="124"/>
      <x:c r="M1406" s="126"/>
      <x:c r="P1406" s="126"/>
      <x:c r="Q1406" s="126"/>
      <x:c r="R1406" s="126"/>
      <x:c r="S1406" s="124"/>
      <x:c r="T1406" s="124"/>
      <x:c r="U1406" s="124"/>
      <x:c r="V1406" s="124"/>
      <x:c r="W1406" s="124"/>
      <x:c r="X1406" s="124"/>
      <x:c r="AD1406"/>
      <x:c r="AE1406" s="145"/>
      <x:c r="AF1406" s="145"/>
      <x:c r="AG1406" s="145"/>
      <x:c r="AH1406" s="145"/>
      <x:c r="AI1406" s="145"/>
      <x:c r="AJ1406"/>
    </x:row>
    <x:row r="1407">
      <x:c r="F1407" s="124"/>
      <x:c r="G1407" s="124"/>
      <x:c r="H1407" s="124"/>
      <x:c r="I1407" s="124"/>
      <x:c r="J1407" s="124"/>
      <x:c r="M1407" s="126"/>
      <x:c r="P1407" s="126"/>
      <x:c r="Q1407" s="126"/>
      <x:c r="R1407" s="126"/>
      <x:c r="S1407" s="124"/>
      <x:c r="T1407" s="124"/>
      <x:c r="U1407" s="124"/>
      <x:c r="V1407" s="124"/>
      <x:c r="W1407" s="124"/>
      <x:c r="X1407" s="124"/>
      <x:c r="AD1407"/>
      <x:c r="AE1407" s="145"/>
      <x:c r="AF1407" s="145"/>
      <x:c r="AG1407" s="145"/>
      <x:c r="AH1407" s="145"/>
      <x:c r="AI1407" s="145"/>
      <x:c r="AJ1407"/>
    </x:row>
    <x:row r="1408">
      <x:c r="F1408" s="124"/>
      <x:c r="G1408" s="124"/>
      <x:c r="H1408" s="124"/>
      <x:c r="I1408" s="124"/>
      <x:c r="J1408" s="124"/>
      <x:c r="M1408" s="126"/>
      <x:c r="P1408" s="126"/>
      <x:c r="Q1408" s="126"/>
      <x:c r="R1408" s="126"/>
      <x:c r="S1408" s="124"/>
      <x:c r="T1408" s="124"/>
      <x:c r="U1408" s="124"/>
      <x:c r="V1408" s="124"/>
      <x:c r="W1408" s="124"/>
      <x:c r="X1408" s="124"/>
      <x:c r="AD1408"/>
      <x:c r="AE1408" s="145"/>
      <x:c r="AF1408" s="145"/>
      <x:c r="AG1408" s="145"/>
      <x:c r="AH1408" s="145"/>
      <x:c r="AI1408" s="145"/>
      <x:c r="AJ1408"/>
    </x:row>
    <x:row r="1409">
      <x:c r="F1409" s="124"/>
      <x:c r="G1409" s="124"/>
      <x:c r="H1409" s="124"/>
      <x:c r="I1409" s="124"/>
      <x:c r="J1409" s="124"/>
      <x:c r="M1409" s="126"/>
      <x:c r="P1409" s="126"/>
      <x:c r="Q1409" s="126"/>
      <x:c r="R1409" s="126"/>
      <x:c r="S1409" s="124"/>
      <x:c r="T1409" s="124"/>
      <x:c r="U1409" s="124"/>
      <x:c r="V1409" s="124"/>
      <x:c r="W1409" s="124"/>
      <x:c r="X1409" s="124"/>
      <x:c r="AD1409"/>
      <x:c r="AE1409" s="145"/>
      <x:c r="AF1409" s="145"/>
      <x:c r="AG1409" s="145"/>
      <x:c r="AH1409" s="145"/>
      <x:c r="AI1409" s="145"/>
      <x:c r="AJ1409"/>
    </x:row>
    <x:row r="1410">
      <x:c r="F1410" s="124"/>
      <x:c r="G1410" s="124"/>
      <x:c r="H1410" s="124"/>
      <x:c r="I1410" s="124"/>
      <x:c r="J1410" s="124"/>
      <x:c r="M1410" s="126"/>
      <x:c r="P1410" s="126"/>
      <x:c r="Q1410" s="126"/>
      <x:c r="R1410" s="126"/>
      <x:c r="S1410" s="124"/>
      <x:c r="T1410" s="124"/>
      <x:c r="U1410" s="124"/>
      <x:c r="V1410" s="124"/>
      <x:c r="W1410" s="124"/>
      <x:c r="X1410" s="124"/>
      <x:c r="AD1410"/>
      <x:c r="AE1410" s="145"/>
      <x:c r="AF1410" s="145"/>
      <x:c r="AG1410" s="145"/>
      <x:c r="AH1410" s="145"/>
      <x:c r="AI1410" s="145"/>
      <x:c r="AJ1410"/>
    </x:row>
    <x:row r="1411">
      <x:c r="F1411" s="124"/>
      <x:c r="G1411" s="124"/>
      <x:c r="H1411" s="124"/>
      <x:c r="I1411" s="124"/>
      <x:c r="J1411" s="124"/>
      <x:c r="M1411" s="126"/>
      <x:c r="P1411" s="126"/>
      <x:c r="Q1411" s="126"/>
      <x:c r="R1411" s="126"/>
      <x:c r="S1411" s="124"/>
      <x:c r="T1411" s="124"/>
      <x:c r="U1411" s="124"/>
      <x:c r="V1411" s="124"/>
      <x:c r="W1411" s="124"/>
      <x:c r="X1411" s="124"/>
      <x:c r="AD1411"/>
      <x:c r="AE1411" s="145"/>
      <x:c r="AF1411" s="145"/>
      <x:c r="AG1411" s="145"/>
      <x:c r="AH1411" s="145"/>
      <x:c r="AI1411" s="145"/>
      <x:c r="AJ1411"/>
    </x:row>
    <x:row r="1412">
      <x:c r="F1412" s="124"/>
      <x:c r="G1412" s="124"/>
      <x:c r="H1412" s="124"/>
      <x:c r="I1412" s="124"/>
      <x:c r="J1412" s="124"/>
      <x:c r="M1412" s="126"/>
      <x:c r="P1412" s="126"/>
      <x:c r="Q1412" s="126"/>
      <x:c r="R1412" s="126"/>
      <x:c r="S1412" s="124"/>
      <x:c r="T1412" s="124"/>
      <x:c r="U1412" s="124"/>
      <x:c r="V1412" s="124"/>
      <x:c r="W1412" s="124"/>
      <x:c r="X1412" s="124"/>
      <x:c r="AD1412"/>
      <x:c r="AE1412" s="145"/>
      <x:c r="AF1412" s="145"/>
      <x:c r="AG1412" s="145"/>
      <x:c r="AH1412" s="145"/>
      <x:c r="AI1412" s="145"/>
      <x:c r="AJ1412"/>
    </x:row>
    <x:row r="1413">
      <x:c r="F1413" s="124"/>
      <x:c r="G1413" s="124"/>
      <x:c r="H1413" s="124"/>
      <x:c r="I1413" s="124"/>
      <x:c r="J1413" s="124"/>
      <x:c r="M1413" s="126"/>
      <x:c r="P1413" s="126"/>
      <x:c r="Q1413" s="126"/>
      <x:c r="R1413" s="126"/>
      <x:c r="S1413" s="124"/>
      <x:c r="T1413" s="124"/>
      <x:c r="U1413" s="124"/>
      <x:c r="V1413" s="124"/>
      <x:c r="W1413" s="124"/>
      <x:c r="X1413" s="124"/>
      <x:c r="AD1413"/>
      <x:c r="AE1413" s="145"/>
      <x:c r="AF1413" s="145"/>
      <x:c r="AG1413" s="145"/>
      <x:c r="AH1413" s="145"/>
      <x:c r="AI1413" s="145"/>
      <x:c r="AJ1413"/>
    </x:row>
    <x:row r="1414">
      <x:c r="F1414" s="124"/>
      <x:c r="G1414" s="124"/>
      <x:c r="H1414" s="124"/>
      <x:c r="I1414" s="124"/>
      <x:c r="J1414" s="124"/>
      <x:c r="M1414" s="126"/>
      <x:c r="P1414" s="126"/>
      <x:c r="Q1414" s="126"/>
      <x:c r="R1414" s="126"/>
      <x:c r="S1414" s="124"/>
      <x:c r="T1414" s="124"/>
      <x:c r="U1414" s="124"/>
      <x:c r="V1414" s="124"/>
      <x:c r="W1414" s="124"/>
      <x:c r="X1414" s="124"/>
      <x:c r="AD1414"/>
      <x:c r="AE1414" s="145"/>
      <x:c r="AF1414" s="145"/>
      <x:c r="AG1414" s="145"/>
      <x:c r="AH1414" s="145"/>
      <x:c r="AI1414" s="145"/>
      <x:c r="AJ1414"/>
    </x:row>
    <x:row r="1415">
      <x:c r="F1415" s="124"/>
      <x:c r="G1415" s="124"/>
      <x:c r="H1415" s="124"/>
      <x:c r="I1415" s="124"/>
      <x:c r="J1415" s="124"/>
      <x:c r="M1415" s="126"/>
      <x:c r="P1415" s="126"/>
      <x:c r="Q1415" s="126"/>
      <x:c r="R1415" s="126"/>
      <x:c r="S1415" s="124"/>
      <x:c r="T1415" s="124"/>
      <x:c r="U1415" s="124"/>
      <x:c r="V1415" s="124"/>
      <x:c r="W1415" s="124"/>
      <x:c r="X1415" s="124"/>
      <x:c r="AD1415"/>
      <x:c r="AE1415" s="145"/>
      <x:c r="AF1415" s="145"/>
      <x:c r="AG1415" s="145"/>
      <x:c r="AH1415" s="145"/>
      <x:c r="AI1415" s="145"/>
      <x:c r="AJ1415"/>
    </x:row>
    <x:row r="1416">
      <x:c r="F1416" s="124"/>
      <x:c r="G1416" s="124"/>
      <x:c r="H1416" s="124"/>
      <x:c r="I1416" s="124"/>
      <x:c r="J1416" s="124"/>
      <x:c r="M1416" s="126"/>
      <x:c r="P1416" s="126"/>
      <x:c r="Q1416" s="126"/>
      <x:c r="R1416" s="126"/>
      <x:c r="S1416" s="124"/>
      <x:c r="T1416" s="124"/>
      <x:c r="U1416" s="124"/>
      <x:c r="V1416" s="124"/>
      <x:c r="W1416" s="124"/>
      <x:c r="X1416" s="124"/>
      <x:c r="AD1416"/>
      <x:c r="AE1416" s="145"/>
      <x:c r="AF1416" s="145"/>
      <x:c r="AG1416" s="145"/>
      <x:c r="AH1416" s="145"/>
      <x:c r="AI1416" s="145"/>
      <x:c r="AJ1416"/>
    </x:row>
    <x:row r="1417">
      <x:c r="F1417" s="124"/>
      <x:c r="G1417" s="124"/>
      <x:c r="H1417" s="124"/>
      <x:c r="I1417" s="124"/>
      <x:c r="J1417" s="124"/>
      <x:c r="M1417" s="126"/>
      <x:c r="P1417" s="126"/>
      <x:c r="Q1417" s="126"/>
      <x:c r="R1417" s="126"/>
      <x:c r="S1417" s="124"/>
      <x:c r="T1417" s="124"/>
      <x:c r="U1417" s="124"/>
      <x:c r="V1417" s="124"/>
      <x:c r="W1417" s="124"/>
      <x:c r="X1417" s="124"/>
      <x:c r="AD1417"/>
      <x:c r="AE1417" s="145"/>
      <x:c r="AF1417" s="145"/>
      <x:c r="AG1417" s="145"/>
      <x:c r="AH1417" s="145"/>
      <x:c r="AI1417" s="145"/>
      <x:c r="AJ1417"/>
    </x:row>
    <x:row r="1418">
      <x:c r="F1418" s="124"/>
      <x:c r="G1418" s="124"/>
      <x:c r="H1418" s="124"/>
      <x:c r="I1418" s="124"/>
      <x:c r="J1418" s="124"/>
      <x:c r="M1418" s="126"/>
      <x:c r="P1418" s="126"/>
      <x:c r="Q1418" s="126"/>
      <x:c r="R1418" s="126"/>
      <x:c r="S1418" s="124"/>
      <x:c r="T1418" s="124"/>
      <x:c r="U1418" s="124"/>
      <x:c r="V1418" s="124"/>
      <x:c r="W1418" s="124"/>
      <x:c r="X1418" s="124"/>
      <x:c r="AD1418"/>
      <x:c r="AE1418" s="145"/>
      <x:c r="AF1418" s="145"/>
      <x:c r="AG1418" s="145"/>
      <x:c r="AH1418" s="145"/>
      <x:c r="AI1418" s="145"/>
      <x:c r="AJ1418"/>
    </x:row>
    <x:row r="1419">
      <x:c r="F1419" s="124"/>
      <x:c r="G1419" s="124"/>
      <x:c r="H1419" s="124"/>
      <x:c r="I1419" s="124"/>
      <x:c r="J1419" s="124"/>
      <x:c r="M1419" s="126"/>
      <x:c r="P1419" s="126"/>
      <x:c r="Q1419" s="126"/>
      <x:c r="R1419" s="126"/>
      <x:c r="S1419" s="124"/>
      <x:c r="T1419" s="124"/>
      <x:c r="U1419" s="124"/>
      <x:c r="V1419" s="124"/>
      <x:c r="W1419" s="124"/>
      <x:c r="X1419" s="124"/>
      <x:c r="AD1419"/>
      <x:c r="AE1419" s="145"/>
      <x:c r="AF1419" s="145"/>
      <x:c r="AG1419" s="145"/>
      <x:c r="AH1419" s="145"/>
      <x:c r="AI1419" s="145"/>
      <x:c r="AJ1419"/>
    </x:row>
    <x:row r="1420">
      <x:c r="F1420" s="124"/>
      <x:c r="G1420" s="124"/>
      <x:c r="H1420" s="124"/>
      <x:c r="I1420" s="124"/>
      <x:c r="J1420" s="124"/>
      <x:c r="M1420" s="126"/>
      <x:c r="P1420" s="126"/>
      <x:c r="Q1420" s="126"/>
      <x:c r="R1420" s="126"/>
      <x:c r="S1420" s="124"/>
      <x:c r="T1420" s="124"/>
      <x:c r="U1420" s="124"/>
      <x:c r="V1420" s="124"/>
      <x:c r="W1420" s="124"/>
      <x:c r="X1420" s="124"/>
      <x:c r="AD1420"/>
      <x:c r="AE1420" s="145"/>
      <x:c r="AF1420" s="145"/>
      <x:c r="AG1420" s="145"/>
      <x:c r="AH1420" s="145"/>
      <x:c r="AI1420" s="145"/>
      <x:c r="AJ1420"/>
    </x:row>
    <x:row r="1421">
      <x:c r="F1421" s="124"/>
      <x:c r="G1421" s="124"/>
      <x:c r="H1421" s="124"/>
      <x:c r="I1421" s="124"/>
      <x:c r="J1421" s="124"/>
      <x:c r="M1421" s="126"/>
      <x:c r="P1421" s="126"/>
      <x:c r="Q1421" s="126"/>
      <x:c r="R1421" s="126"/>
      <x:c r="S1421" s="124"/>
      <x:c r="T1421" s="124"/>
      <x:c r="U1421" s="124"/>
      <x:c r="V1421" s="124"/>
      <x:c r="W1421" s="124"/>
      <x:c r="X1421" s="124"/>
      <x:c r="AD1421"/>
      <x:c r="AE1421" s="145"/>
      <x:c r="AF1421" s="145"/>
      <x:c r="AG1421" s="145"/>
      <x:c r="AH1421" s="145"/>
      <x:c r="AI1421" s="145"/>
      <x:c r="AJ1421"/>
    </x:row>
    <x:row r="1422">
      <x:c r="F1422" s="124"/>
      <x:c r="G1422" s="124"/>
      <x:c r="H1422" s="124"/>
      <x:c r="I1422" s="124"/>
      <x:c r="J1422" s="124"/>
      <x:c r="M1422" s="126"/>
      <x:c r="P1422" s="126"/>
      <x:c r="Q1422" s="126"/>
      <x:c r="R1422" s="126"/>
      <x:c r="S1422" s="124"/>
      <x:c r="T1422" s="124"/>
      <x:c r="U1422" s="124"/>
      <x:c r="V1422" s="124"/>
      <x:c r="W1422" s="124"/>
      <x:c r="X1422" s="124"/>
      <x:c r="AD1422"/>
      <x:c r="AE1422" s="145"/>
      <x:c r="AF1422" s="145"/>
      <x:c r="AG1422" s="145"/>
      <x:c r="AH1422" s="145"/>
      <x:c r="AI1422" s="145"/>
      <x:c r="AJ1422"/>
    </x:row>
    <x:row r="1423">
      <x:c r="F1423" s="124"/>
      <x:c r="G1423" s="124"/>
      <x:c r="H1423" s="124"/>
      <x:c r="I1423" s="124"/>
      <x:c r="J1423" s="124"/>
      <x:c r="M1423" s="126"/>
      <x:c r="P1423" s="126"/>
      <x:c r="Q1423" s="126"/>
      <x:c r="R1423" s="126"/>
      <x:c r="S1423" s="124"/>
      <x:c r="T1423" s="124"/>
      <x:c r="U1423" s="124"/>
      <x:c r="V1423" s="124"/>
      <x:c r="W1423" s="124"/>
      <x:c r="X1423" s="124"/>
      <x:c r="AD1423"/>
      <x:c r="AE1423" s="145"/>
      <x:c r="AF1423" s="145"/>
      <x:c r="AG1423" s="145"/>
      <x:c r="AH1423" s="145"/>
      <x:c r="AI1423" s="145"/>
      <x:c r="AJ1423"/>
    </x:row>
    <x:row r="1424">
      <x:c r="F1424" s="124"/>
      <x:c r="G1424" s="124"/>
      <x:c r="H1424" s="124"/>
      <x:c r="I1424" s="124"/>
      <x:c r="J1424" s="124"/>
      <x:c r="M1424" s="126"/>
      <x:c r="P1424" s="126"/>
      <x:c r="Q1424" s="126"/>
      <x:c r="R1424" s="126"/>
      <x:c r="S1424" s="124"/>
      <x:c r="T1424" s="124"/>
      <x:c r="U1424" s="124"/>
      <x:c r="V1424" s="124"/>
      <x:c r="W1424" s="124"/>
      <x:c r="X1424" s="124"/>
      <x:c r="AD1424"/>
      <x:c r="AE1424" s="145"/>
      <x:c r="AF1424" s="145"/>
      <x:c r="AG1424" s="145"/>
      <x:c r="AH1424" s="145"/>
      <x:c r="AI1424" s="145"/>
      <x:c r="AJ1424"/>
    </x:row>
    <x:row r="1425">
      <x:c r="F1425" s="124"/>
      <x:c r="G1425" s="124"/>
      <x:c r="H1425" s="124"/>
      <x:c r="I1425" s="124"/>
      <x:c r="J1425" s="124"/>
      <x:c r="M1425" s="126"/>
      <x:c r="P1425" s="126"/>
      <x:c r="Q1425" s="126"/>
      <x:c r="R1425" s="126"/>
      <x:c r="S1425" s="124"/>
      <x:c r="T1425" s="124"/>
      <x:c r="U1425" s="124"/>
      <x:c r="V1425" s="124"/>
      <x:c r="W1425" s="124"/>
      <x:c r="X1425" s="124"/>
      <x:c r="AD1425"/>
      <x:c r="AE1425" s="145"/>
      <x:c r="AF1425" s="145"/>
      <x:c r="AG1425" s="145"/>
      <x:c r="AH1425" s="145"/>
      <x:c r="AI1425" s="145"/>
      <x:c r="AJ1425"/>
    </x:row>
    <x:row r="1426">
      <x:c r="F1426" s="124"/>
      <x:c r="G1426" s="124"/>
      <x:c r="H1426" s="124"/>
      <x:c r="I1426" s="124"/>
      <x:c r="J1426" s="124"/>
      <x:c r="M1426" s="126"/>
      <x:c r="P1426" s="126"/>
      <x:c r="Q1426" s="126"/>
      <x:c r="R1426" s="126"/>
      <x:c r="S1426" s="124"/>
      <x:c r="T1426" s="124"/>
      <x:c r="U1426" s="124"/>
      <x:c r="V1426" s="124"/>
      <x:c r="W1426" s="124"/>
      <x:c r="X1426" s="124"/>
      <x:c r="AD1426"/>
      <x:c r="AE1426" s="145"/>
      <x:c r="AF1426" s="145"/>
      <x:c r="AG1426" s="145"/>
      <x:c r="AH1426" s="145"/>
      <x:c r="AI1426" s="145"/>
      <x:c r="AJ1426"/>
    </x:row>
    <x:row r="1427">
      <x:c r="F1427" s="124"/>
      <x:c r="G1427" s="124"/>
      <x:c r="H1427" s="124"/>
      <x:c r="I1427" s="124"/>
      <x:c r="J1427" s="124"/>
      <x:c r="M1427" s="126"/>
      <x:c r="P1427" s="126"/>
      <x:c r="Q1427" s="126"/>
      <x:c r="R1427" s="126"/>
      <x:c r="S1427" s="124"/>
      <x:c r="T1427" s="124"/>
      <x:c r="U1427" s="124"/>
      <x:c r="V1427" s="124"/>
      <x:c r="W1427" s="124"/>
      <x:c r="X1427" s="124"/>
      <x:c r="AD1427"/>
      <x:c r="AE1427" s="145"/>
      <x:c r="AF1427" s="145"/>
      <x:c r="AG1427" s="145"/>
      <x:c r="AH1427" s="145"/>
      <x:c r="AI1427" s="145"/>
      <x:c r="AJ1427"/>
    </x:row>
    <x:row r="1428">
      <x:c r="F1428" s="124"/>
      <x:c r="G1428" s="124"/>
      <x:c r="H1428" s="124"/>
      <x:c r="I1428" s="124"/>
      <x:c r="J1428" s="124"/>
      <x:c r="M1428" s="126"/>
      <x:c r="P1428" s="126"/>
      <x:c r="Q1428" s="126"/>
      <x:c r="R1428" s="126"/>
      <x:c r="S1428" s="124"/>
      <x:c r="T1428" s="124"/>
      <x:c r="U1428" s="124"/>
      <x:c r="V1428" s="124"/>
      <x:c r="W1428" s="124"/>
      <x:c r="X1428" s="124"/>
      <x:c r="AD1428"/>
      <x:c r="AE1428" s="145"/>
      <x:c r="AF1428" s="145"/>
      <x:c r="AG1428" s="145"/>
      <x:c r="AH1428" s="145"/>
      <x:c r="AI1428" s="145"/>
      <x:c r="AJ1428"/>
    </x:row>
    <x:row r="1429">
      <x:c r="F1429" s="124"/>
      <x:c r="G1429" s="124"/>
      <x:c r="H1429" s="124"/>
      <x:c r="I1429" s="124"/>
      <x:c r="J1429" s="124"/>
      <x:c r="M1429" s="126"/>
      <x:c r="P1429" s="126"/>
      <x:c r="Q1429" s="126"/>
      <x:c r="R1429" s="126"/>
      <x:c r="S1429" s="124"/>
      <x:c r="T1429" s="124"/>
      <x:c r="U1429" s="124"/>
      <x:c r="V1429" s="124"/>
      <x:c r="W1429" s="124"/>
      <x:c r="X1429" s="124"/>
      <x:c r="AD1429"/>
      <x:c r="AE1429" s="145"/>
      <x:c r="AF1429" s="145"/>
      <x:c r="AG1429" s="145"/>
      <x:c r="AH1429" s="145"/>
      <x:c r="AI1429" s="145"/>
      <x:c r="AJ1429"/>
    </x:row>
    <x:row r="1430">
      <x:c r="F1430" s="124"/>
      <x:c r="G1430" s="124"/>
      <x:c r="H1430" s="124"/>
      <x:c r="I1430" s="124"/>
      <x:c r="J1430" s="124"/>
      <x:c r="M1430" s="126"/>
      <x:c r="P1430" s="126"/>
      <x:c r="Q1430" s="126"/>
      <x:c r="R1430" s="126"/>
      <x:c r="S1430" s="124"/>
      <x:c r="T1430" s="124"/>
      <x:c r="U1430" s="124"/>
      <x:c r="V1430" s="124"/>
      <x:c r="W1430" s="124"/>
      <x:c r="X1430" s="124"/>
      <x:c r="AD1430"/>
      <x:c r="AE1430" s="145"/>
      <x:c r="AF1430" s="145"/>
      <x:c r="AG1430" s="145"/>
      <x:c r="AH1430" s="145"/>
      <x:c r="AI1430" s="145"/>
      <x:c r="AJ1430"/>
    </x:row>
    <x:row r="1431">
      <x:c r="F1431" s="124"/>
      <x:c r="G1431" s="124"/>
      <x:c r="H1431" s="124"/>
      <x:c r="I1431" s="124"/>
      <x:c r="J1431" s="124"/>
      <x:c r="M1431" s="126"/>
      <x:c r="P1431" s="126"/>
      <x:c r="Q1431" s="126"/>
      <x:c r="R1431" s="126"/>
      <x:c r="S1431" s="124"/>
      <x:c r="T1431" s="124"/>
      <x:c r="U1431" s="124"/>
      <x:c r="V1431" s="124"/>
      <x:c r="W1431" s="124"/>
      <x:c r="X1431" s="124"/>
      <x:c r="AD1431"/>
      <x:c r="AE1431" s="145"/>
      <x:c r="AF1431" s="145"/>
      <x:c r="AG1431" s="145"/>
      <x:c r="AH1431" s="145"/>
      <x:c r="AI1431" s="145"/>
      <x:c r="AJ1431"/>
    </x:row>
    <x:row r="1432">
      <x:c r="F1432" s="124"/>
      <x:c r="G1432" s="124"/>
      <x:c r="H1432" s="124"/>
      <x:c r="I1432" s="124"/>
      <x:c r="J1432" s="124"/>
      <x:c r="M1432" s="126"/>
      <x:c r="P1432" s="126"/>
      <x:c r="Q1432" s="126"/>
      <x:c r="R1432" s="126"/>
      <x:c r="S1432" s="124"/>
      <x:c r="T1432" s="124"/>
      <x:c r="U1432" s="124"/>
      <x:c r="V1432" s="124"/>
      <x:c r="W1432" s="124"/>
      <x:c r="X1432" s="124"/>
      <x:c r="AD1432"/>
      <x:c r="AE1432" s="145"/>
      <x:c r="AF1432" s="145"/>
      <x:c r="AG1432" s="145"/>
      <x:c r="AH1432" s="145"/>
      <x:c r="AI1432" s="145"/>
      <x:c r="AJ1432"/>
    </x:row>
    <x:row r="1433">
      <x:c r="F1433" s="124"/>
      <x:c r="G1433" s="124"/>
      <x:c r="H1433" s="124"/>
      <x:c r="I1433" s="124"/>
      <x:c r="J1433" s="124"/>
      <x:c r="M1433" s="126"/>
      <x:c r="P1433" s="126"/>
      <x:c r="Q1433" s="126"/>
      <x:c r="R1433" s="126"/>
      <x:c r="S1433" s="124"/>
      <x:c r="T1433" s="124"/>
      <x:c r="U1433" s="124"/>
      <x:c r="V1433" s="124"/>
      <x:c r="W1433" s="124"/>
      <x:c r="X1433" s="124"/>
      <x:c r="AD1433"/>
      <x:c r="AE1433" s="145"/>
      <x:c r="AF1433" s="145"/>
      <x:c r="AG1433" s="145"/>
      <x:c r="AH1433" s="145"/>
      <x:c r="AI1433" s="145"/>
      <x:c r="AJ1433"/>
    </x:row>
    <x:row r="1434">
      <x:c r="F1434" s="124"/>
      <x:c r="G1434" s="124"/>
      <x:c r="H1434" s="124"/>
      <x:c r="I1434" s="124"/>
      <x:c r="J1434" s="124"/>
      <x:c r="M1434" s="126"/>
      <x:c r="P1434" s="126"/>
      <x:c r="Q1434" s="126"/>
      <x:c r="R1434" s="126"/>
      <x:c r="S1434" s="124"/>
      <x:c r="T1434" s="124"/>
      <x:c r="U1434" s="124"/>
      <x:c r="V1434" s="124"/>
      <x:c r="W1434" s="124"/>
      <x:c r="X1434" s="124"/>
      <x:c r="AD1434"/>
      <x:c r="AE1434" s="145"/>
      <x:c r="AF1434" s="145"/>
      <x:c r="AG1434" s="145"/>
      <x:c r="AH1434" s="145"/>
      <x:c r="AI1434" s="145"/>
      <x:c r="AJ1434"/>
    </x:row>
    <x:row r="1435">
      <x:c r="F1435" s="124"/>
      <x:c r="G1435" s="124"/>
      <x:c r="H1435" s="124"/>
      <x:c r="I1435" s="124"/>
      <x:c r="J1435" s="124"/>
      <x:c r="M1435" s="126"/>
      <x:c r="P1435" s="126"/>
      <x:c r="Q1435" s="126"/>
      <x:c r="R1435" s="126"/>
      <x:c r="S1435" s="124"/>
      <x:c r="T1435" s="124"/>
      <x:c r="U1435" s="124"/>
      <x:c r="V1435" s="124"/>
      <x:c r="W1435" s="124"/>
      <x:c r="X1435" s="124"/>
      <x:c r="AD1435"/>
      <x:c r="AE1435" s="145"/>
      <x:c r="AF1435" s="145"/>
      <x:c r="AG1435" s="145"/>
      <x:c r="AH1435" s="145"/>
      <x:c r="AI1435" s="145"/>
      <x:c r="AJ1435"/>
    </x:row>
    <x:row r="1436">
      <x:c r="F1436" s="124"/>
      <x:c r="G1436" s="124"/>
      <x:c r="H1436" s="124"/>
      <x:c r="I1436" s="124"/>
      <x:c r="J1436" s="124"/>
      <x:c r="M1436" s="126"/>
      <x:c r="P1436" s="126"/>
      <x:c r="Q1436" s="126"/>
      <x:c r="R1436" s="126"/>
      <x:c r="S1436" s="124"/>
      <x:c r="T1436" s="124"/>
      <x:c r="U1436" s="124"/>
      <x:c r="V1436" s="124"/>
      <x:c r="W1436" s="124"/>
      <x:c r="X1436" s="124"/>
      <x:c r="AD1436"/>
      <x:c r="AE1436" s="145"/>
      <x:c r="AF1436" s="145"/>
      <x:c r="AG1436" s="145"/>
      <x:c r="AH1436" s="145"/>
      <x:c r="AI1436" s="145"/>
      <x:c r="AJ1436"/>
    </x:row>
    <x:row r="1437">
      <x:c r="F1437" s="124"/>
      <x:c r="G1437" s="124"/>
      <x:c r="H1437" s="124"/>
      <x:c r="I1437" s="124"/>
      <x:c r="J1437" s="124"/>
      <x:c r="M1437" s="126"/>
      <x:c r="P1437" s="126"/>
      <x:c r="Q1437" s="126"/>
      <x:c r="R1437" s="126"/>
      <x:c r="S1437" s="124"/>
      <x:c r="T1437" s="124"/>
      <x:c r="U1437" s="124"/>
      <x:c r="V1437" s="124"/>
      <x:c r="W1437" s="124"/>
      <x:c r="X1437" s="124"/>
      <x:c r="AD1437"/>
      <x:c r="AE1437" s="145"/>
      <x:c r="AF1437" s="145"/>
      <x:c r="AG1437" s="145"/>
      <x:c r="AH1437" s="145"/>
      <x:c r="AI1437" s="145"/>
      <x:c r="AJ1437"/>
    </x:row>
    <x:row r="1438">
      <x:c r="F1438" s="124"/>
      <x:c r="G1438" s="124"/>
      <x:c r="H1438" s="124"/>
      <x:c r="I1438" s="124"/>
      <x:c r="J1438" s="124"/>
      <x:c r="M1438" s="126"/>
      <x:c r="P1438" s="126"/>
      <x:c r="Q1438" s="126"/>
      <x:c r="R1438" s="126"/>
      <x:c r="S1438" s="124"/>
      <x:c r="T1438" s="124"/>
      <x:c r="U1438" s="124"/>
      <x:c r="V1438" s="124"/>
      <x:c r="W1438" s="124"/>
      <x:c r="X1438" s="124"/>
      <x:c r="AD1438"/>
      <x:c r="AE1438" s="145"/>
      <x:c r="AF1438" s="145"/>
      <x:c r="AG1438" s="145"/>
      <x:c r="AH1438" s="145"/>
      <x:c r="AI1438" s="145"/>
      <x:c r="AJ1438"/>
    </x:row>
    <x:row r="1439">
      <x:c r="F1439" s="124"/>
      <x:c r="G1439" s="124"/>
      <x:c r="H1439" s="124"/>
      <x:c r="I1439" s="124"/>
      <x:c r="J1439" s="124"/>
      <x:c r="M1439" s="126"/>
      <x:c r="P1439" s="126"/>
      <x:c r="Q1439" s="126"/>
      <x:c r="R1439" s="126"/>
      <x:c r="S1439" s="124"/>
      <x:c r="T1439" s="124"/>
      <x:c r="U1439" s="124"/>
      <x:c r="V1439" s="124"/>
      <x:c r="W1439" s="124"/>
      <x:c r="X1439" s="124"/>
      <x:c r="AD1439"/>
      <x:c r="AE1439" s="145"/>
      <x:c r="AF1439" s="145"/>
      <x:c r="AG1439" s="145"/>
      <x:c r="AH1439" s="145"/>
      <x:c r="AI1439" s="145"/>
      <x:c r="AJ1439"/>
    </x:row>
    <x:row r="1440">
      <x:c r="F1440" s="124"/>
      <x:c r="G1440" s="124"/>
      <x:c r="H1440" s="124"/>
      <x:c r="I1440" s="124"/>
      <x:c r="J1440" s="124"/>
      <x:c r="M1440" s="126"/>
      <x:c r="P1440" s="126"/>
      <x:c r="Q1440" s="126"/>
      <x:c r="R1440" s="126"/>
      <x:c r="S1440" s="124"/>
      <x:c r="T1440" s="124"/>
      <x:c r="U1440" s="124"/>
      <x:c r="V1440" s="124"/>
      <x:c r="W1440" s="124"/>
      <x:c r="X1440" s="124"/>
      <x:c r="AD1440"/>
      <x:c r="AE1440" s="145"/>
      <x:c r="AF1440" s="145"/>
      <x:c r="AG1440" s="145"/>
      <x:c r="AH1440" s="145"/>
      <x:c r="AI1440" s="145"/>
      <x:c r="AJ1440"/>
    </x:row>
    <x:row r="1441">
      <x:c r="F1441" s="124"/>
      <x:c r="G1441" s="124"/>
      <x:c r="H1441" s="124"/>
      <x:c r="I1441" s="124"/>
      <x:c r="J1441" s="124"/>
      <x:c r="M1441" s="126"/>
      <x:c r="P1441" s="126"/>
      <x:c r="Q1441" s="126"/>
      <x:c r="R1441" s="126"/>
      <x:c r="S1441" s="124"/>
      <x:c r="T1441" s="124"/>
      <x:c r="U1441" s="124"/>
      <x:c r="V1441" s="124"/>
      <x:c r="W1441" s="124"/>
      <x:c r="X1441" s="124"/>
      <x:c r="AD1441"/>
      <x:c r="AE1441" s="145"/>
      <x:c r="AF1441" s="145"/>
      <x:c r="AG1441" s="145"/>
      <x:c r="AH1441" s="145"/>
      <x:c r="AI1441" s="145"/>
      <x:c r="AJ1441"/>
    </x:row>
    <x:row r="1442">
      <x:c r="F1442" s="124"/>
      <x:c r="G1442" s="124"/>
      <x:c r="H1442" s="124"/>
      <x:c r="I1442" s="124"/>
      <x:c r="J1442" s="124"/>
      <x:c r="M1442" s="126"/>
      <x:c r="P1442" s="126"/>
      <x:c r="Q1442" s="126"/>
      <x:c r="R1442" s="126"/>
      <x:c r="S1442" s="124"/>
      <x:c r="T1442" s="124"/>
      <x:c r="U1442" s="124"/>
      <x:c r="V1442" s="124"/>
      <x:c r="W1442" s="124"/>
      <x:c r="X1442" s="124"/>
      <x:c r="AD1442"/>
      <x:c r="AE1442" s="145"/>
      <x:c r="AF1442" s="145"/>
      <x:c r="AG1442" s="145"/>
      <x:c r="AH1442" s="145"/>
      <x:c r="AI1442" s="145"/>
      <x:c r="AJ1442"/>
    </x:row>
    <x:row r="1443">
      <x:c r="F1443" s="124"/>
      <x:c r="G1443" s="124"/>
      <x:c r="H1443" s="124"/>
      <x:c r="I1443" s="124"/>
      <x:c r="J1443" s="124"/>
      <x:c r="M1443" s="126"/>
      <x:c r="P1443" s="126"/>
      <x:c r="Q1443" s="126"/>
      <x:c r="R1443" s="126"/>
      <x:c r="S1443" s="124"/>
      <x:c r="T1443" s="124"/>
      <x:c r="U1443" s="124"/>
      <x:c r="V1443" s="124"/>
      <x:c r="W1443" s="124"/>
      <x:c r="X1443" s="124"/>
      <x:c r="AD1443"/>
      <x:c r="AE1443" s="145"/>
      <x:c r="AF1443" s="145"/>
      <x:c r="AG1443" s="145"/>
      <x:c r="AH1443" s="145"/>
      <x:c r="AI1443" s="145"/>
      <x:c r="AJ1443"/>
    </x:row>
    <x:row r="1444">
      <x:c r="F1444" s="124"/>
      <x:c r="G1444" s="124"/>
      <x:c r="H1444" s="124"/>
      <x:c r="I1444" s="124"/>
      <x:c r="J1444" s="124"/>
      <x:c r="M1444" s="126"/>
      <x:c r="P1444" s="126"/>
      <x:c r="Q1444" s="126"/>
      <x:c r="R1444" s="126"/>
      <x:c r="S1444" s="124"/>
      <x:c r="T1444" s="124"/>
      <x:c r="U1444" s="124"/>
      <x:c r="V1444" s="124"/>
      <x:c r="W1444" s="124"/>
      <x:c r="X1444" s="124"/>
      <x:c r="AD1444"/>
      <x:c r="AE1444" s="145"/>
      <x:c r="AF1444" s="145"/>
      <x:c r="AG1444" s="145"/>
      <x:c r="AH1444" s="145"/>
      <x:c r="AI1444" s="145"/>
      <x:c r="AJ1444"/>
    </x:row>
    <x:row r="1445">
      <x:c r="F1445" s="124"/>
      <x:c r="G1445" s="124"/>
      <x:c r="H1445" s="124"/>
      <x:c r="I1445" s="124"/>
      <x:c r="J1445" s="124"/>
      <x:c r="M1445" s="126"/>
      <x:c r="P1445" s="126"/>
      <x:c r="Q1445" s="126"/>
      <x:c r="R1445" s="126"/>
      <x:c r="S1445" s="124"/>
      <x:c r="T1445" s="124"/>
      <x:c r="U1445" s="124"/>
      <x:c r="V1445" s="124"/>
      <x:c r="W1445" s="124"/>
      <x:c r="X1445" s="124"/>
      <x:c r="AD1445"/>
      <x:c r="AE1445" s="145"/>
      <x:c r="AF1445" s="145"/>
      <x:c r="AG1445" s="145"/>
      <x:c r="AH1445" s="145"/>
      <x:c r="AI1445" s="145"/>
      <x:c r="AJ1445"/>
    </x:row>
    <x:row r="1446">
      <x:c r="F1446" s="124"/>
      <x:c r="G1446" s="124"/>
      <x:c r="H1446" s="124"/>
      <x:c r="I1446" s="124"/>
      <x:c r="J1446" s="124"/>
      <x:c r="M1446" s="126"/>
      <x:c r="P1446" s="126"/>
      <x:c r="Q1446" s="126"/>
      <x:c r="R1446" s="126"/>
      <x:c r="S1446" s="124"/>
      <x:c r="T1446" s="124"/>
      <x:c r="U1446" s="124"/>
      <x:c r="V1446" s="124"/>
      <x:c r="W1446" s="124"/>
      <x:c r="X1446" s="124"/>
      <x:c r="AD1446"/>
      <x:c r="AE1446" s="145"/>
      <x:c r="AF1446" s="145"/>
      <x:c r="AG1446" s="145"/>
      <x:c r="AH1446" s="145"/>
      <x:c r="AI1446" s="145"/>
      <x:c r="AJ1446"/>
    </x:row>
    <x:row r="1447">
      <x:c r="F1447" s="124"/>
      <x:c r="G1447" s="124"/>
      <x:c r="H1447" s="124"/>
      <x:c r="I1447" s="124"/>
      <x:c r="J1447" s="124"/>
      <x:c r="M1447" s="126"/>
      <x:c r="P1447" s="126"/>
      <x:c r="Q1447" s="126"/>
      <x:c r="R1447" s="126"/>
      <x:c r="S1447" s="124"/>
      <x:c r="T1447" s="124"/>
      <x:c r="U1447" s="124"/>
      <x:c r="V1447" s="124"/>
      <x:c r="W1447" s="124"/>
      <x:c r="X1447" s="124"/>
      <x:c r="AD1447"/>
      <x:c r="AE1447" s="145"/>
      <x:c r="AF1447" s="145"/>
      <x:c r="AG1447" s="145"/>
      <x:c r="AH1447" s="145"/>
      <x:c r="AI1447" s="145"/>
      <x:c r="AJ1447"/>
    </x:row>
    <x:row r="1448">
      <x:c r="F1448" s="124"/>
      <x:c r="G1448" s="124"/>
      <x:c r="H1448" s="124"/>
      <x:c r="I1448" s="124"/>
      <x:c r="J1448" s="124"/>
      <x:c r="M1448" s="126"/>
      <x:c r="P1448" s="126"/>
      <x:c r="Q1448" s="126"/>
      <x:c r="R1448" s="126"/>
      <x:c r="S1448" s="124"/>
      <x:c r="T1448" s="124"/>
      <x:c r="U1448" s="124"/>
      <x:c r="V1448" s="124"/>
      <x:c r="W1448" s="124"/>
      <x:c r="X1448" s="124"/>
      <x:c r="AD1448"/>
      <x:c r="AE1448" s="145"/>
      <x:c r="AF1448" s="145"/>
      <x:c r="AG1448" s="145"/>
      <x:c r="AH1448" s="145"/>
      <x:c r="AI1448" s="145"/>
      <x:c r="AJ1448"/>
    </x:row>
    <x:row r="1449">
      <x:c r="F1449" s="124"/>
      <x:c r="G1449" s="124"/>
      <x:c r="H1449" s="124"/>
      <x:c r="I1449" s="124"/>
      <x:c r="J1449" s="124"/>
      <x:c r="M1449" s="126"/>
      <x:c r="P1449" s="126"/>
      <x:c r="Q1449" s="126"/>
      <x:c r="R1449" s="126"/>
      <x:c r="S1449" s="124"/>
      <x:c r="T1449" s="124"/>
      <x:c r="U1449" s="124"/>
      <x:c r="V1449" s="124"/>
      <x:c r="W1449" s="124"/>
      <x:c r="X1449" s="124"/>
      <x:c r="AD1449"/>
      <x:c r="AE1449" s="145"/>
      <x:c r="AF1449" s="145"/>
      <x:c r="AG1449" s="145"/>
      <x:c r="AH1449" s="145"/>
      <x:c r="AI1449" s="145"/>
      <x:c r="AJ1449"/>
    </x:row>
    <x:row r="1450">
      <x:c r="F1450" s="124"/>
      <x:c r="G1450" s="124"/>
      <x:c r="H1450" s="124"/>
      <x:c r="I1450" s="124"/>
      <x:c r="J1450" s="124"/>
      <x:c r="M1450" s="126"/>
      <x:c r="P1450" s="126"/>
      <x:c r="Q1450" s="126"/>
      <x:c r="R1450" s="126"/>
      <x:c r="S1450" s="124"/>
      <x:c r="T1450" s="124"/>
      <x:c r="U1450" s="124"/>
      <x:c r="V1450" s="124"/>
      <x:c r="W1450" s="124"/>
      <x:c r="X1450" s="124"/>
      <x:c r="AD1450"/>
      <x:c r="AE1450" s="145"/>
      <x:c r="AF1450" s="145"/>
      <x:c r="AG1450" s="145"/>
      <x:c r="AH1450" s="145"/>
      <x:c r="AI1450" s="145"/>
      <x:c r="AJ1450"/>
    </x:row>
    <x:row r="1451">
      <x:c r="F1451" s="124"/>
      <x:c r="G1451" s="124"/>
      <x:c r="H1451" s="124"/>
      <x:c r="I1451" s="124"/>
      <x:c r="J1451" s="124"/>
      <x:c r="M1451" s="126"/>
      <x:c r="P1451" s="126"/>
      <x:c r="Q1451" s="126"/>
      <x:c r="R1451" s="126"/>
      <x:c r="S1451" s="124"/>
      <x:c r="T1451" s="124"/>
      <x:c r="U1451" s="124"/>
      <x:c r="V1451" s="124"/>
      <x:c r="W1451" s="124"/>
      <x:c r="X1451" s="124"/>
      <x:c r="AD1451"/>
      <x:c r="AE1451" s="145"/>
      <x:c r="AF1451" s="145"/>
      <x:c r="AG1451" s="145"/>
      <x:c r="AH1451" s="145"/>
      <x:c r="AI1451" s="145"/>
      <x:c r="AJ1451"/>
    </x:row>
    <x:row r="1452">
      <x:c r="F1452" s="124"/>
      <x:c r="G1452" s="124"/>
      <x:c r="H1452" s="124"/>
      <x:c r="I1452" s="124"/>
      <x:c r="J1452" s="124"/>
      <x:c r="M1452" s="126"/>
      <x:c r="P1452" s="126"/>
      <x:c r="Q1452" s="126"/>
      <x:c r="R1452" s="126"/>
      <x:c r="S1452" s="124"/>
      <x:c r="T1452" s="124"/>
      <x:c r="U1452" s="124"/>
      <x:c r="V1452" s="124"/>
      <x:c r="W1452" s="124"/>
      <x:c r="X1452" s="124"/>
      <x:c r="AD1452"/>
      <x:c r="AE1452" s="145"/>
      <x:c r="AF1452" s="145"/>
      <x:c r="AG1452" s="145"/>
      <x:c r="AH1452" s="145"/>
      <x:c r="AI1452" s="145"/>
      <x:c r="AJ1452"/>
    </x:row>
    <x:row r="1453">
      <x:c r="F1453" s="124"/>
      <x:c r="G1453" s="124"/>
      <x:c r="H1453" s="124"/>
      <x:c r="I1453" s="124"/>
      <x:c r="J1453" s="124"/>
      <x:c r="M1453" s="126"/>
      <x:c r="P1453" s="126"/>
      <x:c r="Q1453" s="126"/>
      <x:c r="R1453" s="126"/>
      <x:c r="S1453" s="124"/>
      <x:c r="T1453" s="124"/>
      <x:c r="U1453" s="124"/>
      <x:c r="V1453" s="124"/>
      <x:c r="W1453" s="124"/>
      <x:c r="X1453" s="124"/>
      <x:c r="AD1453"/>
      <x:c r="AE1453" s="145"/>
      <x:c r="AF1453" s="145"/>
      <x:c r="AG1453" s="145"/>
      <x:c r="AH1453" s="145"/>
      <x:c r="AI1453" s="145"/>
      <x:c r="AJ1453"/>
    </x:row>
    <x:row r="1454">
      <x:c r="F1454" s="124"/>
      <x:c r="G1454" s="124"/>
      <x:c r="H1454" s="124"/>
      <x:c r="I1454" s="124"/>
      <x:c r="J1454" s="124"/>
      <x:c r="M1454" s="126"/>
      <x:c r="P1454" s="126"/>
      <x:c r="Q1454" s="126"/>
      <x:c r="R1454" s="126"/>
      <x:c r="S1454" s="124"/>
      <x:c r="T1454" s="124"/>
      <x:c r="U1454" s="124"/>
      <x:c r="V1454" s="124"/>
      <x:c r="W1454" s="124"/>
      <x:c r="X1454" s="124"/>
      <x:c r="AD1454"/>
      <x:c r="AE1454" s="145"/>
      <x:c r="AF1454" s="145"/>
      <x:c r="AG1454" s="145"/>
      <x:c r="AH1454" s="145"/>
      <x:c r="AI1454" s="145"/>
      <x:c r="AJ1454"/>
    </x:row>
    <x:row r="1455">
      <x:c r="F1455" s="124"/>
      <x:c r="G1455" s="124"/>
      <x:c r="H1455" s="124"/>
      <x:c r="I1455" s="124"/>
      <x:c r="J1455" s="124"/>
      <x:c r="M1455" s="126"/>
      <x:c r="P1455" s="126"/>
      <x:c r="Q1455" s="126"/>
      <x:c r="R1455" s="126"/>
      <x:c r="S1455" s="124"/>
      <x:c r="T1455" s="124"/>
      <x:c r="U1455" s="124"/>
      <x:c r="V1455" s="124"/>
      <x:c r="W1455" s="124"/>
      <x:c r="X1455" s="124"/>
      <x:c r="AD1455"/>
      <x:c r="AE1455" s="145"/>
      <x:c r="AF1455" s="145"/>
      <x:c r="AG1455" s="145"/>
      <x:c r="AH1455" s="145"/>
      <x:c r="AI1455" s="145"/>
      <x:c r="AJ1455"/>
    </x:row>
    <x:row r="1456">
      <x:c r="F1456" s="124"/>
      <x:c r="G1456" s="124"/>
      <x:c r="H1456" s="124"/>
      <x:c r="I1456" s="124"/>
      <x:c r="J1456" s="124"/>
      <x:c r="M1456" s="126"/>
      <x:c r="P1456" s="126"/>
      <x:c r="Q1456" s="126"/>
      <x:c r="R1456" s="126"/>
      <x:c r="S1456" s="124"/>
      <x:c r="T1456" s="124"/>
      <x:c r="U1456" s="124"/>
      <x:c r="V1456" s="124"/>
      <x:c r="W1456" s="124"/>
      <x:c r="X1456" s="124"/>
      <x:c r="AD1456"/>
      <x:c r="AE1456" s="145"/>
      <x:c r="AF1456" s="145"/>
      <x:c r="AG1456" s="145"/>
      <x:c r="AH1456" s="145"/>
      <x:c r="AI1456" s="145"/>
      <x:c r="AJ1456"/>
    </x:row>
    <x:row r="1457">
      <x:c r="F1457" s="124"/>
      <x:c r="G1457" s="124"/>
      <x:c r="H1457" s="124"/>
      <x:c r="I1457" s="124"/>
      <x:c r="J1457" s="124"/>
      <x:c r="M1457" s="126"/>
      <x:c r="P1457" s="126"/>
      <x:c r="Q1457" s="126"/>
      <x:c r="R1457" s="126"/>
      <x:c r="S1457" s="124"/>
      <x:c r="T1457" s="124"/>
      <x:c r="U1457" s="124"/>
      <x:c r="V1457" s="124"/>
      <x:c r="W1457" s="124"/>
      <x:c r="X1457" s="124"/>
      <x:c r="AD1457"/>
      <x:c r="AE1457" s="145"/>
      <x:c r="AF1457" s="145"/>
      <x:c r="AG1457" s="145"/>
      <x:c r="AH1457" s="145"/>
      <x:c r="AI1457" s="145"/>
      <x:c r="AJ1457"/>
    </x:row>
    <x:row r="1458">
      <x:c r="F1458" s="124"/>
      <x:c r="G1458" s="124"/>
      <x:c r="H1458" s="124"/>
      <x:c r="I1458" s="124"/>
      <x:c r="J1458" s="124"/>
      <x:c r="M1458" s="126"/>
      <x:c r="P1458" s="126"/>
      <x:c r="Q1458" s="126"/>
      <x:c r="R1458" s="126"/>
      <x:c r="S1458" s="124"/>
      <x:c r="T1458" s="124"/>
      <x:c r="U1458" s="124"/>
      <x:c r="V1458" s="124"/>
      <x:c r="W1458" s="124"/>
      <x:c r="X1458" s="124"/>
      <x:c r="AD1458"/>
      <x:c r="AE1458" s="145"/>
      <x:c r="AF1458" s="145"/>
      <x:c r="AG1458" s="145"/>
      <x:c r="AH1458" s="145"/>
      <x:c r="AI1458" s="145"/>
      <x:c r="AJ1458"/>
    </x:row>
    <x:row r="1459">
      <x:c r="F1459" s="124"/>
      <x:c r="G1459" s="124"/>
      <x:c r="H1459" s="124"/>
      <x:c r="I1459" s="124"/>
      <x:c r="J1459" s="124"/>
      <x:c r="M1459" s="126"/>
      <x:c r="P1459" s="126"/>
      <x:c r="Q1459" s="126"/>
      <x:c r="R1459" s="126"/>
      <x:c r="S1459" s="124"/>
      <x:c r="T1459" s="124"/>
      <x:c r="U1459" s="124"/>
      <x:c r="V1459" s="124"/>
      <x:c r="W1459" s="124"/>
      <x:c r="X1459" s="124"/>
      <x:c r="AD1459"/>
      <x:c r="AE1459" s="145"/>
      <x:c r="AF1459" s="145"/>
      <x:c r="AG1459" s="145"/>
      <x:c r="AH1459" s="145"/>
      <x:c r="AI1459" s="145"/>
      <x:c r="AJ1459"/>
    </x:row>
    <x:row r="1460">
      <x:c r="F1460" s="124"/>
      <x:c r="G1460" s="124"/>
      <x:c r="H1460" s="124"/>
      <x:c r="I1460" s="124"/>
      <x:c r="J1460" s="124"/>
      <x:c r="M1460" s="126"/>
      <x:c r="P1460" s="126"/>
      <x:c r="Q1460" s="126"/>
      <x:c r="R1460" s="126"/>
      <x:c r="S1460" s="124"/>
      <x:c r="T1460" s="124"/>
      <x:c r="U1460" s="124"/>
      <x:c r="V1460" s="124"/>
      <x:c r="W1460" s="124"/>
      <x:c r="X1460" s="124"/>
      <x:c r="AD1460"/>
      <x:c r="AE1460" s="145"/>
      <x:c r="AF1460" s="145"/>
      <x:c r="AG1460" s="145"/>
      <x:c r="AH1460" s="145"/>
      <x:c r="AI1460" s="145"/>
      <x:c r="AJ1460"/>
    </x:row>
    <x:row r="1461">
      <x:c r="F1461" s="124"/>
      <x:c r="G1461" s="124"/>
      <x:c r="H1461" s="124"/>
      <x:c r="I1461" s="124"/>
      <x:c r="J1461" s="124"/>
      <x:c r="M1461" s="126"/>
      <x:c r="P1461" s="126"/>
      <x:c r="Q1461" s="126"/>
      <x:c r="R1461" s="126"/>
      <x:c r="S1461" s="124"/>
      <x:c r="T1461" s="124"/>
      <x:c r="U1461" s="124"/>
      <x:c r="V1461" s="124"/>
      <x:c r="W1461" s="124"/>
      <x:c r="X1461" s="124"/>
      <x:c r="AD1461"/>
      <x:c r="AE1461" s="145"/>
      <x:c r="AF1461" s="145"/>
      <x:c r="AG1461" s="145"/>
      <x:c r="AH1461" s="145"/>
      <x:c r="AI1461" s="145"/>
      <x:c r="AJ1461"/>
    </x:row>
    <x:row r="1462">
      <x:c r="F1462" s="124"/>
      <x:c r="G1462" s="124"/>
      <x:c r="H1462" s="124"/>
      <x:c r="I1462" s="124"/>
      <x:c r="J1462" s="124"/>
      <x:c r="M1462" s="126"/>
      <x:c r="P1462" s="126"/>
      <x:c r="Q1462" s="126"/>
      <x:c r="R1462" s="126"/>
      <x:c r="S1462" s="124"/>
      <x:c r="T1462" s="124"/>
      <x:c r="U1462" s="124"/>
      <x:c r="V1462" s="124"/>
      <x:c r="W1462" s="124"/>
      <x:c r="X1462" s="124"/>
      <x:c r="AD1462"/>
      <x:c r="AE1462" s="145"/>
      <x:c r="AF1462" s="145"/>
      <x:c r="AG1462" s="145"/>
      <x:c r="AH1462" s="145"/>
      <x:c r="AI1462" s="145"/>
      <x:c r="AJ1462"/>
    </x:row>
    <x:row r="1463">
      <x:c r="F1463" s="124"/>
      <x:c r="G1463" s="124"/>
      <x:c r="H1463" s="124"/>
      <x:c r="I1463" s="124"/>
      <x:c r="J1463" s="124"/>
      <x:c r="M1463" s="126"/>
      <x:c r="P1463" s="126"/>
      <x:c r="Q1463" s="126"/>
      <x:c r="R1463" s="126"/>
      <x:c r="S1463" s="124"/>
      <x:c r="T1463" s="124"/>
      <x:c r="U1463" s="124"/>
      <x:c r="V1463" s="124"/>
      <x:c r="W1463" s="124"/>
      <x:c r="X1463" s="124"/>
      <x:c r="AD1463"/>
      <x:c r="AE1463" s="145"/>
      <x:c r="AF1463" s="145"/>
      <x:c r="AG1463" s="145"/>
      <x:c r="AH1463" s="145"/>
      <x:c r="AI1463" s="145"/>
      <x:c r="AJ1463"/>
    </x:row>
    <x:row r="1464">
      <x:c r="F1464" s="124"/>
      <x:c r="G1464" s="124"/>
      <x:c r="H1464" s="124"/>
      <x:c r="I1464" s="124"/>
      <x:c r="J1464" s="124"/>
      <x:c r="M1464" s="126"/>
      <x:c r="P1464" s="126"/>
      <x:c r="Q1464" s="126"/>
      <x:c r="R1464" s="126"/>
      <x:c r="S1464" s="124"/>
      <x:c r="T1464" s="124"/>
      <x:c r="U1464" s="124"/>
      <x:c r="V1464" s="124"/>
      <x:c r="W1464" s="124"/>
      <x:c r="X1464" s="124"/>
      <x:c r="AD1464"/>
      <x:c r="AE1464" s="145"/>
      <x:c r="AF1464" s="145"/>
      <x:c r="AG1464" s="145"/>
      <x:c r="AH1464" s="145"/>
      <x:c r="AI1464" s="145"/>
      <x:c r="AJ1464"/>
    </x:row>
    <x:row r="1465">
      <x:c r="F1465" s="124"/>
      <x:c r="G1465" s="124"/>
      <x:c r="H1465" s="124"/>
      <x:c r="I1465" s="124"/>
      <x:c r="J1465" s="124"/>
      <x:c r="M1465" s="126"/>
      <x:c r="P1465" s="126"/>
      <x:c r="Q1465" s="126"/>
      <x:c r="R1465" s="126"/>
      <x:c r="S1465" s="124"/>
      <x:c r="T1465" s="124"/>
      <x:c r="U1465" s="124"/>
      <x:c r="V1465" s="124"/>
      <x:c r="W1465" s="124"/>
      <x:c r="X1465" s="124"/>
      <x:c r="AD1465"/>
      <x:c r="AE1465" s="145"/>
      <x:c r="AF1465" s="145"/>
      <x:c r="AG1465" s="145"/>
      <x:c r="AH1465" s="145"/>
      <x:c r="AI1465" s="145"/>
      <x:c r="AJ1465"/>
    </x:row>
    <x:row r="1466">
      <x:c r="F1466" s="124"/>
      <x:c r="G1466" s="124"/>
      <x:c r="H1466" s="124"/>
      <x:c r="I1466" s="124"/>
      <x:c r="J1466" s="124"/>
      <x:c r="M1466" s="126"/>
      <x:c r="P1466" s="126"/>
      <x:c r="Q1466" s="126"/>
      <x:c r="R1466" s="126"/>
      <x:c r="S1466" s="124"/>
      <x:c r="T1466" s="124"/>
      <x:c r="U1466" s="124"/>
      <x:c r="V1466" s="124"/>
      <x:c r="W1466" s="124"/>
      <x:c r="X1466" s="124"/>
      <x:c r="AD1466"/>
      <x:c r="AE1466" s="145"/>
      <x:c r="AF1466" s="145"/>
      <x:c r="AG1466" s="145"/>
      <x:c r="AH1466" s="145"/>
      <x:c r="AI1466" s="145"/>
      <x:c r="AJ1466"/>
    </x:row>
    <x:row r="1467">
      <x:c r="F1467" s="124"/>
      <x:c r="G1467" s="124"/>
      <x:c r="H1467" s="124"/>
      <x:c r="I1467" s="124"/>
      <x:c r="J1467" s="124"/>
      <x:c r="M1467" s="126"/>
      <x:c r="P1467" s="126"/>
      <x:c r="Q1467" s="126"/>
      <x:c r="R1467" s="126"/>
      <x:c r="S1467" s="124"/>
      <x:c r="T1467" s="124"/>
      <x:c r="U1467" s="124"/>
      <x:c r="V1467" s="124"/>
      <x:c r="W1467" s="124"/>
      <x:c r="X1467" s="124"/>
      <x:c r="AD1467"/>
      <x:c r="AE1467" s="145"/>
      <x:c r="AF1467" s="145"/>
      <x:c r="AG1467" s="145"/>
      <x:c r="AH1467" s="145"/>
      <x:c r="AI1467" s="145"/>
      <x:c r="AJ1467"/>
    </x:row>
    <x:row r="1468">
      <x:c r="F1468" s="124"/>
      <x:c r="G1468" s="124"/>
      <x:c r="H1468" s="124"/>
      <x:c r="I1468" s="124"/>
      <x:c r="J1468" s="124"/>
      <x:c r="M1468" s="126"/>
      <x:c r="P1468" s="126"/>
      <x:c r="Q1468" s="126"/>
      <x:c r="R1468" s="126"/>
      <x:c r="S1468" s="124"/>
      <x:c r="T1468" s="124"/>
      <x:c r="U1468" s="124"/>
      <x:c r="V1468" s="124"/>
      <x:c r="W1468" s="124"/>
      <x:c r="X1468" s="124"/>
      <x:c r="AD1468"/>
      <x:c r="AE1468" s="145"/>
      <x:c r="AF1468" s="145"/>
      <x:c r="AG1468" s="145"/>
      <x:c r="AH1468" s="145"/>
      <x:c r="AI1468" s="145"/>
      <x:c r="AJ1468"/>
    </x:row>
    <x:row r="1469">
      <x:c r="F1469" s="124"/>
      <x:c r="G1469" s="124"/>
      <x:c r="H1469" s="124"/>
      <x:c r="I1469" s="124"/>
      <x:c r="J1469" s="124"/>
      <x:c r="M1469" s="126"/>
      <x:c r="P1469" s="126"/>
      <x:c r="Q1469" s="126"/>
      <x:c r="R1469" s="126"/>
      <x:c r="S1469" s="124"/>
      <x:c r="T1469" s="124"/>
      <x:c r="U1469" s="124"/>
      <x:c r="V1469" s="124"/>
      <x:c r="W1469" s="124"/>
      <x:c r="X1469" s="124"/>
      <x:c r="AD1469"/>
      <x:c r="AE1469" s="145"/>
      <x:c r="AF1469" s="145"/>
      <x:c r="AG1469" s="145"/>
      <x:c r="AH1469" s="145"/>
      <x:c r="AI1469" s="145"/>
      <x:c r="AJ1469"/>
    </x:row>
    <x:row r="1470">
      <x:c r="F1470" s="124"/>
      <x:c r="G1470" s="124"/>
      <x:c r="H1470" s="124"/>
      <x:c r="I1470" s="124"/>
      <x:c r="J1470" s="124"/>
      <x:c r="M1470" s="126"/>
      <x:c r="P1470" s="126"/>
      <x:c r="Q1470" s="126"/>
      <x:c r="R1470" s="126"/>
      <x:c r="S1470" s="124"/>
      <x:c r="T1470" s="124"/>
      <x:c r="U1470" s="124"/>
      <x:c r="V1470" s="124"/>
      <x:c r="W1470" s="124"/>
      <x:c r="X1470" s="124"/>
      <x:c r="AD1470"/>
      <x:c r="AE1470" s="145"/>
      <x:c r="AF1470" s="145"/>
      <x:c r="AG1470" s="145"/>
      <x:c r="AH1470" s="145"/>
      <x:c r="AI1470" s="145"/>
      <x:c r="AJ1470"/>
    </x:row>
    <x:row r="1471">
      <x:c r="F1471" s="124"/>
      <x:c r="G1471" s="124"/>
      <x:c r="H1471" s="124"/>
      <x:c r="I1471" s="124"/>
      <x:c r="J1471" s="124"/>
      <x:c r="M1471" s="126"/>
      <x:c r="P1471" s="126"/>
      <x:c r="Q1471" s="126"/>
      <x:c r="R1471" s="126"/>
      <x:c r="S1471" s="124"/>
      <x:c r="T1471" s="124"/>
      <x:c r="U1471" s="124"/>
      <x:c r="V1471" s="124"/>
      <x:c r="W1471" s="124"/>
      <x:c r="X1471" s="124"/>
      <x:c r="AD1471"/>
      <x:c r="AE1471" s="145"/>
      <x:c r="AF1471" s="145"/>
      <x:c r="AG1471" s="145"/>
      <x:c r="AH1471" s="145"/>
      <x:c r="AI1471" s="145"/>
      <x:c r="AJ1471"/>
    </x:row>
    <x:row r="1472">
      <x:c r="F1472" s="124"/>
      <x:c r="G1472" s="124"/>
      <x:c r="H1472" s="124"/>
      <x:c r="I1472" s="124"/>
      <x:c r="J1472" s="124"/>
      <x:c r="M1472" s="126"/>
      <x:c r="P1472" s="126"/>
      <x:c r="Q1472" s="126"/>
      <x:c r="R1472" s="126"/>
      <x:c r="S1472" s="124"/>
      <x:c r="T1472" s="124"/>
      <x:c r="U1472" s="124"/>
      <x:c r="V1472" s="124"/>
      <x:c r="W1472" s="124"/>
      <x:c r="X1472" s="124"/>
      <x:c r="AD1472"/>
      <x:c r="AE1472" s="145"/>
      <x:c r="AF1472" s="145"/>
      <x:c r="AG1472" s="145"/>
      <x:c r="AH1472" s="145"/>
      <x:c r="AI1472" s="145"/>
      <x:c r="AJ1472"/>
    </x:row>
    <x:row r="1473">
      <x:c r="F1473" s="124"/>
      <x:c r="G1473" s="124"/>
      <x:c r="H1473" s="124"/>
      <x:c r="I1473" s="124"/>
      <x:c r="J1473" s="124"/>
      <x:c r="M1473" s="126"/>
      <x:c r="P1473" s="126"/>
      <x:c r="Q1473" s="126"/>
      <x:c r="R1473" s="126"/>
      <x:c r="S1473" s="124"/>
      <x:c r="T1473" s="124"/>
      <x:c r="U1473" s="124"/>
      <x:c r="V1473" s="124"/>
      <x:c r="W1473" s="124"/>
      <x:c r="X1473" s="124"/>
      <x:c r="AD1473"/>
      <x:c r="AE1473" s="145"/>
      <x:c r="AF1473" s="145"/>
      <x:c r="AG1473" s="145"/>
      <x:c r="AH1473" s="145"/>
      <x:c r="AI1473" s="145"/>
      <x:c r="AJ1473"/>
    </x:row>
    <x:row r="1474">
      <x:c r="F1474" s="124"/>
      <x:c r="G1474" s="124"/>
      <x:c r="H1474" s="124"/>
      <x:c r="I1474" s="124"/>
      <x:c r="J1474" s="124"/>
      <x:c r="M1474" s="126"/>
      <x:c r="P1474" s="126"/>
      <x:c r="Q1474" s="126"/>
      <x:c r="R1474" s="126"/>
      <x:c r="S1474" s="124"/>
      <x:c r="T1474" s="124"/>
      <x:c r="U1474" s="124"/>
      <x:c r="V1474" s="124"/>
      <x:c r="W1474" s="124"/>
      <x:c r="X1474" s="124"/>
      <x:c r="AD1474"/>
      <x:c r="AE1474" s="145"/>
      <x:c r="AF1474" s="145"/>
      <x:c r="AG1474" s="145"/>
      <x:c r="AH1474" s="145"/>
      <x:c r="AI1474" s="145"/>
      <x:c r="AJ1474"/>
    </x:row>
    <x:row r="1475">
      <x:c r="F1475" s="124"/>
      <x:c r="G1475" s="124"/>
      <x:c r="H1475" s="124"/>
      <x:c r="I1475" s="124"/>
      <x:c r="J1475" s="124"/>
      <x:c r="M1475" s="126"/>
      <x:c r="P1475" s="126"/>
      <x:c r="Q1475" s="126"/>
      <x:c r="R1475" s="126"/>
      <x:c r="S1475" s="124"/>
      <x:c r="T1475" s="124"/>
      <x:c r="U1475" s="124"/>
      <x:c r="V1475" s="124"/>
      <x:c r="W1475" s="124"/>
      <x:c r="X1475" s="124"/>
      <x:c r="AD1475"/>
      <x:c r="AE1475" s="145"/>
      <x:c r="AF1475" s="145"/>
      <x:c r="AG1475" s="145"/>
      <x:c r="AH1475" s="145"/>
      <x:c r="AI1475" s="145"/>
      <x:c r="AJ1475"/>
    </x:row>
    <x:row r="1476">
      <x:c r="F1476" s="124"/>
      <x:c r="G1476" s="124"/>
      <x:c r="H1476" s="124"/>
      <x:c r="I1476" s="124"/>
      <x:c r="J1476" s="124"/>
      <x:c r="M1476" s="126"/>
      <x:c r="P1476" s="126"/>
      <x:c r="Q1476" s="126"/>
      <x:c r="R1476" s="126"/>
      <x:c r="S1476" s="124"/>
      <x:c r="T1476" s="124"/>
      <x:c r="U1476" s="124"/>
      <x:c r="V1476" s="124"/>
      <x:c r="W1476" s="124"/>
      <x:c r="X1476" s="124"/>
      <x:c r="AD1476"/>
      <x:c r="AE1476" s="145"/>
      <x:c r="AF1476" s="145"/>
      <x:c r="AG1476" s="145"/>
      <x:c r="AH1476" s="145"/>
      <x:c r="AI1476" s="145"/>
      <x:c r="AJ1476"/>
    </x:row>
    <x:row r="1477">
      <x:c r="F1477" s="124"/>
      <x:c r="G1477" s="124"/>
      <x:c r="H1477" s="124"/>
      <x:c r="I1477" s="124"/>
      <x:c r="J1477" s="124"/>
      <x:c r="M1477" s="126"/>
      <x:c r="P1477" s="126"/>
      <x:c r="Q1477" s="126"/>
      <x:c r="R1477" s="126"/>
      <x:c r="S1477" s="124"/>
      <x:c r="T1477" s="124"/>
      <x:c r="U1477" s="124"/>
      <x:c r="V1477" s="124"/>
      <x:c r="W1477" s="124"/>
      <x:c r="X1477" s="124"/>
      <x:c r="AD1477"/>
      <x:c r="AE1477" s="145"/>
      <x:c r="AF1477" s="145"/>
      <x:c r="AG1477" s="145"/>
      <x:c r="AH1477" s="145"/>
      <x:c r="AI1477" s="145"/>
      <x:c r="AJ1477"/>
    </x:row>
    <x:row r="1478">
      <x:c r="F1478" s="124"/>
      <x:c r="G1478" s="124"/>
      <x:c r="H1478" s="124"/>
      <x:c r="I1478" s="124"/>
      <x:c r="J1478" s="124"/>
      <x:c r="M1478" s="126"/>
      <x:c r="P1478" s="126"/>
      <x:c r="Q1478" s="126"/>
      <x:c r="R1478" s="126"/>
      <x:c r="S1478" s="124"/>
      <x:c r="T1478" s="124"/>
      <x:c r="U1478" s="124"/>
      <x:c r="V1478" s="124"/>
      <x:c r="W1478" s="124"/>
      <x:c r="X1478" s="124"/>
      <x:c r="AD1478"/>
      <x:c r="AE1478" s="145"/>
      <x:c r="AF1478" s="145"/>
      <x:c r="AG1478" s="145"/>
      <x:c r="AH1478" s="145"/>
      <x:c r="AI1478" s="145"/>
      <x:c r="AJ1478"/>
    </x:row>
    <x:row r="1479">
      <x:c r="F1479" s="124"/>
      <x:c r="G1479" s="124"/>
      <x:c r="H1479" s="124"/>
      <x:c r="I1479" s="124"/>
      <x:c r="J1479" s="124"/>
      <x:c r="M1479" s="126"/>
      <x:c r="P1479" s="126"/>
      <x:c r="Q1479" s="126"/>
      <x:c r="R1479" s="126"/>
      <x:c r="S1479" s="124"/>
      <x:c r="T1479" s="124"/>
      <x:c r="U1479" s="124"/>
      <x:c r="V1479" s="124"/>
      <x:c r="W1479" s="124"/>
      <x:c r="X1479" s="124"/>
      <x:c r="AD1479"/>
      <x:c r="AE1479" s="145"/>
      <x:c r="AF1479" s="145"/>
      <x:c r="AG1479" s="145"/>
      <x:c r="AH1479" s="145"/>
      <x:c r="AI1479" s="145"/>
      <x:c r="AJ1479"/>
    </x:row>
    <x:row r="1480">
      <x:c r="F1480" s="124"/>
      <x:c r="G1480" s="124"/>
      <x:c r="H1480" s="124"/>
      <x:c r="I1480" s="124"/>
      <x:c r="J1480" s="124"/>
      <x:c r="M1480" s="126"/>
      <x:c r="P1480" s="126"/>
      <x:c r="Q1480" s="126"/>
      <x:c r="R1480" s="126"/>
      <x:c r="S1480" s="124"/>
      <x:c r="T1480" s="124"/>
      <x:c r="U1480" s="124"/>
      <x:c r="V1480" s="124"/>
      <x:c r="W1480" s="124"/>
      <x:c r="X1480" s="124"/>
      <x:c r="AD1480"/>
      <x:c r="AE1480" s="145"/>
      <x:c r="AF1480" s="145"/>
      <x:c r="AG1480" s="145"/>
      <x:c r="AH1480" s="145"/>
      <x:c r="AI1480" s="145"/>
      <x:c r="AJ1480"/>
    </x:row>
    <x:row r="1481">
      <x:c r="F1481" s="124"/>
      <x:c r="G1481" s="124"/>
      <x:c r="H1481" s="124"/>
      <x:c r="I1481" s="124"/>
      <x:c r="J1481" s="124"/>
      <x:c r="M1481" s="126"/>
      <x:c r="P1481" s="126"/>
      <x:c r="Q1481" s="126"/>
      <x:c r="R1481" s="126"/>
      <x:c r="S1481" s="124"/>
      <x:c r="T1481" s="124"/>
      <x:c r="U1481" s="124"/>
      <x:c r="V1481" s="124"/>
      <x:c r="W1481" s="124"/>
      <x:c r="X1481" s="124"/>
      <x:c r="AD1481"/>
      <x:c r="AE1481" s="145"/>
      <x:c r="AF1481" s="145"/>
      <x:c r="AG1481" s="145"/>
      <x:c r="AH1481" s="145"/>
      <x:c r="AI1481" s="145"/>
      <x:c r="AJ1481"/>
    </x:row>
    <x:row r="1482">
      <x:c r="F1482" s="124"/>
      <x:c r="G1482" s="124"/>
      <x:c r="H1482" s="124"/>
      <x:c r="I1482" s="124"/>
      <x:c r="J1482" s="124"/>
      <x:c r="M1482" s="126"/>
      <x:c r="P1482" s="126"/>
      <x:c r="Q1482" s="126"/>
      <x:c r="R1482" s="126"/>
      <x:c r="S1482" s="124"/>
      <x:c r="T1482" s="124"/>
      <x:c r="U1482" s="124"/>
      <x:c r="V1482" s="124"/>
      <x:c r="W1482" s="124"/>
      <x:c r="X1482" s="124"/>
      <x:c r="AD1482"/>
      <x:c r="AE1482" s="145"/>
      <x:c r="AF1482" s="145"/>
      <x:c r="AG1482" s="145"/>
      <x:c r="AH1482" s="145"/>
      <x:c r="AI1482" s="145"/>
      <x:c r="AJ1482"/>
    </x:row>
    <x:row r="1483">
      <x:c r="F1483" s="124"/>
      <x:c r="G1483" s="124"/>
      <x:c r="H1483" s="124"/>
      <x:c r="I1483" s="124"/>
      <x:c r="J1483" s="124"/>
      <x:c r="M1483" s="126"/>
      <x:c r="P1483" s="126"/>
      <x:c r="Q1483" s="126"/>
      <x:c r="R1483" s="126"/>
      <x:c r="S1483" s="124"/>
      <x:c r="T1483" s="124"/>
      <x:c r="U1483" s="124"/>
      <x:c r="V1483" s="124"/>
      <x:c r="W1483" s="124"/>
      <x:c r="X1483" s="124"/>
      <x:c r="AD1483"/>
      <x:c r="AE1483" s="145"/>
      <x:c r="AF1483" s="145"/>
      <x:c r="AG1483" s="145"/>
      <x:c r="AH1483" s="145"/>
      <x:c r="AI1483" s="145"/>
      <x:c r="AJ1483"/>
    </x:row>
    <x:row r="1484">
      <x:c r="F1484" s="124"/>
      <x:c r="G1484" s="124"/>
      <x:c r="H1484" s="124"/>
      <x:c r="I1484" s="124"/>
      <x:c r="J1484" s="124"/>
      <x:c r="M1484" s="126"/>
      <x:c r="P1484" s="126"/>
      <x:c r="Q1484" s="126"/>
      <x:c r="R1484" s="126"/>
      <x:c r="S1484" s="124"/>
      <x:c r="T1484" s="124"/>
      <x:c r="U1484" s="124"/>
      <x:c r="V1484" s="124"/>
      <x:c r="W1484" s="124"/>
      <x:c r="X1484" s="124"/>
      <x:c r="AD1484"/>
      <x:c r="AE1484" s="145"/>
      <x:c r="AF1484" s="145"/>
      <x:c r="AG1484" s="145"/>
      <x:c r="AH1484" s="145"/>
      <x:c r="AI1484" s="145"/>
      <x:c r="AJ1484"/>
    </x:row>
    <x:row r="1485">
      <x:c r="F1485" s="124"/>
      <x:c r="G1485" s="124"/>
      <x:c r="H1485" s="124"/>
      <x:c r="I1485" s="124"/>
      <x:c r="J1485" s="124"/>
      <x:c r="M1485" s="126"/>
      <x:c r="P1485" s="126"/>
      <x:c r="Q1485" s="126"/>
      <x:c r="R1485" s="126"/>
      <x:c r="S1485" s="124"/>
      <x:c r="T1485" s="124"/>
      <x:c r="U1485" s="124"/>
      <x:c r="V1485" s="124"/>
      <x:c r="W1485" s="124"/>
      <x:c r="X1485" s="124"/>
      <x:c r="AD1485"/>
      <x:c r="AE1485" s="145"/>
      <x:c r="AF1485" s="145"/>
      <x:c r="AG1485" s="145"/>
      <x:c r="AH1485" s="145"/>
      <x:c r="AI1485" s="145"/>
      <x:c r="AJ1485"/>
    </x:row>
    <x:row r="1486">
      <x:c r="F1486" s="124"/>
      <x:c r="G1486" s="124"/>
      <x:c r="H1486" s="124"/>
      <x:c r="I1486" s="124"/>
      <x:c r="J1486" s="124"/>
      <x:c r="M1486" s="126"/>
      <x:c r="P1486" s="126"/>
      <x:c r="Q1486" s="126"/>
      <x:c r="R1486" s="126"/>
      <x:c r="S1486" s="124"/>
      <x:c r="T1486" s="124"/>
      <x:c r="U1486" s="124"/>
      <x:c r="V1486" s="124"/>
      <x:c r="W1486" s="124"/>
      <x:c r="X1486" s="124"/>
      <x:c r="AD1486"/>
      <x:c r="AE1486" s="145"/>
      <x:c r="AF1486" s="145"/>
      <x:c r="AG1486" s="145"/>
      <x:c r="AH1486" s="145"/>
      <x:c r="AI1486" s="145"/>
      <x:c r="AJ1486"/>
    </x:row>
    <x:row r="1487">
      <x:c r="F1487" s="124"/>
      <x:c r="G1487" s="124"/>
      <x:c r="H1487" s="124"/>
      <x:c r="I1487" s="124"/>
      <x:c r="J1487" s="124"/>
      <x:c r="M1487" s="126"/>
      <x:c r="P1487" s="126"/>
      <x:c r="Q1487" s="126"/>
      <x:c r="R1487" s="126"/>
      <x:c r="S1487" s="124"/>
      <x:c r="T1487" s="124"/>
      <x:c r="U1487" s="124"/>
      <x:c r="V1487" s="124"/>
      <x:c r="W1487" s="124"/>
      <x:c r="X1487" s="124"/>
      <x:c r="AD1487"/>
      <x:c r="AE1487" s="145"/>
      <x:c r="AF1487" s="145"/>
      <x:c r="AG1487" s="145"/>
      <x:c r="AH1487" s="145"/>
      <x:c r="AI1487" s="145"/>
      <x:c r="AJ1487"/>
    </x:row>
    <x:row r="1488">
      <x:c r="F1488" s="124"/>
      <x:c r="G1488" s="124"/>
      <x:c r="H1488" s="124"/>
      <x:c r="I1488" s="124"/>
      <x:c r="J1488" s="124"/>
      <x:c r="M1488" s="126"/>
      <x:c r="P1488" s="126"/>
      <x:c r="Q1488" s="126"/>
      <x:c r="R1488" s="126"/>
      <x:c r="S1488" s="124"/>
      <x:c r="T1488" s="124"/>
      <x:c r="U1488" s="124"/>
      <x:c r="V1488" s="124"/>
      <x:c r="W1488" s="124"/>
      <x:c r="X1488" s="124"/>
      <x:c r="AD1488"/>
      <x:c r="AE1488" s="145"/>
      <x:c r="AF1488" s="145"/>
      <x:c r="AG1488" s="145"/>
      <x:c r="AH1488" s="145"/>
      <x:c r="AI1488" s="145"/>
      <x:c r="AJ1488"/>
    </x:row>
    <x:row r="1489">
      <x:c r="F1489" s="124"/>
      <x:c r="G1489" s="124"/>
      <x:c r="H1489" s="124"/>
      <x:c r="I1489" s="124"/>
      <x:c r="J1489" s="124"/>
      <x:c r="M1489" s="126"/>
      <x:c r="P1489" s="126"/>
      <x:c r="Q1489" s="126"/>
      <x:c r="R1489" s="126"/>
      <x:c r="S1489" s="124"/>
      <x:c r="T1489" s="124"/>
      <x:c r="U1489" s="124"/>
      <x:c r="V1489" s="124"/>
      <x:c r="W1489" s="124"/>
      <x:c r="X1489" s="124"/>
      <x:c r="AD1489"/>
      <x:c r="AE1489" s="145"/>
      <x:c r="AF1489" s="145"/>
      <x:c r="AG1489" s="145"/>
      <x:c r="AH1489" s="145"/>
      <x:c r="AI1489" s="145"/>
      <x:c r="AJ1489"/>
    </x:row>
    <x:row r="1490">
      <x:c r="F1490" s="124"/>
      <x:c r="G1490" s="124"/>
      <x:c r="H1490" s="124"/>
      <x:c r="I1490" s="124"/>
      <x:c r="J1490" s="124"/>
      <x:c r="M1490" s="126"/>
      <x:c r="P1490" s="126"/>
      <x:c r="Q1490" s="126"/>
      <x:c r="R1490" s="126"/>
      <x:c r="S1490" s="124"/>
      <x:c r="T1490" s="124"/>
      <x:c r="U1490" s="124"/>
      <x:c r="V1490" s="124"/>
      <x:c r="W1490" s="124"/>
      <x:c r="X1490" s="124"/>
      <x:c r="AD1490"/>
      <x:c r="AE1490" s="145"/>
      <x:c r="AF1490" s="145"/>
      <x:c r="AG1490" s="145"/>
      <x:c r="AH1490" s="145"/>
      <x:c r="AI1490" s="145"/>
      <x:c r="AJ1490"/>
    </x:row>
    <x:row r="1491">
      <x:c r="F1491" s="124"/>
      <x:c r="G1491" s="124"/>
      <x:c r="H1491" s="124"/>
      <x:c r="I1491" s="124"/>
      <x:c r="J1491" s="124"/>
      <x:c r="M1491" s="126"/>
      <x:c r="P1491" s="126"/>
      <x:c r="Q1491" s="126"/>
      <x:c r="R1491" s="126"/>
      <x:c r="S1491" s="124"/>
      <x:c r="T1491" s="124"/>
      <x:c r="U1491" s="124"/>
      <x:c r="V1491" s="124"/>
      <x:c r="W1491" s="124"/>
      <x:c r="X1491" s="124"/>
      <x:c r="AD1491"/>
      <x:c r="AE1491" s="145"/>
      <x:c r="AF1491" s="145"/>
      <x:c r="AG1491" s="145"/>
      <x:c r="AH1491" s="145"/>
      <x:c r="AI1491" s="145"/>
      <x:c r="AJ1491"/>
    </x:row>
    <x:row r="1492">
      <x:c r="F1492" s="124"/>
      <x:c r="G1492" s="124"/>
      <x:c r="H1492" s="124"/>
      <x:c r="I1492" s="124"/>
      <x:c r="J1492" s="124"/>
      <x:c r="M1492" s="126"/>
      <x:c r="P1492" s="126"/>
      <x:c r="Q1492" s="126"/>
      <x:c r="R1492" s="126"/>
      <x:c r="S1492" s="124"/>
      <x:c r="T1492" s="124"/>
      <x:c r="U1492" s="124"/>
      <x:c r="V1492" s="124"/>
      <x:c r="W1492" s="124"/>
      <x:c r="X1492" s="124"/>
      <x:c r="AD1492"/>
      <x:c r="AE1492" s="145"/>
      <x:c r="AF1492" s="145"/>
      <x:c r="AG1492" s="145"/>
      <x:c r="AH1492" s="145"/>
      <x:c r="AI1492" s="145"/>
      <x:c r="AJ1492"/>
    </x:row>
    <x:row r="1493">
      <x:c r="F1493" s="124"/>
      <x:c r="G1493" s="124"/>
      <x:c r="H1493" s="124"/>
      <x:c r="I1493" s="124"/>
      <x:c r="J1493" s="124"/>
      <x:c r="M1493" s="126"/>
      <x:c r="P1493" s="126"/>
      <x:c r="Q1493" s="126"/>
      <x:c r="R1493" s="126"/>
      <x:c r="S1493" s="124"/>
      <x:c r="T1493" s="124"/>
      <x:c r="U1493" s="124"/>
      <x:c r="V1493" s="124"/>
      <x:c r="W1493" s="124"/>
      <x:c r="X1493" s="124"/>
      <x:c r="AD1493"/>
      <x:c r="AE1493" s="145"/>
      <x:c r="AF1493" s="145"/>
      <x:c r="AG1493" s="145"/>
      <x:c r="AH1493" s="145"/>
      <x:c r="AI1493" s="145"/>
      <x:c r="AJ1493"/>
    </x:row>
    <x:row r="1494">
      <x:c r="F1494" s="124"/>
      <x:c r="G1494" s="124"/>
      <x:c r="H1494" s="124"/>
      <x:c r="I1494" s="124"/>
      <x:c r="J1494" s="124"/>
      <x:c r="M1494" s="126"/>
      <x:c r="P1494" s="126"/>
      <x:c r="Q1494" s="126"/>
      <x:c r="R1494" s="126"/>
      <x:c r="S1494" s="124"/>
      <x:c r="T1494" s="124"/>
      <x:c r="U1494" s="124"/>
      <x:c r="V1494" s="124"/>
      <x:c r="W1494" s="124"/>
      <x:c r="X1494" s="124"/>
      <x:c r="AD1494"/>
      <x:c r="AE1494" s="145"/>
      <x:c r="AF1494" s="145"/>
      <x:c r="AG1494" s="145"/>
      <x:c r="AH1494" s="145"/>
      <x:c r="AI1494" s="145"/>
      <x:c r="AJ1494"/>
    </x:row>
    <x:row r="1495">
      <x:c r="F1495" s="124"/>
      <x:c r="G1495" s="124"/>
      <x:c r="H1495" s="124"/>
      <x:c r="I1495" s="124"/>
      <x:c r="J1495" s="124"/>
      <x:c r="M1495" s="126"/>
      <x:c r="P1495" s="126"/>
      <x:c r="Q1495" s="126"/>
      <x:c r="R1495" s="126"/>
      <x:c r="S1495" s="124"/>
      <x:c r="T1495" s="124"/>
      <x:c r="U1495" s="124"/>
      <x:c r="V1495" s="124"/>
      <x:c r="W1495" s="124"/>
      <x:c r="X1495" s="124"/>
      <x:c r="AD1495"/>
      <x:c r="AE1495" s="145"/>
      <x:c r="AF1495" s="145"/>
      <x:c r="AG1495" s="145"/>
      <x:c r="AH1495" s="145"/>
      <x:c r="AI1495" s="145"/>
      <x:c r="AJ1495"/>
    </x:row>
    <x:row r="1496">
      <x:c r="F1496" s="124"/>
      <x:c r="G1496" s="124"/>
      <x:c r="H1496" s="124"/>
      <x:c r="I1496" s="124"/>
      <x:c r="J1496" s="124"/>
      <x:c r="M1496" s="126"/>
      <x:c r="P1496" s="126"/>
      <x:c r="Q1496" s="126"/>
      <x:c r="R1496" s="126"/>
      <x:c r="S1496" s="124"/>
      <x:c r="T1496" s="124"/>
      <x:c r="U1496" s="124"/>
      <x:c r="V1496" s="124"/>
      <x:c r="W1496" s="124"/>
      <x:c r="X1496" s="124"/>
      <x:c r="AD1496"/>
      <x:c r="AE1496" s="145"/>
      <x:c r="AF1496" s="145"/>
      <x:c r="AG1496" s="145"/>
      <x:c r="AH1496" s="145"/>
      <x:c r="AI1496" s="145"/>
      <x:c r="AJ1496"/>
    </x:row>
    <x:row r="1497">
      <x:c r="F1497" s="124"/>
      <x:c r="G1497" s="124"/>
      <x:c r="H1497" s="124"/>
      <x:c r="I1497" s="124"/>
      <x:c r="J1497" s="124"/>
      <x:c r="M1497" s="126"/>
      <x:c r="P1497" s="126"/>
      <x:c r="Q1497" s="126"/>
      <x:c r="R1497" s="126"/>
      <x:c r="S1497" s="124"/>
      <x:c r="T1497" s="124"/>
      <x:c r="U1497" s="124"/>
      <x:c r="V1497" s="124"/>
      <x:c r="W1497" s="124"/>
      <x:c r="X1497" s="124"/>
      <x:c r="AD1497"/>
      <x:c r="AE1497" s="145"/>
      <x:c r="AF1497" s="145"/>
      <x:c r="AG1497" s="145"/>
      <x:c r="AH1497" s="145"/>
      <x:c r="AI1497" s="145"/>
      <x:c r="AJ1497"/>
    </x:row>
    <x:row r="1498">
      <x:c r="F1498" s="124"/>
      <x:c r="G1498" s="124"/>
      <x:c r="H1498" s="124"/>
      <x:c r="I1498" s="124"/>
      <x:c r="J1498" s="124"/>
      <x:c r="M1498" s="126"/>
      <x:c r="P1498" s="126"/>
      <x:c r="Q1498" s="126"/>
      <x:c r="R1498" s="126"/>
      <x:c r="S1498" s="124"/>
      <x:c r="T1498" s="124"/>
      <x:c r="U1498" s="124"/>
      <x:c r="V1498" s="124"/>
      <x:c r="W1498" s="124"/>
      <x:c r="X1498" s="124"/>
      <x:c r="AD1498"/>
      <x:c r="AE1498" s="145"/>
      <x:c r="AF1498" s="145"/>
      <x:c r="AG1498" s="145"/>
      <x:c r="AH1498" s="145"/>
      <x:c r="AI1498" s="145"/>
      <x:c r="AJ1498"/>
    </x:row>
    <x:row r="1499">
      <x:c r="F1499" s="124"/>
      <x:c r="G1499" s="124"/>
      <x:c r="H1499" s="124"/>
      <x:c r="I1499" s="124"/>
      <x:c r="J1499" s="124"/>
      <x:c r="M1499" s="126"/>
      <x:c r="P1499" s="126"/>
      <x:c r="Q1499" s="126"/>
      <x:c r="R1499" s="126"/>
      <x:c r="S1499" s="124"/>
      <x:c r="T1499" s="124"/>
      <x:c r="U1499" s="124"/>
      <x:c r="V1499" s="124"/>
      <x:c r="W1499" s="124"/>
      <x:c r="X1499" s="124"/>
      <x:c r="AD1499"/>
      <x:c r="AE1499" s="145"/>
      <x:c r="AF1499" s="145"/>
      <x:c r="AG1499" s="145"/>
      <x:c r="AH1499" s="145"/>
      <x:c r="AI1499" s="145"/>
      <x:c r="AJ1499"/>
    </x:row>
    <x:row r="1500">
      <x:c r="F1500" s="124"/>
      <x:c r="G1500" s="124"/>
      <x:c r="H1500" s="124"/>
      <x:c r="I1500" s="124"/>
      <x:c r="J1500" s="124"/>
      <x:c r="M1500" s="126"/>
      <x:c r="P1500" s="126"/>
      <x:c r="Q1500" s="126"/>
      <x:c r="R1500" s="126"/>
      <x:c r="S1500" s="124"/>
      <x:c r="T1500" s="124"/>
      <x:c r="U1500" s="124"/>
      <x:c r="V1500" s="124"/>
      <x:c r="W1500" s="124"/>
      <x:c r="X1500" s="124"/>
      <x:c r="AD1500"/>
      <x:c r="AE1500" s="145"/>
      <x:c r="AF1500" s="145"/>
      <x:c r="AG1500" s="145"/>
      <x:c r="AH1500" s="145"/>
      <x:c r="AI1500" s="145"/>
      <x:c r="AJ1500"/>
    </x:row>
    <x:row r="1501">
      <x:c r="F1501" s="124"/>
      <x:c r="G1501" s="124"/>
      <x:c r="H1501" s="124"/>
      <x:c r="I1501" s="124"/>
      <x:c r="J1501" s="124"/>
      <x:c r="M1501" s="126"/>
      <x:c r="P1501" s="126"/>
      <x:c r="Q1501" s="126"/>
      <x:c r="R1501" s="126"/>
      <x:c r="S1501" s="124"/>
      <x:c r="T1501" s="124"/>
      <x:c r="U1501" s="124"/>
      <x:c r="V1501" s="124"/>
      <x:c r="W1501" s="124"/>
      <x:c r="X1501" s="124"/>
      <x:c r="AD1501"/>
      <x:c r="AE1501" s="145"/>
      <x:c r="AF1501" s="145"/>
      <x:c r="AG1501" s="145"/>
      <x:c r="AH1501" s="145"/>
      <x:c r="AI1501" s="145"/>
      <x:c r="AJ1501"/>
    </x:row>
    <x:row r="1502">
      <x:c r="F1502" s="124"/>
      <x:c r="G1502" s="124"/>
      <x:c r="H1502" s="124"/>
      <x:c r="I1502" s="124"/>
      <x:c r="J1502" s="124"/>
      <x:c r="M1502" s="126"/>
      <x:c r="P1502" s="126"/>
      <x:c r="Q1502" s="126"/>
      <x:c r="R1502" s="126"/>
      <x:c r="S1502" s="124"/>
      <x:c r="T1502" s="124"/>
      <x:c r="U1502" s="124"/>
      <x:c r="V1502" s="124"/>
      <x:c r="W1502" s="124"/>
      <x:c r="X1502" s="124"/>
      <x:c r="AD1502"/>
      <x:c r="AE1502" s="145"/>
      <x:c r="AF1502" s="145"/>
      <x:c r="AG1502" s="145"/>
      <x:c r="AH1502" s="145"/>
      <x:c r="AI1502" s="145"/>
      <x:c r="AJ1502"/>
    </x:row>
    <x:row r="1503">
      <x:c r="F1503" s="124"/>
      <x:c r="G1503" s="124"/>
      <x:c r="H1503" s="124"/>
      <x:c r="I1503" s="124"/>
      <x:c r="J1503" s="124"/>
      <x:c r="M1503" s="126"/>
      <x:c r="P1503" s="126"/>
      <x:c r="Q1503" s="126"/>
      <x:c r="R1503" s="126"/>
      <x:c r="S1503" s="124"/>
      <x:c r="T1503" s="124"/>
      <x:c r="U1503" s="124"/>
      <x:c r="V1503" s="124"/>
      <x:c r="W1503" s="124"/>
      <x:c r="X1503" s="124"/>
      <x:c r="AD1503"/>
      <x:c r="AE1503" s="145"/>
      <x:c r="AF1503" s="145"/>
      <x:c r="AG1503" s="145"/>
      <x:c r="AH1503" s="145"/>
      <x:c r="AI1503" s="145"/>
      <x:c r="AJ1503"/>
    </x:row>
    <x:row r="1504">
      <x:c r="F1504" s="124"/>
      <x:c r="G1504" s="124"/>
      <x:c r="H1504" s="124"/>
      <x:c r="I1504" s="124"/>
      <x:c r="J1504" s="124"/>
      <x:c r="M1504" s="126"/>
      <x:c r="P1504" s="126"/>
      <x:c r="Q1504" s="126"/>
      <x:c r="R1504" s="126"/>
      <x:c r="S1504" s="124"/>
      <x:c r="T1504" s="124"/>
      <x:c r="U1504" s="124"/>
      <x:c r="V1504" s="124"/>
      <x:c r="W1504" s="124"/>
      <x:c r="X1504" s="124"/>
      <x:c r="AD1504"/>
      <x:c r="AE1504" s="145"/>
      <x:c r="AF1504" s="145"/>
      <x:c r="AG1504" s="145"/>
      <x:c r="AH1504" s="145"/>
      <x:c r="AI1504" s="145"/>
      <x:c r="AJ1504"/>
    </x:row>
    <x:row r="1505">
      <x:c r="F1505" s="124"/>
      <x:c r="G1505" s="124"/>
      <x:c r="H1505" s="124"/>
      <x:c r="I1505" s="124"/>
      <x:c r="J1505" s="124"/>
      <x:c r="M1505" s="126"/>
      <x:c r="P1505" s="126"/>
      <x:c r="Q1505" s="126"/>
      <x:c r="R1505" s="126"/>
      <x:c r="S1505" s="124"/>
      <x:c r="T1505" s="124"/>
      <x:c r="U1505" s="124"/>
      <x:c r="V1505" s="124"/>
      <x:c r="W1505" s="124"/>
      <x:c r="X1505" s="124"/>
      <x:c r="AD1505"/>
      <x:c r="AE1505" s="145"/>
      <x:c r="AF1505" s="145"/>
      <x:c r="AG1505" s="145"/>
      <x:c r="AH1505" s="145"/>
      <x:c r="AI1505" s="145"/>
      <x:c r="AJ1505"/>
    </x:row>
    <x:row r="1506">
      <x:c r="F1506" s="124"/>
      <x:c r="G1506" s="124"/>
      <x:c r="H1506" s="124"/>
      <x:c r="I1506" s="124"/>
      <x:c r="J1506" s="124"/>
      <x:c r="M1506" s="126"/>
      <x:c r="P1506" s="126"/>
      <x:c r="Q1506" s="126"/>
      <x:c r="R1506" s="126"/>
      <x:c r="S1506" s="124"/>
      <x:c r="T1506" s="124"/>
      <x:c r="U1506" s="124"/>
      <x:c r="V1506" s="124"/>
      <x:c r="W1506" s="124"/>
      <x:c r="X1506" s="124"/>
      <x:c r="AD1506"/>
      <x:c r="AE1506" s="145"/>
      <x:c r="AF1506" s="145"/>
      <x:c r="AG1506" s="145"/>
      <x:c r="AH1506" s="145"/>
      <x:c r="AI1506" s="145"/>
      <x:c r="AJ1506"/>
    </x:row>
    <x:row r="1507">
      <x:c r="F1507" s="124"/>
      <x:c r="G1507" s="124"/>
      <x:c r="H1507" s="124"/>
      <x:c r="I1507" s="124"/>
      <x:c r="J1507" s="124"/>
      <x:c r="M1507" s="126"/>
      <x:c r="P1507" s="126"/>
      <x:c r="Q1507" s="126"/>
      <x:c r="R1507" s="126"/>
      <x:c r="S1507" s="124"/>
      <x:c r="T1507" s="124"/>
      <x:c r="U1507" s="124"/>
      <x:c r="V1507" s="124"/>
      <x:c r="W1507" s="124"/>
      <x:c r="X1507" s="124"/>
      <x:c r="AD1507"/>
      <x:c r="AE1507" s="145"/>
      <x:c r="AF1507" s="145"/>
      <x:c r="AG1507" s="145"/>
      <x:c r="AH1507" s="145"/>
      <x:c r="AI1507" s="145"/>
      <x:c r="AJ1507"/>
    </x:row>
    <x:row r="1508">
      <x:c r="F1508" s="124"/>
      <x:c r="G1508" s="124"/>
      <x:c r="H1508" s="124"/>
      <x:c r="I1508" s="124"/>
      <x:c r="J1508" s="124"/>
      <x:c r="M1508" s="126"/>
      <x:c r="P1508" s="126"/>
      <x:c r="Q1508" s="126"/>
      <x:c r="R1508" s="126"/>
      <x:c r="S1508" s="124"/>
      <x:c r="T1508" s="124"/>
      <x:c r="U1508" s="124"/>
      <x:c r="V1508" s="124"/>
      <x:c r="W1508" s="124"/>
      <x:c r="X1508" s="124"/>
      <x:c r="AD1508"/>
      <x:c r="AE1508" s="145"/>
      <x:c r="AF1508" s="145"/>
      <x:c r="AG1508" s="145"/>
      <x:c r="AH1508" s="145"/>
      <x:c r="AI1508" s="145"/>
      <x:c r="AJ1508"/>
    </x:row>
    <x:row r="1509">
      <x:c r="F1509" s="124"/>
      <x:c r="G1509" s="124"/>
      <x:c r="H1509" s="124"/>
      <x:c r="I1509" s="124"/>
      <x:c r="J1509" s="124"/>
      <x:c r="M1509" s="126"/>
      <x:c r="P1509" s="126"/>
      <x:c r="Q1509" s="126"/>
      <x:c r="R1509" s="126"/>
      <x:c r="S1509" s="124"/>
      <x:c r="T1509" s="124"/>
      <x:c r="U1509" s="124"/>
      <x:c r="V1509" s="124"/>
      <x:c r="W1509" s="124"/>
      <x:c r="X1509" s="124"/>
      <x:c r="AD1509"/>
      <x:c r="AE1509" s="145"/>
      <x:c r="AF1509" s="145"/>
      <x:c r="AG1509" s="145"/>
      <x:c r="AH1509" s="145"/>
      <x:c r="AI1509" s="145"/>
      <x:c r="AJ1509"/>
    </x:row>
    <x:row r="1510">
      <x:c r="F1510" s="124"/>
      <x:c r="G1510" s="124"/>
      <x:c r="H1510" s="124"/>
      <x:c r="I1510" s="124"/>
      <x:c r="J1510" s="124"/>
      <x:c r="M1510" s="126"/>
      <x:c r="P1510" s="126"/>
      <x:c r="Q1510" s="126"/>
      <x:c r="R1510" s="126"/>
      <x:c r="S1510" s="124"/>
      <x:c r="T1510" s="124"/>
      <x:c r="U1510" s="124"/>
      <x:c r="V1510" s="124"/>
      <x:c r="W1510" s="124"/>
      <x:c r="X1510" s="124"/>
      <x:c r="AD1510"/>
      <x:c r="AE1510" s="145"/>
      <x:c r="AF1510" s="145"/>
      <x:c r="AG1510" s="145"/>
      <x:c r="AH1510" s="145"/>
      <x:c r="AI1510" s="145"/>
      <x:c r="AJ1510"/>
    </x:row>
    <x:row r="1511">
      <x:c r="F1511" s="124"/>
      <x:c r="G1511" s="124"/>
      <x:c r="H1511" s="124"/>
      <x:c r="I1511" s="124"/>
      <x:c r="J1511" s="124"/>
      <x:c r="M1511" s="126"/>
      <x:c r="P1511" s="126"/>
      <x:c r="Q1511" s="126"/>
      <x:c r="R1511" s="126"/>
      <x:c r="S1511" s="124"/>
      <x:c r="T1511" s="124"/>
      <x:c r="U1511" s="124"/>
      <x:c r="V1511" s="124"/>
      <x:c r="W1511" s="124"/>
      <x:c r="X1511" s="124"/>
      <x:c r="AD1511"/>
      <x:c r="AE1511" s="145"/>
      <x:c r="AF1511" s="145"/>
      <x:c r="AG1511" s="145"/>
      <x:c r="AH1511" s="145"/>
      <x:c r="AI1511" s="145"/>
      <x:c r="AJ1511"/>
    </x:row>
    <x:row r="1512">
      <x:c r="F1512" s="124"/>
      <x:c r="G1512" s="124"/>
      <x:c r="H1512" s="124"/>
      <x:c r="I1512" s="124"/>
      <x:c r="J1512" s="124"/>
      <x:c r="M1512" s="126"/>
      <x:c r="P1512" s="126"/>
      <x:c r="Q1512" s="126"/>
      <x:c r="R1512" s="126"/>
      <x:c r="S1512" s="124"/>
      <x:c r="T1512" s="124"/>
      <x:c r="U1512" s="124"/>
      <x:c r="V1512" s="124"/>
      <x:c r="W1512" s="124"/>
      <x:c r="X1512" s="124"/>
      <x:c r="AD1512"/>
      <x:c r="AE1512" s="145"/>
      <x:c r="AF1512" s="145"/>
      <x:c r="AG1512" s="145"/>
      <x:c r="AH1512" s="145"/>
      <x:c r="AI1512" s="145"/>
      <x:c r="AJ1512"/>
    </x:row>
    <x:row r="1513">
      <x:c r="F1513" s="124"/>
      <x:c r="G1513" s="124"/>
      <x:c r="H1513" s="124"/>
      <x:c r="I1513" s="124"/>
      <x:c r="J1513" s="124"/>
      <x:c r="M1513" s="126"/>
      <x:c r="P1513" s="126"/>
      <x:c r="Q1513" s="126"/>
      <x:c r="R1513" s="126"/>
      <x:c r="S1513" s="124"/>
      <x:c r="T1513" s="124"/>
      <x:c r="U1513" s="124"/>
      <x:c r="V1513" s="124"/>
      <x:c r="W1513" s="124"/>
      <x:c r="X1513" s="124"/>
      <x:c r="AD1513"/>
      <x:c r="AE1513" s="145"/>
      <x:c r="AF1513" s="145"/>
      <x:c r="AG1513" s="145"/>
      <x:c r="AH1513" s="145"/>
      <x:c r="AI1513" s="145"/>
      <x:c r="AJ1513"/>
    </x:row>
    <x:row r="1514">
      <x:c r="F1514" s="124"/>
      <x:c r="G1514" s="124"/>
      <x:c r="H1514" s="124"/>
      <x:c r="I1514" s="124"/>
      <x:c r="J1514" s="124"/>
      <x:c r="M1514" s="126"/>
      <x:c r="P1514" s="126"/>
      <x:c r="Q1514" s="126"/>
      <x:c r="R1514" s="126"/>
      <x:c r="S1514" s="124"/>
      <x:c r="T1514" s="124"/>
      <x:c r="U1514" s="124"/>
      <x:c r="V1514" s="124"/>
      <x:c r="W1514" s="124"/>
      <x:c r="X1514" s="124"/>
      <x:c r="AD1514"/>
      <x:c r="AE1514" s="145"/>
      <x:c r="AF1514" s="145"/>
      <x:c r="AG1514" s="145"/>
      <x:c r="AH1514" s="145"/>
      <x:c r="AI1514" s="145"/>
      <x:c r="AJ1514"/>
    </x:row>
    <x:row r="1515">
      <x:c r="F1515" s="124"/>
      <x:c r="G1515" s="124"/>
      <x:c r="H1515" s="124"/>
      <x:c r="I1515" s="124"/>
      <x:c r="J1515" s="124"/>
      <x:c r="M1515" s="126"/>
      <x:c r="P1515" s="126"/>
      <x:c r="Q1515" s="126"/>
      <x:c r="R1515" s="126"/>
      <x:c r="S1515" s="124"/>
      <x:c r="T1515" s="124"/>
      <x:c r="U1515" s="124"/>
      <x:c r="V1515" s="124"/>
      <x:c r="W1515" s="124"/>
      <x:c r="X1515" s="124"/>
      <x:c r="AD1515"/>
      <x:c r="AE1515" s="145"/>
      <x:c r="AF1515" s="145"/>
      <x:c r="AG1515" s="145"/>
      <x:c r="AH1515" s="145"/>
      <x:c r="AI1515" s="145"/>
      <x:c r="AJ1515"/>
    </x:row>
    <x:row r="1516">
      <x:c r="F1516" s="124"/>
      <x:c r="G1516" s="124"/>
      <x:c r="H1516" s="124"/>
      <x:c r="I1516" s="124"/>
      <x:c r="J1516" s="124"/>
      <x:c r="M1516" s="126"/>
      <x:c r="P1516" s="126"/>
      <x:c r="Q1516" s="126"/>
      <x:c r="R1516" s="126"/>
      <x:c r="S1516" s="124"/>
      <x:c r="T1516" s="124"/>
      <x:c r="U1516" s="124"/>
      <x:c r="V1516" s="124"/>
      <x:c r="W1516" s="124"/>
      <x:c r="X1516" s="124"/>
      <x:c r="AD1516"/>
      <x:c r="AE1516" s="145"/>
      <x:c r="AF1516" s="145"/>
      <x:c r="AG1516" s="145"/>
      <x:c r="AH1516" s="145"/>
      <x:c r="AI1516" s="145"/>
      <x:c r="AJ1516"/>
    </x:row>
    <x:row r="1517">
      <x:c r="F1517" s="124"/>
      <x:c r="G1517" s="124"/>
      <x:c r="H1517" s="124"/>
      <x:c r="I1517" s="124"/>
      <x:c r="J1517" s="124"/>
      <x:c r="M1517" s="126"/>
      <x:c r="P1517" s="126"/>
      <x:c r="Q1517" s="126"/>
      <x:c r="R1517" s="126"/>
      <x:c r="S1517" s="124"/>
      <x:c r="T1517" s="124"/>
      <x:c r="U1517" s="124"/>
      <x:c r="V1517" s="124"/>
      <x:c r="W1517" s="124"/>
      <x:c r="X1517" s="124"/>
      <x:c r="AD1517"/>
      <x:c r="AE1517" s="145"/>
      <x:c r="AF1517" s="145"/>
      <x:c r="AG1517" s="145"/>
      <x:c r="AH1517" s="145"/>
      <x:c r="AI1517" s="145"/>
      <x:c r="AJ1517"/>
    </x:row>
    <x:row r="1518">
      <x:c r="F1518" s="124"/>
      <x:c r="G1518" s="124"/>
      <x:c r="H1518" s="124"/>
      <x:c r="I1518" s="124"/>
      <x:c r="J1518" s="124"/>
      <x:c r="M1518" s="126"/>
      <x:c r="P1518" s="126"/>
      <x:c r="Q1518" s="126"/>
      <x:c r="R1518" s="126"/>
      <x:c r="S1518" s="124"/>
      <x:c r="T1518" s="124"/>
      <x:c r="U1518" s="124"/>
      <x:c r="V1518" s="124"/>
      <x:c r="W1518" s="124"/>
      <x:c r="X1518" s="124"/>
      <x:c r="AD1518"/>
      <x:c r="AE1518" s="145"/>
      <x:c r="AF1518" s="145"/>
      <x:c r="AG1518" s="145"/>
      <x:c r="AH1518" s="145"/>
      <x:c r="AI1518" s="145"/>
      <x:c r="AJ1518"/>
    </x:row>
    <x:row r="1519">
      <x:c r="F1519" s="124"/>
      <x:c r="G1519" s="124"/>
      <x:c r="H1519" s="124"/>
      <x:c r="I1519" s="124"/>
      <x:c r="J1519" s="124"/>
      <x:c r="M1519" s="126"/>
      <x:c r="P1519" s="126"/>
      <x:c r="Q1519" s="126"/>
      <x:c r="R1519" s="126"/>
      <x:c r="S1519" s="124"/>
      <x:c r="T1519" s="124"/>
      <x:c r="U1519" s="124"/>
      <x:c r="V1519" s="124"/>
      <x:c r="W1519" s="124"/>
      <x:c r="X1519" s="124"/>
      <x:c r="AD1519"/>
      <x:c r="AE1519" s="145"/>
      <x:c r="AF1519" s="145"/>
      <x:c r="AG1519" s="145"/>
      <x:c r="AH1519" s="145"/>
      <x:c r="AI1519" s="145"/>
      <x:c r="AJ1519"/>
    </x:row>
    <x:row r="1520">
      <x:c r="F1520" s="124"/>
      <x:c r="G1520" s="124"/>
      <x:c r="H1520" s="124"/>
      <x:c r="I1520" s="124"/>
      <x:c r="J1520" s="124"/>
      <x:c r="M1520" s="126"/>
      <x:c r="P1520" s="126"/>
      <x:c r="Q1520" s="126"/>
      <x:c r="R1520" s="126"/>
      <x:c r="S1520" s="124"/>
      <x:c r="T1520" s="124"/>
      <x:c r="U1520" s="124"/>
      <x:c r="V1520" s="124"/>
      <x:c r="W1520" s="124"/>
      <x:c r="X1520" s="124"/>
      <x:c r="AD1520"/>
      <x:c r="AE1520" s="145"/>
      <x:c r="AF1520" s="145"/>
      <x:c r="AG1520" s="145"/>
      <x:c r="AH1520" s="145"/>
      <x:c r="AI1520" s="145"/>
      <x:c r="AJ1520"/>
    </x:row>
    <x:row r="1521">
      <x:c r="F1521" s="124"/>
      <x:c r="G1521" s="124"/>
      <x:c r="H1521" s="124"/>
      <x:c r="I1521" s="124"/>
      <x:c r="J1521" s="124"/>
      <x:c r="M1521" s="126"/>
      <x:c r="P1521" s="126"/>
      <x:c r="Q1521" s="126"/>
      <x:c r="R1521" s="126"/>
      <x:c r="S1521" s="124"/>
      <x:c r="T1521" s="124"/>
      <x:c r="U1521" s="124"/>
      <x:c r="V1521" s="124"/>
      <x:c r="W1521" s="124"/>
      <x:c r="X1521" s="124"/>
      <x:c r="AD1521"/>
      <x:c r="AE1521" s="145"/>
      <x:c r="AF1521" s="145"/>
      <x:c r="AG1521" s="145"/>
      <x:c r="AH1521" s="145"/>
      <x:c r="AI1521" s="145"/>
      <x:c r="AJ1521"/>
    </x:row>
    <x:row r="1522">
      <x:c r="F1522" s="124"/>
      <x:c r="G1522" s="124"/>
      <x:c r="H1522" s="124"/>
      <x:c r="I1522" s="124"/>
      <x:c r="J1522" s="124"/>
      <x:c r="M1522" s="126"/>
      <x:c r="P1522" s="126"/>
      <x:c r="Q1522" s="126"/>
      <x:c r="R1522" s="126"/>
      <x:c r="S1522" s="124"/>
      <x:c r="T1522" s="124"/>
      <x:c r="U1522" s="124"/>
      <x:c r="V1522" s="124"/>
      <x:c r="W1522" s="124"/>
      <x:c r="X1522" s="124"/>
      <x:c r="AD1522"/>
      <x:c r="AE1522" s="145"/>
      <x:c r="AF1522" s="145"/>
      <x:c r="AG1522" s="145"/>
      <x:c r="AH1522" s="145"/>
      <x:c r="AI1522" s="145"/>
      <x:c r="AJ1522"/>
    </x:row>
    <x:row r="1523">
      <x:c r="F1523" s="124"/>
      <x:c r="G1523" s="124"/>
      <x:c r="H1523" s="124"/>
      <x:c r="I1523" s="124"/>
      <x:c r="J1523" s="124"/>
      <x:c r="M1523" s="126"/>
      <x:c r="P1523" s="126"/>
      <x:c r="Q1523" s="126"/>
      <x:c r="R1523" s="126"/>
      <x:c r="S1523" s="124"/>
      <x:c r="T1523" s="124"/>
      <x:c r="U1523" s="124"/>
      <x:c r="V1523" s="124"/>
      <x:c r="W1523" s="124"/>
      <x:c r="X1523" s="124"/>
      <x:c r="AD1523"/>
      <x:c r="AE1523" s="145"/>
      <x:c r="AF1523" s="145"/>
      <x:c r="AG1523" s="145"/>
      <x:c r="AH1523" s="145"/>
      <x:c r="AI1523" s="145"/>
      <x:c r="AJ1523"/>
    </x:row>
    <x:row r="1524">
      <x:c r="F1524" s="124"/>
      <x:c r="G1524" s="124"/>
      <x:c r="H1524" s="124"/>
      <x:c r="I1524" s="124"/>
      <x:c r="J1524" s="124"/>
      <x:c r="M1524" s="126"/>
      <x:c r="P1524" s="126"/>
      <x:c r="Q1524" s="126"/>
      <x:c r="R1524" s="126"/>
      <x:c r="S1524" s="124"/>
      <x:c r="T1524" s="124"/>
      <x:c r="U1524" s="124"/>
      <x:c r="V1524" s="124"/>
      <x:c r="W1524" s="124"/>
      <x:c r="X1524" s="124"/>
      <x:c r="AD1524"/>
      <x:c r="AE1524" s="145"/>
      <x:c r="AF1524" s="145"/>
      <x:c r="AG1524" s="145"/>
      <x:c r="AH1524" s="145"/>
      <x:c r="AI1524" s="145"/>
      <x:c r="AJ1524"/>
    </x:row>
    <x:row r="1525">
      <x:c r="F1525" s="124"/>
      <x:c r="G1525" s="124"/>
      <x:c r="H1525" s="124"/>
      <x:c r="I1525" s="124"/>
      <x:c r="J1525" s="124"/>
      <x:c r="M1525" s="126"/>
      <x:c r="P1525" s="126"/>
      <x:c r="Q1525" s="126"/>
      <x:c r="R1525" s="126"/>
      <x:c r="S1525" s="124"/>
      <x:c r="T1525" s="124"/>
      <x:c r="U1525" s="124"/>
      <x:c r="V1525" s="124"/>
      <x:c r="W1525" s="124"/>
      <x:c r="X1525" s="124"/>
      <x:c r="AD1525"/>
      <x:c r="AE1525" s="145"/>
      <x:c r="AF1525" s="145"/>
      <x:c r="AG1525" s="145"/>
      <x:c r="AH1525" s="145"/>
      <x:c r="AI1525" s="145"/>
      <x:c r="AJ1525"/>
    </x:row>
    <x:row r="1526">
      <x:c r="F1526" s="124"/>
      <x:c r="G1526" s="124"/>
      <x:c r="H1526" s="124"/>
      <x:c r="I1526" s="124"/>
      <x:c r="J1526" s="124"/>
      <x:c r="M1526" s="126"/>
      <x:c r="P1526" s="126"/>
      <x:c r="Q1526" s="126"/>
      <x:c r="R1526" s="126"/>
      <x:c r="S1526" s="124"/>
      <x:c r="T1526" s="124"/>
      <x:c r="U1526" s="124"/>
      <x:c r="V1526" s="124"/>
      <x:c r="W1526" s="124"/>
      <x:c r="X1526" s="124"/>
      <x:c r="AD1526"/>
      <x:c r="AE1526" s="145"/>
      <x:c r="AF1526" s="145"/>
      <x:c r="AG1526" s="145"/>
      <x:c r="AH1526" s="145"/>
      <x:c r="AI1526" s="145"/>
      <x:c r="AJ1526"/>
    </x:row>
    <x:row r="1527">
      <x:c r="F1527" s="124"/>
      <x:c r="G1527" s="124"/>
      <x:c r="H1527" s="124"/>
      <x:c r="I1527" s="124"/>
      <x:c r="J1527" s="124"/>
      <x:c r="M1527" s="126"/>
      <x:c r="P1527" s="126"/>
      <x:c r="Q1527" s="126"/>
      <x:c r="R1527" s="126"/>
      <x:c r="S1527" s="124"/>
      <x:c r="T1527" s="124"/>
      <x:c r="U1527" s="124"/>
      <x:c r="V1527" s="124"/>
      <x:c r="W1527" s="124"/>
      <x:c r="X1527" s="124"/>
      <x:c r="AD1527"/>
      <x:c r="AE1527" s="145"/>
      <x:c r="AF1527" s="145"/>
      <x:c r="AG1527" s="145"/>
      <x:c r="AH1527" s="145"/>
      <x:c r="AI1527" s="145"/>
      <x:c r="AJ1527"/>
    </x:row>
    <x:row r="1528">
      <x:c r="F1528" s="124"/>
      <x:c r="G1528" s="124"/>
      <x:c r="H1528" s="124"/>
      <x:c r="I1528" s="124"/>
      <x:c r="J1528" s="124"/>
      <x:c r="M1528" s="126"/>
      <x:c r="P1528" s="126"/>
      <x:c r="Q1528" s="126"/>
      <x:c r="R1528" s="126"/>
      <x:c r="S1528" s="124"/>
      <x:c r="T1528" s="124"/>
      <x:c r="U1528" s="124"/>
      <x:c r="V1528" s="124"/>
      <x:c r="W1528" s="124"/>
      <x:c r="X1528" s="124"/>
      <x:c r="AD1528"/>
      <x:c r="AE1528" s="145"/>
      <x:c r="AF1528" s="145"/>
      <x:c r="AG1528" s="145"/>
      <x:c r="AH1528" s="145"/>
      <x:c r="AI1528" s="145"/>
      <x:c r="AJ1528"/>
    </x:row>
    <x:row r="1529">
      <x:c r="F1529" s="124"/>
      <x:c r="G1529" s="124"/>
      <x:c r="H1529" s="124"/>
      <x:c r="I1529" s="124"/>
      <x:c r="J1529" s="124"/>
      <x:c r="M1529" s="126"/>
      <x:c r="P1529" s="126"/>
      <x:c r="Q1529" s="126"/>
      <x:c r="R1529" s="126"/>
      <x:c r="S1529" s="124"/>
      <x:c r="T1529" s="124"/>
      <x:c r="U1529" s="124"/>
      <x:c r="V1529" s="124"/>
      <x:c r="W1529" s="124"/>
      <x:c r="X1529" s="124"/>
      <x:c r="AD1529"/>
      <x:c r="AE1529" s="145"/>
      <x:c r="AF1529" s="145"/>
      <x:c r="AG1529" s="145"/>
      <x:c r="AH1529" s="145"/>
      <x:c r="AI1529" s="145"/>
      <x:c r="AJ1529"/>
    </x:row>
    <x:row r="1530">
      <x:c r="F1530" s="124"/>
      <x:c r="G1530" s="124"/>
      <x:c r="H1530" s="124"/>
      <x:c r="I1530" s="124"/>
      <x:c r="J1530" s="124"/>
      <x:c r="M1530" s="126"/>
      <x:c r="P1530" s="126"/>
      <x:c r="Q1530" s="126"/>
      <x:c r="R1530" s="126"/>
      <x:c r="S1530" s="124"/>
      <x:c r="T1530" s="124"/>
      <x:c r="U1530" s="124"/>
      <x:c r="V1530" s="124"/>
      <x:c r="W1530" s="124"/>
      <x:c r="X1530" s="124"/>
      <x:c r="AD1530"/>
      <x:c r="AE1530" s="145"/>
      <x:c r="AF1530" s="145"/>
      <x:c r="AG1530" s="145"/>
      <x:c r="AH1530" s="145"/>
      <x:c r="AI1530" s="145"/>
      <x:c r="AJ1530"/>
    </x:row>
    <x:row r="1531">
      <x:c r="F1531" s="124"/>
      <x:c r="G1531" s="124"/>
      <x:c r="H1531" s="124"/>
      <x:c r="I1531" s="124"/>
      <x:c r="J1531" s="124"/>
      <x:c r="M1531" s="126"/>
      <x:c r="P1531" s="126"/>
      <x:c r="Q1531" s="126"/>
      <x:c r="R1531" s="126"/>
      <x:c r="S1531" s="124"/>
      <x:c r="T1531" s="124"/>
      <x:c r="U1531" s="124"/>
      <x:c r="V1531" s="124"/>
      <x:c r="W1531" s="124"/>
      <x:c r="X1531" s="124"/>
      <x:c r="AD1531"/>
      <x:c r="AE1531" s="145"/>
      <x:c r="AF1531" s="145"/>
      <x:c r="AG1531" s="145"/>
      <x:c r="AH1531" s="145"/>
      <x:c r="AI1531" s="145"/>
      <x:c r="AJ1531"/>
    </x:row>
    <x:row r="1532">
      <x:c r="F1532" s="124"/>
      <x:c r="G1532" s="124"/>
      <x:c r="H1532" s="124"/>
      <x:c r="I1532" s="124"/>
      <x:c r="J1532" s="124"/>
      <x:c r="M1532" s="126"/>
      <x:c r="P1532" s="126"/>
      <x:c r="Q1532" s="126"/>
      <x:c r="R1532" s="126"/>
      <x:c r="S1532" s="124"/>
      <x:c r="T1532" s="124"/>
      <x:c r="U1532" s="124"/>
      <x:c r="V1532" s="124"/>
      <x:c r="W1532" s="124"/>
      <x:c r="X1532" s="124"/>
      <x:c r="AD1532"/>
      <x:c r="AE1532" s="145"/>
      <x:c r="AF1532" s="145"/>
      <x:c r="AG1532" s="145"/>
      <x:c r="AH1532" s="145"/>
      <x:c r="AI1532" s="145"/>
      <x:c r="AJ1532"/>
    </x:row>
    <x:row r="1533">
      <x:c r="F1533" s="124"/>
      <x:c r="G1533" s="124"/>
      <x:c r="H1533" s="124"/>
      <x:c r="I1533" s="124"/>
      <x:c r="J1533" s="124"/>
      <x:c r="M1533" s="126"/>
      <x:c r="P1533" s="126"/>
      <x:c r="Q1533" s="126"/>
      <x:c r="R1533" s="126"/>
      <x:c r="S1533" s="124"/>
      <x:c r="T1533" s="124"/>
      <x:c r="U1533" s="124"/>
      <x:c r="V1533" s="124"/>
      <x:c r="W1533" s="124"/>
      <x:c r="X1533" s="124"/>
      <x:c r="AD1533"/>
      <x:c r="AE1533" s="145"/>
      <x:c r="AF1533" s="145"/>
      <x:c r="AG1533" s="145"/>
      <x:c r="AH1533" s="145"/>
      <x:c r="AI1533" s="145"/>
      <x:c r="AJ1533"/>
    </x:row>
    <x:row r="1534">
      <x:c r="F1534" s="124"/>
      <x:c r="G1534" s="124"/>
      <x:c r="H1534" s="124"/>
      <x:c r="I1534" s="124"/>
      <x:c r="J1534" s="124"/>
      <x:c r="M1534" s="126"/>
      <x:c r="P1534" s="126"/>
      <x:c r="Q1534" s="126"/>
      <x:c r="R1534" s="126"/>
      <x:c r="S1534" s="124"/>
      <x:c r="T1534" s="124"/>
      <x:c r="U1534" s="124"/>
      <x:c r="V1534" s="124"/>
      <x:c r="W1534" s="124"/>
      <x:c r="X1534" s="124"/>
      <x:c r="AD1534"/>
      <x:c r="AE1534" s="145"/>
      <x:c r="AF1534" s="145"/>
      <x:c r="AG1534" s="145"/>
      <x:c r="AH1534" s="145"/>
      <x:c r="AI1534" s="145"/>
      <x:c r="AJ1534"/>
    </x:row>
    <x:row r="1535">
      <x:c r="F1535" s="124"/>
      <x:c r="G1535" s="124"/>
      <x:c r="H1535" s="124"/>
      <x:c r="I1535" s="124"/>
      <x:c r="J1535" s="124"/>
      <x:c r="M1535" s="126"/>
      <x:c r="P1535" s="126"/>
      <x:c r="Q1535" s="126"/>
      <x:c r="R1535" s="126"/>
      <x:c r="S1535" s="124"/>
      <x:c r="T1535" s="124"/>
      <x:c r="U1535" s="124"/>
      <x:c r="V1535" s="124"/>
      <x:c r="W1535" s="124"/>
      <x:c r="X1535" s="124"/>
      <x:c r="AD1535"/>
      <x:c r="AE1535" s="145"/>
      <x:c r="AF1535" s="145"/>
      <x:c r="AG1535" s="145"/>
      <x:c r="AH1535" s="145"/>
      <x:c r="AI1535" s="145"/>
      <x:c r="AJ1535"/>
    </x:row>
    <x:row r="1536">
      <x:c r="F1536" s="124"/>
      <x:c r="G1536" s="124"/>
      <x:c r="H1536" s="124"/>
      <x:c r="I1536" s="124"/>
      <x:c r="J1536" s="124"/>
      <x:c r="M1536" s="126"/>
      <x:c r="P1536" s="126"/>
      <x:c r="Q1536" s="126"/>
      <x:c r="R1536" s="126"/>
      <x:c r="S1536" s="124"/>
      <x:c r="T1536" s="124"/>
      <x:c r="U1536" s="124"/>
      <x:c r="V1536" s="124"/>
      <x:c r="W1536" s="124"/>
      <x:c r="X1536" s="124"/>
      <x:c r="AD1536"/>
      <x:c r="AE1536" s="145"/>
      <x:c r="AF1536" s="145"/>
      <x:c r="AG1536" s="145"/>
      <x:c r="AH1536" s="145"/>
      <x:c r="AI1536" s="145"/>
      <x:c r="AJ1536"/>
    </x:row>
    <x:row r="1537">
      <x:c r="F1537" s="124"/>
      <x:c r="G1537" s="124"/>
      <x:c r="H1537" s="124"/>
      <x:c r="I1537" s="124"/>
      <x:c r="J1537" s="124"/>
      <x:c r="M1537" s="126"/>
      <x:c r="P1537" s="126"/>
      <x:c r="Q1537" s="126"/>
      <x:c r="R1537" s="126"/>
      <x:c r="S1537" s="124"/>
      <x:c r="T1537" s="124"/>
      <x:c r="U1537" s="124"/>
      <x:c r="V1537" s="124"/>
      <x:c r="W1537" s="124"/>
      <x:c r="X1537" s="124"/>
      <x:c r="AD1537"/>
      <x:c r="AE1537" s="145"/>
      <x:c r="AF1537" s="145"/>
      <x:c r="AG1537" s="145"/>
      <x:c r="AH1537" s="145"/>
      <x:c r="AI1537" s="145"/>
      <x:c r="AJ1537"/>
    </x:row>
    <x:row r="1538">
      <x:c r="F1538" s="124"/>
      <x:c r="G1538" s="124"/>
      <x:c r="H1538" s="124"/>
      <x:c r="I1538" s="124"/>
      <x:c r="J1538" s="124"/>
      <x:c r="M1538" s="126"/>
      <x:c r="P1538" s="126"/>
      <x:c r="Q1538" s="126"/>
      <x:c r="R1538" s="126"/>
      <x:c r="S1538" s="124"/>
      <x:c r="T1538" s="124"/>
      <x:c r="U1538" s="124"/>
      <x:c r="V1538" s="124"/>
      <x:c r="W1538" s="124"/>
      <x:c r="X1538" s="124"/>
      <x:c r="AD1538"/>
      <x:c r="AE1538" s="145"/>
      <x:c r="AF1538" s="145"/>
      <x:c r="AG1538" s="145"/>
      <x:c r="AH1538" s="145"/>
      <x:c r="AI1538" s="145"/>
      <x:c r="AJ1538"/>
    </x:row>
    <x:row r="1539">
      <x:c r="F1539" s="124"/>
      <x:c r="G1539" s="124"/>
      <x:c r="H1539" s="124"/>
      <x:c r="I1539" s="124"/>
      <x:c r="J1539" s="124"/>
      <x:c r="M1539" s="126"/>
      <x:c r="P1539" s="126"/>
      <x:c r="Q1539" s="126"/>
      <x:c r="R1539" s="126"/>
      <x:c r="S1539" s="124"/>
      <x:c r="T1539" s="124"/>
      <x:c r="U1539" s="124"/>
      <x:c r="V1539" s="124"/>
      <x:c r="W1539" s="124"/>
      <x:c r="X1539" s="124"/>
      <x:c r="AD1539"/>
      <x:c r="AE1539" s="145"/>
      <x:c r="AF1539" s="145"/>
      <x:c r="AG1539" s="145"/>
      <x:c r="AH1539" s="145"/>
      <x:c r="AI1539" s="145"/>
      <x:c r="AJ1539"/>
    </x:row>
    <x:row r="1540">
      <x:c r="F1540" s="124"/>
      <x:c r="G1540" s="124"/>
      <x:c r="H1540" s="124"/>
      <x:c r="I1540" s="124"/>
      <x:c r="J1540" s="124"/>
      <x:c r="M1540" s="126"/>
      <x:c r="P1540" s="126"/>
      <x:c r="Q1540" s="126"/>
      <x:c r="R1540" s="126"/>
      <x:c r="S1540" s="124"/>
      <x:c r="T1540" s="124"/>
      <x:c r="U1540" s="124"/>
      <x:c r="V1540" s="124"/>
      <x:c r="W1540" s="124"/>
      <x:c r="X1540" s="124"/>
      <x:c r="AD1540"/>
      <x:c r="AE1540" s="145"/>
      <x:c r="AF1540" s="145"/>
      <x:c r="AG1540" s="145"/>
      <x:c r="AH1540" s="145"/>
      <x:c r="AI1540" s="145"/>
      <x:c r="AJ1540"/>
    </x:row>
    <x:row r="1541">
      <x:c r="F1541" s="124"/>
      <x:c r="G1541" s="124"/>
      <x:c r="H1541" s="124"/>
      <x:c r="I1541" s="124"/>
      <x:c r="J1541" s="124"/>
      <x:c r="M1541" s="126"/>
      <x:c r="P1541" s="126"/>
      <x:c r="Q1541" s="126"/>
      <x:c r="R1541" s="126"/>
      <x:c r="S1541" s="124"/>
      <x:c r="T1541" s="124"/>
      <x:c r="U1541" s="124"/>
      <x:c r="V1541" s="124"/>
      <x:c r="W1541" s="124"/>
      <x:c r="X1541" s="124"/>
      <x:c r="AD1541"/>
      <x:c r="AE1541" s="145"/>
      <x:c r="AF1541" s="145"/>
      <x:c r="AG1541" s="145"/>
      <x:c r="AH1541" s="145"/>
      <x:c r="AI1541" s="145"/>
      <x:c r="AJ1541"/>
    </x:row>
    <x:row r="1542">
      <x:c r="F1542" s="124"/>
      <x:c r="G1542" s="124"/>
      <x:c r="H1542" s="124"/>
      <x:c r="I1542" s="124"/>
      <x:c r="J1542" s="124"/>
      <x:c r="M1542" s="126"/>
      <x:c r="P1542" s="126"/>
      <x:c r="Q1542" s="126"/>
      <x:c r="R1542" s="126"/>
      <x:c r="S1542" s="124"/>
      <x:c r="T1542" s="124"/>
      <x:c r="U1542" s="124"/>
      <x:c r="V1542" s="124"/>
      <x:c r="W1542" s="124"/>
      <x:c r="X1542" s="124"/>
      <x:c r="AD1542"/>
      <x:c r="AE1542" s="145"/>
      <x:c r="AF1542" s="145"/>
      <x:c r="AG1542" s="145"/>
      <x:c r="AH1542" s="145"/>
      <x:c r="AI1542" s="145"/>
      <x:c r="AJ1542"/>
    </x:row>
    <x:row r="1543">
      <x:c r="F1543" s="124"/>
      <x:c r="G1543" s="124"/>
      <x:c r="H1543" s="124"/>
      <x:c r="I1543" s="124"/>
      <x:c r="J1543" s="124"/>
      <x:c r="M1543" s="126"/>
      <x:c r="P1543" s="126"/>
      <x:c r="Q1543" s="126"/>
      <x:c r="R1543" s="126"/>
      <x:c r="S1543" s="124"/>
      <x:c r="T1543" s="124"/>
      <x:c r="U1543" s="124"/>
      <x:c r="V1543" s="124"/>
      <x:c r="W1543" s="124"/>
      <x:c r="X1543" s="124"/>
      <x:c r="AD1543"/>
      <x:c r="AE1543" s="145"/>
      <x:c r="AF1543" s="145"/>
      <x:c r="AG1543" s="145"/>
      <x:c r="AH1543" s="145"/>
      <x:c r="AI1543" s="145"/>
      <x:c r="AJ1543"/>
    </x:row>
    <x:row r="1544">
      <x:c r="F1544" s="124"/>
      <x:c r="G1544" s="124"/>
      <x:c r="H1544" s="124"/>
      <x:c r="I1544" s="124"/>
      <x:c r="J1544" s="124"/>
      <x:c r="M1544" s="126"/>
      <x:c r="P1544" s="126"/>
      <x:c r="Q1544" s="126"/>
      <x:c r="R1544" s="126"/>
      <x:c r="S1544" s="124"/>
      <x:c r="T1544" s="124"/>
      <x:c r="U1544" s="124"/>
      <x:c r="V1544" s="124"/>
      <x:c r="W1544" s="124"/>
      <x:c r="X1544" s="124"/>
      <x:c r="AD1544"/>
      <x:c r="AE1544" s="145"/>
      <x:c r="AF1544" s="145"/>
      <x:c r="AG1544" s="145"/>
      <x:c r="AH1544" s="145"/>
      <x:c r="AI1544" s="145"/>
      <x:c r="AJ1544"/>
    </x:row>
    <x:row r="1545">
      <x:c r="F1545" s="124"/>
      <x:c r="G1545" s="124"/>
      <x:c r="H1545" s="124"/>
      <x:c r="I1545" s="124"/>
      <x:c r="J1545" s="124"/>
      <x:c r="M1545" s="126"/>
      <x:c r="P1545" s="126"/>
      <x:c r="Q1545" s="126"/>
      <x:c r="R1545" s="126"/>
      <x:c r="S1545" s="124"/>
      <x:c r="T1545" s="124"/>
      <x:c r="U1545" s="124"/>
      <x:c r="V1545" s="124"/>
      <x:c r="W1545" s="124"/>
      <x:c r="X1545" s="124"/>
      <x:c r="AD1545"/>
      <x:c r="AE1545" s="145"/>
      <x:c r="AF1545" s="145"/>
      <x:c r="AG1545" s="145"/>
      <x:c r="AH1545" s="145"/>
      <x:c r="AI1545" s="145"/>
      <x:c r="AJ1545"/>
    </x:row>
    <x:row r="1546">
      <x:c r="F1546" s="124"/>
      <x:c r="G1546" s="124"/>
      <x:c r="H1546" s="124"/>
      <x:c r="I1546" s="124"/>
      <x:c r="J1546" s="124"/>
      <x:c r="M1546" s="126"/>
      <x:c r="P1546" s="126"/>
      <x:c r="Q1546" s="126"/>
      <x:c r="R1546" s="126"/>
      <x:c r="S1546" s="124"/>
      <x:c r="T1546" s="124"/>
      <x:c r="U1546" s="124"/>
      <x:c r="V1546" s="124"/>
      <x:c r="W1546" s="124"/>
      <x:c r="X1546" s="124"/>
      <x:c r="AD1546"/>
      <x:c r="AE1546" s="145"/>
      <x:c r="AF1546" s="145"/>
      <x:c r="AG1546" s="145"/>
      <x:c r="AH1546" s="145"/>
      <x:c r="AI1546" s="145"/>
      <x:c r="AJ1546"/>
    </x:row>
    <x:row r="1547">
      <x:c r="F1547" s="124"/>
      <x:c r="G1547" s="124"/>
      <x:c r="H1547" s="124"/>
      <x:c r="I1547" s="124"/>
      <x:c r="J1547" s="124"/>
      <x:c r="M1547" s="126"/>
      <x:c r="P1547" s="126"/>
      <x:c r="Q1547" s="126"/>
      <x:c r="R1547" s="126"/>
      <x:c r="S1547" s="124"/>
      <x:c r="T1547" s="124"/>
      <x:c r="U1547" s="124"/>
      <x:c r="V1547" s="124"/>
      <x:c r="W1547" s="124"/>
      <x:c r="X1547" s="124"/>
      <x:c r="AD1547"/>
      <x:c r="AE1547" s="145"/>
      <x:c r="AF1547" s="145"/>
      <x:c r="AG1547" s="145"/>
      <x:c r="AH1547" s="145"/>
      <x:c r="AI1547" s="145"/>
      <x:c r="AJ1547"/>
    </x:row>
    <x:row r="1548">
      <x:c r="F1548" s="124"/>
      <x:c r="G1548" s="124"/>
      <x:c r="H1548" s="124"/>
      <x:c r="I1548" s="124"/>
      <x:c r="J1548" s="124"/>
      <x:c r="M1548" s="126"/>
      <x:c r="P1548" s="126"/>
      <x:c r="Q1548" s="126"/>
      <x:c r="R1548" s="126"/>
      <x:c r="S1548" s="124"/>
      <x:c r="T1548" s="124"/>
      <x:c r="U1548" s="124"/>
      <x:c r="V1548" s="124"/>
      <x:c r="W1548" s="124"/>
      <x:c r="X1548" s="124"/>
      <x:c r="AD1548"/>
      <x:c r="AE1548" s="145"/>
      <x:c r="AF1548" s="145"/>
      <x:c r="AG1548" s="145"/>
      <x:c r="AH1548" s="145"/>
      <x:c r="AI1548" s="145"/>
      <x:c r="AJ1548"/>
    </x:row>
    <x:row r="1549">
      <x:c r="F1549" s="124"/>
      <x:c r="G1549" s="124"/>
      <x:c r="H1549" s="124"/>
      <x:c r="I1549" s="124"/>
      <x:c r="J1549" s="124"/>
      <x:c r="M1549" s="126"/>
      <x:c r="P1549" s="126"/>
      <x:c r="Q1549" s="126"/>
      <x:c r="R1549" s="126"/>
      <x:c r="S1549" s="124"/>
      <x:c r="T1549" s="124"/>
      <x:c r="U1549" s="124"/>
      <x:c r="V1549" s="124"/>
      <x:c r="W1549" s="124"/>
      <x:c r="X1549" s="124"/>
      <x:c r="AD1549"/>
      <x:c r="AE1549" s="145"/>
      <x:c r="AF1549" s="145"/>
      <x:c r="AG1549" s="145"/>
      <x:c r="AH1549" s="145"/>
      <x:c r="AI1549" s="145"/>
      <x:c r="AJ1549"/>
    </x:row>
    <x:row r="1550">
      <x:c r="F1550" s="124"/>
      <x:c r="G1550" s="124"/>
      <x:c r="H1550" s="124"/>
      <x:c r="I1550" s="124"/>
      <x:c r="J1550" s="124"/>
      <x:c r="M1550" s="126"/>
      <x:c r="P1550" s="126"/>
      <x:c r="Q1550" s="126"/>
      <x:c r="R1550" s="126"/>
      <x:c r="S1550" s="124"/>
      <x:c r="T1550" s="124"/>
      <x:c r="U1550" s="124"/>
      <x:c r="V1550" s="124"/>
      <x:c r="W1550" s="124"/>
      <x:c r="X1550" s="124"/>
      <x:c r="AD1550"/>
      <x:c r="AE1550" s="145"/>
      <x:c r="AF1550" s="145"/>
      <x:c r="AG1550" s="145"/>
      <x:c r="AH1550" s="145"/>
      <x:c r="AI1550" s="145"/>
      <x:c r="AJ1550"/>
    </x:row>
    <x:row r="1551">
      <x:c r="F1551" s="124"/>
      <x:c r="G1551" s="124"/>
      <x:c r="H1551" s="124"/>
      <x:c r="I1551" s="124"/>
      <x:c r="J1551" s="124"/>
      <x:c r="M1551" s="126"/>
      <x:c r="P1551" s="126"/>
      <x:c r="Q1551" s="126"/>
      <x:c r="R1551" s="126"/>
      <x:c r="S1551" s="124"/>
      <x:c r="T1551" s="124"/>
      <x:c r="U1551" s="124"/>
      <x:c r="V1551" s="124"/>
      <x:c r="W1551" s="124"/>
      <x:c r="X1551" s="124"/>
      <x:c r="AD1551"/>
      <x:c r="AE1551" s="145"/>
      <x:c r="AF1551" s="145"/>
      <x:c r="AG1551" s="145"/>
      <x:c r="AH1551" s="145"/>
      <x:c r="AI1551" s="145"/>
      <x:c r="AJ1551"/>
    </x:row>
    <x:row r="1552">
      <x:c r="F1552" s="124"/>
      <x:c r="G1552" s="124"/>
      <x:c r="H1552" s="124"/>
      <x:c r="I1552" s="124"/>
      <x:c r="J1552" s="124"/>
      <x:c r="M1552" s="126"/>
      <x:c r="P1552" s="126"/>
      <x:c r="Q1552" s="126"/>
      <x:c r="R1552" s="126"/>
      <x:c r="S1552" s="124"/>
      <x:c r="T1552" s="124"/>
      <x:c r="U1552" s="124"/>
      <x:c r="V1552" s="124"/>
      <x:c r="W1552" s="124"/>
      <x:c r="X1552" s="124"/>
      <x:c r="AD1552"/>
      <x:c r="AE1552" s="145"/>
      <x:c r="AF1552" s="145"/>
      <x:c r="AG1552" s="145"/>
      <x:c r="AH1552" s="145"/>
      <x:c r="AI1552" s="145"/>
      <x:c r="AJ1552"/>
    </x:row>
    <x:row r="1553">
      <x:c r="F1553" s="124"/>
      <x:c r="G1553" s="124"/>
      <x:c r="H1553" s="124"/>
      <x:c r="I1553" s="124"/>
      <x:c r="J1553" s="124"/>
      <x:c r="M1553" s="126"/>
      <x:c r="P1553" s="126"/>
      <x:c r="Q1553" s="126"/>
      <x:c r="R1553" s="126"/>
      <x:c r="S1553" s="124"/>
      <x:c r="T1553" s="124"/>
      <x:c r="U1553" s="124"/>
      <x:c r="V1553" s="124"/>
      <x:c r="W1553" s="124"/>
      <x:c r="X1553" s="124"/>
      <x:c r="AD1553"/>
      <x:c r="AE1553" s="145"/>
      <x:c r="AF1553" s="145"/>
      <x:c r="AG1553" s="145"/>
      <x:c r="AH1553" s="145"/>
      <x:c r="AI1553" s="145"/>
      <x:c r="AJ1553"/>
    </x:row>
    <x:row r="1554">
      <x:c r="F1554" s="124"/>
      <x:c r="G1554" s="124"/>
      <x:c r="H1554" s="124"/>
      <x:c r="I1554" s="124"/>
      <x:c r="J1554" s="124"/>
      <x:c r="M1554" s="126"/>
      <x:c r="P1554" s="126"/>
      <x:c r="Q1554" s="126"/>
      <x:c r="R1554" s="126"/>
      <x:c r="S1554" s="124"/>
      <x:c r="T1554" s="124"/>
      <x:c r="U1554" s="124"/>
      <x:c r="V1554" s="124"/>
      <x:c r="W1554" s="124"/>
      <x:c r="X1554" s="124"/>
      <x:c r="AD1554"/>
      <x:c r="AE1554" s="145"/>
      <x:c r="AF1554" s="145"/>
      <x:c r="AG1554" s="145"/>
      <x:c r="AH1554" s="145"/>
      <x:c r="AI1554" s="145"/>
      <x:c r="AJ1554"/>
    </x:row>
    <x:row r="1555">
      <x:c r="F1555" s="124"/>
      <x:c r="G1555" s="124"/>
      <x:c r="H1555" s="124"/>
      <x:c r="I1555" s="124"/>
      <x:c r="J1555" s="124"/>
      <x:c r="M1555" s="126"/>
      <x:c r="P1555" s="126"/>
      <x:c r="Q1555" s="126"/>
      <x:c r="R1555" s="126"/>
      <x:c r="S1555" s="124"/>
      <x:c r="T1555" s="124"/>
      <x:c r="U1555" s="124"/>
      <x:c r="V1555" s="124"/>
      <x:c r="W1555" s="124"/>
      <x:c r="X1555" s="124"/>
      <x:c r="AD1555"/>
      <x:c r="AE1555" s="145"/>
      <x:c r="AF1555" s="145"/>
      <x:c r="AG1555" s="145"/>
      <x:c r="AH1555" s="145"/>
      <x:c r="AI1555" s="145"/>
      <x:c r="AJ1555"/>
    </x:row>
    <x:row r="1556">
      <x:c r="F1556" s="124"/>
      <x:c r="G1556" s="124"/>
      <x:c r="H1556" s="124"/>
      <x:c r="I1556" s="124"/>
      <x:c r="J1556" s="124"/>
      <x:c r="M1556" s="126"/>
      <x:c r="P1556" s="126"/>
      <x:c r="Q1556" s="126"/>
      <x:c r="R1556" s="126"/>
      <x:c r="S1556" s="124"/>
      <x:c r="T1556" s="124"/>
      <x:c r="U1556" s="124"/>
      <x:c r="V1556" s="124"/>
      <x:c r="W1556" s="124"/>
      <x:c r="X1556" s="124"/>
      <x:c r="AD1556"/>
      <x:c r="AE1556" s="145"/>
      <x:c r="AF1556" s="145"/>
      <x:c r="AG1556" s="145"/>
      <x:c r="AH1556" s="145"/>
      <x:c r="AI1556" s="145"/>
      <x:c r="AJ1556"/>
    </x:row>
    <x:row r="1557">
      <x:c r="F1557" s="124"/>
      <x:c r="G1557" s="124"/>
      <x:c r="H1557" s="124"/>
      <x:c r="I1557" s="124"/>
      <x:c r="J1557" s="124"/>
      <x:c r="M1557" s="126"/>
      <x:c r="P1557" s="126"/>
      <x:c r="Q1557" s="126"/>
      <x:c r="R1557" s="126"/>
      <x:c r="S1557" s="124"/>
      <x:c r="T1557" s="124"/>
      <x:c r="U1557" s="124"/>
      <x:c r="V1557" s="124"/>
      <x:c r="W1557" s="124"/>
      <x:c r="X1557" s="124"/>
      <x:c r="AD1557"/>
      <x:c r="AE1557" s="145"/>
      <x:c r="AF1557" s="145"/>
      <x:c r="AG1557" s="145"/>
      <x:c r="AH1557" s="145"/>
      <x:c r="AI1557" s="145"/>
      <x:c r="AJ1557"/>
    </x:row>
    <x:row r="1558">
      <x:c r="F1558" s="124"/>
      <x:c r="G1558" s="124"/>
      <x:c r="H1558" s="124"/>
      <x:c r="I1558" s="124"/>
      <x:c r="J1558" s="124"/>
      <x:c r="M1558" s="126"/>
      <x:c r="P1558" s="126"/>
      <x:c r="Q1558" s="126"/>
      <x:c r="R1558" s="126"/>
      <x:c r="S1558" s="124"/>
      <x:c r="T1558" s="124"/>
      <x:c r="U1558" s="124"/>
      <x:c r="V1558" s="124"/>
      <x:c r="W1558" s="124"/>
      <x:c r="X1558" s="124"/>
      <x:c r="AD1558"/>
      <x:c r="AE1558" s="145"/>
      <x:c r="AF1558" s="145"/>
      <x:c r="AG1558" s="145"/>
      <x:c r="AH1558" s="145"/>
      <x:c r="AI1558" s="145"/>
      <x:c r="AJ1558"/>
    </x:row>
    <x:row r="1559">
      <x:c r="F1559" s="124"/>
      <x:c r="G1559" s="124"/>
      <x:c r="H1559" s="124"/>
      <x:c r="I1559" s="124"/>
      <x:c r="J1559" s="124"/>
      <x:c r="M1559" s="126"/>
      <x:c r="P1559" s="126"/>
      <x:c r="Q1559" s="126"/>
      <x:c r="R1559" s="126"/>
      <x:c r="S1559" s="124"/>
      <x:c r="T1559" s="124"/>
      <x:c r="U1559" s="124"/>
      <x:c r="V1559" s="124"/>
      <x:c r="W1559" s="124"/>
      <x:c r="X1559" s="124"/>
      <x:c r="AD1559"/>
      <x:c r="AE1559" s="145"/>
      <x:c r="AF1559" s="145"/>
      <x:c r="AG1559" s="145"/>
      <x:c r="AH1559" s="145"/>
      <x:c r="AI1559" s="145"/>
      <x:c r="AJ1559"/>
    </x:row>
    <x:row r="1560">
      <x:c r="F1560" s="124"/>
      <x:c r="G1560" s="124"/>
      <x:c r="H1560" s="124"/>
      <x:c r="I1560" s="124"/>
      <x:c r="J1560" s="124"/>
      <x:c r="M1560" s="126"/>
      <x:c r="P1560" s="126"/>
      <x:c r="Q1560" s="126"/>
      <x:c r="R1560" s="126"/>
      <x:c r="S1560" s="124"/>
      <x:c r="T1560" s="124"/>
      <x:c r="U1560" s="124"/>
      <x:c r="V1560" s="124"/>
      <x:c r="W1560" s="124"/>
      <x:c r="X1560" s="124"/>
      <x:c r="AD1560"/>
      <x:c r="AE1560" s="145"/>
      <x:c r="AF1560" s="145"/>
      <x:c r="AG1560" s="145"/>
      <x:c r="AH1560" s="145"/>
      <x:c r="AI1560" s="145"/>
      <x:c r="AJ1560"/>
    </x:row>
    <x:row r="1561">
      <x:c r="F1561" s="124"/>
      <x:c r="G1561" s="124"/>
      <x:c r="H1561" s="124"/>
      <x:c r="I1561" s="124"/>
      <x:c r="J1561" s="124"/>
      <x:c r="M1561" s="126"/>
      <x:c r="P1561" s="126"/>
      <x:c r="Q1561" s="126"/>
      <x:c r="R1561" s="126"/>
      <x:c r="S1561" s="124"/>
      <x:c r="T1561" s="124"/>
      <x:c r="U1561" s="124"/>
      <x:c r="V1561" s="124"/>
      <x:c r="W1561" s="124"/>
      <x:c r="X1561" s="124"/>
      <x:c r="AD1561"/>
      <x:c r="AE1561" s="145"/>
      <x:c r="AF1561" s="145"/>
      <x:c r="AG1561" s="145"/>
      <x:c r="AH1561" s="145"/>
      <x:c r="AI1561" s="145"/>
      <x:c r="AJ1561"/>
    </x:row>
    <x:row r="1562">
      <x:c r="F1562" s="124"/>
      <x:c r="G1562" s="124"/>
      <x:c r="H1562" s="124"/>
      <x:c r="I1562" s="124"/>
      <x:c r="J1562" s="124"/>
      <x:c r="M1562" s="126"/>
      <x:c r="P1562" s="126"/>
      <x:c r="Q1562" s="126"/>
      <x:c r="R1562" s="126"/>
      <x:c r="S1562" s="124"/>
      <x:c r="T1562" s="124"/>
      <x:c r="U1562" s="124"/>
      <x:c r="V1562" s="124"/>
      <x:c r="W1562" s="124"/>
      <x:c r="X1562" s="124"/>
      <x:c r="AD1562"/>
      <x:c r="AE1562" s="145"/>
      <x:c r="AF1562" s="145"/>
      <x:c r="AG1562" s="145"/>
      <x:c r="AH1562" s="145"/>
      <x:c r="AI1562" s="145"/>
      <x:c r="AJ1562"/>
    </x:row>
    <x:row r="1563">
      <x:c r="F1563" s="124"/>
      <x:c r="G1563" s="124"/>
      <x:c r="H1563" s="124"/>
      <x:c r="I1563" s="124"/>
      <x:c r="J1563" s="124"/>
      <x:c r="M1563" s="126"/>
      <x:c r="P1563" s="126"/>
      <x:c r="Q1563" s="126"/>
      <x:c r="R1563" s="126"/>
      <x:c r="S1563" s="124"/>
      <x:c r="T1563" s="124"/>
      <x:c r="U1563" s="124"/>
      <x:c r="V1563" s="124"/>
      <x:c r="W1563" s="124"/>
      <x:c r="X1563" s="124"/>
      <x:c r="AD1563"/>
      <x:c r="AE1563" s="145"/>
      <x:c r="AF1563" s="145"/>
      <x:c r="AG1563" s="145"/>
      <x:c r="AH1563" s="145"/>
      <x:c r="AI1563" s="145"/>
      <x:c r="AJ1563"/>
    </x:row>
    <x:row r="1564">
      <x:c r="F1564" s="124"/>
      <x:c r="G1564" s="124"/>
      <x:c r="H1564" s="124"/>
      <x:c r="I1564" s="124"/>
      <x:c r="J1564" s="124"/>
      <x:c r="M1564" s="126"/>
      <x:c r="P1564" s="126"/>
      <x:c r="Q1564" s="126"/>
      <x:c r="R1564" s="126"/>
      <x:c r="S1564" s="124"/>
      <x:c r="T1564" s="124"/>
      <x:c r="U1564" s="124"/>
      <x:c r="V1564" s="124"/>
      <x:c r="W1564" s="124"/>
      <x:c r="X1564" s="124"/>
      <x:c r="AD1564"/>
      <x:c r="AE1564" s="145"/>
      <x:c r="AF1564" s="145"/>
      <x:c r="AG1564" s="145"/>
      <x:c r="AH1564" s="145"/>
      <x:c r="AI1564" s="145"/>
      <x:c r="AJ1564"/>
    </x:row>
    <x:row r="1565">
      <x:c r="F1565" s="124"/>
      <x:c r="G1565" s="124"/>
      <x:c r="H1565" s="124"/>
      <x:c r="I1565" s="124"/>
      <x:c r="J1565" s="124"/>
      <x:c r="M1565" s="126"/>
      <x:c r="P1565" s="126"/>
      <x:c r="Q1565" s="126"/>
      <x:c r="R1565" s="126"/>
      <x:c r="S1565" s="124"/>
      <x:c r="T1565" s="124"/>
      <x:c r="U1565" s="124"/>
      <x:c r="V1565" s="124"/>
      <x:c r="W1565" s="124"/>
      <x:c r="X1565" s="124"/>
      <x:c r="AD1565"/>
      <x:c r="AE1565" s="145"/>
      <x:c r="AF1565" s="145"/>
      <x:c r="AG1565" s="145"/>
      <x:c r="AH1565" s="145"/>
      <x:c r="AI1565" s="145"/>
      <x:c r="AJ1565"/>
    </x:row>
    <x:row r="1566">
      <x:c r="F1566" s="124"/>
      <x:c r="G1566" s="124"/>
      <x:c r="H1566" s="124"/>
      <x:c r="I1566" s="124"/>
      <x:c r="J1566" s="124"/>
      <x:c r="M1566" s="126"/>
      <x:c r="P1566" s="126"/>
      <x:c r="Q1566" s="126"/>
      <x:c r="R1566" s="126"/>
      <x:c r="S1566" s="124"/>
      <x:c r="T1566" s="124"/>
      <x:c r="U1566" s="124"/>
      <x:c r="V1566" s="124"/>
      <x:c r="W1566" s="124"/>
      <x:c r="X1566" s="124"/>
      <x:c r="AD1566"/>
      <x:c r="AE1566" s="145"/>
      <x:c r="AF1566" s="145"/>
      <x:c r="AG1566" s="145"/>
      <x:c r="AH1566" s="145"/>
      <x:c r="AI1566" s="145"/>
      <x:c r="AJ1566"/>
    </x:row>
    <x:row r="1567">
      <x:c r="F1567" s="124"/>
      <x:c r="G1567" s="124"/>
      <x:c r="H1567" s="124"/>
      <x:c r="I1567" s="124"/>
      <x:c r="J1567" s="124"/>
      <x:c r="M1567" s="126"/>
      <x:c r="P1567" s="126"/>
      <x:c r="Q1567" s="126"/>
      <x:c r="R1567" s="126"/>
      <x:c r="S1567" s="124"/>
      <x:c r="T1567" s="124"/>
      <x:c r="U1567" s="124"/>
      <x:c r="V1567" s="124"/>
      <x:c r="W1567" s="124"/>
      <x:c r="X1567" s="124"/>
      <x:c r="AD1567"/>
      <x:c r="AE1567" s="145"/>
      <x:c r="AF1567" s="145"/>
      <x:c r="AG1567" s="145"/>
      <x:c r="AH1567" s="145"/>
      <x:c r="AI1567" s="145"/>
      <x:c r="AJ1567"/>
    </x:row>
    <x:row r="1568">
      <x:c r="F1568" s="124"/>
      <x:c r="G1568" s="124"/>
      <x:c r="H1568" s="124"/>
      <x:c r="I1568" s="124"/>
      <x:c r="J1568" s="124"/>
      <x:c r="M1568" s="126"/>
      <x:c r="P1568" s="126"/>
      <x:c r="Q1568" s="126"/>
      <x:c r="R1568" s="126"/>
      <x:c r="S1568" s="124"/>
      <x:c r="T1568" s="124"/>
      <x:c r="U1568" s="124"/>
      <x:c r="V1568" s="124"/>
      <x:c r="W1568" s="124"/>
      <x:c r="X1568" s="124"/>
      <x:c r="AD1568"/>
      <x:c r="AE1568" s="145"/>
      <x:c r="AF1568" s="145"/>
      <x:c r="AG1568" s="145"/>
      <x:c r="AH1568" s="145"/>
      <x:c r="AI1568" s="145"/>
      <x:c r="AJ1568"/>
    </x:row>
    <x:row r="1569">
      <x:c r="F1569" s="124"/>
      <x:c r="G1569" s="124"/>
      <x:c r="H1569" s="124"/>
      <x:c r="I1569" s="124"/>
      <x:c r="J1569" s="124"/>
      <x:c r="M1569" s="126"/>
      <x:c r="P1569" s="126"/>
      <x:c r="Q1569" s="126"/>
      <x:c r="R1569" s="126"/>
      <x:c r="S1569" s="124"/>
      <x:c r="T1569" s="124"/>
      <x:c r="U1569" s="124"/>
      <x:c r="V1569" s="124"/>
      <x:c r="W1569" s="124"/>
      <x:c r="X1569" s="124"/>
      <x:c r="AD1569"/>
      <x:c r="AE1569" s="145"/>
      <x:c r="AF1569" s="145"/>
      <x:c r="AG1569" s="145"/>
      <x:c r="AH1569" s="145"/>
      <x:c r="AI1569" s="145"/>
      <x:c r="AJ1569"/>
    </x:row>
    <x:row r="1570">
      <x:c r="F1570" s="124"/>
      <x:c r="G1570" s="124"/>
      <x:c r="H1570" s="124"/>
      <x:c r="I1570" s="124"/>
      <x:c r="J1570" s="124"/>
      <x:c r="M1570" s="126"/>
      <x:c r="P1570" s="126"/>
      <x:c r="Q1570" s="126"/>
      <x:c r="R1570" s="126"/>
      <x:c r="S1570" s="124"/>
      <x:c r="T1570" s="124"/>
      <x:c r="U1570" s="124"/>
      <x:c r="V1570" s="124"/>
      <x:c r="W1570" s="124"/>
      <x:c r="X1570" s="124"/>
      <x:c r="AD1570"/>
      <x:c r="AE1570" s="145"/>
      <x:c r="AF1570" s="145"/>
      <x:c r="AG1570" s="145"/>
      <x:c r="AH1570" s="145"/>
      <x:c r="AI1570" s="145"/>
      <x:c r="AJ1570"/>
    </x:row>
    <x:row r="1571">
      <x:c r="F1571" s="124"/>
      <x:c r="G1571" s="124"/>
      <x:c r="H1571" s="124"/>
      <x:c r="I1571" s="124"/>
      <x:c r="J1571" s="124"/>
      <x:c r="M1571" s="126"/>
      <x:c r="P1571" s="126"/>
      <x:c r="Q1571" s="126"/>
      <x:c r="R1571" s="126"/>
      <x:c r="S1571" s="124"/>
      <x:c r="T1571" s="124"/>
      <x:c r="U1571" s="124"/>
      <x:c r="V1571" s="124"/>
      <x:c r="W1571" s="124"/>
      <x:c r="X1571" s="124"/>
      <x:c r="AD1571"/>
      <x:c r="AE1571" s="145"/>
      <x:c r="AF1571" s="145"/>
      <x:c r="AG1571" s="145"/>
      <x:c r="AH1571" s="145"/>
      <x:c r="AI1571" s="145"/>
      <x:c r="AJ1571"/>
    </x:row>
    <x:row r="1572">
      <x:c r="F1572" s="124"/>
      <x:c r="G1572" s="124"/>
      <x:c r="H1572" s="124"/>
      <x:c r="I1572" s="124"/>
      <x:c r="J1572" s="124"/>
      <x:c r="M1572" s="126"/>
      <x:c r="P1572" s="126"/>
      <x:c r="Q1572" s="126"/>
      <x:c r="R1572" s="126"/>
      <x:c r="S1572" s="124"/>
      <x:c r="T1572" s="124"/>
      <x:c r="U1572" s="124"/>
      <x:c r="V1572" s="124"/>
      <x:c r="W1572" s="124"/>
      <x:c r="X1572" s="124"/>
      <x:c r="AD1572"/>
      <x:c r="AE1572" s="145"/>
      <x:c r="AF1572" s="145"/>
      <x:c r="AG1572" s="145"/>
      <x:c r="AH1572" s="145"/>
      <x:c r="AI1572" s="145"/>
      <x:c r="AJ1572"/>
    </x:row>
    <x:row r="1573">
      <x:c r="F1573" s="124"/>
      <x:c r="G1573" s="124"/>
      <x:c r="H1573" s="124"/>
      <x:c r="I1573" s="124"/>
      <x:c r="J1573" s="124"/>
      <x:c r="M1573" s="126"/>
      <x:c r="P1573" s="126"/>
      <x:c r="Q1573" s="126"/>
      <x:c r="R1573" s="126"/>
      <x:c r="S1573" s="124"/>
      <x:c r="T1573" s="124"/>
      <x:c r="U1573" s="124"/>
      <x:c r="V1573" s="124"/>
      <x:c r="W1573" s="124"/>
      <x:c r="X1573" s="124"/>
      <x:c r="AD1573"/>
      <x:c r="AE1573" s="145"/>
      <x:c r="AF1573" s="145"/>
      <x:c r="AG1573" s="145"/>
      <x:c r="AH1573" s="145"/>
      <x:c r="AI1573" s="145"/>
      <x:c r="AJ1573"/>
    </x:row>
    <x:row r="1574">
      <x:c r="F1574" s="124"/>
      <x:c r="G1574" s="124"/>
      <x:c r="H1574" s="124"/>
      <x:c r="I1574" s="124"/>
      <x:c r="J1574" s="124"/>
      <x:c r="M1574" s="126"/>
      <x:c r="P1574" s="126"/>
      <x:c r="Q1574" s="126"/>
      <x:c r="R1574" s="126"/>
      <x:c r="S1574" s="124"/>
      <x:c r="T1574" s="124"/>
      <x:c r="U1574" s="124"/>
      <x:c r="V1574" s="124"/>
      <x:c r="W1574" s="124"/>
      <x:c r="X1574" s="124"/>
      <x:c r="AD1574"/>
      <x:c r="AE1574" s="145"/>
      <x:c r="AF1574" s="145"/>
      <x:c r="AG1574" s="145"/>
      <x:c r="AH1574" s="145"/>
      <x:c r="AI1574" s="145"/>
      <x:c r="AJ1574"/>
    </x:row>
    <x:row r="1575">
      <x:c r="F1575" s="124"/>
      <x:c r="G1575" s="124"/>
      <x:c r="H1575" s="124"/>
      <x:c r="I1575" s="124"/>
      <x:c r="J1575" s="124"/>
      <x:c r="M1575" s="126"/>
      <x:c r="P1575" s="126"/>
      <x:c r="Q1575" s="126"/>
      <x:c r="R1575" s="126"/>
      <x:c r="S1575" s="124"/>
      <x:c r="T1575" s="124"/>
      <x:c r="U1575" s="124"/>
      <x:c r="V1575" s="124"/>
      <x:c r="W1575" s="124"/>
      <x:c r="X1575" s="124"/>
      <x:c r="AD1575"/>
      <x:c r="AE1575" s="145"/>
      <x:c r="AF1575" s="145"/>
      <x:c r="AG1575" s="145"/>
      <x:c r="AH1575" s="145"/>
      <x:c r="AI1575" s="145"/>
      <x:c r="AJ1575"/>
    </x:row>
    <x:row r="1576">
      <x:c r="F1576" s="124"/>
      <x:c r="G1576" s="124"/>
      <x:c r="H1576" s="124"/>
      <x:c r="I1576" s="124"/>
      <x:c r="J1576" s="124"/>
      <x:c r="M1576" s="126"/>
      <x:c r="P1576" s="126"/>
      <x:c r="Q1576" s="126"/>
      <x:c r="R1576" s="126"/>
      <x:c r="S1576" s="124"/>
      <x:c r="T1576" s="124"/>
      <x:c r="U1576" s="124"/>
      <x:c r="V1576" s="124"/>
      <x:c r="W1576" s="124"/>
      <x:c r="X1576" s="124"/>
      <x:c r="AD1576"/>
      <x:c r="AE1576" s="145"/>
      <x:c r="AF1576" s="145"/>
      <x:c r="AG1576" s="145"/>
      <x:c r="AH1576" s="145"/>
      <x:c r="AI1576" s="145"/>
      <x:c r="AJ1576"/>
    </x:row>
    <x:row r="1577">
      <x:c r="F1577" s="124"/>
      <x:c r="G1577" s="124"/>
      <x:c r="H1577" s="124"/>
      <x:c r="I1577" s="124"/>
      <x:c r="J1577" s="124"/>
      <x:c r="M1577" s="126"/>
      <x:c r="P1577" s="126"/>
      <x:c r="Q1577" s="126"/>
      <x:c r="R1577" s="126"/>
      <x:c r="S1577" s="124"/>
      <x:c r="T1577" s="124"/>
      <x:c r="U1577" s="124"/>
      <x:c r="V1577" s="124"/>
      <x:c r="W1577" s="124"/>
      <x:c r="X1577" s="124"/>
      <x:c r="AD1577"/>
      <x:c r="AE1577" s="145"/>
      <x:c r="AF1577" s="145"/>
      <x:c r="AG1577" s="145"/>
      <x:c r="AH1577" s="145"/>
      <x:c r="AI1577" s="145"/>
      <x:c r="AJ1577"/>
    </x:row>
    <x:row r="1578">
      <x:c r="F1578" s="124"/>
      <x:c r="G1578" s="124"/>
      <x:c r="H1578" s="124"/>
      <x:c r="I1578" s="124"/>
      <x:c r="J1578" s="124"/>
      <x:c r="M1578" s="126"/>
      <x:c r="P1578" s="126"/>
      <x:c r="Q1578" s="126"/>
      <x:c r="R1578" s="126"/>
      <x:c r="S1578" s="124"/>
      <x:c r="T1578" s="124"/>
      <x:c r="U1578" s="124"/>
      <x:c r="V1578" s="124"/>
      <x:c r="W1578" s="124"/>
      <x:c r="X1578" s="124"/>
      <x:c r="AD1578"/>
      <x:c r="AE1578" s="145"/>
      <x:c r="AF1578" s="145"/>
      <x:c r="AG1578" s="145"/>
      <x:c r="AH1578" s="145"/>
      <x:c r="AI1578" s="145"/>
      <x:c r="AJ1578"/>
    </x:row>
    <x:row r="1579">
      <x:c r="F1579" s="124"/>
      <x:c r="G1579" s="124"/>
      <x:c r="H1579" s="124"/>
      <x:c r="I1579" s="124"/>
      <x:c r="J1579" s="124"/>
      <x:c r="M1579" s="126"/>
      <x:c r="P1579" s="126"/>
      <x:c r="Q1579" s="126"/>
      <x:c r="R1579" s="126"/>
      <x:c r="S1579" s="124"/>
      <x:c r="T1579" s="124"/>
      <x:c r="U1579" s="124"/>
      <x:c r="V1579" s="124"/>
      <x:c r="W1579" s="124"/>
      <x:c r="X1579" s="124"/>
      <x:c r="AD1579"/>
      <x:c r="AE1579" s="145"/>
      <x:c r="AF1579" s="145"/>
      <x:c r="AG1579" s="145"/>
      <x:c r="AH1579" s="145"/>
      <x:c r="AI1579" s="145"/>
      <x:c r="AJ1579"/>
    </x:row>
    <x:row r="1580">
      <x:c r="F1580" s="124"/>
      <x:c r="G1580" s="124"/>
      <x:c r="H1580" s="124"/>
      <x:c r="I1580" s="124"/>
      <x:c r="J1580" s="124"/>
      <x:c r="M1580" s="126"/>
      <x:c r="P1580" s="126"/>
      <x:c r="Q1580" s="126"/>
      <x:c r="R1580" s="126"/>
      <x:c r="S1580" s="124"/>
      <x:c r="T1580" s="124"/>
      <x:c r="U1580" s="124"/>
      <x:c r="V1580" s="124"/>
      <x:c r="W1580" s="124"/>
      <x:c r="X1580" s="124"/>
      <x:c r="AD1580"/>
      <x:c r="AE1580" s="145"/>
      <x:c r="AF1580" s="145"/>
      <x:c r="AG1580" s="145"/>
      <x:c r="AH1580" s="145"/>
      <x:c r="AI1580" s="145"/>
      <x:c r="AJ1580"/>
    </x:row>
    <x:row r="1581">
      <x:c r="F1581" s="124"/>
      <x:c r="G1581" s="124"/>
      <x:c r="H1581" s="124"/>
      <x:c r="I1581" s="124"/>
      <x:c r="J1581" s="124"/>
      <x:c r="M1581" s="126"/>
      <x:c r="P1581" s="126"/>
      <x:c r="Q1581" s="126"/>
      <x:c r="R1581" s="126"/>
      <x:c r="S1581" s="124"/>
      <x:c r="T1581" s="124"/>
      <x:c r="U1581" s="124"/>
      <x:c r="V1581" s="124"/>
      <x:c r="W1581" s="124"/>
      <x:c r="X1581" s="124"/>
      <x:c r="AD1581"/>
      <x:c r="AE1581" s="145"/>
      <x:c r="AF1581" s="145"/>
      <x:c r="AG1581" s="145"/>
      <x:c r="AH1581" s="145"/>
      <x:c r="AI1581" s="145"/>
      <x:c r="AJ1581"/>
    </x:row>
    <x:row r="1582">
      <x:c r="F1582" s="124"/>
      <x:c r="G1582" s="124"/>
      <x:c r="H1582" s="124"/>
      <x:c r="I1582" s="124"/>
      <x:c r="J1582" s="124"/>
      <x:c r="M1582" s="126"/>
      <x:c r="P1582" s="126"/>
      <x:c r="Q1582" s="126"/>
      <x:c r="R1582" s="126"/>
      <x:c r="S1582" s="124"/>
      <x:c r="T1582" s="124"/>
      <x:c r="U1582" s="124"/>
      <x:c r="V1582" s="124"/>
      <x:c r="W1582" s="124"/>
      <x:c r="X1582" s="124"/>
      <x:c r="AD1582"/>
      <x:c r="AE1582" s="145"/>
      <x:c r="AF1582" s="145"/>
      <x:c r="AG1582" s="145"/>
      <x:c r="AH1582" s="145"/>
      <x:c r="AI1582" s="145"/>
      <x:c r="AJ1582"/>
    </x:row>
    <x:row r="1583">
      <x:c r="F1583" s="124"/>
      <x:c r="G1583" s="124"/>
      <x:c r="H1583" s="124"/>
      <x:c r="I1583" s="124"/>
      <x:c r="J1583" s="124"/>
      <x:c r="M1583" s="126"/>
      <x:c r="P1583" s="126"/>
      <x:c r="Q1583" s="126"/>
      <x:c r="R1583" s="126"/>
      <x:c r="S1583" s="124"/>
      <x:c r="T1583" s="124"/>
      <x:c r="U1583" s="124"/>
      <x:c r="V1583" s="124"/>
      <x:c r="W1583" s="124"/>
      <x:c r="X1583" s="124"/>
      <x:c r="AD1583"/>
      <x:c r="AE1583" s="145"/>
      <x:c r="AF1583" s="145"/>
      <x:c r="AG1583" s="145"/>
      <x:c r="AH1583" s="145"/>
      <x:c r="AI1583" s="145"/>
      <x:c r="AJ1583"/>
    </x:row>
    <x:row r="1584">
      <x:c r="F1584" s="124"/>
      <x:c r="G1584" s="124"/>
      <x:c r="H1584" s="124"/>
      <x:c r="I1584" s="124"/>
      <x:c r="J1584" s="124"/>
      <x:c r="M1584" s="126"/>
      <x:c r="P1584" s="126"/>
      <x:c r="Q1584" s="126"/>
      <x:c r="R1584" s="126"/>
      <x:c r="S1584" s="124"/>
      <x:c r="T1584" s="124"/>
      <x:c r="U1584" s="124"/>
      <x:c r="V1584" s="124"/>
      <x:c r="W1584" s="124"/>
      <x:c r="X1584" s="124"/>
      <x:c r="AD1584"/>
      <x:c r="AE1584" s="145"/>
      <x:c r="AF1584" s="145"/>
      <x:c r="AG1584" s="145"/>
      <x:c r="AH1584" s="145"/>
      <x:c r="AI1584" s="145"/>
      <x:c r="AJ1584"/>
    </x:row>
    <x:row r="1585">
      <x:c r="F1585" s="124"/>
      <x:c r="G1585" s="124"/>
      <x:c r="H1585" s="124"/>
      <x:c r="I1585" s="124"/>
      <x:c r="J1585" s="124"/>
      <x:c r="M1585" s="126"/>
      <x:c r="P1585" s="126"/>
      <x:c r="Q1585" s="126"/>
      <x:c r="R1585" s="126"/>
      <x:c r="S1585" s="124"/>
      <x:c r="T1585" s="124"/>
      <x:c r="U1585" s="124"/>
      <x:c r="V1585" s="124"/>
      <x:c r="W1585" s="124"/>
      <x:c r="X1585" s="124"/>
      <x:c r="AD1585"/>
      <x:c r="AE1585" s="145"/>
      <x:c r="AF1585" s="145"/>
      <x:c r="AG1585" s="145"/>
      <x:c r="AH1585" s="145"/>
      <x:c r="AI1585" s="145"/>
      <x:c r="AJ1585"/>
    </x:row>
    <x:row r="1586">
      <x:c r="F1586" s="124"/>
      <x:c r="G1586" s="124"/>
      <x:c r="H1586" s="124"/>
      <x:c r="I1586" s="124"/>
      <x:c r="J1586" s="124"/>
      <x:c r="M1586" s="126"/>
      <x:c r="P1586" s="126"/>
      <x:c r="Q1586" s="126"/>
      <x:c r="R1586" s="126"/>
      <x:c r="S1586" s="124"/>
      <x:c r="T1586" s="124"/>
      <x:c r="U1586" s="124"/>
      <x:c r="V1586" s="124"/>
      <x:c r="W1586" s="124"/>
      <x:c r="X1586" s="124"/>
      <x:c r="AD1586"/>
      <x:c r="AE1586" s="145"/>
      <x:c r="AF1586" s="145"/>
      <x:c r="AG1586" s="145"/>
      <x:c r="AH1586" s="145"/>
      <x:c r="AI1586" s="145"/>
      <x:c r="AJ1586"/>
    </x:row>
    <x:row r="1587">
      <x:c r="F1587" s="124"/>
      <x:c r="G1587" s="124"/>
      <x:c r="H1587" s="124"/>
      <x:c r="I1587" s="124"/>
      <x:c r="J1587" s="124"/>
      <x:c r="M1587" s="126"/>
      <x:c r="P1587" s="126"/>
      <x:c r="Q1587" s="126"/>
      <x:c r="R1587" s="126"/>
      <x:c r="S1587" s="124"/>
      <x:c r="T1587" s="124"/>
      <x:c r="U1587" s="124"/>
      <x:c r="V1587" s="124"/>
      <x:c r="W1587" s="124"/>
      <x:c r="X1587" s="124"/>
      <x:c r="AD1587"/>
      <x:c r="AE1587" s="145"/>
      <x:c r="AF1587" s="145"/>
      <x:c r="AG1587" s="145"/>
      <x:c r="AH1587" s="145"/>
      <x:c r="AI1587" s="145"/>
      <x:c r="AJ1587"/>
    </x:row>
    <x:row r="1588">
      <x:c r="F1588" s="124"/>
      <x:c r="G1588" s="124"/>
      <x:c r="H1588" s="124"/>
      <x:c r="I1588" s="124"/>
      <x:c r="J1588" s="124"/>
      <x:c r="M1588" s="126"/>
      <x:c r="P1588" s="126"/>
      <x:c r="Q1588" s="126"/>
      <x:c r="R1588" s="126"/>
      <x:c r="S1588" s="124"/>
      <x:c r="T1588" s="124"/>
      <x:c r="U1588" s="124"/>
      <x:c r="V1588" s="124"/>
      <x:c r="W1588" s="124"/>
      <x:c r="X1588" s="124"/>
      <x:c r="AD1588"/>
      <x:c r="AE1588" s="145"/>
      <x:c r="AF1588" s="145"/>
      <x:c r="AG1588" s="145"/>
      <x:c r="AH1588" s="145"/>
      <x:c r="AI1588" s="145"/>
      <x:c r="AJ1588"/>
    </x:row>
    <x:row r="1589">
      <x:c r="F1589" s="124"/>
      <x:c r="G1589" s="124"/>
      <x:c r="H1589" s="124"/>
      <x:c r="I1589" s="124"/>
      <x:c r="J1589" s="124"/>
      <x:c r="M1589" s="126"/>
      <x:c r="P1589" s="126"/>
      <x:c r="Q1589" s="126"/>
      <x:c r="R1589" s="126"/>
      <x:c r="S1589" s="124"/>
      <x:c r="T1589" s="124"/>
      <x:c r="U1589" s="124"/>
      <x:c r="V1589" s="124"/>
      <x:c r="W1589" s="124"/>
      <x:c r="X1589" s="124"/>
      <x:c r="AD1589"/>
      <x:c r="AE1589" s="145"/>
      <x:c r="AF1589" s="145"/>
      <x:c r="AG1589" s="145"/>
      <x:c r="AH1589" s="145"/>
      <x:c r="AI1589" s="145"/>
      <x:c r="AJ1589"/>
    </x:row>
    <x:row r="1590">
      <x:c r="F1590" s="124"/>
      <x:c r="G1590" s="124"/>
      <x:c r="H1590" s="124"/>
      <x:c r="I1590" s="124"/>
      <x:c r="J1590" s="124"/>
      <x:c r="M1590" s="126"/>
      <x:c r="P1590" s="126"/>
      <x:c r="Q1590" s="126"/>
      <x:c r="R1590" s="126"/>
      <x:c r="S1590" s="124"/>
      <x:c r="T1590" s="124"/>
      <x:c r="U1590" s="124"/>
      <x:c r="V1590" s="124"/>
      <x:c r="W1590" s="124"/>
      <x:c r="X1590" s="124"/>
      <x:c r="AD1590"/>
      <x:c r="AE1590" s="145"/>
      <x:c r="AF1590" s="145"/>
      <x:c r="AG1590" s="145"/>
      <x:c r="AH1590" s="145"/>
      <x:c r="AI1590" s="145"/>
      <x:c r="AJ1590"/>
    </x:row>
    <x:row r="1591">
      <x:c r="F1591" s="124"/>
      <x:c r="G1591" s="124"/>
      <x:c r="H1591" s="124"/>
      <x:c r="I1591" s="124"/>
      <x:c r="J1591" s="124"/>
      <x:c r="M1591" s="126"/>
      <x:c r="P1591" s="126"/>
      <x:c r="Q1591" s="126"/>
      <x:c r="R1591" s="126"/>
      <x:c r="S1591" s="124"/>
      <x:c r="T1591" s="124"/>
      <x:c r="U1591" s="124"/>
      <x:c r="V1591" s="124"/>
      <x:c r="W1591" s="124"/>
      <x:c r="X1591" s="124"/>
      <x:c r="AD1591"/>
      <x:c r="AE1591" s="145"/>
      <x:c r="AF1591" s="145"/>
      <x:c r="AG1591" s="145"/>
      <x:c r="AH1591" s="145"/>
      <x:c r="AI1591" s="145"/>
      <x:c r="AJ1591"/>
    </x:row>
    <x:row r="1592">
      <x:c r="F1592" s="124"/>
      <x:c r="G1592" s="124"/>
      <x:c r="H1592" s="124"/>
      <x:c r="I1592" s="124"/>
      <x:c r="J1592" s="124"/>
      <x:c r="M1592" s="126"/>
      <x:c r="P1592" s="126"/>
      <x:c r="Q1592" s="126"/>
      <x:c r="R1592" s="126"/>
      <x:c r="S1592" s="124"/>
      <x:c r="T1592" s="124"/>
      <x:c r="U1592" s="124"/>
      <x:c r="V1592" s="124"/>
      <x:c r="W1592" s="124"/>
      <x:c r="X1592" s="124"/>
      <x:c r="AD1592"/>
      <x:c r="AE1592" s="145"/>
      <x:c r="AF1592" s="145"/>
      <x:c r="AG1592" s="145"/>
      <x:c r="AH1592" s="145"/>
      <x:c r="AI1592" s="145"/>
      <x:c r="AJ1592"/>
    </x:row>
    <x:row r="1593">
      <x:c r="F1593" s="124"/>
      <x:c r="G1593" s="124"/>
      <x:c r="H1593" s="124"/>
      <x:c r="I1593" s="124"/>
      <x:c r="J1593" s="124"/>
      <x:c r="M1593" s="126"/>
      <x:c r="P1593" s="126"/>
      <x:c r="Q1593" s="126"/>
      <x:c r="R1593" s="126"/>
      <x:c r="S1593" s="124"/>
      <x:c r="T1593" s="124"/>
      <x:c r="U1593" s="124"/>
      <x:c r="V1593" s="124"/>
      <x:c r="W1593" s="124"/>
      <x:c r="X1593" s="124"/>
      <x:c r="AD1593"/>
      <x:c r="AE1593" s="145"/>
      <x:c r="AF1593" s="145"/>
      <x:c r="AG1593" s="145"/>
      <x:c r="AH1593" s="145"/>
      <x:c r="AI1593" s="145"/>
      <x:c r="AJ1593"/>
    </x:row>
    <x:row r="1594">
      <x:c r="F1594" s="124"/>
      <x:c r="G1594" s="124"/>
      <x:c r="H1594" s="124"/>
      <x:c r="I1594" s="124"/>
      <x:c r="J1594" s="124"/>
      <x:c r="M1594" s="126"/>
      <x:c r="P1594" s="126"/>
      <x:c r="Q1594" s="126"/>
      <x:c r="R1594" s="126"/>
      <x:c r="S1594" s="124"/>
      <x:c r="T1594" s="124"/>
      <x:c r="U1594" s="124"/>
      <x:c r="V1594" s="124"/>
      <x:c r="W1594" s="124"/>
      <x:c r="X1594" s="124"/>
      <x:c r="AD1594"/>
      <x:c r="AE1594" s="145"/>
      <x:c r="AF1594" s="145"/>
      <x:c r="AG1594" s="145"/>
      <x:c r="AH1594" s="145"/>
      <x:c r="AI1594" s="145"/>
      <x:c r="AJ1594"/>
    </x:row>
    <x:row r="1595">
      <x:c r="F1595" s="124"/>
      <x:c r="G1595" s="124"/>
      <x:c r="H1595" s="124"/>
      <x:c r="I1595" s="124"/>
      <x:c r="J1595" s="124"/>
      <x:c r="M1595" s="126"/>
      <x:c r="P1595" s="126"/>
      <x:c r="Q1595" s="126"/>
      <x:c r="R1595" s="126"/>
      <x:c r="S1595" s="124"/>
      <x:c r="T1595" s="124"/>
      <x:c r="U1595" s="124"/>
      <x:c r="V1595" s="124"/>
      <x:c r="W1595" s="124"/>
      <x:c r="X1595" s="124"/>
      <x:c r="AD1595"/>
      <x:c r="AE1595" s="145"/>
      <x:c r="AF1595" s="145"/>
      <x:c r="AG1595" s="145"/>
      <x:c r="AH1595" s="145"/>
      <x:c r="AI1595" s="145"/>
      <x:c r="AJ1595"/>
    </x:row>
    <x:row r="1596">
      <x:c r="F1596" s="124"/>
      <x:c r="G1596" s="124"/>
      <x:c r="H1596" s="124"/>
      <x:c r="I1596" s="124"/>
      <x:c r="J1596" s="124"/>
      <x:c r="M1596" s="126"/>
      <x:c r="P1596" s="126"/>
      <x:c r="Q1596" s="126"/>
      <x:c r="R1596" s="126"/>
      <x:c r="S1596" s="124"/>
      <x:c r="T1596" s="124"/>
      <x:c r="U1596" s="124"/>
      <x:c r="V1596" s="124"/>
      <x:c r="W1596" s="124"/>
      <x:c r="X1596" s="124"/>
      <x:c r="AD1596"/>
      <x:c r="AE1596" s="145"/>
      <x:c r="AF1596" s="145"/>
      <x:c r="AG1596" s="145"/>
      <x:c r="AH1596" s="145"/>
      <x:c r="AI1596" s="145"/>
      <x:c r="AJ1596"/>
    </x:row>
    <x:row r="1597">
      <x:c r="F1597" s="124"/>
      <x:c r="G1597" s="124"/>
      <x:c r="H1597" s="124"/>
      <x:c r="I1597" s="124"/>
      <x:c r="J1597" s="124"/>
      <x:c r="M1597" s="126"/>
      <x:c r="P1597" s="126"/>
      <x:c r="Q1597" s="126"/>
      <x:c r="R1597" s="126"/>
      <x:c r="S1597" s="124"/>
      <x:c r="T1597" s="124"/>
      <x:c r="U1597" s="124"/>
      <x:c r="V1597" s="124"/>
      <x:c r="W1597" s="124"/>
      <x:c r="X1597" s="124"/>
      <x:c r="AD1597"/>
      <x:c r="AE1597" s="145"/>
      <x:c r="AF1597" s="145"/>
      <x:c r="AG1597" s="145"/>
      <x:c r="AH1597" s="145"/>
      <x:c r="AI1597" s="145"/>
      <x:c r="AJ1597"/>
    </x:row>
    <x:row r="1598">
      <x:c r="F1598" s="124"/>
      <x:c r="G1598" s="124"/>
      <x:c r="H1598" s="124"/>
      <x:c r="I1598" s="124"/>
      <x:c r="J1598" s="124"/>
      <x:c r="M1598" s="126"/>
      <x:c r="P1598" s="126"/>
      <x:c r="Q1598" s="126"/>
      <x:c r="R1598" s="126"/>
      <x:c r="S1598" s="124"/>
      <x:c r="T1598" s="124"/>
      <x:c r="U1598" s="124"/>
      <x:c r="V1598" s="124"/>
      <x:c r="W1598" s="124"/>
      <x:c r="X1598" s="124"/>
      <x:c r="AD1598"/>
      <x:c r="AE1598" s="145"/>
      <x:c r="AF1598" s="145"/>
      <x:c r="AG1598" s="145"/>
      <x:c r="AH1598" s="145"/>
      <x:c r="AI1598" s="145"/>
      <x:c r="AJ1598"/>
    </x:row>
    <x:row r="1599">
      <x:c r="F1599" s="124"/>
      <x:c r="G1599" s="124"/>
      <x:c r="H1599" s="124"/>
      <x:c r="I1599" s="124"/>
      <x:c r="J1599" s="124"/>
      <x:c r="M1599" s="126"/>
      <x:c r="P1599" s="126"/>
      <x:c r="Q1599" s="126"/>
      <x:c r="R1599" s="126"/>
      <x:c r="S1599" s="124"/>
      <x:c r="T1599" s="124"/>
      <x:c r="U1599" s="124"/>
      <x:c r="V1599" s="124"/>
      <x:c r="W1599" s="124"/>
      <x:c r="X1599" s="124"/>
      <x:c r="AD1599"/>
      <x:c r="AE1599" s="145"/>
      <x:c r="AF1599" s="145"/>
      <x:c r="AG1599" s="145"/>
      <x:c r="AH1599" s="145"/>
      <x:c r="AI1599" s="145"/>
      <x:c r="AJ1599"/>
    </x:row>
    <x:row r="1600">
      <x:c r="F1600" s="124"/>
      <x:c r="G1600" s="124"/>
      <x:c r="H1600" s="124"/>
      <x:c r="I1600" s="124"/>
      <x:c r="J1600" s="124"/>
      <x:c r="M1600" s="126"/>
      <x:c r="P1600" s="126"/>
      <x:c r="Q1600" s="126"/>
      <x:c r="R1600" s="126"/>
      <x:c r="S1600" s="124"/>
      <x:c r="T1600" s="124"/>
      <x:c r="U1600" s="124"/>
      <x:c r="V1600" s="124"/>
      <x:c r="W1600" s="124"/>
      <x:c r="X1600" s="124"/>
      <x:c r="AD1600"/>
      <x:c r="AE1600" s="145"/>
      <x:c r="AF1600" s="145"/>
      <x:c r="AG1600" s="145"/>
      <x:c r="AH1600" s="145"/>
      <x:c r="AI1600" s="145"/>
      <x:c r="AJ1600"/>
    </x:row>
    <x:row r="1601">
      <x:c r="F1601" s="124"/>
      <x:c r="G1601" s="124"/>
      <x:c r="H1601" s="124"/>
      <x:c r="I1601" s="124"/>
      <x:c r="J1601" s="124"/>
      <x:c r="M1601" s="126"/>
      <x:c r="P1601" s="126"/>
      <x:c r="Q1601" s="126"/>
      <x:c r="R1601" s="126"/>
      <x:c r="S1601" s="124"/>
      <x:c r="T1601" s="124"/>
      <x:c r="U1601" s="124"/>
      <x:c r="V1601" s="124"/>
      <x:c r="W1601" s="124"/>
      <x:c r="X1601" s="124"/>
      <x:c r="AD1601"/>
      <x:c r="AE1601" s="145"/>
      <x:c r="AF1601" s="145"/>
      <x:c r="AG1601" s="145"/>
      <x:c r="AH1601" s="145"/>
      <x:c r="AI1601" s="145"/>
      <x:c r="AJ1601"/>
    </x:row>
    <x:row r="1602">
      <x:c r="F1602" s="124"/>
      <x:c r="G1602" s="124"/>
      <x:c r="H1602" s="124"/>
      <x:c r="I1602" s="124"/>
      <x:c r="J1602" s="124"/>
      <x:c r="M1602" s="126"/>
      <x:c r="P1602" s="126"/>
      <x:c r="Q1602" s="126"/>
      <x:c r="R1602" s="126"/>
      <x:c r="S1602" s="124"/>
      <x:c r="T1602" s="124"/>
      <x:c r="U1602" s="124"/>
      <x:c r="V1602" s="124"/>
      <x:c r="W1602" s="124"/>
      <x:c r="X1602" s="124"/>
      <x:c r="AD1602"/>
      <x:c r="AE1602" s="145"/>
      <x:c r="AF1602" s="145"/>
      <x:c r="AG1602" s="145"/>
      <x:c r="AH1602" s="145"/>
      <x:c r="AI1602" s="145"/>
      <x:c r="AJ1602"/>
    </x:row>
    <x:row r="1603">
      <x:c r="F1603" s="124"/>
      <x:c r="G1603" s="124"/>
      <x:c r="H1603" s="124"/>
      <x:c r="I1603" s="124"/>
      <x:c r="J1603" s="124"/>
      <x:c r="M1603" s="126"/>
      <x:c r="P1603" s="126"/>
      <x:c r="Q1603" s="126"/>
      <x:c r="R1603" s="126"/>
      <x:c r="S1603" s="124"/>
      <x:c r="T1603" s="124"/>
      <x:c r="U1603" s="124"/>
      <x:c r="V1603" s="124"/>
      <x:c r="W1603" s="124"/>
      <x:c r="X1603" s="124"/>
      <x:c r="AD1603"/>
      <x:c r="AE1603" s="145"/>
      <x:c r="AF1603" s="145"/>
      <x:c r="AG1603" s="145"/>
      <x:c r="AH1603" s="145"/>
      <x:c r="AI1603" s="145"/>
      <x:c r="AJ1603"/>
    </x:row>
    <x:row r="1604">
      <x:c r="F1604" s="124"/>
      <x:c r="G1604" s="124"/>
      <x:c r="H1604" s="124"/>
      <x:c r="I1604" s="124"/>
      <x:c r="J1604" s="124"/>
      <x:c r="M1604" s="126"/>
      <x:c r="P1604" s="126"/>
      <x:c r="Q1604" s="126"/>
      <x:c r="R1604" s="126"/>
      <x:c r="S1604" s="124"/>
      <x:c r="T1604" s="124"/>
      <x:c r="U1604" s="124"/>
      <x:c r="V1604" s="124"/>
      <x:c r="W1604" s="124"/>
      <x:c r="X1604" s="124"/>
      <x:c r="AD1604"/>
      <x:c r="AE1604" s="145"/>
      <x:c r="AF1604" s="145"/>
      <x:c r="AG1604" s="145"/>
      <x:c r="AH1604" s="145"/>
      <x:c r="AI1604" s="145"/>
      <x:c r="AJ1604"/>
    </x:row>
    <x:row r="1605">
      <x:c r="F1605" s="124"/>
      <x:c r="G1605" s="124"/>
      <x:c r="H1605" s="124"/>
      <x:c r="I1605" s="124"/>
      <x:c r="J1605" s="124"/>
      <x:c r="M1605" s="126"/>
      <x:c r="P1605" s="126"/>
      <x:c r="Q1605" s="126"/>
      <x:c r="R1605" s="126"/>
      <x:c r="S1605" s="124"/>
      <x:c r="T1605" s="124"/>
      <x:c r="U1605" s="124"/>
      <x:c r="V1605" s="124"/>
      <x:c r="W1605" s="124"/>
      <x:c r="X1605" s="124"/>
      <x:c r="AD1605"/>
      <x:c r="AE1605" s="145"/>
      <x:c r="AF1605" s="145"/>
      <x:c r="AG1605" s="145"/>
      <x:c r="AH1605" s="145"/>
      <x:c r="AI1605" s="145"/>
      <x:c r="AJ1605"/>
    </x:row>
    <x:row r="1606">
      <x:c r="F1606" s="124"/>
      <x:c r="G1606" s="124"/>
      <x:c r="H1606" s="124"/>
      <x:c r="I1606" s="124"/>
      <x:c r="J1606" s="124"/>
      <x:c r="M1606" s="126"/>
      <x:c r="P1606" s="126"/>
      <x:c r="Q1606" s="126"/>
      <x:c r="R1606" s="126"/>
      <x:c r="S1606" s="124"/>
      <x:c r="T1606" s="124"/>
      <x:c r="U1606" s="124"/>
      <x:c r="V1606" s="124"/>
      <x:c r="W1606" s="124"/>
      <x:c r="X1606" s="124"/>
      <x:c r="AD1606"/>
      <x:c r="AE1606" s="145"/>
      <x:c r="AF1606" s="145"/>
      <x:c r="AG1606" s="145"/>
      <x:c r="AH1606" s="145"/>
      <x:c r="AI1606" s="145"/>
      <x:c r="AJ1606"/>
    </x:row>
    <x:row r="1607">
      <x:c r="F1607" s="124"/>
      <x:c r="G1607" s="124"/>
      <x:c r="H1607" s="124"/>
      <x:c r="I1607" s="124"/>
      <x:c r="J1607" s="124"/>
      <x:c r="M1607" s="126"/>
      <x:c r="P1607" s="126"/>
      <x:c r="Q1607" s="126"/>
      <x:c r="R1607" s="126"/>
      <x:c r="S1607" s="124"/>
      <x:c r="T1607" s="124"/>
      <x:c r="U1607" s="124"/>
      <x:c r="V1607" s="124"/>
      <x:c r="W1607" s="124"/>
      <x:c r="X1607" s="124"/>
      <x:c r="AD1607"/>
      <x:c r="AE1607" s="145"/>
      <x:c r="AF1607" s="145"/>
      <x:c r="AG1607" s="145"/>
      <x:c r="AH1607" s="145"/>
      <x:c r="AI1607" s="145"/>
      <x:c r="AJ1607"/>
    </x:row>
    <x:row r="1608">
      <x:c r="F1608" s="124"/>
      <x:c r="G1608" s="124"/>
      <x:c r="H1608" s="124"/>
      <x:c r="I1608" s="124"/>
      <x:c r="J1608" s="124"/>
      <x:c r="M1608" s="126"/>
      <x:c r="P1608" s="126"/>
      <x:c r="Q1608" s="126"/>
      <x:c r="R1608" s="126"/>
      <x:c r="S1608" s="124"/>
      <x:c r="T1608" s="124"/>
      <x:c r="U1608" s="124"/>
      <x:c r="V1608" s="124"/>
      <x:c r="W1608" s="124"/>
      <x:c r="X1608" s="124"/>
      <x:c r="AD1608"/>
      <x:c r="AE1608" s="145"/>
      <x:c r="AF1608" s="145"/>
      <x:c r="AG1608" s="145"/>
      <x:c r="AH1608" s="145"/>
      <x:c r="AI1608" s="145"/>
      <x:c r="AJ1608"/>
    </x:row>
    <x:row r="1609">
      <x:c r="F1609" s="124"/>
      <x:c r="G1609" s="124"/>
      <x:c r="H1609" s="124"/>
      <x:c r="I1609" s="124"/>
      <x:c r="J1609" s="124"/>
      <x:c r="M1609" s="126"/>
      <x:c r="P1609" s="126"/>
      <x:c r="Q1609" s="126"/>
      <x:c r="R1609" s="126"/>
      <x:c r="S1609" s="124"/>
      <x:c r="T1609" s="124"/>
      <x:c r="U1609" s="124"/>
      <x:c r="V1609" s="124"/>
      <x:c r="W1609" s="124"/>
      <x:c r="X1609" s="124"/>
      <x:c r="AD1609"/>
      <x:c r="AE1609" s="145"/>
      <x:c r="AF1609" s="145"/>
      <x:c r="AG1609" s="145"/>
      <x:c r="AH1609" s="145"/>
      <x:c r="AI1609" s="145"/>
      <x:c r="AJ1609"/>
    </x:row>
    <x:row r="1610">
      <x:c r="F1610" s="124"/>
      <x:c r="G1610" s="124"/>
      <x:c r="H1610" s="124"/>
      <x:c r="I1610" s="124"/>
      <x:c r="J1610" s="124"/>
      <x:c r="M1610" s="126"/>
      <x:c r="P1610" s="126"/>
      <x:c r="Q1610" s="126"/>
      <x:c r="R1610" s="126"/>
      <x:c r="S1610" s="124"/>
      <x:c r="T1610" s="124"/>
      <x:c r="U1610" s="124"/>
      <x:c r="V1610" s="124"/>
      <x:c r="W1610" s="124"/>
      <x:c r="X1610" s="124"/>
      <x:c r="AD1610"/>
      <x:c r="AE1610" s="145"/>
      <x:c r="AF1610" s="145"/>
      <x:c r="AG1610" s="145"/>
      <x:c r="AH1610" s="145"/>
      <x:c r="AI1610" s="145"/>
      <x:c r="AJ1610"/>
    </x:row>
    <x:row r="1611">
      <x:c r="F1611" s="124"/>
      <x:c r="G1611" s="124"/>
      <x:c r="H1611" s="124"/>
      <x:c r="I1611" s="124"/>
      <x:c r="J1611" s="124"/>
      <x:c r="M1611" s="126"/>
      <x:c r="P1611" s="126"/>
      <x:c r="Q1611" s="126"/>
      <x:c r="R1611" s="126"/>
      <x:c r="S1611" s="124"/>
      <x:c r="T1611" s="124"/>
      <x:c r="U1611" s="124"/>
      <x:c r="V1611" s="124"/>
      <x:c r="W1611" s="124"/>
      <x:c r="X1611" s="124"/>
      <x:c r="AD1611"/>
      <x:c r="AE1611" s="145"/>
      <x:c r="AF1611" s="145"/>
      <x:c r="AG1611" s="145"/>
      <x:c r="AH1611" s="145"/>
      <x:c r="AI1611" s="145"/>
      <x:c r="AJ1611"/>
    </x:row>
    <x:row r="1612">
      <x:c r="F1612" s="124"/>
      <x:c r="G1612" s="124"/>
      <x:c r="H1612" s="124"/>
      <x:c r="I1612" s="124"/>
      <x:c r="J1612" s="124"/>
      <x:c r="M1612" s="126"/>
      <x:c r="P1612" s="126"/>
      <x:c r="Q1612" s="126"/>
      <x:c r="R1612" s="126"/>
      <x:c r="S1612" s="124"/>
      <x:c r="T1612" s="124"/>
      <x:c r="U1612" s="124"/>
      <x:c r="V1612" s="124"/>
      <x:c r="W1612" s="124"/>
      <x:c r="X1612" s="124"/>
      <x:c r="AD1612"/>
      <x:c r="AE1612" s="145"/>
      <x:c r="AF1612" s="145"/>
      <x:c r="AG1612" s="145"/>
      <x:c r="AH1612" s="145"/>
      <x:c r="AI1612" s="145"/>
      <x:c r="AJ1612"/>
    </x:row>
    <x:row r="1613">
      <x:c r="F1613" s="124"/>
      <x:c r="G1613" s="124"/>
      <x:c r="H1613" s="124"/>
      <x:c r="I1613" s="124"/>
      <x:c r="J1613" s="124"/>
      <x:c r="M1613" s="126"/>
      <x:c r="P1613" s="126"/>
      <x:c r="Q1613" s="126"/>
      <x:c r="R1613" s="126"/>
      <x:c r="S1613" s="124"/>
      <x:c r="T1613" s="124"/>
      <x:c r="U1613" s="124"/>
      <x:c r="V1613" s="124"/>
      <x:c r="W1613" s="124"/>
      <x:c r="X1613" s="124"/>
      <x:c r="AD1613"/>
      <x:c r="AE1613" s="145"/>
      <x:c r="AF1613" s="145"/>
      <x:c r="AG1613" s="145"/>
      <x:c r="AH1613" s="145"/>
      <x:c r="AI1613" s="145"/>
      <x:c r="AJ1613"/>
    </x:row>
    <x:row r="1614">
      <x:c r="F1614" s="124"/>
      <x:c r="G1614" s="124"/>
      <x:c r="H1614" s="124"/>
      <x:c r="I1614" s="124"/>
      <x:c r="J1614" s="124"/>
      <x:c r="M1614" s="126"/>
      <x:c r="P1614" s="126"/>
      <x:c r="Q1614" s="126"/>
      <x:c r="R1614" s="126"/>
      <x:c r="S1614" s="124"/>
      <x:c r="T1614" s="124"/>
      <x:c r="U1614" s="124"/>
      <x:c r="V1614" s="124"/>
      <x:c r="W1614" s="124"/>
      <x:c r="X1614" s="124"/>
      <x:c r="AD1614"/>
      <x:c r="AE1614" s="145"/>
      <x:c r="AF1614" s="145"/>
      <x:c r="AG1614" s="145"/>
      <x:c r="AH1614" s="145"/>
      <x:c r="AI1614" s="145"/>
      <x:c r="AJ1614"/>
    </x:row>
    <x:row r="1615">
      <x:c r="F1615" s="124"/>
      <x:c r="G1615" s="124"/>
      <x:c r="H1615" s="124"/>
      <x:c r="I1615" s="124"/>
      <x:c r="J1615" s="124"/>
      <x:c r="M1615" s="126"/>
      <x:c r="P1615" s="126"/>
      <x:c r="Q1615" s="126"/>
      <x:c r="R1615" s="126"/>
      <x:c r="S1615" s="124"/>
      <x:c r="T1615" s="124"/>
      <x:c r="U1615" s="124"/>
      <x:c r="V1615" s="124"/>
      <x:c r="W1615" s="124"/>
      <x:c r="X1615" s="124"/>
      <x:c r="AD1615"/>
      <x:c r="AE1615" s="145"/>
      <x:c r="AF1615" s="145"/>
      <x:c r="AG1615" s="145"/>
      <x:c r="AH1615" s="145"/>
      <x:c r="AI1615" s="145"/>
      <x:c r="AJ1615"/>
    </x:row>
    <x:row r="1616">
      <x:c r="F1616" s="124"/>
      <x:c r="G1616" s="124"/>
      <x:c r="H1616" s="124"/>
      <x:c r="I1616" s="124"/>
      <x:c r="J1616" s="124"/>
      <x:c r="M1616" s="126"/>
      <x:c r="P1616" s="126"/>
      <x:c r="Q1616" s="126"/>
      <x:c r="R1616" s="126"/>
      <x:c r="S1616" s="124"/>
      <x:c r="T1616" s="124"/>
      <x:c r="U1616" s="124"/>
      <x:c r="V1616" s="124"/>
      <x:c r="W1616" s="124"/>
      <x:c r="X1616" s="124"/>
      <x:c r="AD1616"/>
      <x:c r="AE1616" s="145"/>
      <x:c r="AF1616" s="145"/>
      <x:c r="AG1616" s="145"/>
      <x:c r="AH1616" s="145"/>
      <x:c r="AI1616" s="145"/>
      <x:c r="AJ1616"/>
    </x:row>
    <x:row r="1617">
      <x:c r="F1617" s="124"/>
      <x:c r="G1617" s="124"/>
      <x:c r="H1617" s="124"/>
      <x:c r="I1617" s="124"/>
      <x:c r="J1617" s="124"/>
      <x:c r="M1617" s="126"/>
      <x:c r="P1617" s="126"/>
      <x:c r="Q1617" s="126"/>
      <x:c r="R1617" s="126"/>
      <x:c r="S1617" s="124"/>
      <x:c r="T1617" s="124"/>
      <x:c r="U1617" s="124"/>
      <x:c r="V1617" s="124"/>
      <x:c r="W1617" s="124"/>
      <x:c r="X1617" s="124"/>
      <x:c r="AD1617"/>
      <x:c r="AE1617" s="145"/>
      <x:c r="AF1617" s="145"/>
      <x:c r="AG1617" s="145"/>
      <x:c r="AH1617" s="145"/>
      <x:c r="AI1617" s="145"/>
      <x:c r="AJ1617"/>
    </x:row>
    <x:row r="1618">
      <x:c r="F1618" s="124"/>
      <x:c r="G1618" s="124"/>
      <x:c r="H1618" s="124"/>
      <x:c r="I1618" s="124"/>
      <x:c r="J1618" s="124"/>
      <x:c r="M1618" s="126"/>
      <x:c r="P1618" s="126"/>
      <x:c r="Q1618" s="126"/>
      <x:c r="R1618" s="126"/>
      <x:c r="S1618" s="124"/>
      <x:c r="T1618" s="124"/>
      <x:c r="U1618" s="124"/>
      <x:c r="V1618" s="124"/>
      <x:c r="W1618" s="124"/>
      <x:c r="X1618" s="124"/>
      <x:c r="AD1618"/>
      <x:c r="AE1618" s="145"/>
      <x:c r="AF1618" s="145"/>
      <x:c r="AG1618" s="145"/>
      <x:c r="AH1618" s="145"/>
      <x:c r="AI1618" s="145"/>
      <x:c r="AJ1618"/>
    </x:row>
    <x:row r="1619">
      <x:c r="F1619" s="124"/>
      <x:c r="G1619" s="124"/>
      <x:c r="H1619" s="124"/>
      <x:c r="I1619" s="124"/>
      <x:c r="J1619" s="124"/>
      <x:c r="M1619" s="126"/>
      <x:c r="P1619" s="126"/>
      <x:c r="Q1619" s="126"/>
      <x:c r="R1619" s="126"/>
      <x:c r="S1619" s="124"/>
      <x:c r="T1619" s="124"/>
      <x:c r="U1619" s="124"/>
      <x:c r="V1619" s="124"/>
      <x:c r="W1619" s="124"/>
      <x:c r="X1619" s="124"/>
      <x:c r="AD1619"/>
      <x:c r="AE1619" s="145"/>
      <x:c r="AF1619" s="145"/>
      <x:c r="AG1619" s="145"/>
      <x:c r="AH1619" s="145"/>
      <x:c r="AI1619" s="145"/>
      <x:c r="AJ1619"/>
    </x:row>
    <x:row r="1620">
      <x:c r="F1620" s="124"/>
      <x:c r="G1620" s="124"/>
      <x:c r="H1620" s="124"/>
      <x:c r="I1620" s="124"/>
      <x:c r="J1620" s="124"/>
      <x:c r="M1620" s="126"/>
      <x:c r="P1620" s="126"/>
      <x:c r="Q1620" s="126"/>
      <x:c r="R1620" s="126"/>
      <x:c r="S1620" s="124"/>
      <x:c r="T1620" s="124"/>
      <x:c r="U1620" s="124"/>
      <x:c r="V1620" s="124"/>
      <x:c r="W1620" s="124"/>
      <x:c r="X1620" s="124"/>
      <x:c r="AD1620"/>
      <x:c r="AE1620" s="145"/>
      <x:c r="AF1620" s="145"/>
      <x:c r="AG1620" s="145"/>
      <x:c r="AH1620" s="145"/>
      <x:c r="AI1620" s="145"/>
      <x:c r="AJ1620"/>
    </x:row>
    <x:row r="1621">
      <x:c r="F1621" s="124"/>
      <x:c r="G1621" s="124"/>
      <x:c r="H1621" s="124"/>
      <x:c r="I1621" s="124"/>
      <x:c r="J1621" s="124"/>
      <x:c r="M1621" s="126"/>
      <x:c r="P1621" s="126"/>
      <x:c r="Q1621" s="126"/>
      <x:c r="R1621" s="126"/>
      <x:c r="S1621" s="124"/>
      <x:c r="T1621" s="124"/>
      <x:c r="U1621" s="124"/>
      <x:c r="V1621" s="124"/>
      <x:c r="W1621" s="124"/>
      <x:c r="X1621" s="124"/>
      <x:c r="AD1621"/>
      <x:c r="AE1621" s="145"/>
      <x:c r="AF1621" s="145"/>
      <x:c r="AG1621" s="145"/>
      <x:c r="AH1621" s="145"/>
      <x:c r="AI1621" s="145"/>
      <x:c r="AJ1621"/>
    </x:row>
    <x:row r="1622">
      <x:c r="F1622" s="124"/>
      <x:c r="G1622" s="124"/>
      <x:c r="H1622" s="124"/>
      <x:c r="I1622" s="124"/>
      <x:c r="J1622" s="124"/>
      <x:c r="M1622" s="126"/>
      <x:c r="P1622" s="126"/>
      <x:c r="Q1622" s="126"/>
      <x:c r="R1622" s="126"/>
      <x:c r="S1622" s="124"/>
      <x:c r="T1622" s="124"/>
      <x:c r="U1622" s="124"/>
      <x:c r="V1622" s="124"/>
      <x:c r="W1622" s="124"/>
      <x:c r="X1622" s="124"/>
      <x:c r="AD1622"/>
      <x:c r="AE1622" s="145"/>
      <x:c r="AF1622" s="145"/>
      <x:c r="AG1622" s="145"/>
      <x:c r="AH1622" s="145"/>
      <x:c r="AI1622" s="145"/>
      <x:c r="AJ1622"/>
    </x:row>
    <x:row r="1623">
      <x:c r="F1623" s="124"/>
      <x:c r="G1623" s="124"/>
      <x:c r="H1623" s="124"/>
      <x:c r="I1623" s="124"/>
      <x:c r="J1623" s="124"/>
      <x:c r="M1623" s="126"/>
      <x:c r="P1623" s="126"/>
      <x:c r="Q1623" s="126"/>
      <x:c r="R1623" s="126"/>
      <x:c r="S1623" s="124"/>
      <x:c r="T1623" s="124"/>
      <x:c r="U1623" s="124"/>
      <x:c r="V1623" s="124"/>
      <x:c r="W1623" s="124"/>
      <x:c r="X1623" s="124"/>
      <x:c r="AD1623"/>
      <x:c r="AE1623" s="145"/>
      <x:c r="AF1623" s="145"/>
      <x:c r="AG1623" s="145"/>
      <x:c r="AH1623" s="145"/>
      <x:c r="AI1623" s="145"/>
      <x:c r="AJ1623"/>
    </x:row>
    <x:row r="1624">
      <x:c r="F1624" s="124"/>
      <x:c r="G1624" s="124"/>
      <x:c r="H1624" s="124"/>
      <x:c r="I1624" s="124"/>
      <x:c r="J1624" s="124"/>
      <x:c r="M1624" s="126"/>
      <x:c r="P1624" s="126"/>
      <x:c r="Q1624" s="126"/>
      <x:c r="R1624" s="126"/>
      <x:c r="S1624" s="124"/>
      <x:c r="T1624" s="124"/>
      <x:c r="U1624" s="124"/>
      <x:c r="V1624" s="124"/>
      <x:c r="W1624" s="124"/>
      <x:c r="X1624" s="124"/>
      <x:c r="AD1624"/>
      <x:c r="AE1624" s="145"/>
      <x:c r="AF1624" s="145"/>
      <x:c r="AG1624" s="145"/>
      <x:c r="AH1624" s="145"/>
      <x:c r="AI1624" s="145"/>
      <x:c r="AJ1624"/>
    </x:row>
    <x:row r="1625">
      <x:c r="F1625" s="124"/>
      <x:c r="G1625" s="124"/>
      <x:c r="H1625" s="124"/>
      <x:c r="I1625" s="124"/>
      <x:c r="J1625" s="124"/>
      <x:c r="M1625" s="126"/>
      <x:c r="P1625" s="126"/>
      <x:c r="Q1625" s="126"/>
      <x:c r="R1625" s="126"/>
      <x:c r="S1625" s="124"/>
      <x:c r="T1625" s="124"/>
      <x:c r="U1625" s="124"/>
      <x:c r="V1625" s="124"/>
      <x:c r="W1625" s="124"/>
      <x:c r="X1625" s="124"/>
      <x:c r="AD1625"/>
      <x:c r="AE1625" s="145"/>
      <x:c r="AF1625" s="145"/>
      <x:c r="AG1625" s="145"/>
      <x:c r="AH1625" s="145"/>
      <x:c r="AI1625" s="145"/>
      <x:c r="AJ1625"/>
    </x:row>
    <x:row r="1626">
      <x:c r="F1626" s="124"/>
      <x:c r="G1626" s="124"/>
      <x:c r="H1626" s="124"/>
      <x:c r="I1626" s="124"/>
      <x:c r="J1626" s="124"/>
      <x:c r="M1626" s="126"/>
      <x:c r="P1626" s="126"/>
      <x:c r="Q1626" s="126"/>
      <x:c r="R1626" s="126"/>
      <x:c r="S1626" s="124"/>
      <x:c r="T1626" s="124"/>
      <x:c r="U1626" s="124"/>
      <x:c r="V1626" s="124"/>
      <x:c r="W1626" s="124"/>
      <x:c r="X1626" s="124"/>
      <x:c r="AD1626"/>
      <x:c r="AE1626" s="145"/>
      <x:c r="AF1626" s="145"/>
      <x:c r="AG1626" s="145"/>
      <x:c r="AH1626" s="145"/>
      <x:c r="AI1626" s="145"/>
      <x:c r="AJ1626"/>
    </x:row>
    <x:row r="1627">
      <x:c r="F1627" s="124"/>
      <x:c r="G1627" s="124"/>
      <x:c r="H1627" s="124"/>
      <x:c r="I1627" s="124"/>
      <x:c r="J1627" s="124"/>
      <x:c r="M1627" s="126"/>
      <x:c r="P1627" s="126"/>
      <x:c r="Q1627" s="126"/>
      <x:c r="R1627" s="126"/>
      <x:c r="S1627" s="124"/>
      <x:c r="T1627" s="124"/>
      <x:c r="U1627" s="124"/>
      <x:c r="V1627" s="124"/>
      <x:c r="W1627" s="124"/>
      <x:c r="X1627" s="124"/>
      <x:c r="AD1627"/>
      <x:c r="AE1627" s="145"/>
      <x:c r="AF1627" s="145"/>
      <x:c r="AG1627" s="145"/>
      <x:c r="AH1627" s="145"/>
      <x:c r="AI1627" s="145"/>
      <x:c r="AJ1627"/>
    </x:row>
    <x:row r="1628">
      <x:c r="F1628" s="124"/>
      <x:c r="G1628" s="124"/>
      <x:c r="H1628" s="124"/>
      <x:c r="I1628" s="124"/>
      <x:c r="J1628" s="124"/>
      <x:c r="M1628" s="126"/>
      <x:c r="P1628" s="126"/>
      <x:c r="Q1628" s="126"/>
      <x:c r="R1628" s="126"/>
      <x:c r="S1628" s="124"/>
      <x:c r="T1628" s="124"/>
      <x:c r="U1628" s="124"/>
      <x:c r="V1628" s="124"/>
      <x:c r="W1628" s="124"/>
      <x:c r="X1628" s="124"/>
      <x:c r="AD1628"/>
      <x:c r="AE1628" s="145"/>
      <x:c r="AF1628" s="145"/>
      <x:c r="AG1628" s="145"/>
      <x:c r="AH1628" s="145"/>
      <x:c r="AI1628" s="145"/>
      <x:c r="AJ1628"/>
    </x:row>
    <x:row r="1629">
      <x:c r="F1629" s="124"/>
      <x:c r="G1629" s="124"/>
      <x:c r="H1629" s="124"/>
      <x:c r="I1629" s="124"/>
      <x:c r="J1629" s="124"/>
      <x:c r="M1629" s="126"/>
      <x:c r="P1629" s="126"/>
      <x:c r="Q1629" s="126"/>
      <x:c r="R1629" s="126"/>
      <x:c r="S1629" s="124"/>
      <x:c r="T1629" s="124"/>
      <x:c r="U1629" s="124"/>
      <x:c r="V1629" s="124"/>
      <x:c r="W1629" s="124"/>
      <x:c r="X1629" s="124"/>
      <x:c r="AD1629"/>
      <x:c r="AE1629" s="145"/>
      <x:c r="AF1629" s="145"/>
      <x:c r="AG1629" s="145"/>
      <x:c r="AH1629" s="145"/>
      <x:c r="AI1629" s="145"/>
      <x:c r="AJ1629"/>
    </x:row>
    <x:row r="1630">
      <x:c r="F1630" s="124"/>
      <x:c r="G1630" s="124"/>
      <x:c r="H1630" s="124"/>
      <x:c r="I1630" s="124"/>
      <x:c r="J1630" s="124"/>
      <x:c r="M1630" s="126"/>
      <x:c r="P1630" s="126"/>
      <x:c r="Q1630" s="126"/>
      <x:c r="R1630" s="126"/>
      <x:c r="S1630" s="124"/>
      <x:c r="T1630" s="124"/>
      <x:c r="U1630" s="124"/>
      <x:c r="V1630" s="124"/>
      <x:c r="W1630" s="124"/>
      <x:c r="X1630" s="124"/>
      <x:c r="AD1630"/>
      <x:c r="AE1630" s="145"/>
      <x:c r="AF1630" s="145"/>
      <x:c r="AG1630" s="145"/>
      <x:c r="AH1630" s="145"/>
      <x:c r="AI1630" s="145"/>
      <x:c r="AJ1630"/>
    </x:row>
    <x:row r="1631">
      <x:c r="F1631" s="124"/>
      <x:c r="G1631" s="124"/>
      <x:c r="H1631" s="124"/>
      <x:c r="I1631" s="124"/>
      <x:c r="J1631" s="124"/>
      <x:c r="M1631" s="126"/>
      <x:c r="P1631" s="126"/>
      <x:c r="Q1631" s="126"/>
      <x:c r="R1631" s="126"/>
      <x:c r="S1631" s="124"/>
      <x:c r="T1631" s="124"/>
      <x:c r="U1631" s="124"/>
      <x:c r="V1631" s="124"/>
      <x:c r="W1631" s="124"/>
      <x:c r="X1631" s="124"/>
      <x:c r="AD1631"/>
      <x:c r="AE1631" s="145"/>
      <x:c r="AF1631" s="145"/>
      <x:c r="AG1631" s="145"/>
      <x:c r="AH1631" s="145"/>
      <x:c r="AI1631" s="145"/>
      <x:c r="AJ1631"/>
    </x:row>
    <x:row r="1632">
      <x:c r="F1632" s="124"/>
      <x:c r="G1632" s="124"/>
      <x:c r="H1632" s="124"/>
      <x:c r="I1632" s="124"/>
      <x:c r="J1632" s="124"/>
      <x:c r="M1632" s="126"/>
      <x:c r="P1632" s="126"/>
      <x:c r="Q1632" s="126"/>
      <x:c r="R1632" s="126"/>
      <x:c r="S1632" s="124"/>
      <x:c r="T1632" s="124"/>
      <x:c r="U1632" s="124"/>
      <x:c r="V1632" s="124"/>
      <x:c r="W1632" s="124"/>
      <x:c r="X1632" s="124"/>
      <x:c r="AD1632"/>
      <x:c r="AE1632" s="145"/>
      <x:c r="AF1632" s="145"/>
      <x:c r="AG1632" s="145"/>
      <x:c r="AH1632" s="145"/>
      <x:c r="AI1632" s="145"/>
      <x:c r="AJ1632"/>
    </x:row>
    <x:row r="1633">
      <x:c r="F1633" s="124"/>
      <x:c r="G1633" s="124"/>
      <x:c r="H1633" s="124"/>
      <x:c r="I1633" s="124"/>
      <x:c r="J1633" s="124"/>
      <x:c r="M1633" s="126"/>
      <x:c r="P1633" s="126"/>
      <x:c r="Q1633" s="126"/>
      <x:c r="R1633" s="126"/>
      <x:c r="S1633" s="124"/>
      <x:c r="T1633" s="124"/>
      <x:c r="U1633" s="124"/>
      <x:c r="V1633" s="124"/>
      <x:c r="W1633" s="124"/>
      <x:c r="X1633" s="124"/>
      <x:c r="AD1633"/>
      <x:c r="AE1633" s="145"/>
      <x:c r="AF1633" s="145"/>
      <x:c r="AG1633" s="145"/>
      <x:c r="AH1633" s="145"/>
      <x:c r="AI1633" s="145"/>
      <x:c r="AJ1633"/>
    </x:row>
    <x:row r="1634">
      <x:c r="F1634" s="124"/>
      <x:c r="G1634" s="124"/>
      <x:c r="H1634" s="124"/>
      <x:c r="I1634" s="124"/>
      <x:c r="J1634" s="124"/>
      <x:c r="M1634" s="126"/>
      <x:c r="P1634" s="126"/>
      <x:c r="Q1634" s="126"/>
      <x:c r="R1634" s="126"/>
      <x:c r="S1634" s="124"/>
      <x:c r="T1634" s="124"/>
      <x:c r="U1634" s="124"/>
      <x:c r="V1634" s="124"/>
      <x:c r="W1634" s="124"/>
      <x:c r="X1634" s="124"/>
      <x:c r="AD1634"/>
      <x:c r="AE1634" s="145"/>
      <x:c r="AF1634" s="145"/>
      <x:c r="AG1634" s="145"/>
      <x:c r="AH1634" s="145"/>
      <x:c r="AI1634" s="145"/>
      <x:c r="AJ1634"/>
    </x:row>
    <x:row r="1635">
      <x:c r="F1635" s="124"/>
      <x:c r="G1635" s="124"/>
      <x:c r="H1635" s="124"/>
      <x:c r="I1635" s="124"/>
      <x:c r="J1635" s="124"/>
      <x:c r="M1635" s="126"/>
      <x:c r="P1635" s="126"/>
      <x:c r="Q1635" s="126"/>
      <x:c r="R1635" s="126"/>
      <x:c r="S1635" s="124"/>
      <x:c r="T1635" s="124"/>
      <x:c r="U1635" s="124"/>
      <x:c r="V1635" s="124"/>
      <x:c r="W1635" s="124"/>
      <x:c r="X1635" s="124"/>
      <x:c r="AD1635"/>
      <x:c r="AE1635" s="145"/>
      <x:c r="AF1635" s="145"/>
      <x:c r="AG1635" s="145"/>
      <x:c r="AH1635" s="145"/>
      <x:c r="AI1635" s="145"/>
      <x:c r="AJ1635"/>
    </x:row>
    <x:row r="1636">
      <x:c r="F1636" s="124"/>
      <x:c r="G1636" s="124"/>
      <x:c r="H1636" s="124"/>
      <x:c r="I1636" s="124"/>
      <x:c r="J1636" s="124"/>
      <x:c r="M1636" s="126"/>
      <x:c r="P1636" s="126"/>
      <x:c r="Q1636" s="126"/>
      <x:c r="R1636" s="126"/>
      <x:c r="S1636" s="124"/>
      <x:c r="T1636" s="124"/>
      <x:c r="U1636" s="124"/>
      <x:c r="V1636" s="124"/>
      <x:c r="W1636" s="124"/>
      <x:c r="X1636" s="124"/>
      <x:c r="AD1636"/>
      <x:c r="AE1636" s="145"/>
      <x:c r="AF1636" s="145"/>
      <x:c r="AG1636" s="145"/>
      <x:c r="AH1636" s="145"/>
      <x:c r="AI1636" s="145"/>
      <x:c r="AJ1636"/>
    </x:row>
    <x:row r="1637">
      <x:c r="F1637" s="124"/>
      <x:c r="G1637" s="124"/>
      <x:c r="H1637" s="124"/>
      <x:c r="I1637" s="124"/>
      <x:c r="J1637" s="124"/>
      <x:c r="M1637" s="126"/>
      <x:c r="P1637" s="126"/>
      <x:c r="Q1637" s="126"/>
      <x:c r="R1637" s="126"/>
      <x:c r="S1637" s="124"/>
      <x:c r="T1637" s="124"/>
      <x:c r="U1637" s="124"/>
      <x:c r="V1637" s="124"/>
      <x:c r="W1637" s="124"/>
      <x:c r="X1637" s="124"/>
      <x:c r="AD1637"/>
      <x:c r="AE1637" s="145"/>
      <x:c r="AF1637" s="145"/>
      <x:c r="AG1637" s="145"/>
      <x:c r="AH1637" s="145"/>
      <x:c r="AI1637" s="145"/>
      <x:c r="AJ1637"/>
    </x:row>
    <x:row r="1638">
      <x:c r="F1638" s="124"/>
      <x:c r="G1638" s="124"/>
      <x:c r="H1638" s="124"/>
      <x:c r="I1638" s="124"/>
      <x:c r="J1638" s="124"/>
      <x:c r="M1638" s="126"/>
      <x:c r="P1638" s="126"/>
      <x:c r="Q1638" s="126"/>
      <x:c r="R1638" s="126"/>
      <x:c r="S1638" s="124"/>
      <x:c r="T1638" s="124"/>
      <x:c r="U1638" s="124"/>
      <x:c r="V1638" s="124"/>
      <x:c r="W1638" s="124"/>
      <x:c r="X1638" s="124"/>
      <x:c r="AD1638"/>
      <x:c r="AE1638" s="145"/>
      <x:c r="AF1638" s="145"/>
      <x:c r="AG1638" s="145"/>
      <x:c r="AH1638" s="145"/>
      <x:c r="AI1638" s="145"/>
      <x:c r="AJ1638"/>
    </x:row>
    <x:row r="1639">
      <x:c r="F1639" s="124"/>
      <x:c r="G1639" s="124"/>
      <x:c r="H1639" s="124"/>
      <x:c r="I1639" s="124"/>
      <x:c r="J1639" s="124"/>
      <x:c r="M1639" s="126"/>
      <x:c r="P1639" s="126"/>
      <x:c r="Q1639" s="126"/>
      <x:c r="R1639" s="126"/>
      <x:c r="S1639" s="124"/>
      <x:c r="T1639" s="124"/>
      <x:c r="U1639" s="124"/>
      <x:c r="V1639" s="124"/>
      <x:c r="W1639" s="124"/>
      <x:c r="X1639" s="124"/>
      <x:c r="AD1639"/>
      <x:c r="AE1639" s="145"/>
      <x:c r="AF1639" s="145"/>
      <x:c r="AG1639" s="145"/>
      <x:c r="AH1639" s="145"/>
      <x:c r="AI1639" s="145"/>
      <x:c r="AJ1639"/>
    </x:row>
    <x:row r="1640">
      <x:c r="F1640" s="124"/>
      <x:c r="G1640" s="124"/>
      <x:c r="H1640" s="124"/>
      <x:c r="I1640" s="124"/>
      <x:c r="J1640" s="124"/>
      <x:c r="M1640" s="126"/>
      <x:c r="P1640" s="126"/>
      <x:c r="Q1640" s="126"/>
      <x:c r="R1640" s="126"/>
      <x:c r="S1640" s="124"/>
      <x:c r="T1640" s="124"/>
      <x:c r="U1640" s="124"/>
      <x:c r="V1640" s="124"/>
      <x:c r="W1640" s="124"/>
      <x:c r="X1640" s="124"/>
      <x:c r="AD1640"/>
      <x:c r="AE1640" s="145"/>
      <x:c r="AF1640" s="145"/>
      <x:c r="AG1640" s="145"/>
      <x:c r="AH1640" s="145"/>
      <x:c r="AI1640" s="145"/>
      <x:c r="AJ1640"/>
    </x:row>
    <x:row r="1641">
      <x:c r="F1641" s="124"/>
      <x:c r="G1641" s="124"/>
      <x:c r="H1641" s="124"/>
      <x:c r="I1641" s="124"/>
      <x:c r="J1641" s="124"/>
      <x:c r="M1641" s="126"/>
      <x:c r="P1641" s="126"/>
      <x:c r="Q1641" s="126"/>
      <x:c r="R1641" s="126"/>
      <x:c r="S1641" s="124"/>
      <x:c r="T1641" s="124"/>
      <x:c r="U1641" s="124"/>
      <x:c r="V1641" s="124"/>
      <x:c r="W1641" s="124"/>
      <x:c r="X1641" s="124"/>
      <x:c r="AD1641"/>
      <x:c r="AE1641" s="145"/>
      <x:c r="AF1641" s="145"/>
      <x:c r="AG1641" s="145"/>
      <x:c r="AH1641" s="145"/>
      <x:c r="AI1641" s="145"/>
      <x:c r="AJ1641"/>
    </x:row>
    <x:row r="1642">
      <x:c r="F1642" s="124"/>
      <x:c r="G1642" s="124"/>
      <x:c r="H1642" s="124"/>
      <x:c r="I1642" s="124"/>
      <x:c r="J1642" s="124"/>
      <x:c r="M1642" s="126"/>
      <x:c r="P1642" s="126"/>
      <x:c r="Q1642" s="126"/>
      <x:c r="R1642" s="126"/>
      <x:c r="S1642" s="124"/>
      <x:c r="T1642" s="124"/>
      <x:c r="U1642" s="124"/>
      <x:c r="V1642" s="124"/>
      <x:c r="W1642" s="124"/>
      <x:c r="X1642" s="124"/>
      <x:c r="AD1642"/>
      <x:c r="AE1642" s="145"/>
      <x:c r="AF1642" s="145"/>
      <x:c r="AG1642" s="145"/>
      <x:c r="AH1642" s="145"/>
      <x:c r="AI1642" s="145"/>
      <x:c r="AJ1642"/>
    </x:row>
    <x:row r="1643">
      <x:c r="F1643" s="124"/>
      <x:c r="G1643" s="124"/>
      <x:c r="H1643" s="124"/>
      <x:c r="I1643" s="124"/>
      <x:c r="J1643" s="124"/>
      <x:c r="M1643" s="126"/>
      <x:c r="P1643" s="126"/>
      <x:c r="Q1643" s="126"/>
      <x:c r="R1643" s="126"/>
      <x:c r="S1643" s="124"/>
      <x:c r="T1643" s="124"/>
      <x:c r="U1643" s="124"/>
      <x:c r="V1643" s="124"/>
      <x:c r="W1643" s="124"/>
      <x:c r="X1643" s="124"/>
      <x:c r="AD1643"/>
      <x:c r="AE1643" s="145"/>
      <x:c r="AF1643" s="145"/>
      <x:c r="AG1643" s="145"/>
      <x:c r="AH1643" s="145"/>
      <x:c r="AI1643" s="145"/>
      <x:c r="AJ1643"/>
    </x:row>
    <x:row r="1644">
      <x:c r="F1644" s="124"/>
      <x:c r="G1644" s="124"/>
      <x:c r="H1644" s="124"/>
      <x:c r="I1644" s="124"/>
      <x:c r="J1644" s="124"/>
      <x:c r="M1644" s="126"/>
      <x:c r="P1644" s="126"/>
      <x:c r="Q1644" s="126"/>
      <x:c r="R1644" s="126"/>
      <x:c r="S1644" s="124"/>
      <x:c r="T1644" s="124"/>
      <x:c r="U1644" s="124"/>
      <x:c r="V1644" s="124"/>
      <x:c r="W1644" s="124"/>
      <x:c r="X1644" s="124"/>
      <x:c r="AD1644"/>
      <x:c r="AE1644" s="145"/>
      <x:c r="AF1644" s="145"/>
      <x:c r="AG1644" s="145"/>
      <x:c r="AH1644" s="145"/>
      <x:c r="AI1644" s="145"/>
      <x:c r="AJ1644"/>
    </x:row>
    <x:row r="1645">
      <x:c r="F1645" s="124"/>
      <x:c r="G1645" s="124"/>
      <x:c r="H1645" s="124"/>
      <x:c r="I1645" s="124"/>
      <x:c r="J1645" s="124"/>
      <x:c r="M1645" s="126"/>
      <x:c r="P1645" s="126"/>
      <x:c r="Q1645" s="126"/>
      <x:c r="R1645" s="126"/>
      <x:c r="S1645" s="124"/>
      <x:c r="T1645" s="124"/>
      <x:c r="U1645" s="124"/>
      <x:c r="V1645" s="124"/>
      <x:c r="W1645" s="124"/>
      <x:c r="X1645" s="124"/>
      <x:c r="AD1645"/>
      <x:c r="AE1645" s="145"/>
      <x:c r="AF1645" s="145"/>
      <x:c r="AG1645" s="145"/>
      <x:c r="AH1645" s="145"/>
      <x:c r="AI1645" s="145"/>
      <x:c r="AJ1645"/>
    </x:row>
    <x:row r="1646">
      <x:c r="F1646" s="124"/>
      <x:c r="G1646" s="124"/>
      <x:c r="H1646" s="124"/>
      <x:c r="I1646" s="124"/>
      <x:c r="J1646" s="124"/>
      <x:c r="M1646" s="126"/>
      <x:c r="P1646" s="126"/>
      <x:c r="Q1646" s="126"/>
      <x:c r="R1646" s="126"/>
      <x:c r="S1646" s="124"/>
      <x:c r="T1646" s="124"/>
      <x:c r="U1646" s="124"/>
      <x:c r="V1646" s="124"/>
      <x:c r="W1646" s="124"/>
      <x:c r="X1646" s="124"/>
      <x:c r="AD1646"/>
      <x:c r="AE1646" s="145"/>
      <x:c r="AF1646" s="145"/>
      <x:c r="AG1646" s="145"/>
      <x:c r="AH1646" s="145"/>
      <x:c r="AI1646" s="145"/>
      <x:c r="AJ1646"/>
    </x:row>
    <x:row r="1647">
      <x:c r="F1647" s="124"/>
      <x:c r="G1647" s="124"/>
      <x:c r="H1647" s="124"/>
      <x:c r="I1647" s="124"/>
      <x:c r="J1647" s="124"/>
      <x:c r="M1647" s="126"/>
      <x:c r="P1647" s="126"/>
      <x:c r="Q1647" s="126"/>
      <x:c r="R1647" s="126"/>
      <x:c r="S1647" s="124"/>
      <x:c r="T1647" s="124"/>
      <x:c r="U1647" s="124"/>
      <x:c r="V1647" s="124"/>
      <x:c r="W1647" s="124"/>
      <x:c r="X1647" s="124"/>
      <x:c r="AD1647"/>
      <x:c r="AE1647" s="145"/>
      <x:c r="AF1647" s="145"/>
      <x:c r="AG1647" s="145"/>
      <x:c r="AH1647" s="145"/>
      <x:c r="AI1647" s="145"/>
      <x:c r="AJ1647"/>
    </x:row>
    <x:row r="1648">
      <x:c r="F1648" s="124"/>
      <x:c r="G1648" s="124"/>
      <x:c r="H1648" s="124"/>
      <x:c r="I1648" s="124"/>
      <x:c r="J1648" s="124"/>
      <x:c r="M1648" s="126"/>
      <x:c r="P1648" s="126"/>
      <x:c r="Q1648" s="126"/>
      <x:c r="R1648" s="126"/>
      <x:c r="S1648" s="124"/>
      <x:c r="T1648" s="124"/>
      <x:c r="U1648" s="124"/>
      <x:c r="V1648" s="124"/>
      <x:c r="W1648" s="124"/>
      <x:c r="X1648" s="124"/>
      <x:c r="AD1648"/>
      <x:c r="AE1648" s="145"/>
      <x:c r="AF1648" s="145"/>
      <x:c r="AG1648" s="145"/>
      <x:c r="AH1648" s="145"/>
      <x:c r="AI1648" s="145"/>
      <x:c r="AJ1648"/>
    </x:row>
    <x:row r="1649">
      <x:c r="F1649" s="124"/>
      <x:c r="G1649" s="124"/>
      <x:c r="H1649" s="124"/>
      <x:c r="I1649" s="124"/>
      <x:c r="J1649" s="124"/>
      <x:c r="M1649" s="126"/>
      <x:c r="P1649" s="126"/>
      <x:c r="Q1649" s="126"/>
      <x:c r="R1649" s="126"/>
      <x:c r="S1649" s="124"/>
      <x:c r="T1649" s="124"/>
      <x:c r="U1649" s="124"/>
      <x:c r="V1649" s="124"/>
      <x:c r="W1649" s="124"/>
      <x:c r="X1649" s="124"/>
      <x:c r="AD1649"/>
      <x:c r="AE1649" s="145"/>
      <x:c r="AF1649" s="145"/>
      <x:c r="AG1649" s="145"/>
      <x:c r="AH1649" s="145"/>
      <x:c r="AI1649" s="145"/>
      <x:c r="AJ1649"/>
    </x:row>
    <x:row r="1650">
      <x:c r="F1650" s="124"/>
      <x:c r="G1650" s="124"/>
      <x:c r="H1650" s="124"/>
      <x:c r="I1650" s="124"/>
      <x:c r="J1650" s="124"/>
      <x:c r="M1650" s="126"/>
      <x:c r="P1650" s="126"/>
      <x:c r="Q1650" s="126"/>
      <x:c r="R1650" s="126"/>
      <x:c r="S1650" s="124"/>
      <x:c r="T1650" s="124"/>
      <x:c r="U1650" s="124"/>
      <x:c r="V1650" s="124"/>
      <x:c r="W1650" s="124"/>
      <x:c r="X1650" s="124"/>
      <x:c r="AD1650"/>
      <x:c r="AE1650" s="145"/>
      <x:c r="AF1650" s="145"/>
      <x:c r="AG1650" s="145"/>
      <x:c r="AH1650" s="145"/>
      <x:c r="AI1650" s="145"/>
      <x:c r="AJ1650"/>
    </x:row>
    <x:row r="1651">
      <x:c r="F1651" s="124"/>
      <x:c r="G1651" s="124"/>
      <x:c r="H1651" s="124"/>
      <x:c r="I1651" s="124"/>
      <x:c r="J1651" s="124"/>
      <x:c r="M1651" s="126"/>
      <x:c r="P1651" s="126"/>
      <x:c r="Q1651" s="126"/>
      <x:c r="R1651" s="126"/>
      <x:c r="S1651" s="124"/>
      <x:c r="T1651" s="124"/>
      <x:c r="U1651" s="124"/>
      <x:c r="V1651" s="124"/>
      <x:c r="W1651" s="124"/>
      <x:c r="X1651" s="124"/>
      <x:c r="AD1651"/>
      <x:c r="AE1651" s="145"/>
      <x:c r="AF1651" s="145"/>
      <x:c r="AG1651" s="145"/>
      <x:c r="AH1651" s="145"/>
      <x:c r="AI1651" s="145"/>
      <x:c r="AJ1651"/>
    </x:row>
    <x:row r="1652">
      <x:c r="F1652" s="124"/>
      <x:c r="G1652" s="124"/>
      <x:c r="H1652" s="124"/>
      <x:c r="I1652" s="124"/>
      <x:c r="J1652" s="124"/>
      <x:c r="M1652" s="126"/>
      <x:c r="P1652" s="126"/>
      <x:c r="Q1652" s="126"/>
      <x:c r="R1652" s="126"/>
      <x:c r="S1652" s="124"/>
      <x:c r="T1652" s="124"/>
      <x:c r="U1652" s="124"/>
      <x:c r="V1652" s="124"/>
      <x:c r="W1652" s="124"/>
      <x:c r="X1652" s="124"/>
      <x:c r="AD1652"/>
      <x:c r="AE1652" s="145"/>
      <x:c r="AF1652" s="145"/>
      <x:c r="AG1652" s="145"/>
      <x:c r="AH1652" s="145"/>
      <x:c r="AI1652" s="145"/>
      <x:c r="AJ1652"/>
    </x:row>
    <x:row r="1653">
      <x:c r="F1653" s="124"/>
      <x:c r="G1653" s="124"/>
      <x:c r="H1653" s="124"/>
      <x:c r="I1653" s="124"/>
      <x:c r="J1653" s="124"/>
      <x:c r="M1653" s="126"/>
      <x:c r="P1653" s="126"/>
      <x:c r="Q1653" s="126"/>
      <x:c r="R1653" s="126"/>
      <x:c r="S1653" s="124"/>
      <x:c r="T1653" s="124"/>
      <x:c r="U1653" s="124"/>
      <x:c r="V1653" s="124"/>
      <x:c r="W1653" s="124"/>
      <x:c r="X1653" s="124"/>
      <x:c r="AD1653"/>
      <x:c r="AE1653" s="145"/>
      <x:c r="AF1653" s="145"/>
      <x:c r="AG1653" s="145"/>
      <x:c r="AH1653" s="145"/>
      <x:c r="AI1653" s="145"/>
      <x:c r="AJ1653"/>
    </x:row>
    <x:row r="1654">
      <x:c r="F1654" s="124"/>
      <x:c r="G1654" s="124"/>
      <x:c r="H1654" s="124"/>
      <x:c r="I1654" s="124"/>
      <x:c r="J1654" s="124"/>
      <x:c r="M1654" s="126"/>
      <x:c r="P1654" s="126"/>
      <x:c r="Q1654" s="126"/>
      <x:c r="R1654" s="126"/>
      <x:c r="S1654" s="124"/>
      <x:c r="T1654" s="124"/>
      <x:c r="U1654" s="124"/>
      <x:c r="V1654" s="124"/>
      <x:c r="W1654" s="124"/>
      <x:c r="X1654" s="124"/>
      <x:c r="AD1654"/>
      <x:c r="AE1654" s="145"/>
      <x:c r="AF1654" s="145"/>
      <x:c r="AG1654" s="145"/>
      <x:c r="AH1654" s="145"/>
      <x:c r="AI1654" s="145"/>
      <x:c r="AJ1654"/>
    </x:row>
    <x:row r="1655">
      <x:c r="F1655" s="124"/>
      <x:c r="G1655" s="124"/>
      <x:c r="H1655" s="124"/>
      <x:c r="I1655" s="124"/>
      <x:c r="J1655" s="124"/>
      <x:c r="M1655" s="126"/>
      <x:c r="P1655" s="126"/>
      <x:c r="Q1655" s="126"/>
      <x:c r="R1655" s="126"/>
      <x:c r="S1655" s="124"/>
      <x:c r="T1655" s="124"/>
      <x:c r="U1655" s="124"/>
      <x:c r="V1655" s="124"/>
      <x:c r="W1655" s="124"/>
      <x:c r="X1655" s="124"/>
      <x:c r="AD1655"/>
      <x:c r="AE1655" s="145"/>
      <x:c r="AF1655" s="145"/>
      <x:c r="AG1655" s="145"/>
      <x:c r="AH1655" s="145"/>
      <x:c r="AI1655" s="145"/>
      <x:c r="AJ1655"/>
    </x:row>
    <x:row r="1656">
      <x:c r="F1656" s="124"/>
      <x:c r="G1656" s="124"/>
      <x:c r="H1656" s="124"/>
      <x:c r="I1656" s="124"/>
      <x:c r="J1656" s="124"/>
      <x:c r="M1656" s="126"/>
      <x:c r="P1656" s="126"/>
      <x:c r="Q1656" s="126"/>
      <x:c r="R1656" s="126"/>
      <x:c r="S1656" s="124"/>
      <x:c r="T1656" s="124"/>
      <x:c r="U1656" s="124"/>
      <x:c r="V1656" s="124"/>
      <x:c r="W1656" s="124"/>
      <x:c r="X1656" s="124"/>
      <x:c r="AD1656"/>
      <x:c r="AE1656" s="145"/>
      <x:c r="AF1656" s="145"/>
      <x:c r="AG1656" s="145"/>
      <x:c r="AH1656" s="145"/>
      <x:c r="AI1656" s="145"/>
      <x:c r="AJ1656"/>
    </x:row>
    <x:row r="1657">
      <x:c r="F1657" s="124"/>
      <x:c r="G1657" s="124"/>
      <x:c r="H1657" s="124"/>
      <x:c r="I1657" s="124"/>
      <x:c r="J1657" s="124"/>
      <x:c r="M1657" s="126"/>
      <x:c r="P1657" s="126"/>
      <x:c r="Q1657" s="126"/>
      <x:c r="R1657" s="126"/>
      <x:c r="S1657" s="124"/>
      <x:c r="T1657" s="124"/>
      <x:c r="U1657" s="124"/>
      <x:c r="V1657" s="124"/>
      <x:c r="W1657" s="124"/>
      <x:c r="X1657" s="124"/>
      <x:c r="AD1657"/>
      <x:c r="AE1657" s="145"/>
      <x:c r="AF1657" s="145"/>
      <x:c r="AG1657" s="145"/>
      <x:c r="AH1657" s="145"/>
      <x:c r="AI1657" s="145"/>
      <x:c r="AJ1657"/>
    </x:row>
    <x:row r="1658">
      <x:c r="F1658" s="124"/>
      <x:c r="G1658" s="124"/>
      <x:c r="H1658" s="124"/>
      <x:c r="I1658" s="124"/>
      <x:c r="J1658" s="124"/>
      <x:c r="M1658" s="126"/>
      <x:c r="P1658" s="126"/>
      <x:c r="Q1658" s="126"/>
      <x:c r="R1658" s="126"/>
      <x:c r="S1658" s="124"/>
      <x:c r="T1658" s="124"/>
      <x:c r="U1658" s="124"/>
      <x:c r="V1658" s="124"/>
      <x:c r="W1658" s="124"/>
      <x:c r="X1658" s="124"/>
      <x:c r="AD1658"/>
      <x:c r="AE1658" s="145"/>
      <x:c r="AF1658" s="145"/>
      <x:c r="AG1658" s="145"/>
      <x:c r="AH1658" s="145"/>
      <x:c r="AI1658" s="145"/>
      <x:c r="AJ1658"/>
    </x:row>
    <x:row r="1659">
      <x:c r="F1659" s="124"/>
      <x:c r="G1659" s="124"/>
      <x:c r="H1659" s="124"/>
      <x:c r="I1659" s="124"/>
      <x:c r="J1659" s="124"/>
      <x:c r="M1659" s="126"/>
      <x:c r="P1659" s="126"/>
      <x:c r="Q1659" s="126"/>
      <x:c r="R1659" s="126"/>
      <x:c r="S1659" s="124"/>
      <x:c r="T1659" s="124"/>
      <x:c r="U1659" s="124"/>
      <x:c r="V1659" s="124"/>
      <x:c r="W1659" s="124"/>
      <x:c r="X1659" s="124"/>
      <x:c r="AD1659"/>
      <x:c r="AE1659" s="145"/>
      <x:c r="AF1659" s="145"/>
      <x:c r="AG1659" s="145"/>
      <x:c r="AH1659" s="145"/>
      <x:c r="AI1659" s="145"/>
      <x:c r="AJ1659"/>
    </x:row>
    <x:row r="1660">
      <x:c r="F1660" s="124"/>
      <x:c r="G1660" s="124"/>
      <x:c r="H1660" s="124"/>
      <x:c r="I1660" s="124"/>
      <x:c r="J1660" s="124"/>
      <x:c r="M1660" s="126"/>
      <x:c r="P1660" s="126"/>
      <x:c r="Q1660" s="126"/>
      <x:c r="R1660" s="126"/>
      <x:c r="S1660" s="124"/>
      <x:c r="T1660" s="124"/>
      <x:c r="U1660" s="124"/>
      <x:c r="V1660" s="124"/>
      <x:c r="W1660" s="124"/>
      <x:c r="X1660" s="124"/>
      <x:c r="AD1660"/>
      <x:c r="AE1660" s="145"/>
      <x:c r="AF1660" s="145"/>
      <x:c r="AG1660" s="145"/>
      <x:c r="AH1660" s="145"/>
      <x:c r="AI1660" s="145"/>
      <x:c r="AJ1660"/>
    </x:row>
    <x:row r="1661">
      <x:c r="F1661" s="124"/>
      <x:c r="G1661" s="124"/>
      <x:c r="H1661" s="124"/>
      <x:c r="I1661" s="124"/>
      <x:c r="J1661" s="124"/>
      <x:c r="M1661" s="126"/>
      <x:c r="P1661" s="126"/>
      <x:c r="Q1661" s="126"/>
      <x:c r="R1661" s="126"/>
      <x:c r="S1661" s="124"/>
      <x:c r="T1661" s="124"/>
      <x:c r="U1661" s="124"/>
      <x:c r="V1661" s="124"/>
      <x:c r="W1661" s="124"/>
      <x:c r="X1661" s="124"/>
      <x:c r="AD1661"/>
      <x:c r="AE1661" s="145"/>
      <x:c r="AF1661" s="145"/>
      <x:c r="AG1661" s="145"/>
      <x:c r="AH1661" s="145"/>
      <x:c r="AI1661" s="145"/>
      <x:c r="AJ1661"/>
    </x:row>
    <x:row r="1662">
      <x:c r="F1662" s="124"/>
      <x:c r="G1662" s="124"/>
      <x:c r="H1662" s="124"/>
      <x:c r="I1662" s="124"/>
      <x:c r="J1662" s="124"/>
      <x:c r="M1662" s="126"/>
      <x:c r="P1662" s="126"/>
      <x:c r="Q1662" s="126"/>
      <x:c r="R1662" s="126"/>
      <x:c r="S1662" s="124"/>
      <x:c r="T1662" s="124"/>
      <x:c r="U1662" s="124"/>
      <x:c r="V1662" s="124"/>
      <x:c r="W1662" s="124"/>
      <x:c r="X1662" s="124"/>
      <x:c r="AD1662"/>
      <x:c r="AE1662" s="145"/>
      <x:c r="AF1662" s="145"/>
      <x:c r="AG1662" s="145"/>
      <x:c r="AH1662" s="145"/>
      <x:c r="AI1662" s="145"/>
      <x:c r="AJ1662"/>
    </x:row>
    <x:row r="1663">
      <x:c r="F1663" s="124"/>
      <x:c r="G1663" s="124"/>
      <x:c r="H1663" s="124"/>
      <x:c r="I1663" s="124"/>
      <x:c r="J1663" s="124"/>
      <x:c r="M1663" s="126"/>
      <x:c r="P1663" s="126"/>
      <x:c r="Q1663" s="126"/>
      <x:c r="R1663" s="126"/>
      <x:c r="S1663" s="124"/>
      <x:c r="T1663" s="124"/>
      <x:c r="U1663" s="124"/>
      <x:c r="V1663" s="124"/>
      <x:c r="W1663" s="124"/>
      <x:c r="X1663" s="124"/>
      <x:c r="AD1663"/>
      <x:c r="AE1663" s="145"/>
      <x:c r="AF1663" s="145"/>
      <x:c r="AG1663" s="145"/>
      <x:c r="AH1663" s="145"/>
      <x:c r="AI1663" s="145"/>
      <x:c r="AJ1663"/>
    </x:row>
    <x:row r="1664">
      <x:c r="F1664" s="124"/>
      <x:c r="G1664" s="124"/>
      <x:c r="H1664" s="124"/>
      <x:c r="I1664" s="124"/>
      <x:c r="J1664" s="124"/>
      <x:c r="M1664" s="126"/>
      <x:c r="P1664" s="126"/>
      <x:c r="Q1664" s="126"/>
      <x:c r="R1664" s="126"/>
      <x:c r="S1664" s="124"/>
      <x:c r="T1664" s="124"/>
      <x:c r="U1664" s="124"/>
      <x:c r="V1664" s="124"/>
      <x:c r="W1664" s="124"/>
      <x:c r="X1664" s="124"/>
      <x:c r="AD1664"/>
      <x:c r="AE1664" s="145"/>
      <x:c r="AF1664" s="145"/>
      <x:c r="AG1664" s="145"/>
      <x:c r="AH1664" s="145"/>
      <x:c r="AI1664" s="145"/>
      <x:c r="AJ1664"/>
    </x:row>
    <x:row r="1665">
      <x:c r="F1665" s="124"/>
      <x:c r="G1665" s="124"/>
      <x:c r="H1665" s="124"/>
      <x:c r="I1665" s="124"/>
      <x:c r="J1665" s="124"/>
      <x:c r="M1665" s="126"/>
      <x:c r="P1665" s="126"/>
      <x:c r="Q1665" s="126"/>
      <x:c r="R1665" s="126"/>
      <x:c r="S1665" s="124"/>
      <x:c r="T1665" s="124"/>
      <x:c r="U1665" s="124"/>
      <x:c r="V1665" s="124"/>
      <x:c r="W1665" s="124"/>
      <x:c r="X1665" s="124"/>
      <x:c r="AD1665"/>
      <x:c r="AE1665" s="145"/>
      <x:c r="AF1665" s="145"/>
      <x:c r="AG1665" s="145"/>
      <x:c r="AH1665" s="145"/>
      <x:c r="AI1665" s="145"/>
      <x:c r="AJ1665"/>
    </x:row>
    <x:row r="1666">
      <x:c r="F1666" s="124"/>
      <x:c r="G1666" s="124"/>
      <x:c r="H1666" s="124"/>
      <x:c r="I1666" s="124"/>
      <x:c r="J1666" s="124"/>
      <x:c r="M1666" s="126"/>
      <x:c r="P1666" s="126"/>
      <x:c r="Q1666" s="126"/>
      <x:c r="R1666" s="126"/>
      <x:c r="S1666" s="124"/>
      <x:c r="T1666" s="124"/>
      <x:c r="U1666" s="124"/>
      <x:c r="V1666" s="124"/>
      <x:c r="W1666" s="124"/>
      <x:c r="X1666" s="124"/>
      <x:c r="AD1666"/>
      <x:c r="AE1666" s="145"/>
      <x:c r="AF1666" s="145"/>
      <x:c r="AG1666" s="145"/>
      <x:c r="AH1666" s="145"/>
      <x:c r="AI1666" s="145"/>
      <x:c r="AJ1666"/>
    </x:row>
    <x:row r="1667">
      <x:c r="F1667" s="124"/>
      <x:c r="G1667" s="124"/>
      <x:c r="H1667" s="124"/>
      <x:c r="I1667" s="124"/>
      <x:c r="J1667" s="124"/>
      <x:c r="M1667" s="126"/>
      <x:c r="P1667" s="126"/>
      <x:c r="Q1667" s="126"/>
      <x:c r="R1667" s="126"/>
      <x:c r="S1667" s="124"/>
      <x:c r="T1667" s="124"/>
      <x:c r="U1667" s="124"/>
      <x:c r="V1667" s="124"/>
      <x:c r="W1667" s="124"/>
      <x:c r="X1667" s="124"/>
      <x:c r="AD1667"/>
      <x:c r="AE1667" s="145"/>
      <x:c r="AF1667" s="145"/>
      <x:c r="AG1667" s="145"/>
      <x:c r="AH1667" s="145"/>
      <x:c r="AI1667" s="145"/>
      <x:c r="AJ1667"/>
    </x:row>
    <x:row r="1668">
      <x:c r="F1668" s="124"/>
      <x:c r="G1668" s="124"/>
      <x:c r="H1668" s="124"/>
      <x:c r="I1668" s="124"/>
      <x:c r="J1668" s="124"/>
      <x:c r="M1668" s="126"/>
      <x:c r="P1668" s="126"/>
      <x:c r="Q1668" s="126"/>
      <x:c r="R1668" s="126"/>
      <x:c r="S1668" s="124"/>
      <x:c r="T1668" s="124"/>
      <x:c r="U1668" s="124"/>
      <x:c r="V1668" s="124"/>
      <x:c r="W1668" s="124"/>
      <x:c r="X1668" s="124"/>
      <x:c r="AD1668"/>
      <x:c r="AE1668" s="145"/>
      <x:c r="AF1668" s="145"/>
      <x:c r="AG1668" s="145"/>
      <x:c r="AH1668" s="145"/>
      <x:c r="AI1668" s="145"/>
      <x:c r="AJ1668"/>
    </x:row>
    <x:row r="1669">
      <x:c r="F1669" s="124"/>
      <x:c r="G1669" s="124"/>
      <x:c r="H1669" s="124"/>
      <x:c r="I1669" s="124"/>
      <x:c r="J1669" s="124"/>
      <x:c r="M1669" s="126"/>
      <x:c r="P1669" s="126"/>
      <x:c r="Q1669" s="126"/>
      <x:c r="R1669" s="126"/>
      <x:c r="S1669" s="124"/>
      <x:c r="T1669" s="124"/>
      <x:c r="U1669" s="124"/>
      <x:c r="V1669" s="124"/>
      <x:c r="W1669" s="124"/>
      <x:c r="X1669" s="124"/>
      <x:c r="AD1669"/>
      <x:c r="AE1669" s="145"/>
      <x:c r="AF1669" s="145"/>
      <x:c r="AG1669" s="145"/>
      <x:c r="AH1669" s="145"/>
      <x:c r="AI1669" s="145"/>
      <x:c r="AJ1669"/>
    </x:row>
    <x:row r="1670">
      <x:c r="F1670" s="124"/>
      <x:c r="G1670" s="124"/>
      <x:c r="H1670" s="124"/>
      <x:c r="I1670" s="124"/>
      <x:c r="J1670" s="124"/>
      <x:c r="M1670" s="126"/>
      <x:c r="P1670" s="126"/>
      <x:c r="Q1670" s="126"/>
      <x:c r="R1670" s="126"/>
      <x:c r="S1670" s="124"/>
      <x:c r="T1670" s="124"/>
      <x:c r="U1670" s="124"/>
      <x:c r="V1670" s="124"/>
      <x:c r="W1670" s="124"/>
      <x:c r="X1670" s="124"/>
      <x:c r="AD1670"/>
      <x:c r="AE1670" s="145"/>
      <x:c r="AF1670" s="145"/>
      <x:c r="AG1670" s="145"/>
      <x:c r="AH1670" s="145"/>
      <x:c r="AI1670" s="145"/>
      <x:c r="AJ1670"/>
    </x:row>
    <x:row r="1671">
      <x:c r="F1671" s="124"/>
      <x:c r="G1671" s="124"/>
      <x:c r="H1671" s="124"/>
      <x:c r="I1671" s="124"/>
      <x:c r="J1671" s="124"/>
      <x:c r="M1671" s="126"/>
      <x:c r="P1671" s="126"/>
      <x:c r="Q1671" s="126"/>
      <x:c r="R1671" s="126"/>
      <x:c r="S1671" s="124"/>
      <x:c r="T1671" s="124"/>
      <x:c r="U1671" s="124"/>
      <x:c r="V1671" s="124"/>
      <x:c r="W1671" s="124"/>
      <x:c r="X1671" s="124"/>
      <x:c r="AD1671"/>
      <x:c r="AE1671" s="145"/>
      <x:c r="AF1671" s="145"/>
      <x:c r="AG1671" s="145"/>
      <x:c r="AH1671" s="145"/>
      <x:c r="AI1671" s="145"/>
      <x:c r="AJ1671"/>
    </x:row>
    <x:row r="1672">
      <x:c r="F1672" s="124"/>
      <x:c r="G1672" s="124"/>
      <x:c r="H1672" s="124"/>
      <x:c r="I1672" s="124"/>
      <x:c r="J1672" s="124"/>
      <x:c r="M1672" s="126"/>
      <x:c r="P1672" s="126"/>
      <x:c r="Q1672" s="126"/>
      <x:c r="R1672" s="126"/>
      <x:c r="S1672" s="124"/>
      <x:c r="T1672" s="124"/>
      <x:c r="U1672" s="124"/>
      <x:c r="V1672" s="124"/>
      <x:c r="W1672" s="124"/>
      <x:c r="X1672" s="124"/>
      <x:c r="AD1672"/>
      <x:c r="AE1672" s="145"/>
      <x:c r="AF1672" s="145"/>
      <x:c r="AG1672" s="145"/>
      <x:c r="AH1672" s="145"/>
      <x:c r="AI1672" s="145"/>
      <x:c r="AJ1672"/>
    </x:row>
    <x:row r="1673">
      <x:c r="F1673" s="124"/>
      <x:c r="G1673" s="124"/>
      <x:c r="H1673" s="124"/>
      <x:c r="I1673" s="124"/>
      <x:c r="J1673" s="124"/>
      <x:c r="M1673" s="126"/>
      <x:c r="P1673" s="126"/>
      <x:c r="Q1673" s="126"/>
      <x:c r="R1673" s="126"/>
      <x:c r="S1673" s="124"/>
      <x:c r="T1673" s="124"/>
      <x:c r="U1673" s="124"/>
      <x:c r="V1673" s="124"/>
      <x:c r="W1673" s="124"/>
      <x:c r="X1673" s="124"/>
      <x:c r="AD1673"/>
      <x:c r="AE1673" s="145"/>
      <x:c r="AF1673" s="145"/>
      <x:c r="AG1673" s="145"/>
      <x:c r="AH1673" s="145"/>
      <x:c r="AI1673" s="145"/>
      <x:c r="AJ1673"/>
    </x:row>
    <x:row r="1674">
      <x:c r="F1674" s="124"/>
      <x:c r="G1674" s="124"/>
      <x:c r="H1674" s="124"/>
      <x:c r="I1674" s="124"/>
      <x:c r="J1674" s="124"/>
      <x:c r="M1674" s="126"/>
      <x:c r="P1674" s="126"/>
      <x:c r="Q1674" s="126"/>
      <x:c r="R1674" s="126"/>
      <x:c r="S1674" s="124"/>
      <x:c r="T1674" s="124"/>
      <x:c r="U1674" s="124"/>
      <x:c r="V1674" s="124"/>
      <x:c r="W1674" s="124"/>
      <x:c r="X1674" s="124"/>
      <x:c r="AD1674"/>
      <x:c r="AE1674" s="145"/>
      <x:c r="AF1674" s="145"/>
      <x:c r="AG1674" s="145"/>
      <x:c r="AH1674" s="145"/>
      <x:c r="AI1674" s="145"/>
      <x:c r="AJ1674"/>
    </x:row>
    <x:row r="1675">
      <x:c r="F1675" s="124"/>
      <x:c r="G1675" s="124"/>
      <x:c r="H1675" s="124"/>
      <x:c r="I1675" s="124"/>
      <x:c r="J1675" s="124"/>
      <x:c r="M1675" s="126"/>
      <x:c r="P1675" s="126"/>
      <x:c r="Q1675" s="126"/>
      <x:c r="R1675" s="126"/>
      <x:c r="S1675" s="124"/>
      <x:c r="T1675" s="124"/>
      <x:c r="U1675" s="124"/>
      <x:c r="V1675" s="124"/>
      <x:c r="W1675" s="124"/>
      <x:c r="X1675" s="124"/>
      <x:c r="AD1675"/>
      <x:c r="AE1675" s="145"/>
      <x:c r="AF1675" s="145"/>
      <x:c r="AG1675" s="145"/>
      <x:c r="AH1675" s="145"/>
      <x:c r="AI1675" s="145"/>
      <x:c r="AJ1675"/>
    </x:row>
    <x:row r="1676">
      <x:c r="F1676" s="124"/>
      <x:c r="G1676" s="124"/>
      <x:c r="H1676" s="124"/>
      <x:c r="I1676" s="124"/>
      <x:c r="J1676" s="124"/>
      <x:c r="M1676" s="126"/>
      <x:c r="P1676" s="126"/>
      <x:c r="Q1676" s="126"/>
      <x:c r="R1676" s="126"/>
      <x:c r="S1676" s="124"/>
      <x:c r="T1676" s="124"/>
      <x:c r="U1676" s="124"/>
      <x:c r="V1676" s="124"/>
      <x:c r="W1676" s="124"/>
      <x:c r="X1676" s="124"/>
      <x:c r="AD1676"/>
      <x:c r="AE1676" s="145"/>
      <x:c r="AF1676" s="145"/>
      <x:c r="AG1676" s="145"/>
      <x:c r="AH1676" s="145"/>
      <x:c r="AI1676" s="145"/>
      <x:c r="AJ1676"/>
    </x:row>
    <x:row r="1677">
      <x:c r="F1677" s="124"/>
      <x:c r="G1677" s="124"/>
      <x:c r="H1677" s="124"/>
      <x:c r="I1677" s="124"/>
      <x:c r="J1677" s="124"/>
      <x:c r="M1677" s="126"/>
      <x:c r="P1677" s="126"/>
      <x:c r="Q1677" s="126"/>
      <x:c r="R1677" s="126"/>
      <x:c r="S1677" s="124"/>
      <x:c r="T1677" s="124"/>
      <x:c r="U1677" s="124"/>
      <x:c r="V1677" s="124"/>
      <x:c r="W1677" s="124"/>
      <x:c r="X1677" s="124"/>
      <x:c r="AD1677"/>
      <x:c r="AE1677" s="145"/>
      <x:c r="AF1677" s="145"/>
      <x:c r="AG1677" s="145"/>
      <x:c r="AH1677" s="145"/>
      <x:c r="AI1677" s="145"/>
      <x:c r="AJ1677"/>
    </x:row>
    <x:row r="1678">
      <x:c r="F1678" s="124"/>
      <x:c r="G1678" s="124"/>
      <x:c r="H1678" s="124"/>
      <x:c r="I1678" s="124"/>
      <x:c r="J1678" s="124"/>
      <x:c r="M1678" s="126"/>
      <x:c r="P1678" s="126"/>
      <x:c r="Q1678" s="126"/>
      <x:c r="R1678" s="126"/>
      <x:c r="S1678" s="124"/>
      <x:c r="T1678" s="124"/>
      <x:c r="U1678" s="124"/>
      <x:c r="V1678" s="124"/>
      <x:c r="W1678" s="124"/>
      <x:c r="X1678" s="124"/>
      <x:c r="AD1678"/>
      <x:c r="AE1678" s="145"/>
      <x:c r="AF1678" s="145"/>
      <x:c r="AG1678" s="145"/>
      <x:c r="AH1678" s="145"/>
      <x:c r="AI1678" s="145"/>
      <x:c r="AJ1678"/>
    </x:row>
    <x:row r="1679">
      <x:c r="F1679" s="124"/>
      <x:c r="G1679" s="124"/>
      <x:c r="H1679" s="124"/>
      <x:c r="I1679" s="124"/>
      <x:c r="J1679" s="124"/>
      <x:c r="M1679" s="126"/>
      <x:c r="P1679" s="126"/>
      <x:c r="Q1679" s="126"/>
      <x:c r="R1679" s="126"/>
      <x:c r="S1679" s="124"/>
      <x:c r="T1679" s="124"/>
      <x:c r="U1679" s="124"/>
      <x:c r="V1679" s="124"/>
      <x:c r="W1679" s="124"/>
      <x:c r="X1679" s="124"/>
      <x:c r="AD1679"/>
      <x:c r="AE1679" s="145"/>
      <x:c r="AF1679" s="145"/>
      <x:c r="AG1679" s="145"/>
      <x:c r="AH1679" s="145"/>
      <x:c r="AI1679" s="145"/>
      <x:c r="AJ1679"/>
    </x:row>
    <x:row r="1680">
      <x:c r="F1680" s="124"/>
      <x:c r="G1680" s="124"/>
      <x:c r="H1680" s="124"/>
      <x:c r="I1680" s="124"/>
      <x:c r="J1680" s="124"/>
      <x:c r="M1680" s="126"/>
      <x:c r="P1680" s="126"/>
      <x:c r="Q1680" s="126"/>
      <x:c r="R1680" s="126"/>
      <x:c r="S1680" s="124"/>
      <x:c r="T1680" s="124"/>
      <x:c r="U1680" s="124"/>
      <x:c r="V1680" s="124"/>
      <x:c r="W1680" s="124"/>
      <x:c r="X1680" s="124"/>
      <x:c r="AD1680"/>
      <x:c r="AE1680" s="145"/>
      <x:c r="AF1680" s="145"/>
      <x:c r="AG1680" s="145"/>
      <x:c r="AH1680" s="145"/>
      <x:c r="AI1680" s="145"/>
      <x:c r="AJ1680"/>
    </x:row>
    <x:row r="1681">
      <x:c r="F1681" s="124"/>
      <x:c r="G1681" s="124"/>
      <x:c r="H1681" s="124"/>
      <x:c r="I1681" s="124"/>
      <x:c r="J1681" s="124"/>
      <x:c r="M1681" s="126"/>
      <x:c r="P1681" s="126"/>
      <x:c r="Q1681" s="126"/>
      <x:c r="R1681" s="126"/>
      <x:c r="S1681" s="124"/>
      <x:c r="T1681" s="124"/>
      <x:c r="U1681" s="124"/>
      <x:c r="V1681" s="124"/>
      <x:c r="W1681" s="124"/>
      <x:c r="X1681" s="124"/>
      <x:c r="AD1681"/>
      <x:c r="AE1681" s="145"/>
      <x:c r="AF1681" s="145"/>
      <x:c r="AG1681" s="145"/>
      <x:c r="AH1681" s="145"/>
      <x:c r="AI1681" s="145"/>
      <x:c r="AJ1681"/>
    </x:row>
    <x:row r="1682">
      <x:c r="F1682" s="124"/>
      <x:c r="G1682" s="124"/>
      <x:c r="H1682" s="124"/>
      <x:c r="I1682" s="124"/>
      <x:c r="J1682" s="124"/>
      <x:c r="M1682" s="126"/>
      <x:c r="P1682" s="126"/>
      <x:c r="Q1682" s="126"/>
      <x:c r="R1682" s="126"/>
      <x:c r="S1682" s="124"/>
      <x:c r="T1682" s="124"/>
      <x:c r="U1682" s="124"/>
      <x:c r="V1682" s="124"/>
      <x:c r="W1682" s="124"/>
      <x:c r="X1682" s="124"/>
      <x:c r="AD1682"/>
      <x:c r="AE1682" s="145"/>
      <x:c r="AF1682" s="145"/>
      <x:c r="AG1682" s="145"/>
      <x:c r="AH1682" s="145"/>
      <x:c r="AI1682" s="145"/>
      <x:c r="AJ1682"/>
    </x:row>
    <x:row r="1683">
      <x:c r="F1683" s="124"/>
      <x:c r="G1683" s="124"/>
      <x:c r="H1683" s="124"/>
      <x:c r="I1683" s="124"/>
      <x:c r="J1683" s="124"/>
      <x:c r="M1683" s="126"/>
      <x:c r="P1683" s="126"/>
      <x:c r="Q1683" s="126"/>
      <x:c r="R1683" s="126"/>
      <x:c r="S1683" s="124"/>
      <x:c r="T1683" s="124"/>
      <x:c r="U1683" s="124"/>
      <x:c r="V1683" s="124"/>
      <x:c r="W1683" s="124"/>
      <x:c r="X1683" s="124"/>
      <x:c r="AD1683"/>
      <x:c r="AE1683" s="145"/>
      <x:c r="AF1683" s="145"/>
      <x:c r="AG1683" s="145"/>
      <x:c r="AH1683" s="145"/>
      <x:c r="AI1683" s="145"/>
      <x:c r="AJ1683"/>
    </x:row>
    <x:row r="1684">
      <x:c r="F1684" s="124"/>
      <x:c r="G1684" s="124"/>
      <x:c r="H1684" s="124"/>
      <x:c r="I1684" s="124"/>
      <x:c r="J1684" s="124"/>
      <x:c r="M1684" s="126"/>
      <x:c r="P1684" s="126"/>
      <x:c r="Q1684" s="126"/>
      <x:c r="R1684" s="126"/>
      <x:c r="S1684" s="124"/>
      <x:c r="T1684" s="124"/>
      <x:c r="U1684" s="124"/>
      <x:c r="V1684" s="124"/>
      <x:c r="W1684" s="124"/>
      <x:c r="X1684" s="124"/>
      <x:c r="AD1684"/>
      <x:c r="AE1684" s="145"/>
      <x:c r="AF1684" s="145"/>
      <x:c r="AG1684" s="145"/>
      <x:c r="AH1684" s="145"/>
      <x:c r="AI1684" s="145"/>
      <x:c r="AJ1684"/>
    </x:row>
    <x:row r="1685">
      <x:c r="F1685" s="124"/>
      <x:c r="G1685" s="124"/>
      <x:c r="H1685" s="124"/>
      <x:c r="I1685" s="124"/>
      <x:c r="J1685" s="124"/>
      <x:c r="M1685" s="126"/>
      <x:c r="P1685" s="126"/>
      <x:c r="Q1685" s="126"/>
      <x:c r="R1685" s="126"/>
      <x:c r="S1685" s="124"/>
      <x:c r="T1685" s="124"/>
      <x:c r="U1685" s="124"/>
      <x:c r="V1685" s="124"/>
      <x:c r="W1685" s="124"/>
      <x:c r="X1685" s="124"/>
      <x:c r="AD1685"/>
      <x:c r="AE1685" s="145"/>
      <x:c r="AF1685" s="145"/>
      <x:c r="AG1685" s="145"/>
      <x:c r="AH1685" s="145"/>
      <x:c r="AI1685" s="145"/>
      <x:c r="AJ1685"/>
    </x:row>
    <x:row r="1686">
      <x:c r="F1686" s="124"/>
      <x:c r="G1686" s="124"/>
      <x:c r="H1686" s="124"/>
      <x:c r="I1686" s="124"/>
      <x:c r="J1686" s="124"/>
      <x:c r="M1686" s="126"/>
      <x:c r="P1686" s="126"/>
      <x:c r="Q1686" s="126"/>
      <x:c r="R1686" s="126"/>
      <x:c r="S1686" s="124"/>
      <x:c r="T1686" s="124"/>
      <x:c r="U1686" s="124"/>
      <x:c r="V1686" s="124"/>
      <x:c r="W1686" s="124"/>
      <x:c r="X1686" s="124"/>
      <x:c r="AD1686"/>
      <x:c r="AE1686" s="145"/>
      <x:c r="AF1686" s="145"/>
      <x:c r="AG1686" s="145"/>
      <x:c r="AH1686" s="145"/>
      <x:c r="AI1686" s="145"/>
      <x:c r="AJ1686"/>
    </x:row>
    <x:row r="1687">
      <x:c r="F1687" s="124"/>
      <x:c r="G1687" s="124"/>
      <x:c r="H1687" s="124"/>
      <x:c r="I1687" s="124"/>
      <x:c r="J1687" s="124"/>
      <x:c r="M1687" s="126"/>
      <x:c r="P1687" s="126"/>
      <x:c r="Q1687" s="126"/>
      <x:c r="R1687" s="126"/>
      <x:c r="S1687" s="124"/>
      <x:c r="T1687" s="124"/>
      <x:c r="U1687" s="124"/>
      <x:c r="V1687" s="124"/>
      <x:c r="W1687" s="124"/>
      <x:c r="X1687" s="124"/>
      <x:c r="AD1687"/>
      <x:c r="AE1687" s="145"/>
      <x:c r="AF1687" s="145"/>
      <x:c r="AG1687" s="145"/>
      <x:c r="AH1687" s="145"/>
      <x:c r="AI1687" s="145"/>
      <x:c r="AJ1687"/>
    </x:row>
    <x:row r="1688">
      <x:c r="F1688" s="124"/>
      <x:c r="G1688" s="124"/>
      <x:c r="H1688" s="124"/>
      <x:c r="I1688" s="124"/>
      <x:c r="J1688" s="124"/>
      <x:c r="M1688" s="126"/>
      <x:c r="P1688" s="126"/>
      <x:c r="Q1688" s="126"/>
      <x:c r="R1688" s="126"/>
      <x:c r="S1688" s="124"/>
      <x:c r="T1688" s="124"/>
      <x:c r="U1688" s="124"/>
      <x:c r="V1688" s="124"/>
      <x:c r="W1688" s="124"/>
      <x:c r="X1688" s="124"/>
      <x:c r="AD1688"/>
      <x:c r="AE1688" s="145"/>
      <x:c r="AF1688" s="145"/>
      <x:c r="AG1688" s="145"/>
      <x:c r="AH1688" s="145"/>
      <x:c r="AI1688" s="145"/>
      <x:c r="AJ1688"/>
    </x:row>
    <x:row r="1689">
      <x:c r="F1689" s="124"/>
      <x:c r="G1689" s="124"/>
      <x:c r="H1689" s="124"/>
      <x:c r="I1689" s="124"/>
      <x:c r="J1689" s="124"/>
      <x:c r="M1689" s="126"/>
      <x:c r="P1689" s="126"/>
      <x:c r="Q1689" s="126"/>
      <x:c r="R1689" s="126"/>
      <x:c r="S1689" s="124"/>
      <x:c r="T1689" s="124"/>
      <x:c r="U1689" s="124"/>
      <x:c r="V1689" s="124"/>
      <x:c r="W1689" s="124"/>
      <x:c r="X1689" s="124"/>
      <x:c r="AD1689"/>
      <x:c r="AE1689" s="145"/>
      <x:c r="AF1689" s="145"/>
      <x:c r="AG1689" s="145"/>
      <x:c r="AH1689" s="145"/>
      <x:c r="AI1689" s="145"/>
      <x:c r="AJ1689"/>
    </x:row>
    <x:row r="1690">
      <x:c r="F1690" s="124"/>
      <x:c r="G1690" s="124"/>
      <x:c r="H1690" s="124"/>
      <x:c r="I1690" s="124"/>
      <x:c r="J1690" s="124"/>
      <x:c r="M1690" s="126"/>
      <x:c r="P1690" s="126"/>
      <x:c r="Q1690" s="126"/>
      <x:c r="R1690" s="126"/>
      <x:c r="S1690" s="124"/>
      <x:c r="T1690" s="124"/>
      <x:c r="U1690" s="124"/>
      <x:c r="V1690" s="124"/>
      <x:c r="W1690" s="124"/>
      <x:c r="X1690" s="124"/>
      <x:c r="AD1690"/>
      <x:c r="AE1690" s="145"/>
      <x:c r="AF1690" s="145"/>
      <x:c r="AG1690" s="145"/>
      <x:c r="AH1690" s="145"/>
      <x:c r="AI1690" s="145"/>
      <x:c r="AJ1690"/>
    </x:row>
    <x:row r="1691">
      <x:c r="F1691" s="124"/>
      <x:c r="G1691" s="124"/>
      <x:c r="H1691" s="124"/>
      <x:c r="I1691" s="124"/>
      <x:c r="J1691" s="124"/>
      <x:c r="M1691" s="126"/>
      <x:c r="P1691" s="126"/>
      <x:c r="Q1691" s="126"/>
      <x:c r="R1691" s="126"/>
      <x:c r="S1691" s="124"/>
      <x:c r="T1691" s="124"/>
      <x:c r="U1691" s="124"/>
      <x:c r="V1691" s="124"/>
      <x:c r="W1691" s="124"/>
      <x:c r="X1691" s="124"/>
      <x:c r="AD1691"/>
      <x:c r="AE1691" s="145"/>
      <x:c r="AF1691" s="145"/>
      <x:c r="AG1691" s="145"/>
      <x:c r="AH1691" s="145"/>
      <x:c r="AI1691" s="145"/>
      <x:c r="AJ1691"/>
    </x:row>
    <x:row r="1692">
      <x:c r="F1692" s="124"/>
      <x:c r="G1692" s="124"/>
      <x:c r="H1692" s="124"/>
      <x:c r="I1692" s="124"/>
      <x:c r="J1692" s="124"/>
      <x:c r="M1692" s="126"/>
      <x:c r="P1692" s="126"/>
      <x:c r="Q1692" s="126"/>
      <x:c r="R1692" s="126"/>
      <x:c r="S1692" s="124"/>
      <x:c r="T1692" s="124"/>
      <x:c r="U1692" s="124"/>
      <x:c r="V1692" s="124"/>
      <x:c r="W1692" s="124"/>
      <x:c r="X1692" s="124"/>
      <x:c r="AD1692"/>
      <x:c r="AE1692" s="145"/>
      <x:c r="AF1692" s="145"/>
      <x:c r="AG1692" s="145"/>
      <x:c r="AH1692" s="145"/>
      <x:c r="AI1692" s="145"/>
      <x:c r="AJ1692"/>
    </x:row>
    <x:row r="1693">
      <x:c r="F1693" s="124"/>
      <x:c r="G1693" s="124"/>
      <x:c r="H1693" s="124"/>
      <x:c r="I1693" s="124"/>
      <x:c r="J1693" s="124"/>
      <x:c r="M1693" s="126"/>
      <x:c r="P1693" s="126"/>
      <x:c r="Q1693" s="126"/>
      <x:c r="R1693" s="126"/>
      <x:c r="S1693" s="124"/>
      <x:c r="T1693" s="124"/>
      <x:c r="U1693" s="124"/>
      <x:c r="V1693" s="124"/>
      <x:c r="W1693" s="124"/>
      <x:c r="X1693" s="124"/>
      <x:c r="AD1693"/>
      <x:c r="AE1693" s="145"/>
      <x:c r="AF1693" s="145"/>
      <x:c r="AG1693" s="145"/>
      <x:c r="AH1693" s="145"/>
      <x:c r="AI1693" s="145"/>
      <x:c r="AJ1693"/>
    </x:row>
    <x:row r="1694">
      <x:c r="F1694" s="124"/>
      <x:c r="G1694" s="124"/>
      <x:c r="H1694" s="124"/>
      <x:c r="I1694" s="124"/>
      <x:c r="J1694" s="124"/>
      <x:c r="M1694" s="126"/>
      <x:c r="P1694" s="126"/>
      <x:c r="Q1694" s="126"/>
      <x:c r="R1694" s="126"/>
      <x:c r="S1694" s="124"/>
      <x:c r="T1694" s="124"/>
      <x:c r="U1694" s="124"/>
      <x:c r="V1694" s="124"/>
      <x:c r="W1694" s="124"/>
      <x:c r="X1694" s="124"/>
      <x:c r="AD1694"/>
      <x:c r="AE1694" s="145"/>
      <x:c r="AF1694" s="145"/>
      <x:c r="AG1694" s="145"/>
      <x:c r="AH1694" s="145"/>
      <x:c r="AI1694" s="145"/>
      <x:c r="AJ1694"/>
    </x:row>
    <x:row r="1695">
      <x:c r="F1695" s="124"/>
      <x:c r="G1695" s="124"/>
      <x:c r="H1695" s="124"/>
      <x:c r="I1695" s="124"/>
      <x:c r="J1695" s="124"/>
      <x:c r="M1695" s="126"/>
      <x:c r="P1695" s="126"/>
      <x:c r="Q1695" s="126"/>
      <x:c r="R1695" s="126"/>
      <x:c r="S1695" s="124"/>
      <x:c r="T1695" s="124"/>
      <x:c r="U1695" s="124"/>
      <x:c r="V1695" s="124"/>
      <x:c r="W1695" s="124"/>
      <x:c r="X1695" s="124"/>
      <x:c r="AD1695"/>
      <x:c r="AE1695" s="145"/>
      <x:c r="AF1695" s="145"/>
      <x:c r="AG1695" s="145"/>
      <x:c r="AH1695" s="145"/>
      <x:c r="AI1695" s="145"/>
      <x:c r="AJ1695"/>
    </x:row>
    <x:row r="1696">
      <x:c r="F1696" s="124"/>
      <x:c r="G1696" s="124"/>
      <x:c r="H1696" s="124"/>
      <x:c r="I1696" s="124"/>
      <x:c r="J1696" s="124"/>
      <x:c r="M1696" s="126"/>
      <x:c r="P1696" s="126"/>
      <x:c r="Q1696" s="126"/>
      <x:c r="R1696" s="126"/>
      <x:c r="S1696" s="124"/>
      <x:c r="T1696" s="124"/>
      <x:c r="U1696" s="124"/>
      <x:c r="V1696" s="124"/>
      <x:c r="W1696" s="124"/>
      <x:c r="X1696" s="124"/>
      <x:c r="AD1696"/>
      <x:c r="AE1696" s="145"/>
      <x:c r="AF1696" s="145"/>
      <x:c r="AG1696" s="145"/>
      <x:c r="AH1696" s="145"/>
      <x:c r="AI1696" s="145"/>
      <x:c r="AJ1696"/>
    </x:row>
    <x:row r="1697">
      <x:c r="F1697" s="124"/>
      <x:c r="G1697" s="124"/>
      <x:c r="H1697" s="124"/>
      <x:c r="I1697" s="124"/>
      <x:c r="J1697" s="124"/>
      <x:c r="M1697" s="126"/>
      <x:c r="P1697" s="126"/>
      <x:c r="Q1697" s="126"/>
      <x:c r="R1697" s="126"/>
      <x:c r="S1697" s="124"/>
      <x:c r="T1697" s="124"/>
      <x:c r="U1697" s="124"/>
      <x:c r="V1697" s="124"/>
      <x:c r="W1697" s="124"/>
      <x:c r="X1697" s="124"/>
      <x:c r="AD1697"/>
      <x:c r="AE1697" s="145"/>
      <x:c r="AF1697" s="145"/>
      <x:c r="AG1697" s="145"/>
      <x:c r="AH1697" s="145"/>
      <x:c r="AI1697" s="145"/>
      <x:c r="AJ1697"/>
    </x:row>
    <x:row r="1698">
      <x:c r="F1698" s="124"/>
      <x:c r="G1698" s="124"/>
      <x:c r="H1698" s="124"/>
      <x:c r="I1698" s="124"/>
      <x:c r="J1698" s="124"/>
      <x:c r="M1698" s="126"/>
      <x:c r="P1698" s="126"/>
      <x:c r="Q1698" s="126"/>
      <x:c r="R1698" s="126"/>
      <x:c r="S1698" s="124"/>
      <x:c r="T1698" s="124"/>
      <x:c r="U1698" s="124"/>
      <x:c r="V1698" s="124"/>
      <x:c r="W1698" s="124"/>
      <x:c r="X1698" s="124"/>
      <x:c r="AD1698"/>
      <x:c r="AE1698" s="145"/>
      <x:c r="AF1698" s="145"/>
      <x:c r="AG1698" s="145"/>
      <x:c r="AH1698" s="145"/>
      <x:c r="AI1698" s="145"/>
      <x:c r="AJ1698"/>
    </x:row>
    <x:row r="1699">
      <x:c r="F1699" s="124"/>
      <x:c r="G1699" s="124"/>
      <x:c r="H1699" s="124"/>
      <x:c r="I1699" s="124"/>
      <x:c r="J1699" s="124"/>
      <x:c r="M1699" s="126"/>
      <x:c r="P1699" s="126"/>
      <x:c r="Q1699" s="126"/>
      <x:c r="R1699" s="126"/>
      <x:c r="S1699" s="124"/>
      <x:c r="T1699" s="124"/>
      <x:c r="U1699" s="124"/>
      <x:c r="V1699" s="124"/>
      <x:c r="W1699" s="124"/>
      <x:c r="X1699" s="124"/>
      <x:c r="AD1699"/>
      <x:c r="AE1699" s="145"/>
      <x:c r="AF1699" s="145"/>
      <x:c r="AG1699" s="145"/>
      <x:c r="AH1699" s="145"/>
      <x:c r="AI1699" s="145"/>
      <x:c r="AJ1699"/>
    </x:row>
    <x:row r="1700">
      <x:c r="F1700" s="124"/>
      <x:c r="G1700" s="124"/>
      <x:c r="H1700" s="124"/>
      <x:c r="I1700" s="124"/>
      <x:c r="J1700" s="124"/>
      <x:c r="M1700" s="126"/>
      <x:c r="P1700" s="126"/>
      <x:c r="Q1700" s="126"/>
      <x:c r="R1700" s="126"/>
      <x:c r="S1700" s="124"/>
      <x:c r="T1700" s="124"/>
      <x:c r="U1700" s="124"/>
      <x:c r="V1700" s="124"/>
      <x:c r="W1700" s="124"/>
      <x:c r="X1700" s="124"/>
      <x:c r="AD1700"/>
      <x:c r="AE1700" s="145"/>
      <x:c r="AF1700" s="145"/>
      <x:c r="AG1700" s="145"/>
      <x:c r="AH1700" s="145"/>
      <x:c r="AI1700" s="145"/>
      <x:c r="AJ1700"/>
    </x:row>
    <x:row r="1701">
      <x:c r="F1701" s="124"/>
      <x:c r="G1701" s="124"/>
      <x:c r="H1701" s="124"/>
      <x:c r="I1701" s="124"/>
      <x:c r="J1701" s="124"/>
      <x:c r="M1701" s="126"/>
      <x:c r="P1701" s="126"/>
      <x:c r="Q1701" s="126"/>
      <x:c r="R1701" s="126"/>
      <x:c r="S1701" s="124"/>
      <x:c r="T1701" s="124"/>
      <x:c r="U1701" s="124"/>
      <x:c r="V1701" s="124"/>
      <x:c r="W1701" s="124"/>
      <x:c r="X1701" s="124"/>
      <x:c r="AD1701"/>
      <x:c r="AE1701" s="145"/>
      <x:c r="AF1701" s="145"/>
      <x:c r="AG1701" s="145"/>
      <x:c r="AH1701" s="145"/>
      <x:c r="AI1701" s="145"/>
      <x:c r="AJ1701"/>
    </x:row>
    <x:row r="1702">
      <x:c r="F1702" s="124"/>
      <x:c r="G1702" s="124"/>
      <x:c r="H1702" s="124"/>
      <x:c r="I1702" s="124"/>
      <x:c r="J1702" s="124"/>
      <x:c r="M1702" s="126"/>
      <x:c r="P1702" s="126"/>
      <x:c r="Q1702" s="126"/>
      <x:c r="R1702" s="126"/>
      <x:c r="S1702" s="124"/>
      <x:c r="T1702" s="124"/>
      <x:c r="U1702" s="124"/>
      <x:c r="V1702" s="124"/>
      <x:c r="W1702" s="124"/>
      <x:c r="X1702" s="124"/>
      <x:c r="AD1702"/>
      <x:c r="AE1702" s="145"/>
      <x:c r="AF1702" s="145"/>
      <x:c r="AG1702" s="145"/>
      <x:c r="AH1702" s="145"/>
      <x:c r="AI1702" s="145"/>
      <x:c r="AJ1702"/>
    </x:row>
    <x:row r="1703">
      <x:c r="F1703" s="124"/>
      <x:c r="G1703" s="124"/>
      <x:c r="H1703" s="124"/>
      <x:c r="I1703" s="124"/>
      <x:c r="J1703" s="124"/>
      <x:c r="M1703" s="126"/>
      <x:c r="P1703" s="126"/>
      <x:c r="Q1703" s="126"/>
      <x:c r="R1703" s="126"/>
      <x:c r="S1703" s="124"/>
      <x:c r="T1703" s="124"/>
      <x:c r="U1703" s="124"/>
      <x:c r="V1703" s="124"/>
      <x:c r="W1703" s="124"/>
      <x:c r="X1703" s="124"/>
      <x:c r="AD1703"/>
      <x:c r="AE1703" s="145"/>
      <x:c r="AF1703" s="145"/>
      <x:c r="AG1703" s="145"/>
      <x:c r="AH1703" s="145"/>
      <x:c r="AI1703" s="145"/>
      <x:c r="AJ1703"/>
    </x:row>
    <x:row r="1704">
      <x:c r="F1704" s="124"/>
      <x:c r="G1704" s="124"/>
      <x:c r="H1704" s="124"/>
      <x:c r="I1704" s="124"/>
      <x:c r="J1704" s="124"/>
      <x:c r="M1704" s="126"/>
      <x:c r="P1704" s="126"/>
      <x:c r="Q1704" s="126"/>
      <x:c r="R1704" s="126"/>
      <x:c r="S1704" s="124"/>
      <x:c r="T1704" s="124"/>
      <x:c r="U1704" s="124"/>
      <x:c r="V1704" s="124"/>
      <x:c r="W1704" s="124"/>
      <x:c r="X1704" s="124"/>
      <x:c r="AD1704"/>
      <x:c r="AE1704" s="145"/>
      <x:c r="AF1704" s="145"/>
      <x:c r="AG1704" s="145"/>
      <x:c r="AH1704" s="145"/>
      <x:c r="AI1704" s="145"/>
      <x:c r="AJ1704"/>
    </x:row>
    <x:row r="1705">
      <x:c r="F1705" s="124"/>
      <x:c r="G1705" s="124"/>
      <x:c r="H1705" s="124"/>
      <x:c r="I1705" s="124"/>
      <x:c r="J1705" s="124"/>
      <x:c r="M1705" s="126"/>
      <x:c r="P1705" s="126"/>
      <x:c r="Q1705" s="126"/>
      <x:c r="R1705" s="126"/>
      <x:c r="S1705" s="124"/>
      <x:c r="T1705" s="124"/>
      <x:c r="U1705" s="124"/>
      <x:c r="V1705" s="124"/>
      <x:c r="W1705" s="124"/>
      <x:c r="X1705" s="124"/>
      <x:c r="AD1705"/>
      <x:c r="AE1705" s="145"/>
      <x:c r="AF1705" s="145"/>
      <x:c r="AG1705" s="145"/>
      <x:c r="AH1705" s="145"/>
      <x:c r="AI1705" s="145"/>
      <x:c r="AJ1705"/>
    </x:row>
    <x:row r="1706">
      <x:c r="F1706" s="124"/>
      <x:c r="G1706" s="124"/>
      <x:c r="H1706" s="124"/>
      <x:c r="I1706" s="124"/>
      <x:c r="J1706" s="124"/>
      <x:c r="M1706" s="126"/>
      <x:c r="P1706" s="126"/>
      <x:c r="Q1706" s="126"/>
      <x:c r="R1706" s="126"/>
      <x:c r="S1706" s="124"/>
      <x:c r="T1706" s="124"/>
      <x:c r="U1706" s="124"/>
      <x:c r="V1706" s="124"/>
      <x:c r="W1706" s="124"/>
      <x:c r="X1706" s="124"/>
      <x:c r="AD1706"/>
      <x:c r="AE1706" s="145"/>
      <x:c r="AF1706" s="145"/>
      <x:c r="AG1706" s="145"/>
      <x:c r="AH1706" s="145"/>
      <x:c r="AI1706" s="145"/>
      <x:c r="AJ1706"/>
    </x:row>
    <x:row r="1707">
      <x:c r="F1707" s="124"/>
      <x:c r="G1707" s="124"/>
      <x:c r="H1707" s="124"/>
      <x:c r="I1707" s="124"/>
      <x:c r="J1707" s="124"/>
      <x:c r="M1707" s="126"/>
      <x:c r="P1707" s="126"/>
      <x:c r="Q1707" s="126"/>
      <x:c r="R1707" s="126"/>
      <x:c r="S1707" s="124"/>
      <x:c r="T1707" s="124"/>
      <x:c r="U1707" s="124"/>
      <x:c r="V1707" s="124"/>
      <x:c r="W1707" s="124"/>
      <x:c r="X1707" s="124"/>
      <x:c r="AD1707"/>
      <x:c r="AE1707" s="145"/>
      <x:c r="AF1707" s="145"/>
      <x:c r="AG1707" s="145"/>
      <x:c r="AH1707" s="145"/>
      <x:c r="AI1707" s="145"/>
      <x:c r="AJ1707"/>
    </x:row>
    <x:row r="1708">
      <x:c r="F1708" s="124"/>
      <x:c r="G1708" s="124"/>
      <x:c r="H1708" s="124"/>
      <x:c r="I1708" s="124"/>
      <x:c r="J1708" s="124"/>
      <x:c r="M1708" s="126"/>
      <x:c r="P1708" s="126"/>
      <x:c r="Q1708" s="126"/>
      <x:c r="R1708" s="126"/>
      <x:c r="S1708" s="124"/>
      <x:c r="T1708" s="124"/>
      <x:c r="U1708" s="124"/>
      <x:c r="V1708" s="124"/>
      <x:c r="W1708" s="124"/>
      <x:c r="X1708" s="124"/>
      <x:c r="AD1708"/>
      <x:c r="AE1708" s="145"/>
      <x:c r="AF1708" s="145"/>
      <x:c r="AG1708" s="145"/>
      <x:c r="AH1708" s="145"/>
      <x:c r="AI1708" s="145"/>
      <x:c r="AJ1708"/>
    </x:row>
    <x:row r="1709">
      <x:c r="F1709" s="124"/>
      <x:c r="G1709" s="124"/>
      <x:c r="H1709" s="124"/>
      <x:c r="I1709" s="124"/>
      <x:c r="J1709" s="124"/>
      <x:c r="M1709" s="126"/>
      <x:c r="P1709" s="126"/>
      <x:c r="Q1709" s="126"/>
      <x:c r="R1709" s="126"/>
      <x:c r="S1709" s="124"/>
      <x:c r="T1709" s="124"/>
      <x:c r="U1709" s="124"/>
      <x:c r="V1709" s="124"/>
      <x:c r="W1709" s="124"/>
      <x:c r="X1709" s="124"/>
      <x:c r="AD1709"/>
      <x:c r="AE1709" s="145"/>
      <x:c r="AF1709" s="145"/>
      <x:c r="AG1709" s="145"/>
      <x:c r="AH1709" s="145"/>
      <x:c r="AI1709" s="145"/>
      <x:c r="AJ1709"/>
    </x:row>
    <x:row r="1710">
      <x:c r="F1710" s="124"/>
      <x:c r="G1710" s="124"/>
      <x:c r="H1710" s="124"/>
      <x:c r="I1710" s="124"/>
      <x:c r="J1710" s="124"/>
      <x:c r="M1710" s="126"/>
      <x:c r="P1710" s="126"/>
      <x:c r="Q1710" s="126"/>
      <x:c r="R1710" s="126"/>
      <x:c r="S1710" s="124"/>
      <x:c r="T1710" s="124"/>
      <x:c r="U1710" s="124"/>
      <x:c r="V1710" s="124"/>
      <x:c r="W1710" s="124"/>
      <x:c r="X1710" s="124"/>
      <x:c r="AD1710"/>
      <x:c r="AE1710" s="145"/>
      <x:c r="AF1710" s="145"/>
      <x:c r="AG1710" s="145"/>
      <x:c r="AH1710" s="145"/>
      <x:c r="AI1710" s="145"/>
      <x:c r="AJ1710"/>
    </x:row>
    <x:row r="1711">
      <x:c r="F1711" s="124"/>
      <x:c r="G1711" s="124"/>
      <x:c r="H1711" s="124"/>
      <x:c r="I1711" s="124"/>
      <x:c r="J1711" s="124"/>
      <x:c r="M1711" s="126"/>
      <x:c r="P1711" s="126"/>
      <x:c r="Q1711" s="126"/>
      <x:c r="R1711" s="126"/>
      <x:c r="S1711" s="124"/>
      <x:c r="T1711" s="124"/>
      <x:c r="U1711" s="124"/>
      <x:c r="V1711" s="124"/>
      <x:c r="W1711" s="124"/>
      <x:c r="X1711" s="124"/>
      <x:c r="AD1711"/>
      <x:c r="AE1711" s="145"/>
      <x:c r="AF1711" s="145"/>
      <x:c r="AG1711" s="145"/>
      <x:c r="AH1711" s="145"/>
      <x:c r="AI1711" s="145"/>
      <x:c r="AJ1711"/>
    </x:row>
    <x:row r="1712">
      <x:c r="F1712" s="124"/>
      <x:c r="G1712" s="124"/>
      <x:c r="H1712" s="124"/>
      <x:c r="I1712" s="124"/>
      <x:c r="J1712" s="124"/>
      <x:c r="M1712" s="126"/>
      <x:c r="P1712" s="126"/>
      <x:c r="Q1712" s="126"/>
      <x:c r="R1712" s="126"/>
      <x:c r="S1712" s="124"/>
      <x:c r="T1712" s="124"/>
      <x:c r="U1712" s="124"/>
      <x:c r="V1712" s="124"/>
      <x:c r="W1712" s="124"/>
      <x:c r="X1712" s="124"/>
      <x:c r="AD1712"/>
      <x:c r="AE1712" s="145"/>
      <x:c r="AF1712" s="145"/>
      <x:c r="AG1712" s="145"/>
      <x:c r="AH1712" s="145"/>
      <x:c r="AI1712" s="145"/>
      <x:c r="AJ1712"/>
    </x:row>
    <x:row r="1713">
      <x:c r="F1713" s="124"/>
      <x:c r="G1713" s="124"/>
      <x:c r="H1713" s="124"/>
      <x:c r="I1713" s="124"/>
      <x:c r="J1713" s="124"/>
      <x:c r="M1713" s="126"/>
      <x:c r="P1713" s="126"/>
      <x:c r="Q1713" s="126"/>
      <x:c r="R1713" s="126"/>
      <x:c r="S1713" s="124"/>
      <x:c r="T1713" s="124"/>
      <x:c r="U1713" s="124"/>
      <x:c r="V1713" s="124"/>
      <x:c r="W1713" s="124"/>
      <x:c r="X1713" s="124"/>
      <x:c r="AD1713"/>
      <x:c r="AE1713" s="145"/>
      <x:c r="AF1713" s="145"/>
      <x:c r="AG1713" s="145"/>
      <x:c r="AH1713" s="145"/>
      <x:c r="AI1713" s="145"/>
      <x:c r="AJ1713"/>
    </x:row>
    <x:row r="1714">
      <x:c r="F1714" s="124"/>
      <x:c r="G1714" s="124"/>
      <x:c r="H1714" s="124"/>
      <x:c r="I1714" s="124"/>
      <x:c r="J1714" s="124"/>
      <x:c r="M1714" s="126"/>
      <x:c r="P1714" s="126"/>
      <x:c r="Q1714" s="126"/>
      <x:c r="R1714" s="126"/>
      <x:c r="S1714" s="124"/>
      <x:c r="T1714" s="124"/>
      <x:c r="U1714" s="124"/>
      <x:c r="V1714" s="124"/>
      <x:c r="W1714" s="124"/>
      <x:c r="X1714" s="124"/>
      <x:c r="AD1714"/>
      <x:c r="AE1714" s="145"/>
      <x:c r="AF1714" s="145"/>
      <x:c r="AG1714" s="145"/>
      <x:c r="AH1714" s="145"/>
      <x:c r="AI1714" s="145"/>
      <x:c r="AJ1714"/>
    </x:row>
    <x:row r="1715">
      <x:c r="F1715" s="124"/>
      <x:c r="G1715" s="124"/>
      <x:c r="H1715" s="124"/>
      <x:c r="I1715" s="124"/>
      <x:c r="J1715" s="124"/>
      <x:c r="M1715" s="126"/>
      <x:c r="P1715" s="126"/>
      <x:c r="Q1715" s="126"/>
      <x:c r="R1715" s="126"/>
      <x:c r="S1715" s="124"/>
      <x:c r="T1715" s="124"/>
      <x:c r="U1715" s="124"/>
      <x:c r="V1715" s="124"/>
      <x:c r="W1715" s="124"/>
      <x:c r="X1715" s="124"/>
      <x:c r="AD1715"/>
      <x:c r="AE1715" s="145"/>
      <x:c r="AF1715" s="145"/>
      <x:c r="AG1715" s="145"/>
      <x:c r="AH1715" s="145"/>
      <x:c r="AI1715" s="145"/>
      <x:c r="AJ1715"/>
    </x:row>
    <x:row r="1716">
      <x:c r="F1716" s="124"/>
      <x:c r="G1716" s="124"/>
      <x:c r="H1716" s="124"/>
      <x:c r="I1716" s="124"/>
      <x:c r="J1716" s="124"/>
      <x:c r="M1716" s="126"/>
      <x:c r="P1716" s="126"/>
      <x:c r="Q1716" s="126"/>
      <x:c r="R1716" s="126"/>
      <x:c r="S1716" s="124"/>
      <x:c r="T1716" s="124"/>
      <x:c r="U1716" s="124"/>
      <x:c r="V1716" s="124"/>
      <x:c r="W1716" s="124"/>
      <x:c r="X1716" s="124"/>
      <x:c r="AD1716"/>
      <x:c r="AE1716" s="145"/>
      <x:c r="AF1716" s="145"/>
      <x:c r="AG1716" s="145"/>
      <x:c r="AH1716" s="145"/>
      <x:c r="AI1716" s="145"/>
      <x:c r="AJ1716"/>
    </x:row>
    <x:row r="1717">
      <x:c r="F1717" s="124"/>
      <x:c r="G1717" s="124"/>
      <x:c r="H1717" s="124"/>
      <x:c r="I1717" s="124"/>
      <x:c r="J1717" s="124"/>
      <x:c r="M1717" s="126"/>
      <x:c r="P1717" s="126"/>
      <x:c r="Q1717" s="126"/>
      <x:c r="R1717" s="126"/>
      <x:c r="S1717" s="124"/>
      <x:c r="T1717" s="124"/>
      <x:c r="U1717" s="124"/>
      <x:c r="V1717" s="124"/>
      <x:c r="W1717" s="124"/>
      <x:c r="X1717" s="124"/>
      <x:c r="AD1717"/>
      <x:c r="AE1717" s="145"/>
      <x:c r="AF1717" s="145"/>
      <x:c r="AG1717" s="145"/>
      <x:c r="AH1717" s="145"/>
      <x:c r="AI1717" s="145"/>
      <x:c r="AJ1717"/>
    </x:row>
    <x:row r="1718">
      <x:c r="F1718" s="124"/>
      <x:c r="G1718" s="124"/>
      <x:c r="H1718" s="124"/>
      <x:c r="I1718" s="124"/>
      <x:c r="J1718" s="124"/>
      <x:c r="M1718" s="126"/>
      <x:c r="P1718" s="126"/>
      <x:c r="Q1718" s="126"/>
      <x:c r="R1718" s="126"/>
      <x:c r="S1718" s="124"/>
      <x:c r="T1718" s="124"/>
      <x:c r="U1718" s="124"/>
      <x:c r="V1718" s="124"/>
      <x:c r="W1718" s="124"/>
      <x:c r="X1718" s="124"/>
      <x:c r="AD1718"/>
      <x:c r="AE1718" s="145"/>
      <x:c r="AF1718" s="145"/>
      <x:c r="AG1718" s="145"/>
      <x:c r="AH1718" s="145"/>
      <x:c r="AI1718" s="145"/>
      <x:c r="AJ1718"/>
    </x:row>
    <x:row r="1719">
      <x:c r="F1719" s="124"/>
      <x:c r="G1719" s="124"/>
      <x:c r="H1719" s="124"/>
      <x:c r="I1719" s="124"/>
      <x:c r="J1719" s="124"/>
      <x:c r="M1719" s="126"/>
      <x:c r="P1719" s="126"/>
      <x:c r="Q1719" s="126"/>
      <x:c r="R1719" s="126"/>
      <x:c r="S1719" s="124"/>
      <x:c r="T1719" s="124"/>
      <x:c r="U1719" s="124"/>
      <x:c r="V1719" s="124"/>
      <x:c r="W1719" s="124"/>
      <x:c r="X1719" s="124"/>
      <x:c r="AD1719"/>
      <x:c r="AE1719" s="145"/>
      <x:c r="AF1719" s="145"/>
      <x:c r="AG1719" s="145"/>
      <x:c r="AH1719" s="145"/>
      <x:c r="AI1719" s="145"/>
      <x:c r="AJ1719"/>
    </x:row>
    <x:row r="1720">
      <x:c r="F1720" s="124"/>
      <x:c r="G1720" s="124"/>
      <x:c r="H1720" s="124"/>
      <x:c r="I1720" s="124"/>
      <x:c r="J1720" s="124"/>
      <x:c r="M1720" s="126"/>
      <x:c r="P1720" s="126"/>
      <x:c r="Q1720" s="126"/>
      <x:c r="R1720" s="126"/>
      <x:c r="S1720" s="124"/>
      <x:c r="T1720" s="124"/>
      <x:c r="U1720" s="124"/>
      <x:c r="V1720" s="124"/>
      <x:c r="W1720" s="124"/>
      <x:c r="X1720" s="124"/>
      <x:c r="AD1720"/>
      <x:c r="AE1720" s="145"/>
      <x:c r="AF1720" s="145"/>
      <x:c r="AG1720" s="145"/>
      <x:c r="AH1720" s="145"/>
      <x:c r="AI1720" s="145"/>
      <x:c r="AJ1720"/>
    </x:row>
    <x:row r="1721">
      <x:c r="F1721" s="124"/>
      <x:c r="G1721" s="124"/>
      <x:c r="H1721" s="124"/>
      <x:c r="I1721" s="124"/>
      <x:c r="J1721" s="124"/>
      <x:c r="M1721" s="126"/>
      <x:c r="P1721" s="126"/>
      <x:c r="Q1721" s="126"/>
      <x:c r="R1721" s="126"/>
      <x:c r="S1721" s="124"/>
      <x:c r="T1721" s="124"/>
      <x:c r="U1721" s="124"/>
      <x:c r="V1721" s="124"/>
      <x:c r="W1721" s="124"/>
      <x:c r="X1721" s="124"/>
      <x:c r="AD1721"/>
      <x:c r="AE1721" s="145"/>
      <x:c r="AF1721" s="145"/>
      <x:c r="AG1721" s="145"/>
      <x:c r="AH1721" s="145"/>
      <x:c r="AI1721" s="145"/>
      <x:c r="AJ1721"/>
    </x:row>
    <x:row r="1722">
      <x:c r="F1722" s="124"/>
      <x:c r="G1722" s="124"/>
      <x:c r="H1722" s="124"/>
      <x:c r="I1722" s="124"/>
      <x:c r="J1722" s="124"/>
      <x:c r="M1722" s="126"/>
      <x:c r="P1722" s="126"/>
      <x:c r="Q1722" s="126"/>
      <x:c r="R1722" s="126"/>
      <x:c r="S1722" s="124"/>
      <x:c r="T1722" s="124"/>
      <x:c r="U1722" s="124"/>
      <x:c r="V1722" s="124"/>
      <x:c r="W1722" s="124"/>
      <x:c r="X1722" s="124"/>
      <x:c r="AD1722"/>
      <x:c r="AE1722" s="145"/>
      <x:c r="AF1722" s="145"/>
      <x:c r="AG1722" s="145"/>
      <x:c r="AH1722" s="145"/>
      <x:c r="AI1722" s="145"/>
      <x:c r="AJ1722"/>
    </x:row>
    <x:row r="1723">
      <x:c r="F1723" s="124"/>
      <x:c r="G1723" s="124"/>
      <x:c r="H1723" s="124"/>
      <x:c r="I1723" s="124"/>
      <x:c r="J1723" s="124"/>
      <x:c r="M1723" s="126"/>
      <x:c r="P1723" s="126"/>
      <x:c r="Q1723" s="126"/>
      <x:c r="R1723" s="126"/>
      <x:c r="S1723" s="124"/>
      <x:c r="T1723" s="124"/>
      <x:c r="U1723" s="124"/>
      <x:c r="V1723" s="124"/>
      <x:c r="W1723" s="124"/>
      <x:c r="X1723" s="124"/>
      <x:c r="AD1723"/>
      <x:c r="AE1723" s="145"/>
      <x:c r="AF1723" s="145"/>
      <x:c r="AG1723" s="145"/>
      <x:c r="AH1723" s="145"/>
      <x:c r="AI1723" s="145"/>
      <x:c r="AJ1723"/>
    </x:row>
    <x:row r="1724">
      <x:c r="F1724" s="124"/>
      <x:c r="G1724" s="124"/>
      <x:c r="H1724" s="124"/>
      <x:c r="I1724" s="124"/>
      <x:c r="J1724" s="124"/>
      <x:c r="M1724" s="126"/>
      <x:c r="P1724" s="126"/>
      <x:c r="Q1724" s="126"/>
      <x:c r="R1724" s="126"/>
      <x:c r="S1724" s="124"/>
      <x:c r="T1724" s="124"/>
      <x:c r="U1724" s="124"/>
      <x:c r="V1724" s="124"/>
      <x:c r="W1724" s="124"/>
      <x:c r="X1724" s="124"/>
      <x:c r="AD1724"/>
      <x:c r="AE1724" s="145"/>
      <x:c r="AF1724" s="145"/>
      <x:c r="AG1724" s="145"/>
      <x:c r="AH1724" s="145"/>
      <x:c r="AI1724" s="145"/>
      <x:c r="AJ1724"/>
    </x:row>
    <x:row r="1725">
      <x:c r="F1725" s="124"/>
      <x:c r="G1725" s="124"/>
      <x:c r="H1725" s="124"/>
      <x:c r="I1725" s="124"/>
      <x:c r="J1725" s="124"/>
      <x:c r="M1725" s="126"/>
      <x:c r="P1725" s="126"/>
      <x:c r="Q1725" s="126"/>
      <x:c r="R1725" s="126"/>
      <x:c r="S1725" s="124"/>
      <x:c r="T1725" s="124"/>
      <x:c r="U1725" s="124"/>
      <x:c r="V1725" s="124"/>
      <x:c r="W1725" s="124"/>
      <x:c r="X1725" s="124"/>
      <x:c r="AD1725"/>
      <x:c r="AE1725" s="145"/>
      <x:c r="AF1725" s="145"/>
      <x:c r="AG1725" s="145"/>
      <x:c r="AH1725" s="145"/>
      <x:c r="AI1725" s="145"/>
      <x:c r="AJ1725"/>
    </x:row>
    <x:row r="1726">
      <x:c r="F1726" s="124"/>
      <x:c r="G1726" s="124"/>
      <x:c r="H1726" s="124"/>
      <x:c r="I1726" s="124"/>
      <x:c r="J1726" s="124"/>
      <x:c r="M1726" s="126"/>
      <x:c r="P1726" s="126"/>
      <x:c r="Q1726" s="126"/>
      <x:c r="R1726" s="126"/>
      <x:c r="S1726" s="124"/>
      <x:c r="T1726" s="124"/>
      <x:c r="U1726" s="124"/>
      <x:c r="V1726" s="124"/>
      <x:c r="W1726" s="124"/>
      <x:c r="X1726" s="124"/>
      <x:c r="AD1726"/>
      <x:c r="AE1726" s="145"/>
      <x:c r="AF1726" s="145"/>
      <x:c r="AG1726" s="145"/>
      <x:c r="AH1726" s="145"/>
      <x:c r="AI1726" s="145"/>
      <x:c r="AJ1726"/>
    </x:row>
    <x:row r="1727">
      <x:c r="F1727" s="124"/>
      <x:c r="G1727" s="124"/>
      <x:c r="H1727" s="124"/>
      <x:c r="I1727" s="124"/>
      <x:c r="J1727" s="124"/>
      <x:c r="M1727" s="126"/>
      <x:c r="P1727" s="126"/>
      <x:c r="Q1727" s="126"/>
      <x:c r="R1727" s="126"/>
      <x:c r="S1727" s="124"/>
      <x:c r="T1727" s="124"/>
      <x:c r="U1727" s="124"/>
      <x:c r="V1727" s="124"/>
      <x:c r="W1727" s="124"/>
      <x:c r="X1727" s="124"/>
      <x:c r="AD1727"/>
      <x:c r="AE1727" s="145"/>
      <x:c r="AF1727" s="145"/>
      <x:c r="AG1727" s="145"/>
      <x:c r="AH1727" s="145"/>
      <x:c r="AI1727" s="145"/>
      <x:c r="AJ1727"/>
    </x:row>
    <x:row r="1728">
      <x:c r="F1728" s="124"/>
      <x:c r="G1728" s="124"/>
      <x:c r="H1728" s="124"/>
      <x:c r="I1728" s="124"/>
      <x:c r="J1728" s="124"/>
      <x:c r="M1728" s="126"/>
      <x:c r="P1728" s="126"/>
      <x:c r="Q1728" s="126"/>
      <x:c r="R1728" s="126"/>
      <x:c r="S1728" s="124"/>
      <x:c r="T1728" s="124"/>
      <x:c r="U1728" s="124"/>
      <x:c r="V1728" s="124"/>
      <x:c r="W1728" s="124"/>
      <x:c r="X1728" s="124"/>
      <x:c r="AD1728"/>
      <x:c r="AE1728" s="145"/>
      <x:c r="AF1728" s="145"/>
      <x:c r="AG1728" s="145"/>
      <x:c r="AH1728" s="145"/>
      <x:c r="AI1728" s="145"/>
      <x:c r="AJ1728"/>
    </x:row>
    <x:row r="1729">
      <x:c r="F1729" s="124"/>
      <x:c r="G1729" s="124"/>
      <x:c r="H1729" s="124"/>
      <x:c r="I1729" s="124"/>
      <x:c r="J1729" s="124"/>
      <x:c r="M1729" s="126"/>
      <x:c r="P1729" s="126"/>
      <x:c r="Q1729" s="126"/>
      <x:c r="R1729" s="126"/>
      <x:c r="S1729" s="124"/>
      <x:c r="T1729" s="124"/>
      <x:c r="U1729" s="124"/>
      <x:c r="V1729" s="124"/>
      <x:c r="W1729" s="124"/>
      <x:c r="X1729" s="124"/>
      <x:c r="AD1729"/>
      <x:c r="AE1729" s="145"/>
      <x:c r="AF1729" s="145"/>
      <x:c r="AG1729" s="145"/>
      <x:c r="AH1729" s="145"/>
      <x:c r="AI1729" s="145"/>
      <x:c r="AJ1729"/>
    </x:row>
    <x:row r="1730">
      <x:c r="F1730" s="124"/>
      <x:c r="G1730" s="124"/>
      <x:c r="H1730" s="124"/>
      <x:c r="I1730" s="124"/>
      <x:c r="J1730" s="124"/>
      <x:c r="M1730" s="126"/>
      <x:c r="P1730" s="126"/>
      <x:c r="Q1730" s="126"/>
      <x:c r="R1730" s="126"/>
      <x:c r="S1730" s="124"/>
      <x:c r="T1730" s="124"/>
      <x:c r="U1730" s="124"/>
      <x:c r="V1730" s="124"/>
      <x:c r="W1730" s="124"/>
      <x:c r="X1730" s="124"/>
      <x:c r="AD1730"/>
      <x:c r="AE1730" s="145"/>
      <x:c r="AF1730" s="145"/>
      <x:c r="AG1730" s="145"/>
      <x:c r="AH1730" s="145"/>
      <x:c r="AI1730" s="145"/>
      <x:c r="AJ1730"/>
    </x:row>
    <x:row r="1731">
      <x:c r="F1731" s="124"/>
      <x:c r="G1731" s="124"/>
      <x:c r="H1731" s="124"/>
      <x:c r="I1731" s="124"/>
      <x:c r="J1731" s="124"/>
      <x:c r="M1731" s="126"/>
      <x:c r="P1731" s="126"/>
      <x:c r="Q1731" s="126"/>
      <x:c r="R1731" s="126"/>
      <x:c r="S1731" s="124"/>
      <x:c r="T1731" s="124"/>
      <x:c r="U1731" s="124"/>
      <x:c r="V1731" s="124"/>
      <x:c r="W1731" s="124"/>
      <x:c r="X1731" s="124"/>
      <x:c r="AD1731"/>
      <x:c r="AE1731" s="145"/>
      <x:c r="AF1731" s="145"/>
      <x:c r="AG1731" s="145"/>
      <x:c r="AH1731" s="145"/>
      <x:c r="AI1731" s="145"/>
      <x:c r="AJ1731"/>
    </x:row>
    <x:row r="1732">
      <x:c r="F1732" s="124"/>
      <x:c r="G1732" s="124"/>
      <x:c r="H1732" s="124"/>
      <x:c r="I1732" s="124"/>
      <x:c r="J1732" s="124"/>
      <x:c r="M1732" s="126"/>
      <x:c r="P1732" s="126"/>
      <x:c r="Q1732" s="126"/>
      <x:c r="R1732" s="126"/>
      <x:c r="S1732" s="124"/>
      <x:c r="T1732" s="124"/>
      <x:c r="U1732" s="124"/>
      <x:c r="V1732" s="124"/>
      <x:c r="W1732" s="124"/>
      <x:c r="X1732" s="124"/>
      <x:c r="AD1732"/>
      <x:c r="AE1732" s="145"/>
      <x:c r="AF1732" s="145"/>
      <x:c r="AG1732" s="145"/>
      <x:c r="AH1732" s="145"/>
      <x:c r="AI1732" s="145"/>
      <x:c r="AJ1732"/>
    </x:row>
    <x:row r="1733">
      <x:c r="F1733" s="124"/>
      <x:c r="G1733" s="124"/>
      <x:c r="H1733" s="124"/>
      <x:c r="I1733" s="124"/>
      <x:c r="J1733" s="124"/>
      <x:c r="M1733" s="126"/>
      <x:c r="P1733" s="126"/>
      <x:c r="Q1733" s="126"/>
      <x:c r="R1733" s="126"/>
      <x:c r="S1733" s="124"/>
      <x:c r="T1733" s="124"/>
      <x:c r="U1733" s="124"/>
      <x:c r="V1733" s="124"/>
      <x:c r="W1733" s="124"/>
      <x:c r="X1733" s="124"/>
      <x:c r="AD1733"/>
      <x:c r="AE1733" s="145"/>
      <x:c r="AF1733" s="145"/>
      <x:c r="AG1733" s="145"/>
      <x:c r="AH1733" s="145"/>
      <x:c r="AI1733" s="145"/>
      <x:c r="AJ1733"/>
    </x:row>
    <x:row r="1734">
      <x:c r="F1734" s="124"/>
      <x:c r="G1734" s="124"/>
      <x:c r="H1734" s="124"/>
      <x:c r="I1734" s="124"/>
      <x:c r="J1734" s="124"/>
      <x:c r="M1734" s="126"/>
      <x:c r="P1734" s="126"/>
      <x:c r="Q1734" s="126"/>
      <x:c r="R1734" s="126"/>
      <x:c r="S1734" s="124"/>
      <x:c r="T1734" s="124"/>
      <x:c r="U1734" s="124"/>
      <x:c r="V1734" s="124"/>
      <x:c r="W1734" s="124"/>
      <x:c r="X1734" s="124"/>
      <x:c r="AD1734"/>
      <x:c r="AE1734" s="145"/>
      <x:c r="AF1734" s="145"/>
      <x:c r="AG1734" s="145"/>
      <x:c r="AH1734" s="145"/>
      <x:c r="AI1734" s="145"/>
      <x:c r="AJ1734"/>
    </x:row>
    <x:row r="1735">
      <x:c r="F1735" s="124"/>
      <x:c r="G1735" s="124"/>
      <x:c r="H1735" s="124"/>
      <x:c r="I1735" s="124"/>
      <x:c r="J1735" s="124"/>
      <x:c r="M1735" s="126"/>
      <x:c r="P1735" s="126"/>
      <x:c r="Q1735" s="126"/>
      <x:c r="R1735" s="126"/>
      <x:c r="S1735" s="124"/>
      <x:c r="T1735" s="124"/>
      <x:c r="U1735" s="124"/>
      <x:c r="V1735" s="124"/>
      <x:c r="W1735" s="124"/>
      <x:c r="X1735" s="124"/>
      <x:c r="AD1735"/>
      <x:c r="AE1735" s="145"/>
      <x:c r="AF1735" s="145"/>
      <x:c r="AG1735" s="145"/>
      <x:c r="AH1735" s="145"/>
      <x:c r="AI1735" s="145"/>
      <x:c r="AJ1735"/>
    </x:row>
    <x:row r="1736">
      <x:c r="F1736" s="124"/>
      <x:c r="G1736" s="124"/>
      <x:c r="H1736" s="124"/>
      <x:c r="I1736" s="124"/>
      <x:c r="J1736" s="124"/>
      <x:c r="M1736" s="126"/>
      <x:c r="P1736" s="126"/>
      <x:c r="Q1736" s="126"/>
      <x:c r="R1736" s="126"/>
      <x:c r="S1736" s="124"/>
      <x:c r="T1736" s="124"/>
      <x:c r="U1736" s="124"/>
      <x:c r="V1736" s="124"/>
      <x:c r="W1736" s="124"/>
      <x:c r="X1736" s="124"/>
      <x:c r="AD1736"/>
      <x:c r="AE1736" s="145"/>
      <x:c r="AF1736" s="145"/>
      <x:c r="AG1736" s="145"/>
      <x:c r="AH1736" s="145"/>
      <x:c r="AI1736" s="145"/>
      <x:c r="AJ1736"/>
    </x:row>
    <x:row r="1737">
      <x:c r="F1737" s="124"/>
      <x:c r="G1737" s="124"/>
      <x:c r="H1737" s="124"/>
      <x:c r="I1737" s="124"/>
      <x:c r="J1737" s="124"/>
      <x:c r="M1737" s="126"/>
      <x:c r="P1737" s="126"/>
      <x:c r="Q1737" s="126"/>
      <x:c r="R1737" s="126"/>
      <x:c r="S1737" s="124"/>
      <x:c r="T1737" s="124"/>
      <x:c r="U1737" s="124"/>
      <x:c r="V1737" s="124"/>
      <x:c r="W1737" s="124"/>
      <x:c r="X1737" s="124"/>
      <x:c r="AD1737"/>
      <x:c r="AE1737" s="145"/>
      <x:c r="AF1737" s="145"/>
      <x:c r="AG1737" s="145"/>
      <x:c r="AH1737" s="145"/>
      <x:c r="AI1737" s="145"/>
      <x:c r="AJ1737"/>
    </x:row>
    <x:row r="1738">
      <x:c r="F1738" s="124"/>
      <x:c r="G1738" s="124"/>
      <x:c r="H1738" s="124"/>
      <x:c r="I1738" s="124"/>
      <x:c r="J1738" s="124"/>
      <x:c r="M1738" s="126"/>
      <x:c r="P1738" s="126"/>
      <x:c r="Q1738" s="126"/>
      <x:c r="R1738" s="126"/>
      <x:c r="S1738" s="124"/>
      <x:c r="T1738" s="124"/>
      <x:c r="U1738" s="124"/>
      <x:c r="V1738" s="124"/>
      <x:c r="W1738" s="124"/>
      <x:c r="X1738" s="124"/>
      <x:c r="AD1738"/>
      <x:c r="AE1738" s="145"/>
      <x:c r="AF1738" s="145"/>
      <x:c r="AG1738" s="145"/>
      <x:c r="AH1738" s="145"/>
      <x:c r="AI1738" s="145"/>
      <x:c r="AJ1738"/>
    </x:row>
    <x:row r="1739">
      <x:c r="F1739" s="124"/>
      <x:c r="G1739" s="124"/>
      <x:c r="H1739" s="124"/>
      <x:c r="I1739" s="124"/>
      <x:c r="J1739" s="124"/>
      <x:c r="M1739" s="126"/>
      <x:c r="P1739" s="126"/>
      <x:c r="Q1739" s="126"/>
      <x:c r="R1739" s="126"/>
      <x:c r="S1739" s="124"/>
      <x:c r="T1739" s="124"/>
      <x:c r="U1739" s="124"/>
      <x:c r="V1739" s="124"/>
      <x:c r="W1739" s="124"/>
      <x:c r="X1739" s="124"/>
      <x:c r="AD1739"/>
      <x:c r="AE1739" s="145"/>
      <x:c r="AF1739" s="145"/>
      <x:c r="AG1739" s="145"/>
      <x:c r="AH1739" s="145"/>
      <x:c r="AI1739" s="145"/>
      <x:c r="AJ1739"/>
    </x:row>
    <x:row r="1740">
      <x:c r="F1740" s="124"/>
      <x:c r="G1740" s="124"/>
      <x:c r="H1740" s="124"/>
      <x:c r="I1740" s="124"/>
      <x:c r="J1740" s="124"/>
      <x:c r="M1740" s="126"/>
      <x:c r="P1740" s="126"/>
      <x:c r="Q1740" s="126"/>
      <x:c r="R1740" s="126"/>
      <x:c r="S1740" s="124"/>
      <x:c r="T1740" s="124"/>
      <x:c r="U1740" s="124"/>
      <x:c r="V1740" s="124"/>
      <x:c r="W1740" s="124"/>
      <x:c r="X1740" s="124"/>
      <x:c r="AD1740"/>
      <x:c r="AE1740" s="145"/>
      <x:c r="AF1740" s="145"/>
      <x:c r="AG1740" s="145"/>
      <x:c r="AH1740" s="145"/>
      <x:c r="AI1740" s="145"/>
      <x:c r="AJ1740"/>
    </x:row>
    <x:row r="1741">
      <x:c r="F1741" s="124"/>
      <x:c r="G1741" s="124"/>
      <x:c r="H1741" s="124"/>
      <x:c r="I1741" s="124"/>
      <x:c r="J1741" s="124"/>
      <x:c r="M1741" s="126"/>
      <x:c r="P1741" s="126"/>
      <x:c r="Q1741" s="126"/>
      <x:c r="R1741" s="126"/>
      <x:c r="S1741" s="124"/>
      <x:c r="T1741" s="124"/>
      <x:c r="U1741" s="124"/>
      <x:c r="V1741" s="124"/>
      <x:c r="W1741" s="124"/>
      <x:c r="X1741" s="124"/>
      <x:c r="AD1741"/>
      <x:c r="AE1741" s="145"/>
      <x:c r="AF1741" s="145"/>
      <x:c r="AG1741" s="145"/>
      <x:c r="AH1741" s="145"/>
      <x:c r="AI1741" s="145"/>
      <x:c r="AJ1741"/>
    </x:row>
    <x:row r="1742">
      <x:c r="F1742" s="124"/>
      <x:c r="G1742" s="124"/>
      <x:c r="H1742" s="124"/>
      <x:c r="I1742" s="124"/>
      <x:c r="J1742" s="124"/>
      <x:c r="M1742" s="126"/>
      <x:c r="P1742" s="126"/>
      <x:c r="Q1742" s="126"/>
      <x:c r="R1742" s="126"/>
      <x:c r="S1742" s="124"/>
      <x:c r="T1742" s="124"/>
      <x:c r="U1742" s="124"/>
      <x:c r="V1742" s="124"/>
      <x:c r="W1742" s="124"/>
      <x:c r="X1742" s="124"/>
      <x:c r="AD1742"/>
      <x:c r="AE1742" s="145"/>
      <x:c r="AF1742" s="145"/>
      <x:c r="AG1742" s="145"/>
      <x:c r="AH1742" s="145"/>
      <x:c r="AI1742" s="145"/>
      <x:c r="AJ1742"/>
    </x:row>
    <x:row r="1743">
      <x:c r="F1743" s="124"/>
      <x:c r="G1743" s="124"/>
      <x:c r="H1743" s="124"/>
      <x:c r="I1743" s="124"/>
      <x:c r="J1743" s="124"/>
      <x:c r="M1743" s="126"/>
      <x:c r="P1743" s="126"/>
      <x:c r="Q1743" s="126"/>
      <x:c r="R1743" s="126"/>
      <x:c r="S1743" s="124"/>
      <x:c r="T1743" s="124"/>
      <x:c r="U1743" s="124"/>
      <x:c r="V1743" s="124"/>
      <x:c r="W1743" s="124"/>
      <x:c r="X1743" s="124"/>
      <x:c r="AD1743"/>
      <x:c r="AE1743" s="145"/>
      <x:c r="AF1743" s="145"/>
      <x:c r="AG1743" s="145"/>
      <x:c r="AH1743" s="145"/>
      <x:c r="AI1743" s="145"/>
      <x:c r="AJ1743"/>
    </x:row>
    <x:row r="1744">
      <x:c r="F1744" s="124"/>
      <x:c r="G1744" s="124"/>
      <x:c r="H1744" s="124"/>
      <x:c r="I1744" s="124"/>
      <x:c r="J1744" s="124"/>
      <x:c r="M1744" s="126"/>
      <x:c r="P1744" s="126"/>
      <x:c r="Q1744" s="126"/>
      <x:c r="R1744" s="126"/>
      <x:c r="S1744" s="124"/>
      <x:c r="T1744" s="124"/>
      <x:c r="U1744" s="124"/>
      <x:c r="V1744" s="124"/>
      <x:c r="W1744" s="124"/>
      <x:c r="X1744" s="124"/>
      <x:c r="AD1744"/>
      <x:c r="AE1744" s="145"/>
      <x:c r="AF1744" s="145"/>
      <x:c r="AG1744" s="145"/>
      <x:c r="AH1744" s="145"/>
      <x:c r="AI1744" s="145"/>
      <x:c r="AJ1744"/>
    </x:row>
    <x:row r="1745">
      <x:c r="F1745" s="124"/>
      <x:c r="G1745" s="124"/>
      <x:c r="H1745" s="124"/>
      <x:c r="I1745" s="124"/>
      <x:c r="J1745" s="124"/>
      <x:c r="M1745" s="126"/>
      <x:c r="P1745" s="126"/>
      <x:c r="Q1745" s="126"/>
      <x:c r="R1745" s="126"/>
      <x:c r="S1745" s="124"/>
      <x:c r="T1745" s="124"/>
      <x:c r="U1745" s="124"/>
      <x:c r="V1745" s="124"/>
      <x:c r="W1745" s="124"/>
      <x:c r="X1745" s="124"/>
      <x:c r="AD1745"/>
      <x:c r="AE1745" s="145"/>
      <x:c r="AF1745" s="145"/>
      <x:c r="AG1745" s="145"/>
      <x:c r="AH1745" s="145"/>
      <x:c r="AI1745" s="145"/>
      <x:c r="AJ1745"/>
    </x:row>
    <x:row r="1746">
      <x:c r="F1746" s="124"/>
      <x:c r="G1746" s="124"/>
      <x:c r="H1746" s="124"/>
      <x:c r="I1746" s="124"/>
      <x:c r="J1746" s="124"/>
      <x:c r="M1746" s="126"/>
      <x:c r="P1746" s="126"/>
      <x:c r="Q1746" s="126"/>
      <x:c r="R1746" s="126"/>
      <x:c r="S1746" s="124"/>
      <x:c r="T1746" s="124"/>
      <x:c r="U1746" s="124"/>
      <x:c r="V1746" s="124"/>
      <x:c r="W1746" s="124"/>
      <x:c r="X1746" s="124"/>
      <x:c r="AD1746"/>
      <x:c r="AE1746" s="145"/>
      <x:c r="AF1746" s="145"/>
      <x:c r="AG1746" s="145"/>
      <x:c r="AH1746" s="145"/>
      <x:c r="AI1746" s="145"/>
      <x:c r="AJ1746"/>
    </x:row>
    <x:row r="1747">
      <x:c r="F1747" s="124"/>
      <x:c r="G1747" s="124"/>
      <x:c r="H1747" s="124"/>
      <x:c r="I1747" s="124"/>
      <x:c r="J1747" s="124"/>
      <x:c r="M1747" s="126"/>
      <x:c r="P1747" s="126"/>
      <x:c r="Q1747" s="126"/>
      <x:c r="R1747" s="126"/>
      <x:c r="S1747" s="124"/>
      <x:c r="T1747" s="124"/>
      <x:c r="U1747" s="124"/>
      <x:c r="V1747" s="124"/>
      <x:c r="W1747" s="124"/>
      <x:c r="X1747" s="124"/>
      <x:c r="AD1747"/>
      <x:c r="AE1747" s="145"/>
      <x:c r="AF1747" s="145"/>
      <x:c r="AG1747" s="145"/>
      <x:c r="AH1747" s="145"/>
      <x:c r="AI1747" s="145"/>
      <x:c r="AJ1747"/>
    </x:row>
    <x:row r="1748">
      <x:c r="F1748" s="124"/>
      <x:c r="G1748" s="124"/>
      <x:c r="H1748" s="124"/>
      <x:c r="I1748" s="124"/>
      <x:c r="J1748" s="124"/>
      <x:c r="M1748" s="126"/>
      <x:c r="P1748" s="126"/>
      <x:c r="Q1748" s="126"/>
      <x:c r="R1748" s="126"/>
      <x:c r="S1748" s="124"/>
      <x:c r="T1748" s="124"/>
      <x:c r="U1748" s="124"/>
      <x:c r="V1748" s="124"/>
      <x:c r="W1748" s="124"/>
      <x:c r="X1748" s="124"/>
      <x:c r="AD1748"/>
      <x:c r="AE1748" s="145"/>
      <x:c r="AF1748" s="145"/>
      <x:c r="AG1748" s="145"/>
      <x:c r="AH1748" s="145"/>
      <x:c r="AI1748" s="145"/>
      <x:c r="AJ1748"/>
    </x:row>
    <x:row r="1749">
      <x:c r="F1749" s="124"/>
      <x:c r="G1749" s="124"/>
      <x:c r="H1749" s="124"/>
      <x:c r="I1749" s="124"/>
      <x:c r="J1749" s="124"/>
      <x:c r="M1749" s="126"/>
      <x:c r="P1749" s="126"/>
      <x:c r="Q1749" s="126"/>
      <x:c r="R1749" s="126"/>
      <x:c r="S1749" s="124"/>
      <x:c r="T1749" s="124"/>
      <x:c r="U1749" s="124"/>
      <x:c r="V1749" s="124"/>
      <x:c r="W1749" s="124"/>
      <x:c r="X1749" s="124"/>
      <x:c r="AD1749"/>
      <x:c r="AE1749" s="145"/>
      <x:c r="AF1749" s="145"/>
      <x:c r="AG1749" s="145"/>
      <x:c r="AH1749" s="145"/>
      <x:c r="AI1749" s="145"/>
      <x:c r="AJ1749"/>
    </x:row>
    <x:row r="1750">
      <x:c r="F1750" s="124"/>
      <x:c r="G1750" s="124"/>
      <x:c r="H1750" s="124"/>
      <x:c r="I1750" s="124"/>
      <x:c r="J1750" s="124"/>
      <x:c r="M1750" s="126"/>
      <x:c r="P1750" s="126"/>
      <x:c r="Q1750" s="126"/>
      <x:c r="R1750" s="126"/>
      <x:c r="S1750" s="124"/>
      <x:c r="T1750" s="124"/>
      <x:c r="U1750" s="124"/>
      <x:c r="V1750" s="124"/>
      <x:c r="W1750" s="124"/>
      <x:c r="X1750" s="124"/>
      <x:c r="AD1750"/>
      <x:c r="AE1750" s="145"/>
      <x:c r="AF1750" s="145"/>
      <x:c r="AG1750" s="145"/>
      <x:c r="AH1750" s="145"/>
      <x:c r="AI1750" s="145"/>
      <x:c r="AJ1750"/>
    </x:row>
    <x:row r="1751">
      <x:c r="F1751" s="124"/>
      <x:c r="G1751" s="124"/>
      <x:c r="H1751" s="124"/>
      <x:c r="I1751" s="124"/>
      <x:c r="J1751" s="124"/>
      <x:c r="M1751" s="126"/>
      <x:c r="P1751" s="126"/>
      <x:c r="Q1751" s="126"/>
      <x:c r="R1751" s="126"/>
      <x:c r="S1751" s="124"/>
      <x:c r="T1751" s="124"/>
      <x:c r="U1751" s="124"/>
      <x:c r="V1751" s="124"/>
      <x:c r="W1751" s="124"/>
      <x:c r="X1751" s="124"/>
      <x:c r="AD1751"/>
      <x:c r="AE1751" s="145"/>
      <x:c r="AF1751" s="145"/>
      <x:c r="AG1751" s="145"/>
      <x:c r="AH1751" s="145"/>
      <x:c r="AI1751" s="145"/>
      <x:c r="AJ1751"/>
    </x:row>
    <x:row r="1752">
      <x:c r="F1752" s="124"/>
      <x:c r="G1752" s="124"/>
      <x:c r="H1752" s="124"/>
      <x:c r="I1752" s="124"/>
      <x:c r="J1752" s="124"/>
      <x:c r="M1752" s="126"/>
      <x:c r="P1752" s="126"/>
      <x:c r="Q1752" s="126"/>
      <x:c r="R1752" s="126"/>
      <x:c r="S1752" s="124"/>
      <x:c r="T1752" s="124"/>
      <x:c r="U1752" s="124"/>
      <x:c r="V1752" s="124"/>
      <x:c r="W1752" s="124"/>
      <x:c r="X1752" s="124"/>
      <x:c r="AD1752"/>
      <x:c r="AE1752" s="145"/>
      <x:c r="AF1752" s="145"/>
      <x:c r="AG1752" s="145"/>
      <x:c r="AH1752" s="145"/>
      <x:c r="AI1752" s="145"/>
      <x:c r="AJ1752"/>
    </x:row>
    <x:row r="1753">
      <x:c r="F1753" s="124"/>
      <x:c r="G1753" s="124"/>
      <x:c r="H1753" s="124"/>
      <x:c r="I1753" s="124"/>
      <x:c r="J1753" s="124"/>
      <x:c r="M1753" s="126"/>
      <x:c r="P1753" s="126"/>
      <x:c r="Q1753" s="126"/>
      <x:c r="R1753" s="126"/>
      <x:c r="S1753" s="124"/>
      <x:c r="T1753" s="124"/>
      <x:c r="U1753" s="124"/>
      <x:c r="V1753" s="124"/>
      <x:c r="W1753" s="124"/>
      <x:c r="X1753" s="124"/>
      <x:c r="AD1753"/>
      <x:c r="AE1753" s="145"/>
      <x:c r="AF1753" s="145"/>
      <x:c r="AG1753" s="145"/>
      <x:c r="AH1753" s="145"/>
      <x:c r="AI1753" s="145"/>
      <x:c r="AJ1753"/>
    </x:row>
    <x:row r="1754">
      <x:c r="F1754" s="124"/>
      <x:c r="G1754" s="124"/>
      <x:c r="H1754" s="124"/>
      <x:c r="I1754" s="124"/>
      <x:c r="J1754" s="124"/>
      <x:c r="M1754" s="126"/>
      <x:c r="P1754" s="126"/>
      <x:c r="Q1754" s="126"/>
      <x:c r="R1754" s="126"/>
      <x:c r="S1754" s="124"/>
      <x:c r="T1754" s="124"/>
      <x:c r="U1754" s="124"/>
      <x:c r="V1754" s="124"/>
      <x:c r="W1754" s="124"/>
      <x:c r="X1754" s="124"/>
      <x:c r="AD1754"/>
      <x:c r="AE1754" s="145"/>
      <x:c r="AF1754" s="145"/>
      <x:c r="AG1754" s="145"/>
      <x:c r="AH1754" s="145"/>
      <x:c r="AI1754" s="145"/>
      <x:c r="AJ1754"/>
    </x:row>
    <x:row r="1755">
      <x:c r="F1755" s="124"/>
      <x:c r="G1755" s="124"/>
      <x:c r="H1755" s="124"/>
      <x:c r="I1755" s="124"/>
      <x:c r="J1755" s="124"/>
      <x:c r="M1755" s="126"/>
      <x:c r="P1755" s="126"/>
      <x:c r="Q1755" s="126"/>
      <x:c r="R1755" s="126"/>
      <x:c r="S1755" s="124"/>
      <x:c r="T1755" s="124"/>
      <x:c r="U1755" s="124"/>
      <x:c r="V1755" s="124"/>
      <x:c r="W1755" s="124"/>
      <x:c r="X1755" s="124"/>
      <x:c r="AD1755"/>
      <x:c r="AE1755" s="145"/>
      <x:c r="AF1755" s="145"/>
      <x:c r="AG1755" s="145"/>
      <x:c r="AH1755" s="145"/>
      <x:c r="AI1755" s="145"/>
      <x:c r="AJ1755"/>
    </x:row>
    <x:row r="1756">
      <x:c r="F1756" s="124"/>
      <x:c r="G1756" s="124"/>
      <x:c r="H1756" s="124"/>
      <x:c r="I1756" s="124"/>
      <x:c r="J1756" s="124"/>
      <x:c r="M1756" s="126"/>
      <x:c r="P1756" s="126"/>
      <x:c r="Q1756" s="126"/>
      <x:c r="R1756" s="126"/>
      <x:c r="S1756" s="124"/>
      <x:c r="T1756" s="124"/>
      <x:c r="U1756" s="124"/>
      <x:c r="V1756" s="124"/>
      <x:c r="W1756" s="124"/>
      <x:c r="X1756" s="124"/>
      <x:c r="AD1756"/>
      <x:c r="AE1756" s="145"/>
      <x:c r="AF1756" s="145"/>
      <x:c r="AG1756" s="145"/>
      <x:c r="AH1756" s="145"/>
      <x:c r="AI1756" s="145"/>
      <x:c r="AJ1756"/>
    </x:row>
    <x:row r="1757">
      <x:c r="F1757" s="124"/>
      <x:c r="G1757" s="124"/>
      <x:c r="H1757" s="124"/>
      <x:c r="I1757" s="124"/>
      <x:c r="J1757" s="124"/>
      <x:c r="M1757" s="126"/>
      <x:c r="P1757" s="126"/>
      <x:c r="Q1757" s="126"/>
      <x:c r="R1757" s="126"/>
      <x:c r="S1757" s="124"/>
      <x:c r="T1757" s="124"/>
      <x:c r="U1757" s="124"/>
      <x:c r="V1757" s="124"/>
      <x:c r="W1757" s="124"/>
      <x:c r="X1757" s="124"/>
      <x:c r="AD1757"/>
      <x:c r="AE1757" s="145"/>
      <x:c r="AF1757" s="145"/>
      <x:c r="AG1757" s="145"/>
      <x:c r="AH1757" s="145"/>
      <x:c r="AI1757" s="145"/>
      <x:c r="AJ1757"/>
    </x:row>
    <x:row r="1758">
      <x:c r="F1758" s="124"/>
      <x:c r="G1758" s="124"/>
      <x:c r="H1758" s="124"/>
      <x:c r="I1758" s="124"/>
      <x:c r="J1758" s="124"/>
      <x:c r="M1758" s="126"/>
      <x:c r="P1758" s="126"/>
      <x:c r="Q1758" s="126"/>
      <x:c r="R1758" s="126"/>
      <x:c r="S1758" s="124"/>
      <x:c r="T1758" s="124"/>
      <x:c r="U1758" s="124"/>
      <x:c r="V1758" s="124"/>
      <x:c r="W1758" s="124"/>
      <x:c r="X1758" s="124"/>
      <x:c r="AD1758"/>
      <x:c r="AE1758" s="145"/>
      <x:c r="AF1758" s="145"/>
      <x:c r="AG1758" s="145"/>
      <x:c r="AH1758" s="145"/>
      <x:c r="AI1758" s="145"/>
      <x:c r="AJ1758"/>
    </x:row>
    <x:row r="1759">
      <x:c r="F1759" s="124"/>
      <x:c r="G1759" s="124"/>
      <x:c r="H1759" s="124"/>
      <x:c r="I1759" s="124"/>
      <x:c r="J1759" s="124"/>
      <x:c r="M1759" s="126"/>
      <x:c r="P1759" s="126"/>
      <x:c r="Q1759" s="126"/>
      <x:c r="R1759" s="126"/>
      <x:c r="S1759" s="124"/>
      <x:c r="T1759" s="124"/>
      <x:c r="U1759" s="124"/>
      <x:c r="V1759" s="124"/>
      <x:c r="W1759" s="124"/>
      <x:c r="X1759" s="124"/>
      <x:c r="AD1759"/>
      <x:c r="AE1759" s="145"/>
      <x:c r="AF1759" s="145"/>
      <x:c r="AG1759" s="145"/>
      <x:c r="AH1759" s="145"/>
      <x:c r="AI1759" s="145"/>
      <x:c r="AJ1759"/>
    </x:row>
    <x:row r="1760">
      <x:c r="F1760" s="124"/>
      <x:c r="G1760" s="124"/>
      <x:c r="H1760" s="124"/>
      <x:c r="I1760" s="124"/>
      <x:c r="J1760" s="124"/>
      <x:c r="M1760" s="126"/>
      <x:c r="P1760" s="126"/>
      <x:c r="Q1760" s="126"/>
      <x:c r="R1760" s="126"/>
      <x:c r="S1760" s="124"/>
      <x:c r="T1760" s="124"/>
      <x:c r="U1760" s="124"/>
      <x:c r="V1760" s="124"/>
      <x:c r="W1760" s="124"/>
      <x:c r="X1760" s="124"/>
      <x:c r="AD1760"/>
      <x:c r="AE1760" s="145"/>
      <x:c r="AF1760" s="145"/>
      <x:c r="AG1760" s="145"/>
      <x:c r="AH1760" s="145"/>
      <x:c r="AI1760" s="145"/>
      <x:c r="AJ1760"/>
    </x:row>
    <x:row r="1761">
      <x:c r="F1761" s="124"/>
      <x:c r="G1761" s="124"/>
      <x:c r="H1761" s="124"/>
      <x:c r="I1761" s="124"/>
      <x:c r="J1761" s="124"/>
      <x:c r="M1761" s="126"/>
      <x:c r="P1761" s="126"/>
      <x:c r="Q1761" s="126"/>
      <x:c r="R1761" s="126"/>
      <x:c r="S1761" s="124"/>
      <x:c r="T1761" s="124"/>
      <x:c r="U1761" s="124"/>
      <x:c r="V1761" s="124"/>
      <x:c r="W1761" s="124"/>
      <x:c r="X1761" s="124"/>
      <x:c r="AD1761"/>
      <x:c r="AE1761" s="145"/>
      <x:c r="AF1761" s="145"/>
      <x:c r="AG1761" s="145"/>
      <x:c r="AH1761" s="145"/>
      <x:c r="AI1761" s="145"/>
      <x:c r="AJ1761"/>
    </x:row>
    <x:row r="1762">
      <x:c r="F1762" s="124"/>
      <x:c r="G1762" s="124"/>
      <x:c r="H1762" s="124"/>
      <x:c r="I1762" s="124"/>
      <x:c r="J1762" s="124"/>
      <x:c r="M1762" s="126"/>
      <x:c r="P1762" s="126"/>
      <x:c r="Q1762" s="126"/>
      <x:c r="R1762" s="126"/>
      <x:c r="S1762" s="124"/>
      <x:c r="T1762" s="124"/>
      <x:c r="U1762" s="124"/>
      <x:c r="V1762" s="124"/>
      <x:c r="W1762" s="124"/>
      <x:c r="X1762" s="124"/>
      <x:c r="AD1762"/>
      <x:c r="AE1762" s="145"/>
      <x:c r="AF1762" s="145"/>
      <x:c r="AG1762" s="145"/>
      <x:c r="AH1762" s="145"/>
      <x:c r="AI1762" s="145"/>
      <x:c r="AJ1762"/>
    </x:row>
    <x:row r="1763">
      <x:c r="F1763" s="124"/>
      <x:c r="G1763" s="124"/>
      <x:c r="H1763" s="124"/>
      <x:c r="I1763" s="124"/>
      <x:c r="J1763" s="124"/>
      <x:c r="M1763" s="126"/>
      <x:c r="P1763" s="126"/>
      <x:c r="Q1763" s="126"/>
      <x:c r="R1763" s="126"/>
      <x:c r="S1763" s="124"/>
      <x:c r="T1763" s="124"/>
      <x:c r="U1763" s="124"/>
      <x:c r="V1763" s="124"/>
      <x:c r="W1763" s="124"/>
      <x:c r="X1763" s="124"/>
      <x:c r="AD1763"/>
      <x:c r="AE1763" s="145"/>
      <x:c r="AF1763" s="145"/>
      <x:c r="AG1763" s="145"/>
      <x:c r="AH1763" s="145"/>
      <x:c r="AI1763" s="145"/>
      <x:c r="AJ1763"/>
    </x:row>
    <x:row r="1764">
      <x:c r="F1764" s="124"/>
      <x:c r="G1764" s="124"/>
      <x:c r="H1764" s="124"/>
      <x:c r="I1764" s="124"/>
      <x:c r="J1764" s="124"/>
      <x:c r="M1764" s="126"/>
      <x:c r="P1764" s="126"/>
      <x:c r="Q1764" s="126"/>
      <x:c r="R1764" s="126"/>
      <x:c r="S1764" s="124"/>
      <x:c r="T1764" s="124"/>
      <x:c r="U1764" s="124"/>
      <x:c r="V1764" s="124"/>
      <x:c r="W1764" s="124"/>
      <x:c r="X1764" s="124"/>
      <x:c r="AD1764"/>
      <x:c r="AE1764" s="145"/>
      <x:c r="AF1764" s="145"/>
      <x:c r="AG1764" s="145"/>
      <x:c r="AH1764" s="145"/>
      <x:c r="AI1764" s="145"/>
      <x:c r="AJ1764"/>
    </x:row>
    <x:row r="1765">
      <x:c r="F1765" s="124"/>
      <x:c r="G1765" s="124"/>
      <x:c r="H1765" s="124"/>
      <x:c r="I1765" s="124"/>
      <x:c r="J1765" s="124"/>
      <x:c r="M1765" s="126"/>
      <x:c r="P1765" s="126"/>
      <x:c r="Q1765" s="126"/>
      <x:c r="R1765" s="126"/>
      <x:c r="S1765" s="124"/>
      <x:c r="T1765" s="124"/>
      <x:c r="U1765" s="124"/>
      <x:c r="V1765" s="124"/>
      <x:c r="W1765" s="124"/>
      <x:c r="X1765" s="124"/>
      <x:c r="AD1765"/>
      <x:c r="AE1765" s="145"/>
      <x:c r="AF1765" s="145"/>
      <x:c r="AG1765" s="145"/>
      <x:c r="AH1765" s="145"/>
      <x:c r="AI1765" s="145"/>
      <x:c r="AJ1765"/>
    </x:row>
    <x:row r="1766">
      <x:c r="F1766" s="124"/>
      <x:c r="G1766" s="124"/>
      <x:c r="H1766" s="124"/>
      <x:c r="I1766" s="124"/>
      <x:c r="J1766" s="124"/>
      <x:c r="M1766" s="126"/>
      <x:c r="P1766" s="126"/>
      <x:c r="Q1766" s="126"/>
      <x:c r="R1766" s="126"/>
      <x:c r="S1766" s="124"/>
      <x:c r="T1766" s="124"/>
      <x:c r="U1766" s="124"/>
      <x:c r="V1766" s="124"/>
      <x:c r="W1766" s="124"/>
      <x:c r="X1766" s="124"/>
      <x:c r="AD1766"/>
      <x:c r="AE1766" s="145"/>
      <x:c r="AF1766" s="145"/>
      <x:c r="AG1766" s="145"/>
      <x:c r="AH1766" s="145"/>
      <x:c r="AI1766" s="145"/>
      <x:c r="AJ1766"/>
    </x:row>
    <x:row r="1767">
      <x:c r="F1767" s="124"/>
      <x:c r="G1767" s="124"/>
      <x:c r="H1767" s="124"/>
      <x:c r="I1767" s="124"/>
      <x:c r="J1767" s="124"/>
      <x:c r="M1767" s="126"/>
      <x:c r="P1767" s="126"/>
      <x:c r="Q1767" s="126"/>
      <x:c r="R1767" s="126"/>
      <x:c r="S1767" s="124"/>
      <x:c r="T1767" s="124"/>
      <x:c r="U1767" s="124"/>
      <x:c r="V1767" s="124"/>
      <x:c r="W1767" s="124"/>
      <x:c r="X1767" s="124"/>
      <x:c r="AD1767"/>
      <x:c r="AE1767" s="145"/>
      <x:c r="AF1767" s="145"/>
      <x:c r="AG1767" s="145"/>
      <x:c r="AH1767" s="145"/>
      <x:c r="AI1767" s="145"/>
      <x:c r="AJ1767"/>
    </x:row>
    <x:row r="1768">
      <x:c r="F1768" s="124"/>
      <x:c r="G1768" s="124"/>
      <x:c r="H1768" s="124"/>
      <x:c r="I1768" s="124"/>
      <x:c r="J1768" s="124"/>
      <x:c r="M1768" s="126"/>
      <x:c r="P1768" s="126"/>
      <x:c r="Q1768" s="126"/>
      <x:c r="R1768" s="126"/>
      <x:c r="S1768" s="124"/>
      <x:c r="T1768" s="124"/>
      <x:c r="U1768" s="124"/>
      <x:c r="V1768" s="124"/>
      <x:c r="W1768" s="124"/>
      <x:c r="X1768" s="124"/>
      <x:c r="AD1768"/>
      <x:c r="AE1768" s="145"/>
      <x:c r="AF1768" s="145"/>
      <x:c r="AG1768" s="145"/>
      <x:c r="AH1768" s="145"/>
      <x:c r="AI1768" s="145"/>
      <x:c r="AJ1768"/>
    </x:row>
    <x:row r="1769">
      <x:c r="F1769" s="124"/>
      <x:c r="G1769" s="124"/>
      <x:c r="H1769" s="124"/>
      <x:c r="I1769" s="124"/>
      <x:c r="J1769" s="124"/>
      <x:c r="M1769" s="126"/>
      <x:c r="P1769" s="126"/>
      <x:c r="Q1769" s="126"/>
      <x:c r="R1769" s="126"/>
      <x:c r="S1769" s="124"/>
      <x:c r="T1769" s="124"/>
      <x:c r="U1769" s="124"/>
      <x:c r="V1769" s="124"/>
      <x:c r="W1769" s="124"/>
      <x:c r="X1769" s="124"/>
      <x:c r="AD1769"/>
      <x:c r="AE1769" s="145"/>
      <x:c r="AF1769" s="145"/>
      <x:c r="AG1769" s="145"/>
      <x:c r="AH1769" s="145"/>
      <x:c r="AI1769" s="145"/>
      <x:c r="AJ1769"/>
    </x:row>
    <x:row r="1770">
      <x:c r="F1770" s="124"/>
      <x:c r="G1770" s="124"/>
      <x:c r="H1770" s="124"/>
      <x:c r="I1770" s="124"/>
      <x:c r="J1770" s="124"/>
      <x:c r="M1770" s="126"/>
      <x:c r="P1770" s="126"/>
      <x:c r="Q1770" s="126"/>
      <x:c r="R1770" s="126"/>
      <x:c r="S1770" s="124"/>
      <x:c r="T1770" s="124"/>
      <x:c r="U1770" s="124"/>
      <x:c r="V1770" s="124"/>
      <x:c r="W1770" s="124"/>
      <x:c r="X1770" s="124"/>
      <x:c r="AD1770"/>
      <x:c r="AE1770" s="145"/>
      <x:c r="AF1770" s="145"/>
      <x:c r="AG1770" s="145"/>
      <x:c r="AH1770" s="145"/>
      <x:c r="AI1770" s="145"/>
      <x:c r="AJ1770"/>
    </x:row>
    <x:row r="1771">
      <x:c r="F1771" s="124"/>
      <x:c r="G1771" s="124"/>
      <x:c r="H1771" s="124"/>
      <x:c r="I1771" s="124"/>
      <x:c r="J1771" s="124"/>
      <x:c r="M1771" s="126"/>
      <x:c r="P1771" s="126"/>
      <x:c r="Q1771" s="126"/>
      <x:c r="R1771" s="126"/>
      <x:c r="S1771" s="124"/>
      <x:c r="T1771" s="124"/>
      <x:c r="U1771" s="124"/>
      <x:c r="V1771" s="124"/>
      <x:c r="W1771" s="124"/>
      <x:c r="X1771" s="124"/>
      <x:c r="AD1771"/>
      <x:c r="AE1771" s="145"/>
      <x:c r="AF1771" s="145"/>
      <x:c r="AG1771" s="145"/>
      <x:c r="AH1771" s="145"/>
      <x:c r="AI1771" s="145"/>
      <x:c r="AJ1771"/>
    </x:row>
    <x:row r="1772">
      <x:c r="F1772" s="124"/>
      <x:c r="G1772" s="124"/>
      <x:c r="H1772" s="124"/>
      <x:c r="I1772" s="124"/>
      <x:c r="J1772" s="124"/>
      <x:c r="M1772" s="126"/>
      <x:c r="P1772" s="126"/>
      <x:c r="Q1772" s="126"/>
      <x:c r="R1772" s="126"/>
      <x:c r="S1772" s="124"/>
      <x:c r="T1772" s="124"/>
      <x:c r="U1772" s="124"/>
      <x:c r="V1772" s="124"/>
      <x:c r="W1772" s="124"/>
      <x:c r="X1772" s="124"/>
      <x:c r="AD1772"/>
      <x:c r="AE1772" s="145"/>
      <x:c r="AF1772" s="145"/>
      <x:c r="AG1772" s="145"/>
      <x:c r="AH1772" s="145"/>
      <x:c r="AI1772" s="145"/>
      <x:c r="AJ1772"/>
    </x:row>
    <x:row r="1773">
      <x:c r="F1773" s="124"/>
      <x:c r="G1773" s="124"/>
      <x:c r="H1773" s="124"/>
      <x:c r="I1773" s="124"/>
      <x:c r="J1773" s="124"/>
      <x:c r="M1773" s="126"/>
      <x:c r="P1773" s="126"/>
      <x:c r="Q1773" s="126"/>
      <x:c r="R1773" s="126"/>
      <x:c r="S1773" s="124"/>
      <x:c r="T1773" s="124"/>
      <x:c r="U1773" s="124"/>
      <x:c r="V1773" s="124"/>
      <x:c r="W1773" s="124"/>
      <x:c r="X1773" s="124"/>
      <x:c r="AD1773"/>
      <x:c r="AE1773" s="145"/>
      <x:c r="AF1773" s="145"/>
      <x:c r="AG1773" s="145"/>
      <x:c r="AH1773" s="145"/>
      <x:c r="AI1773" s="145"/>
      <x:c r="AJ1773"/>
    </x:row>
    <x:row r="1774">
      <x:c r="F1774" s="124"/>
      <x:c r="G1774" s="124"/>
      <x:c r="H1774" s="124"/>
      <x:c r="I1774" s="124"/>
      <x:c r="J1774" s="124"/>
      <x:c r="M1774" s="126"/>
      <x:c r="P1774" s="126"/>
      <x:c r="Q1774" s="126"/>
      <x:c r="R1774" s="126"/>
      <x:c r="S1774" s="124"/>
      <x:c r="T1774" s="124"/>
      <x:c r="U1774" s="124"/>
      <x:c r="V1774" s="124"/>
      <x:c r="W1774" s="124"/>
      <x:c r="X1774" s="124"/>
      <x:c r="AD1774"/>
      <x:c r="AE1774" s="145"/>
      <x:c r="AF1774" s="145"/>
      <x:c r="AG1774" s="145"/>
      <x:c r="AH1774" s="145"/>
      <x:c r="AI1774" s="145"/>
      <x:c r="AJ1774"/>
    </x:row>
    <x:row r="1775">
      <x:c r="F1775" s="124"/>
      <x:c r="G1775" s="124"/>
      <x:c r="H1775" s="124"/>
      <x:c r="I1775" s="124"/>
      <x:c r="J1775" s="124"/>
      <x:c r="M1775" s="126"/>
      <x:c r="P1775" s="126"/>
      <x:c r="Q1775" s="126"/>
      <x:c r="R1775" s="126"/>
      <x:c r="S1775" s="124"/>
      <x:c r="T1775" s="124"/>
      <x:c r="U1775" s="124"/>
      <x:c r="V1775" s="124"/>
      <x:c r="W1775" s="124"/>
      <x:c r="X1775" s="124"/>
      <x:c r="AD1775"/>
      <x:c r="AE1775" s="145"/>
      <x:c r="AF1775" s="145"/>
      <x:c r="AG1775" s="145"/>
      <x:c r="AH1775" s="145"/>
      <x:c r="AI1775" s="145"/>
      <x:c r="AJ1775"/>
    </x:row>
    <x:row r="1776">
      <x:c r="F1776" s="124"/>
      <x:c r="G1776" s="124"/>
      <x:c r="H1776" s="124"/>
      <x:c r="I1776" s="124"/>
      <x:c r="J1776" s="124"/>
      <x:c r="M1776" s="126"/>
      <x:c r="P1776" s="126"/>
      <x:c r="Q1776" s="126"/>
      <x:c r="R1776" s="126"/>
      <x:c r="S1776" s="124"/>
      <x:c r="T1776" s="124"/>
      <x:c r="U1776" s="124"/>
      <x:c r="V1776" s="124"/>
      <x:c r="W1776" s="124"/>
      <x:c r="X1776" s="124"/>
      <x:c r="AD1776"/>
      <x:c r="AE1776" s="145"/>
      <x:c r="AF1776" s="145"/>
      <x:c r="AG1776" s="145"/>
      <x:c r="AH1776" s="145"/>
      <x:c r="AI1776" s="145"/>
      <x:c r="AJ1776"/>
    </x:row>
    <x:row r="1777">
      <x:c r="F1777" s="124"/>
      <x:c r="G1777" s="124"/>
      <x:c r="H1777" s="124"/>
      <x:c r="I1777" s="124"/>
      <x:c r="J1777" s="124"/>
      <x:c r="M1777" s="126"/>
      <x:c r="P1777" s="126"/>
      <x:c r="Q1777" s="126"/>
      <x:c r="R1777" s="126"/>
      <x:c r="S1777" s="124"/>
      <x:c r="T1777" s="124"/>
      <x:c r="U1777" s="124"/>
      <x:c r="V1777" s="124"/>
      <x:c r="W1777" s="124"/>
      <x:c r="X1777" s="124"/>
      <x:c r="AD1777"/>
      <x:c r="AE1777" s="145"/>
      <x:c r="AF1777" s="145"/>
      <x:c r="AG1777" s="145"/>
      <x:c r="AH1777" s="145"/>
      <x:c r="AI1777" s="145"/>
      <x:c r="AJ1777"/>
    </x:row>
    <x:row r="1778">
      <x:c r="F1778" s="124"/>
      <x:c r="G1778" s="124"/>
      <x:c r="H1778" s="124"/>
      <x:c r="I1778" s="124"/>
      <x:c r="J1778" s="124"/>
      <x:c r="M1778" s="126"/>
      <x:c r="P1778" s="126"/>
      <x:c r="Q1778" s="126"/>
      <x:c r="R1778" s="126"/>
      <x:c r="S1778" s="124"/>
      <x:c r="T1778" s="124"/>
      <x:c r="U1778" s="124"/>
      <x:c r="V1778" s="124"/>
      <x:c r="W1778" s="124"/>
      <x:c r="X1778" s="124"/>
      <x:c r="AD1778"/>
      <x:c r="AE1778" s="145"/>
      <x:c r="AF1778" s="145"/>
      <x:c r="AG1778" s="145"/>
      <x:c r="AH1778" s="145"/>
      <x:c r="AI1778" s="145"/>
      <x:c r="AJ1778"/>
    </x:row>
    <x:row r="1779">
      <x:c r="F1779" s="124"/>
      <x:c r="G1779" s="124"/>
      <x:c r="H1779" s="124"/>
      <x:c r="I1779" s="124"/>
      <x:c r="J1779" s="124"/>
      <x:c r="M1779" s="126"/>
      <x:c r="P1779" s="126"/>
      <x:c r="Q1779" s="126"/>
      <x:c r="R1779" s="126"/>
      <x:c r="S1779" s="124"/>
      <x:c r="T1779" s="124"/>
      <x:c r="U1779" s="124"/>
      <x:c r="V1779" s="124"/>
      <x:c r="W1779" s="124"/>
      <x:c r="X1779" s="124"/>
      <x:c r="AD1779"/>
      <x:c r="AE1779" s="145"/>
      <x:c r="AF1779" s="145"/>
      <x:c r="AG1779" s="145"/>
      <x:c r="AH1779" s="145"/>
      <x:c r="AI1779" s="145"/>
      <x:c r="AJ1779"/>
    </x:row>
    <x:row r="1780">
      <x:c r="F1780" s="124"/>
      <x:c r="G1780" s="124"/>
      <x:c r="H1780" s="124"/>
      <x:c r="I1780" s="124"/>
      <x:c r="J1780" s="124"/>
      <x:c r="M1780" s="126"/>
      <x:c r="P1780" s="126"/>
      <x:c r="Q1780" s="126"/>
      <x:c r="R1780" s="126"/>
      <x:c r="S1780" s="124"/>
      <x:c r="T1780" s="124"/>
      <x:c r="U1780" s="124"/>
      <x:c r="V1780" s="124"/>
      <x:c r="W1780" s="124"/>
      <x:c r="X1780" s="124"/>
      <x:c r="AD1780"/>
      <x:c r="AE1780" s="145"/>
      <x:c r="AF1780" s="145"/>
      <x:c r="AG1780" s="145"/>
      <x:c r="AH1780" s="145"/>
      <x:c r="AI1780" s="145"/>
      <x:c r="AJ1780"/>
    </x:row>
    <x:row r="1781">
      <x:c r="F1781" s="124"/>
      <x:c r="G1781" s="124"/>
      <x:c r="H1781" s="124"/>
      <x:c r="I1781" s="124"/>
      <x:c r="J1781" s="124"/>
      <x:c r="M1781" s="126"/>
      <x:c r="P1781" s="126"/>
      <x:c r="Q1781" s="126"/>
      <x:c r="R1781" s="126"/>
      <x:c r="S1781" s="124"/>
      <x:c r="T1781" s="124"/>
      <x:c r="U1781" s="124"/>
      <x:c r="V1781" s="124"/>
      <x:c r="W1781" s="124"/>
      <x:c r="X1781" s="124"/>
      <x:c r="AD1781"/>
      <x:c r="AE1781" s="145"/>
      <x:c r="AF1781" s="145"/>
      <x:c r="AG1781" s="145"/>
      <x:c r="AH1781" s="145"/>
      <x:c r="AI1781" s="145"/>
      <x:c r="AJ1781"/>
    </x:row>
    <x:row r="1782">
      <x:c r="F1782" s="124"/>
      <x:c r="G1782" s="124"/>
      <x:c r="H1782" s="124"/>
      <x:c r="I1782" s="124"/>
      <x:c r="J1782" s="124"/>
      <x:c r="M1782" s="126"/>
      <x:c r="P1782" s="126"/>
      <x:c r="Q1782" s="126"/>
      <x:c r="R1782" s="126"/>
      <x:c r="S1782" s="124"/>
      <x:c r="T1782" s="124"/>
      <x:c r="U1782" s="124"/>
      <x:c r="V1782" s="124"/>
      <x:c r="W1782" s="124"/>
      <x:c r="X1782" s="124"/>
      <x:c r="AD1782"/>
      <x:c r="AE1782" s="145"/>
      <x:c r="AF1782" s="145"/>
      <x:c r="AG1782" s="145"/>
      <x:c r="AH1782" s="145"/>
      <x:c r="AI1782" s="145"/>
      <x:c r="AJ1782"/>
    </x:row>
    <x:row r="1783">
      <x:c r="F1783" s="124"/>
      <x:c r="G1783" s="124"/>
      <x:c r="H1783" s="124"/>
      <x:c r="I1783" s="124"/>
      <x:c r="J1783" s="124"/>
      <x:c r="M1783" s="126"/>
      <x:c r="P1783" s="126"/>
      <x:c r="Q1783" s="126"/>
      <x:c r="R1783" s="126"/>
      <x:c r="S1783" s="124"/>
      <x:c r="T1783" s="124"/>
      <x:c r="U1783" s="124"/>
      <x:c r="V1783" s="124"/>
      <x:c r="W1783" s="124"/>
      <x:c r="X1783" s="124"/>
      <x:c r="AD1783"/>
      <x:c r="AE1783" s="145"/>
      <x:c r="AF1783" s="145"/>
      <x:c r="AG1783" s="145"/>
      <x:c r="AH1783" s="145"/>
      <x:c r="AI1783" s="145"/>
      <x:c r="AJ1783"/>
    </x:row>
    <x:row r="1784">
      <x:c r="F1784" s="124"/>
      <x:c r="G1784" s="124"/>
      <x:c r="H1784" s="124"/>
      <x:c r="I1784" s="124"/>
      <x:c r="J1784" s="124"/>
      <x:c r="M1784" s="126"/>
      <x:c r="P1784" s="126"/>
      <x:c r="Q1784" s="126"/>
      <x:c r="R1784" s="126"/>
      <x:c r="S1784" s="124"/>
      <x:c r="T1784" s="124"/>
      <x:c r="U1784" s="124"/>
      <x:c r="V1784" s="124"/>
      <x:c r="W1784" s="124"/>
      <x:c r="X1784" s="124"/>
      <x:c r="AD1784"/>
      <x:c r="AE1784" s="145"/>
      <x:c r="AF1784" s="145"/>
      <x:c r="AG1784" s="145"/>
      <x:c r="AH1784" s="145"/>
      <x:c r="AI1784" s="145"/>
      <x:c r="AJ1784"/>
    </x:row>
    <x:row r="1785">
      <x:c r="F1785" s="124"/>
      <x:c r="G1785" s="124"/>
      <x:c r="H1785" s="124"/>
      <x:c r="I1785" s="124"/>
      <x:c r="J1785" s="124"/>
      <x:c r="M1785" s="126"/>
      <x:c r="P1785" s="126"/>
      <x:c r="Q1785" s="126"/>
      <x:c r="R1785" s="126"/>
      <x:c r="S1785" s="124"/>
      <x:c r="T1785" s="124"/>
      <x:c r="U1785" s="124"/>
      <x:c r="V1785" s="124"/>
      <x:c r="W1785" s="124"/>
      <x:c r="X1785" s="124"/>
      <x:c r="AD1785"/>
      <x:c r="AE1785" s="145"/>
      <x:c r="AF1785" s="145"/>
      <x:c r="AG1785" s="145"/>
      <x:c r="AH1785" s="145"/>
      <x:c r="AI1785" s="145"/>
      <x:c r="AJ1785"/>
    </x:row>
    <x:row r="1786">
      <x:c r="F1786" s="124"/>
      <x:c r="G1786" s="124"/>
      <x:c r="H1786" s="124"/>
      <x:c r="I1786" s="124"/>
      <x:c r="J1786" s="124"/>
      <x:c r="M1786" s="126"/>
      <x:c r="P1786" s="126"/>
      <x:c r="Q1786" s="126"/>
      <x:c r="R1786" s="126"/>
      <x:c r="S1786" s="124"/>
      <x:c r="T1786" s="124"/>
      <x:c r="U1786" s="124"/>
      <x:c r="V1786" s="124"/>
      <x:c r="W1786" s="124"/>
      <x:c r="X1786" s="124"/>
      <x:c r="AD1786"/>
      <x:c r="AE1786" s="145"/>
      <x:c r="AF1786" s="145"/>
      <x:c r="AG1786" s="145"/>
      <x:c r="AH1786" s="145"/>
      <x:c r="AI1786" s="145"/>
      <x:c r="AJ1786"/>
    </x:row>
    <x:row r="1787">
      <x:c r="F1787" s="124"/>
      <x:c r="G1787" s="124"/>
      <x:c r="H1787" s="124"/>
      <x:c r="I1787" s="124"/>
      <x:c r="J1787" s="124"/>
      <x:c r="M1787" s="126"/>
      <x:c r="P1787" s="126"/>
      <x:c r="Q1787" s="126"/>
      <x:c r="R1787" s="126"/>
      <x:c r="S1787" s="124"/>
      <x:c r="T1787" s="124"/>
      <x:c r="U1787" s="124"/>
      <x:c r="V1787" s="124"/>
      <x:c r="W1787" s="124"/>
      <x:c r="X1787" s="124"/>
      <x:c r="AD1787"/>
      <x:c r="AE1787" s="145"/>
      <x:c r="AF1787" s="145"/>
      <x:c r="AG1787" s="145"/>
      <x:c r="AH1787" s="145"/>
      <x:c r="AI1787" s="145"/>
      <x:c r="AJ1787"/>
    </x:row>
    <x:row r="1788">
      <x:c r="F1788" s="124"/>
      <x:c r="G1788" s="124"/>
      <x:c r="H1788" s="124"/>
      <x:c r="I1788" s="124"/>
      <x:c r="J1788" s="124"/>
      <x:c r="M1788" s="126"/>
      <x:c r="P1788" s="126"/>
      <x:c r="Q1788" s="126"/>
      <x:c r="R1788" s="126"/>
      <x:c r="S1788" s="124"/>
      <x:c r="T1788" s="124"/>
      <x:c r="U1788" s="124"/>
      <x:c r="V1788" s="124"/>
      <x:c r="W1788" s="124"/>
      <x:c r="X1788" s="124"/>
      <x:c r="AD1788"/>
      <x:c r="AE1788" s="145"/>
      <x:c r="AF1788" s="145"/>
      <x:c r="AG1788" s="145"/>
      <x:c r="AH1788" s="145"/>
      <x:c r="AI1788" s="145"/>
      <x:c r="AJ1788"/>
    </x:row>
    <x:row r="1789">
      <x:c r="F1789" s="124"/>
      <x:c r="G1789" s="124"/>
      <x:c r="H1789" s="124"/>
      <x:c r="I1789" s="124"/>
      <x:c r="J1789" s="124"/>
      <x:c r="M1789" s="126"/>
      <x:c r="P1789" s="126"/>
      <x:c r="Q1789" s="126"/>
      <x:c r="R1789" s="126"/>
      <x:c r="S1789" s="124"/>
      <x:c r="T1789" s="124"/>
      <x:c r="U1789" s="124"/>
      <x:c r="V1789" s="124"/>
      <x:c r="W1789" s="124"/>
      <x:c r="X1789" s="124"/>
      <x:c r="AD1789"/>
      <x:c r="AE1789" s="145"/>
      <x:c r="AF1789" s="145"/>
      <x:c r="AG1789" s="145"/>
      <x:c r="AH1789" s="145"/>
      <x:c r="AI1789" s="145"/>
      <x:c r="AJ1789"/>
    </x:row>
    <x:row r="1790">
      <x:c r="F1790" s="124"/>
      <x:c r="G1790" s="124"/>
      <x:c r="H1790" s="124"/>
      <x:c r="I1790" s="124"/>
      <x:c r="J1790" s="124"/>
      <x:c r="M1790" s="126"/>
      <x:c r="P1790" s="126"/>
      <x:c r="Q1790" s="126"/>
      <x:c r="R1790" s="126"/>
      <x:c r="S1790" s="124"/>
      <x:c r="T1790" s="124"/>
      <x:c r="U1790" s="124"/>
      <x:c r="V1790" s="124"/>
      <x:c r="W1790" s="124"/>
      <x:c r="X1790" s="124"/>
      <x:c r="AD1790"/>
      <x:c r="AE1790" s="145"/>
      <x:c r="AF1790" s="145"/>
      <x:c r="AG1790" s="145"/>
      <x:c r="AH1790" s="145"/>
      <x:c r="AI1790" s="145"/>
      <x:c r="AJ1790"/>
    </x:row>
    <x:row r="1791">
      <x:c r="F1791" s="124"/>
      <x:c r="G1791" s="124"/>
      <x:c r="H1791" s="124"/>
      <x:c r="I1791" s="124"/>
      <x:c r="J1791" s="124"/>
      <x:c r="M1791" s="126"/>
      <x:c r="P1791" s="126"/>
      <x:c r="Q1791" s="126"/>
      <x:c r="R1791" s="126"/>
      <x:c r="S1791" s="124"/>
      <x:c r="T1791" s="124"/>
      <x:c r="U1791" s="124"/>
      <x:c r="V1791" s="124"/>
      <x:c r="W1791" s="124"/>
      <x:c r="X1791" s="124"/>
      <x:c r="AD1791"/>
      <x:c r="AE1791" s="145"/>
      <x:c r="AF1791" s="145"/>
      <x:c r="AG1791" s="145"/>
      <x:c r="AH1791" s="145"/>
      <x:c r="AI1791" s="145"/>
      <x:c r="AJ1791"/>
    </x:row>
    <x:row r="1792">
      <x:c r="F1792" s="124"/>
      <x:c r="G1792" s="124"/>
      <x:c r="H1792" s="124"/>
      <x:c r="I1792" s="124"/>
      <x:c r="J1792" s="124"/>
      <x:c r="M1792" s="126"/>
      <x:c r="P1792" s="126"/>
      <x:c r="Q1792" s="126"/>
      <x:c r="R1792" s="126"/>
      <x:c r="S1792" s="124"/>
      <x:c r="T1792" s="124"/>
      <x:c r="U1792" s="124"/>
      <x:c r="V1792" s="124"/>
      <x:c r="W1792" s="124"/>
      <x:c r="X1792" s="124"/>
      <x:c r="AD1792"/>
      <x:c r="AE1792" s="145"/>
      <x:c r="AF1792" s="145"/>
      <x:c r="AG1792" s="145"/>
      <x:c r="AH1792" s="145"/>
      <x:c r="AI1792" s="145"/>
      <x:c r="AJ1792"/>
    </x:row>
    <x:row r="1793">
      <x:c r="F1793" s="124"/>
      <x:c r="G1793" s="124"/>
      <x:c r="H1793" s="124"/>
      <x:c r="I1793" s="124"/>
      <x:c r="J1793" s="124"/>
      <x:c r="M1793" s="126"/>
      <x:c r="P1793" s="126"/>
      <x:c r="Q1793" s="126"/>
      <x:c r="R1793" s="126"/>
      <x:c r="S1793" s="124"/>
      <x:c r="T1793" s="124"/>
      <x:c r="U1793" s="124"/>
      <x:c r="V1793" s="124"/>
      <x:c r="W1793" s="124"/>
      <x:c r="X1793" s="124"/>
      <x:c r="AD1793"/>
      <x:c r="AE1793" s="145"/>
      <x:c r="AF1793" s="145"/>
      <x:c r="AG1793" s="145"/>
      <x:c r="AH1793" s="145"/>
      <x:c r="AI1793" s="145"/>
      <x:c r="AJ1793"/>
    </x:row>
    <x:row r="1794">
      <x:c r="F1794" s="124"/>
      <x:c r="G1794" s="124"/>
      <x:c r="H1794" s="124"/>
      <x:c r="I1794" s="124"/>
      <x:c r="J1794" s="124"/>
      <x:c r="M1794" s="126"/>
      <x:c r="P1794" s="126"/>
      <x:c r="Q1794" s="126"/>
      <x:c r="R1794" s="126"/>
      <x:c r="S1794" s="124"/>
      <x:c r="T1794" s="124"/>
      <x:c r="U1794" s="124"/>
      <x:c r="V1794" s="124"/>
      <x:c r="W1794" s="124"/>
      <x:c r="X1794" s="124"/>
      <x:c r="AD1794"/>
      <x:c r="AE1794" s="145"/>
      <x:c r="AF1794" s="145"/>
      <x:c r="AG1794" s="145"/>
      <x:c r="AH1794" s="145"/>
      <x:c r="AI1794" s="145"/>
      <x:c r="AJ1794"/>
    </x:row>
    <x:row r="1795">
      <x:c r="F1795" s="124"/>
      <x:c r="G1795" s="124"/>
      <x:c r="H1795" s="124"/>
      <x:c r="I1795" s="124"/>
      <x:c r="J1795" s="124"/>
      <x:c r="M1795" s="126"/>
      <x:c r="P1795" s="126"/>
      <x:c r="Q1795" s="126"/>
      <x:c r="R1795" s="126"/>
      <x:c r="S1795" s="124"/>
      <x:c r="T1795" s="124"/>
      <x:c r="U1795" s="124"/>
      <x:c r="V1795" s="124"/>
      <x:c r="W1795" s="124"/>
      <x:c r="X1795" s="124"/>
      <x:c r="AD1795"/>
      <x:c r="AE1795" s="145"/>
      <x:c r="AF1795" s="145"/>
      <x:c r="AG1795" s="145"/>
      <x:c r="AH1795" s="145"/>
      <x:c r="AI1795" s="145"/>
      <x:c r="AJ1795"/>
    </x:row>
    <x:row r="1796">
      <x:c r="F1796" s="124"/>
      <x:c r="G1796" s="124"/>
      <x:c r="H1796" s="124"/>
      <x:c r="I1796" s="124"/>
      <x:c r="J1796" s="124"/>
      <x:c r="M1796" s="126"/>
      <x:c r="P1796" s="126"/>
      <x:c r="Q1796" s="126"/>
      <x:c r="R1796" s="126"/>
      <x:c r="S1796" s="124"/>
      <x:c r="T1796" s="124"/>
      <x:c r="U1796" s="124"/>
      <x:c r="V1796" s="124"/>
      <x:c r="W1796" s="124"/>
      <x:c r="X1796" s="124"/>
      <x:c r="AD1796"/>
      <x:c r="AE1796" s="145"/>
      <x:c r="AF1796" s="145"/>
      <x:c r="AG1796" s="145"/>
      <x:c r="AH1796" s="145"/>
      <x:c r="AI1796" s="145"/>
      <x:c r="AJ1796"/>
    </x:row>
    <x:row r="1797">
      <x:c r="F1797" s="124"/>
      <x:c r="G1797" s="124"/>
      <x:c r="H1797" s="124"/>
      <x:c r="I1797" s="124"/>
      <x:c r="J1797" s="124"/>
      <x:c r="M1797" s="126"/>
      <x:c r="P1797" s="126"/>
      <x:c r="Q1797" s="126"/>
      <x:c r="R1797" s="126"/>
      <x:c r="S1797" s="124"/>
      <x:c r="T1797" s="124"/>
      <x:c r="U1797" s="124"/>
      <x:c r="V1797" s="124"/>
      <x:c r="W1797" s="124"/>
      <x:c r="X1797" s="124"/>
      <x:c r="AD1797"/>
      <x:c r="AE1797" s="145"/>
      <x:c r="AF1797" s="145"/>
      <x:c r="AG1797" s="145"/>
      <x:c r="AH1797" s="145"/>
      <x:c r="AI1797" s="145"/>
      <x:c r="AJ1797"/>
    </x:row>
    <x:row r="1798">
      <x:c r="F1798" s="124"/>
      <x:c r="G1798" s="124"/>
      <x:c r="H1798" s="124"/>
      <x:c r="I1798" s="124"/>
      <x:c r="J1798" s="124"/>
      <x:c r="M1798" s="126"/>
      <x:c r="P1798" s="126"/>
      <x:c r="Q1798" s="126"/>
      <x:c r="R1798" s="126"/>
      <x:c r="S1798" s="124"/>
      <x:c r="T1798" s="124"/>
      <x:c r="U1798" s="124"/>
      <x:c r="V1798" s="124"/>
      <x:c r="W1798" s="124"/>
      <x:c r="X1798" s="124"/>
      <x:c r="AD1798"/>
      <x:c r="AE1798" s="145"/>
      <x:c r="AF1798" s="145"/>
      <x:c r="AG1798" s="145"/>
      <x:c r="AH1798" s="145"/>
      <x:c r="AI1798" s="145"/>
      <x:c r="AJ1798"/>
    </x:row>
    <x:row r="1799">
      <x:c r="F1799" s="124"/>
      <x:c r="G1799" s="124"/>
      <x:c r="H1799" s="124"/>
      <x:c r="I1799" s="124"/>
      <x:c r="J1799" s="124"/>
      <x:c r="M1799" s="126"/>
      <x:c r="P1799" s="126"/>
      <x:c r="Q1799" s="126"/>
      <x:c r="R1799" s="126"/>
      <x:c r="S1799" s="124"/>
      <x:c r="T1799" s="124"/>
      <x:c r="U1799" s="124"/>
      <x:c r="V1799" s="124"/>
      <x:c r="W1799" s="124"/>
      <x:c r="X1799" s="124"/>
      <x:c r="AD1799"/>
      <x:c r="AE1799" s="145"/>
      <x:c r="AF1799" s="145"/>
      <x:c r="AG1799" s="145"/>
      <x:c r="AH1799" s="145"/>
      <x:c r="AI1799" s="145"/>
      <x:c r="AJ1799"/>
    </x:row>
    <x:row r="1800">
      <x:c r="F1800" s="124"/>
      <x:c r="G1800" s="124"/>
      <x:c r="H1800" s="124"/>
      <x:c r="I1800" s="124"/>
      <x:c r="J1800" s="124"/>
      <x:c r="M1800" s="126"/>
      <x:c r="P1800" s="126"/>
      <x:c r="Q1800" s="126"/>
      <x:c r="R1800" s="126"/>
      <x:c r="S1800" s="124"/>
      <x:c r="T1800" s="124"/>
      <x:c r="U1800" s="124"/>
      <x:c r="V1800" s="124"/>
      <x:c r="W1800" s="124"/>
      <x:c r="X1800" s="124"/>
      <x:c r="AD1800"/>
      <x:c r="AE1800" s="145"/>
      <x:c r="AF1800" s="145"/>
      <x:c r="AG1800" s="145"/>
      <x:c r="AH1800" s="145"/>
      <x:c r="AI1800" s="145"/>
      <x:c r="AJ1800"/>
    </x:row>
    <x:row r="1801">
      <x:c r="F1801" s="124"/>
      <x:c r="G1801" s="124"/>
      <x:c r="H1801" s="124"/>
      <x:c r="I1801" s="124"/>
      <x:c r="J1801" s="124"/>
      <x:c r="M1801" s="126"/>
      <x:c r="P1801" s="126"/>
      <x:c r="Q1801" s="126"/>
      <x:c r="R1801" s="126"/>
      <x:c r="S1801" s="124"/>
      <x:c r="T1801" s="124"/>
      <x:c r="U1801" s="124"/>
      <x:c r="V1801" s="124"/>
      <x:c r="W1801" s="124"/>
      <x:c r="X1801" s="124"/>
      <x:c r="AD1801"/>
      <x:c r="AE1801" s="145"/>
      <x:c r="AF1801" s="145"/>
      <x:c r="AG1801" s="145"/>
      <x:c r="AH1801" s="145"/>
      <x:c r="AI1801" s="145"/>
      <x:c r="AJ1801"/>
    </x:row>
    <x:row r="1802">
      <x:c r="F1802" s="124"/>
      <x:c r="G1802" s="124"/>
      <x:c r="H1802" s="124"/>
      <x:c r="I1802" s="124"/>
      <x:c r="J1802" s="124"/>
      <x:c r="M1802" s="126"/>
      <x:c r="P1802" s="126"/>
      <x:c r="Q1802" s="126"/>
      <x:c r="R1802" s="126"/>
      <x:c r="S1802" s="124"/>
      <x:c r="T1802" s="124"/>
      <x:c r="U1802" s="124"/>
      <x:c r="V1802" s="124"/>
      <x:c r="W1802" s="124"/>
      <x:c r="X1802" s="124"/>
      <x:c r="AD1802"/>
      <x:c r="AE1802" s="145"/>
      <x:c r="AF1802" s="145"/>
      <x:c r="AG1802" s="145"/>
      <x:c r="AH1802" s="145"/>
      <x:c r="AI1802" s="145"/>
      <x:c r="AJ1802"/>
    </x:row>
    <x:row r="1803">
      <x:c r="F1803" s="124"/>
      <x:c r="G1803" s="124"/>
      <x:c r="H1803" s="124"/>
      <x:c r="I1803" s="124"/>
      <x:c r="J1803" s="124"/>
      <x:c r="M1803" s="126"/>
      <x:c r="P1803" s="126"/>
      <x:c r="Q1803" s="126"/>
      <x:c r="R1803" s="126"/>
      <x:c r="S1803" s="124"/>
      <x:c r="T1803" s="124"/>
      <x:c r="U1803" s="124"/>
      <x:c r="V1803" s="124"/>
      <x:c r="W1803" s="124"/>
      <x:c r="X1803" s="124"/>
      <x:c r="AD1803"/>
      <x:c r="AE1803" s="145"/>
      <x:c r="AF1803" s="145"/>
      <x:c r="AG1803" s="145"/>
      <x:c r="AH1803" s="145"/>
      <x:c r="AI1803" s="145"/>
      <x:c r="AJ1803"/>
    </x:row>
    <x:row r="1804">
      <x:c r="F1804" s="124"/>
      <x:c r="G1804" s="124"/>
      <x:c r="H1804" s="124"/>
      <x:c r="I1804" s="124"/>
      <x:c r="J1804" s="124"/>
      <x:c r="M1804" s="126"/>
      <x:c r="P1804" s="126"/>
      <x:c r="Q1804" s="126"/>
      <x:c r="R1804" s="126"/>
      <x:c r="S1804" s="124"/>
      <x:c r="T1804" s="124"/>
      <x:c r="U1804" s="124"/>
      <x:c r="V1804" s="124"/>
      <x:c r="W1804" s="124"/>
      <x:c r="X1804" s="124"/>
      <x:c r="AD1804"/>
      <x:c r="AE1804" s="145"/>
      <x:c r="AF1804" s="145"/>
      <x:c r="AG1804" s="145"/>
      <x:c r="AH1804" s="145"/>
      <x:c r="AI1804" s="145"/>
      <x:c r="AJ1804"/>
    </x:row>
    <x:row r="1805">
      <x:c r="F1805" s="124"/>
      <x:c r="G1805" s="124"/>
      <x:c r="H1805" s="124"/>
      <x:c r="I1805" s="124"/>
      <x:c r="J1805" s="124"/>
      <x:c r="M1805" s="126"/>
      <x:c r="P1805" s="126"/>
      <x:c r="Q1805" s="126"/>
      <x:c r="R1805" s="126"/>
      <x:c r="S1805" s="124"/>
      <x:c r="T1805" s="124"/>
      <x:c r="U1805" s="124"/>
      <x:c r="V1805" s="124"/>
      <x:c r="W1805" s="124"/>
      <x:c r="X1805" s="124"/>
      <x:c r="AD1805"/>
      <x:c r="AE1805" s="145"/>
      <x:c r="AF1805" s="145"/>
      <x:c r="AG1805" s="145"/>
      <x:c r="AH1805" s="145"/>
      <x:c r="AI1805" s="145"/>
      <x:c r="AJ1805"/>
    </x:row>
    <x:row r="1806">
      <x:c r="F1806" s="124"/>
      <x:c r="G1806" s="124"/>
      <x:c r="H1806" s="124"/>
      <x:c r="I1806" s="124"/>
      <x:c r="J1806" s="124"/>
      <x:c r="M1806" s="126"/>
      <x:c r="P1806" s="126"/>
      <x:c r="Q1806" s="126"/>
      <x:c r="R1806" s="126"/>
      <x:c r="S1806" s="124"/>
      <x:c r="T1806" s="124"/>
      <x:c r="U1806" s="124"/>
      <x:c r="V1806" s="124"/>
      <x:c r="W1806" s="124"/>
      <x:c r="X1806" s="124"/>
      <x:c r="AD1806"/>
      <x:c r="AE1806" s="145"/>
      <x:c r="AF1806" s="145"/>
      <x:c r="AG1806" s="145"/>
      <x:c r="AH1806" s="145"/>
      <x:c r="AI1806" s="145"/>
      <x:c r="AJ1806"/>
    </x:row>
    <x:row r="1807">
      <x:c r="F1807" s="124"/>
      <x:c r="G1807" s="124"/>
      <x:c r="H1807" s="124"/>
      <x:c r="I1807" s="124"/>
      <x:c r="J1807" s="124"/>
      <x:c r="M1807" s="126"/>
      <x:c r="P1807" s="126"/>
      <x:c r="Q1807" s="126"/>
      <x:c r="R1807" s="126"/>
      <x:c r="S1807" s="124"/>
      <x:c r="T1807" s="124"/>
      <x:c r="U1807" s="124"/>
      <x:c r="V1807" s="124"/>
      <x:c r="W1807" s="124"/>
      <x:c r="X1807" s="124"/>
      <x:c r="AD1807"/>
      <x:c r="AE1807" s="145"/>
      <x:c r="AF1807" s="145"/>
      <x:c r="AG1807" s="145"/>
      <x:c r="AH1807" s="145"/>
      <x:c r="AI1807" s="145"/>
      <x:c r="AJ1807"/>
    </x:row>
    <x:row r="1808">
      <x:c r="F1808" s="124"/>
      <x:c r="G1808" s="124"/>
      <x:c r="H1808" s="124"/>
      <x:c r="I1808" s="124"/>
      <x:c r="J1808" s="124"/>
      <x:c r="M1808" s="126"/>
      <x:c r="P1808" s="126"/>
      <x:c r="Q1808" s="126"/>
      <x:c r="R1808" s="126"/>
      <x:c r="S1808" s="124"/>
      <x:c r="T1808" s="124"/>
      <x:c r="U1808" s="124"/>
      <x:c r="V1808" s="124"/>
      <x:c r="W1808" s="124"/>
      <x:c r="X1808" s="124"/>
      <x:c r="AD1808"/>
      <x:c r="AE1808" s="145"/>
      <x:c r="AF1808" s="145"/>
      <x:c r="AG1808" s="145"/>
      <x:c r="AH1808" s="145"/>
      <x:c r="AI1808" s="145"/>
      <x:c r="AJ1808"/>
    </x:row>
    <x:row r="1809">
      <x:c r="F1809" s="124"/>
      <x:c r="G1809" s="124"/>
      <x:c r="H1809" s="124"/>
      <x:c r="I1809" s="124"/>
      <x:c r="J1809" s="124"/>
      <x:c r="M1809" s="126"/>
      <x:c r="P1809" s="126"/>
      <x:c r="Q1809" s="126"/>
      <x:c r="R1809" s="126"/>
      <x:c r="S1809" s="124"/>
      <x:c r="T1809" s="124"/>
      <x:c r="U1809" s="124"/>
      <x:c r="V1809" s="124"/>
      <x:c r="W1809" s="124"/>
      <x:c r="X1809" s="124"/>
      <x:c r="AD1809"/>
      <x:c r="AE1809" s="145"/>
      <x:c r="AF1809" s="145"/>
      <x:c r="AG1809" s="145"/>
      <x:c r="AH1809" s="145"/>
      <x:c r="AI1809" s="145"/>
      <x:c r="AJ1809"/>
    </x:row>
    <x:row r="1810">
      <x:c r="F1810" s="124"/>
      <x:c r="G1810" s="124"/>
      <x:c r="H1810" s="124"/>
      <x:c r="I1810" s="124"/>
      <x:c r="J1810" s="124"/>
      <x:c r="M1810" s="126"/>
      <x:c r="P1810" s="126"/>
      <x:c r="Q1810" s="126"/>
      <x:c r="R1810" s="126"/>
      <x:c r="S1810" s="124"/>
      <x:c r="T1810" s="124"/>
      <x:c r="U1810" s="124"/>
      <x:c r="V1810" s="124"/>
      <x:c r="W1810" s="124"/>
      <x:c r="X1810" s="124"/>
      <x:c r="AD1810"/>
      <x:c r="AE1810" s="145"/>
      <x:c r="AF1810" s="145"/>
      <x:c r="AG1810" s="145"/>
      <x:c r="AH1810" s="145"/>
      <x:c r="AI1810" s="145"/>
      <x:c r="AJ1810"/>
    </x:row>
    <x:row r="1811">
      <x:c r="F1811" s="124"/>
      <x:c r="G1811" s="124"/>
      <x:c r="H1811" s="124"/>
      <x:c r="I1811" s="124"/>
      <x:c r="J1811" s="124"/>
      <x:c r="M1811" s="126"/>
      <x:c r="P1811" s="126"/>
      <x:c r="Q1811" s="126"/>
      <x:c r="R1811" s="126"/>
      <x:c r="S1811" s="124"/>
      <x:c r="T1811" s="124"/>
      <x:c r="U1811" s="124"/>
      <x:c r="V1811" s="124"/>
      <x:c r="W1811" s="124"/>
      <x:c r="X1811" s="124"/>
      <x:c r="AD1811"/>
      <x:c r="AE1811" s="145"/>
      <x:c r="AF1811" s="145"/>
      <x:c r="AG1811" s="145"/>
      <x:c r="AH1811" s="145"/>
      <x:c r="AI1811" s="145"/>
      <x:c r="AJ1811"/>
    </x:row>
    <x:row r="1812">
      <x:c r="F1812" s="124"/>
      <x:c r="G1812" s="124"/>
      <x:c r="H1812" s="124"/>
      <x:c r="I1812" s="124"/>
      <x:c r="J1812" s="124"/>
      <x:c r="M1812" s="126"/>
      <x:c r="P1812" s="126"/>
      <x:c r="Q1812" s="126"/>
      <x:c r="R1812" s="126"/>
      <x:c r="S1812" s="124"/>
      <x:c r="T1812" s="124"/>
      <x:c r="U1812" s="124"/>
      <x:c r="V1812" s="124"/>
      <x:c r="W1812" s="124"/>
      <x:c r="X1812" s="124"/>
      <x:c r="AD1812"/>
      <x:c r="AE1812" s="145"/>
      <x:c r="AF1812" s="145"/>
      <x:c r="AG1812" s="145"/>
      <x:c r="AH1812" s="145"/>
      <x:c r="AI1812" s="145"/>
      <x:c r="AJ1812"/>
    </x:row>
    <x:row r="1813">
      <x:c r="F1813" s="124"/>
      <x:c r="G1813" s="124"/>
      <x:c r="H1813" s="124"/>
      <x:c r="I1813" s="124"/>
      <x:c r="J1813" s="124"/>
      <x:c r="M1813" s="126"/>
      <x:c r="P1813" s="126"/>
      <x:c r="Q1813" s="126"/>
      <x:c r="R1813" s="126"/>
      <x:c r="S1813" s="124"/>
      <x:c r="T1813" s="124"/>
      <x:c r="U1813" s="124"/>
      <x:c r="V1813" s="124"/>
      <x:c r="W1813" s="124"/>
      <x:c r="X1813" s="124"/>
      <x:c r="AD1813"/>
      <x:c r="AE1813" s="145"/>
      <x:c r="AF1813" s="145"/>
      <x:c r="AG1813" s="145"/>
      <x:c r="AH1813" s="145"/>
      <x:c r="AI1813" s="145"/>
      <x:c r="AJ1813"/>
    </x:row>
    <x:row r="1814">
      <x:c r="F1814" s="124"/>
      <x:c r="G1814" s="124"/>
      <x:c r="H1814" s="124"/>
      <x:c r="I1814" s="124"/>
      <x:c r="J1814" s="124"/>
      <x:c r="M1814" s="126"/>
      <x:c r="P1814" s="126"/>
      <x:c r="Q1814" s="126"/>
      <x:c r="R1814" s="126"/>
      <x:c r="S1814" s="124"/>
      <x:c r="T1814" s="124"/>
      <x:c r="U1814" s="124"/>
      <x:c r="V1814" s="124"/>
      <x:c r="W1814" s="124"/>
      <x:c r="X1814" s="124"/>
      <x:c r="AD1814"/>
      <x:c r="AE1814" s="145"/>
      <x:c r="AF1814" s="145"/>
      <x:c r="AG1814" s="145"/>
      <x:c r="AH1814" s="145"/>
      <x:c r="AI1814" s="145"/>
      <x:c r="AJ1814"/>
    </x:row>
    <x:row r="1815">
      <x:c r="F1815" s="124"/>
      <x:c r="G1815" s="124"/>
      <x:c r="H1815" s="124"/>
      <x:c r="I1815" s="124"/>
      <x:c r="J1815" s="124"/>
      <x:c r="M1815" s="126"/>
      <x:c r="P1815" s="126"/>
      <x:c r="Q1815" s="126"/>
      <x:c r="R1815" s="126"/>
      <x:c r="S1815" s="124"/>
      <x:c r="T1815" s="124"/>
      <x:c r="U1815" s="124"/>
      <x:c r="V1815" s="124"/>
      <x:c r="W1815" s="124"/>
      <x:c r="X1815" s="124"/>
      <x:c r="AD1815"/>
      <x:c r="AE1815" s="145"/>
      <x:c r="AF1815" s="145"/>
      <x:c r="AG1815" s="145"/>
      <x:c r="AH1815" s="145"/>
      <x:c r="AI1815" s="145"/>
      <x:c r="AJ1815"/>
    </x:row>
    <x:row r="1816">
      <x:c r="F1816" s="124"/>
      <x:c r="G1816" s="124"/>
      <x:c r="H1816" s="124"/>
      <x:c r="I1816" s="124"/>
      <x:c r="J1816" s="124"/>
      <x:c r="M1816" s="126"/>
      <x:c r="P1816" s="126"/>
      <x:c r="Q1816" s="126"/>
      <x:c r="R1816" s="126"/>
      <x:c r="S1816" s="124"/>
      <x:c r="T1816" s="124"/>
      <x:c r="U1816" s="124"/>
      <x:c r="V1816" s="124"/>
      <x:c r="W1816" s="124"/>
      <x:c r="X1816" s="124"/>
      <x:c r="AD1816"/>
      <x:c r="AE1816" s="145"/>
      <x:c r="AF1816" s="145"/>
      <x:c r="AG1816" s="145"/>
      <x:c r="AH1816" s="145"/>
      <x:c r="AI1816" s="145"/>
      <x:c r="AJ1816"/>
    </x:row>
    <x:row r="1817">
      <x:c r="F1817" s="124"/>
      <x:c r="G1817" s="124"/>
      <x:c r="H1817" s="124"/>
      <x:c r="I1817" s="124"/>
      <x:c r="J1817" s="124"/>
      <x:c r="M1817" s="126"/>
      <x:c r="P1817" s="126"/>
      <x:c r="Q1817" s="126"/>
      <x:c r="R1817" s="126"/>
      <x:c r="S1817" s="124"/>
      <x:c r="T1817" s="124"/>
      <x:c r="U1817" s="124"/>
      <x:c r="V1817" s="124"/>
      <x:c r="W1817" s="124"/>
      <x:c r="X1817" s="124"/>
      <x:c r="AD1817"/>
      <x:c r="AE1817" s="145"/>
      <x:c r="AF1817" s="145"/>
      <x:c r="AG1817" s="145"/>
      <x:c r="AH1817" s="145"/>
      <x:c r="AI1817" s="145"/>
      <x:c r="AJ1817"/>
    </x:row>
    <x:row r="1818">
      <x:c r="F1818" s="124"/>
      <x:c r="G1818" s="124"/>
      <x:c r="H1818" s="124"/>
      <x:c r="I1818" s="124"/>
      <x:c r="J1818" s="124"/>
      <x:c r="M1818" s="126"/>
      <x:c r="P1818" s="126"/>
      <x:c r="Q1818" s="126"/>
      <x:c r="R1818" s="126"/>
      <x:c r="S1818" s="124"/>
      <x:c r="T1818" s="124"/>
      <x:c r="U1818" s="124"/>
      <x:c r="V1818" s="124"/>
      <x:c r="W1818" s="124"/>
      <x:c r="X1818" s="124"/>
      <x:c r="AD1818"/>
      <x:c r="AE1818" s="145"/>
      <x:c r="AF1818" s="145"/>
      <x:c r="AG1818" s="145"/>
      <x:c r="AH1818" s="145"/>
      <x:c r="AI1818" s="145"/>
      <x:c r="AJ1818"/>
    </x:row>
    <x:row r="1819">
      <x:c r="F1819" s="124"/>
      <x:c r="G1819" s="124"/>
      <x:c r="H1819" s="124"/>
      <x:c r="I1819" s="124"/>
      <x:c r="J1819" s="124"/>
      <x:c r="M1819" s="126"/>
      <x:c r="P1819" s="126"/>
      <x:c r="Q1819" s="126"/>
      <x:c r="R1819" s="126"/>
      <x:c r="S1819" s="124"/>
      <x:c r="T1819" s="124"/>
      <x:c r="U1819" s="124"/>
      <x:c r="V1819" s="124"/>
      <x:c r="W1819" s="124"/>
      <x:c r="X1819" s="124"/>
      <x:c r="AD1819"/>
      <x:c r="AE1819" s="145"/>
      <x:c r="AF1819" s="145"/>
      <x:c r="AG1819" s="145"/>
      <x:c r="AH1819" s="145"/>
      <x:c r="AI1819" s="145"/>
      <x:c r="AJ1819"/>
    </x:row>
    <x:row r="1820">
      <x:c r="F1820" s="124"/>
      <x:c r="G1820" s="124"/>
      <x:c r="H1820" s="124"/>
      <x:c r="I1820" s="124"/>
      <x:c r="J1820" s="124"/>
      <x:c r="M1820" s="126"/>
      <x:c r="P1820" s="126"/>
      <x:c r="Q1820" s="126"/>
      <x:c r="R1820" s="126"/>
      <x:c r="S1820" s="124"/>
      <x:c r="T1820" s="124"/>
      <x:c r="U1820" s="124"/>
      <x:c r="V1820" s="124"/>
      <x:c r="W1820" s="124"/>
      <x:c r="X1820" s="124"/>
      <x:c r="AD1820"/>
      <x:c r="AE1820" s="145"/>
      <x:c r="AF1820" s="145"/>
      <x:c r="AG1820" s="145"/>
      <x:c r="AH1820" s="145"/>
      <x:c r="AI1820" s="145"/>
      <x:c r="AJ1820"/>
    </x:row>
    <x:row r="1821">
      <x:c r="F1821" s="124"/>
      <x:c r="G1821" s="124"/>
      <x:c r="H1821" s="124"/>
      <x:c r="I1821" s="124"/>
      <x:c r="J1821" s="124"/>
      <x:c r="M1821" s="126"/>
      <x:c r="P1821" s="126"/>
      <x:c r="Q1821" s="126"/>
      <x:c r="R1821" s="126"/>
      <x:c r="S1821" s="124"/>
      <x:c r="T1821" s="124"/>
      <x:c r="U1821" s="124"/>
      <x:c r="V1821" s="124"/>
      <x:c r="W1821" s="124"/>
      <x:c r="X1821" s="124"/>
      <x:c r="AD1821"/>
      <x:c r="AE1821" s="145"/>
      <x:c r="AF1821" s="145"/>
      <x:c r="AG1821" s="145"/>
      <x:c r="AH1821" s="145"/>
      <x:c r="AI1821" s="145"/>
      <x:c r="AJ1821"/>
    </x:row>
    <x:row r="1822">
      <x:c r="F1822" s="124"/>
      <x:c r="G1822" s="124"/>
      <x:c r="H1822" s="124"/>
      <x:c r="I1822" s="124"/>
      <x:c r="J1822" s="124"/>
      <x:c r="M1822" s="126"/>
      <x:c r="P1822" s="126"/>
      <x:c r="Q1822" s="126"/>
      <x:c r="R1822" s="126"/>
      <x:c r="S1822" s="124"/>
      <x:c r="T1822" s="124"/>
      <x:c r="U1822" s="124"/>
      <x:c r="V1822" s="124"/>
      <x:c r="W1822" s="124"/>
      <x:c r="X1822" s="124"/>
      <x:c r="AD1822"/>
      <x:c r="AE1822" s="145"/>
      <x:c r="AF1822" s="145"/>
      <x:c r="AG1822" s="145"/>
      <x:c r="AH1822" s="145"/>
      <x:c r="AI1822" s="145"/>
      <x:c r="AJ1822"/>
    </x:row>
    <x:row r="1823">
      <x:c r="F1823" s="124"/>
      <x:c r="G1823" s="124"/>
      <x:c r="H1823" s="124"/>
      <x:c r="I1823" s="124"/>
      <x:c r="J1823" s="124"/>
      <x:c r="M1823" s="126"/>
      <x:c r="P1823" s="126"/>
      <x:c r="Q1823" s="126"/>
      <x:c r="R1823" s="126"/>
      <x:c r="S1823" s="124"/>
      <x:c r="T1823" s="124"/>
      <x:c r="U1823" s="124"/>
      <x:c r="V1823" s="124"/>
      <x:c r="W1823" s="124"/>
      <x:c r="X1823" s="124"/>
      <x:c r="AD1823"/>
      <x:c r="AE1823" s="145"/>
      <x:c r="AF1823" s="145"/>
      <x:c r="AG1823" s="145"/>
      <x:c r="AH1823" s="145"/>
      <x:c r="AI1823" s="145"/>
      <x:c r="AJ1823"/>
    </x:row>
    <x:row r="1824">
      <x:c r="F1824" s="124"/>
      <x:c r="G1824" s="124"/>
      <x:c r="H1824" s="124"/>
      <x:c r="I1824" s="124"/>
      <x:c r="J1824" s="124"/>
      <x:c r="M1824" s="126"/>
      <x:c r="P1824" s="126"/>
      <x:c r="Q1824" s="126"/>
      <x:c r="R1824" s="126"/>
      <x:c r="S1824" s="124"/>
      <x:c r="T1824" s="124"/>
      <x:c r="U1824" s="124"/>
      <x:c r="V1824" s="124"/>
      <x:c r="W1824" s="124"/>
      <x:c r="X1824" s="124"/>
      <x:c r="AD1824"/>
      <x:c r="AE1824" s="145"/>
      <x:c r="AF1824" s="145"/>
      <x:c r="AG1824" s="145"/>
      <x:c r="AH1824" s="145"/>
      <x:c r="AI1824" s="145"/>
      <x:c r="AJ1824"/>
    </x:row>
    <x:row r="1825">
      <x:c r="F1825" s="124"/>
      <x:c r="G1825" s="124"/>
      <x:c r="H1825" s="124"/>
      <x:c r="I1825" s="124"/>
      <x:c r="J1825" s="124"/>
      <x:c r="M1825" s="126"/>
      <x:c r="P1825" s="126"/>
      <x:c r="Q1825" s="126"/>
      <x:c r="R1825" s="126"/>
      <x:c r="S1825" s="124"/>
      <x:c r="T1825" s="124"/>
      <x:c r="U1825" s="124"/>
      <x:c r="V1825" s="124"/>
      <x:c r="W1825" s="124"/>
      <x:c r="X1825" s="124"/>
      <x:c r="AD1825"/>
      <x:c r="AE1825" s="145"/>
      <x:c r="AF1825" s="145"/>
      <x:c r="AG1825" s="145"/>
      <x:c r="AH1825" s="145"/>
      <x:c r="AI1825" s="145"/>
      <x:c r="AJ1825"/>
    </x:row>
    <x:row r="1826">
      <x:c r="F1826" s="124"/>
      <x:c r="G1826" s="124"/>
      <x:c r="H1826" s="124"/>
      <x:c r="I1826" s="124"/>
      <x:c r="J1826" s="124"/>
      <x:c r="M1826" s="126"/>
      <x:c r="P1826" s="126"/>
      <x:c r="Q1826" s="126"/>
      <x:c r="R1826" s="126"/>
      <x:c r="S1826" s="124"/>
      <x:c r="T1826" s="124"/>
      <x:c r="U1826" s="124"/>
      <x:c r="V1826" s="124"/>
      <x:c r="W1826" s="124"/>
      <x:c r="X1826" s="124"/>
      <x:c r="AD1826"/>
      <x:c r="AE1826" s="145"/>
      <x:c r="AF1826" s="145"/>
      <x:c r="AG1826" s="145"/>
      <x:c r="AH1826" s="145"/>
      <x:c r="AI1826" s="145"/>
      <x:c r="AJ1826"/>
    </x:row>
    <x:row r="1827">
      <x:c r="F1827" s="124"/>
      <x:c r="G1827" s="124"/>
      <x:c r="H1827" s="124"/>
      <x:c r="I1827" s="124"/>
      <x:c r="J1827" s="124"/>
      <x:c r="M1827" s="126"/>
      <x:c r="P1827" s="126"/>
      <x:c r="Q1827" s="126"/>
      <x:c r="R1827" s="126"/>
      <x:c r="S1827" s="124"/>
      <x:c r="T1827" s="124"/>
      <x:c r="U1827" s="124"/>
      <x:c r="V1827" s="124"/>
      <x:c r="W1827" s="124"/>
      <x:c r="X1827" s="124"/>
      <x:c r="AD1827"/>
      <x:c r="AE1827" s="145"/>
      <x:c r="AF1827" s="145"/>
      <x:c r="AG1827" s="145"/>
      <x:c r="AH1827" s="145"/>
      <x:c r="AI1827" s="145"/>
      <x:c r="AJ1827"/>
    </x:row>
    <x:row r="1828">
      <x:c r="F1828" s="124"/>
      <x:c r="G1828" s="124"/>
      <x:c r="H1828" s="124"/>
      <x:c r="I1828" s="124"/>
      <x:c r="J1828" s="124"/>
      <x:c r="M1828" s="126"/>
      <x:c r="P1828" s="126"/>
      <x:c r="Q1828" s="126"/>
      <x:c r="R1828" s="126"/>
      <x:c r="S1828" s="124"/>
      <x:c r="T1828" s="124"/>
      <x:c r="U1828" s="124"/>
      <x:c r="V1828" s="124"/>
      <x:c r="W1828" s="124"/>
      <x:c r="X1828" s="124"/>
      <x:c r="AD1828"/>
      <x:c r="AE1828" s="145"/>
      <x:c r="AF1828" s="145"/>
      <x:c r="AG1828" s="145"/>
      <x:c r="AH1828" s="145"/>
      <x:c r="AI1828" s="145"/>
      <x:c r="AJ1828"/>
    </x:row>
    <x:row r="1829">
      <x:c r="F1829" s="124"/>
      <x:c r="G1829" s="124"/>
      <x:c r="H1829" s="124"/>
      <x:c r="I1829" s="124"/>
      <x:c r="J1829" s="124"/>
      <x:c r="M1829" s="126"/>
      <x:c r="P1829" s="126"/>
      <x:c r="Q1829" s="126"/>
      <x:c r="R1829" s="126"/>
      <x:c r="S1829" s="124"/>
      <x:c r="T1829" s="124"/>
      <x:c r="U1829" s="124"/>
      <x:c r="V1829" s="124"/>
      <x:c r="W1829" s="124"/>
      <x:c r="X1829" s="124"/>
      <x:c r="AD1829"/>
      <x:c r="AE1829" s="145"/>
      <x:c r="AF1829" s="145"/>
      <x:c r="AG1829" s="145"/>
      <x:c r="AH1829" s="145"/>
      <x:c r="AI1829" s="145"/>
      <x:c r="AJ1829"/>
    </x:row>
    <x:row r="1830">
      <x:c r="F1830" s="124"/>
      <x:c r="G1830" s="124"/>
      <x:c r="H1830" s="124"/>
      <x:c r="I1830" s="124"/>
      <x:c r="J1830" s="124"/>
      <x:c r="M1830" s="126"/>
      <x:c r="P1830" s="126"/>
      <x:c r="Q1830" s="126"/>
      <x:c r="R1830" s="126"/>
      <x:c r="S1830" s="124"/>
      <x:c r="T1830" s="124"/>
      <x:c r="U1830" s="124"/>
      <x:c r="V1830" s="124"/>
      <x:c r="W1830" s="124"/>
      <x:c r="X1830" s="124"/>
      <x:c r="AD1830"/>
      <x:c r="AE1830" s="145"/>
      <x:c r="AF1830" s="145"/>
      <x:c r="AG1830" s="145"/>
      <x:c r="AH1830" s="145"/>
      <x:c r="AI1830" s="145"/>
      <x:c r="AJ1830"/>
    </x:row>
    <x:row r="1831">
      <x:c r="F1831" s="124"/>
      <x:c r="G1831" s="124"/>
      <x:c r="H1831" s="124"/>
      <x:c r="I1831" s="124"/>
      <x:c r="J1831" s="124"/>
      <x:c r="M1831" s="126"/>
      <x:c r="P1831" s="126"/>
      <x:c r="Q1831" s="126"/>
      <x:c r="R1831" s="126"/>
      <x:c r="S1831" s="124"/>
      <x:c r="T1831" s="124"/>
      <x:c r="U1831" s="124"/>
      <x:c r="V1831" s="124"/>
      <x:c r="W1831" s="124"/>
      <x:c r="X1831" s="124"/>
      <x:c r="AD1831"/>
      <x:c r="AE1831" s="145"/>
      <x:c r="AF1831" s="145"/>
      <x:c r="AG1831" s="145"/>
      <x:c r="AH1831" s="145"/>
      <x:c r="AI1831" s="145"/>
      <x:c r="AJ1831"/>
    </x:row>
    <x:row r="1832">
      <x:c r="F1832" s="124"/>
      <x:c r="G1832" s="124"/>
      <x:c r="H1832" s="124"/>
      <x:c r="I1832" s="124"/>
      <x:c r="J1832" s="124"/>
      <x:c r="M1832" s="126"/>
      <x:c r="P1832" s="126"/>
      <x:c r="Q1832" s="126"/>
      <x:c r="R1832" s="126"/>
      <x:c r="S1832" s="124"/>
      <x:c r="T1832" s="124"/>
      <x:c r="U1832" s="124"/>
      <x:c r="V1832" s="124"/>
      <x:c r="W1832" s="124"/>
      <x:c r="X1832" s="124"/>
      <x:c r="AD1832"/>
      <x:c r="AE1832" s="145"/>
      <x:c r="AF1832" s="145"/>
      <x:c r="AG1832" s="145"/>
      <x:c r="AH1832" s="145"/>
      <x:c r="AI1832" s="145"/>
      <x:c r="AJ1832"/>
    </x:row>
    <x:row r="1833">
      <x:c r="F1833" s="124"/>
      <x:c r="G1833" s="124"/>
      <x:c r="H1833" s="124"/>
      <x:c r="I1833" s="124"/>
      <x:c r="J1833" s="124"/>
      <x:c r="M1833" s="126"/>
      <x:c r="P1833" s="126"/>
      <x:c r="Q1833" s="126"/>
      <x:c r="R1833" s="126"/>
      <x:c r="S1833" s="124"/>
      <x:c r="T1833" s="124"/>
      <x:c r="U1833" s="124"/>
      <x:c r="V1833" s="124"/>
      <x:c r="W1833" s="124"/>
      <x:c r="X1833" s="124"/>
      <x:c r="AD1833"/>
      <x:c r="AE1833" s="145"/>
      <x:c r="AF1833" s="145"/>
      <x:c r="AG1833" s="145"/>
      <x:c r="AH1833" s="145"/>
      <x:c r="AI1833" s="145"/>
      <x:c r="AJ1833"/>
    </x:row>
    <x:row r="1834">
      <x:c r="F1834" s="124"/>
      <x:c r="G1834" s="124"/>
      <x:c r="H1834" s="124"/>
      <x:c r="I1834" s="124"/>
      <x:c r="J1834" s="124"/>
      <x:c r="M1834" s="126"/>
      <x:c r="P1834" s="126"/>
      <x:c r="Q1834" s="126"/>
      <x:c r="R1834" s="126"/>
      <x:c r="S1834" s="124"/>
      <x:c r="T1834" s="124"/>
      <x:c r="U1834" s="124"/>
      <x:c r="V1834" s="124"/>
      <x:c r="W1834" s="124"/>
      <x:c r="X1834" s="124"/>
      <x:c r="AD1834"/>
      <x:c r="AE1834" s="145"/>
      <x:c r="AF1834" s="145"/>
      <x:c r="AG1834" s="145"/>
      <x:c r="AH1834" s="145"/>
      <x:c r="AI1834" s="145"/>
      <x:c r="AJ1834"/>
    </x:row>
    <x:row r="1835">
      <x:c r="F1835" s="124"/>
      <x:c r="G1835" s="124"/>
      <x:c r="H1835" s="124"/>
      <x:c r="I1835" s="124"/>
      <x:c r="J1835" s="124"/>
      <x:c r="M1835" s="126"/>
      <x:c r="P1835" s="126"/>
      <x:c r="Q1835" s="126"/>
      <x:c r="R1835" s="126"/>
      <x:c r="S1835" s="124"/>
      <x:c r="T1835" s="124"/>
      <x:c r="U1835" s="124"/>
      <x:c r="V1835" s="124"/>
      <x:c r="W1835" s="124"/>
      <x:c r="X1835" s="124"/>
      <x:c r="AD1835"/>
      <x:c r="AE1835" s="145"/>
      <x:c r="AF1835" s="145"/>
      <x:c r="AG1835" s="145"/>
      <x:c r="AH1835" s="145"/>
      <x:c r="AI1835" s="145"/>
      <x:c r="AJ1835"/>
    </x:row>
    <x:row r="1836">
      <x:c r="F1836" s="124"/>
      <x:c r="G1836" s="124"/>
      <x:c r="H1836" s="124"/>
      <x:c r="I1836" s="124"/>
      <x:c r="J1836" s="124"/>
      <x:c r="M1836" s="126"/>
      <x:c r="P1836" s="126"/>
      <x:c r="Q1836" s="126"/>
      <x:c r="R1836" s="126"/>
      <x:c r="S1836" s="124"/>
      <x:c r="T1836" s="124"/>
      <x:c r="U1836" s="124"/>
      <x:c r="V1836" s="124"/>
      <x:c r="W1836" s="124"/>
      <x:c r="X1836" s="124"/>
      <x:c r="AD1836"/>
      <x:c r="AE1836" s="145"/>
      <x:c r="AF1836" s="145"/>
      <x:c r="AG1836" s="145"/>
      <x:c r="AH1836" s="145"/>
      <x:c r="AI1836" s="145"/>
      <x:c r="AJ1836"/>
    </x:row>
    <x:row r="1837">
      <x:c r="F1837" s="124"/>
      <x:c r="G1837" s="124"/>
      <x:c r="H1837" s="124"/>
      <x:c r="I1837" s="124"/>
      <x:c r="J1837" s="124"/>
      <x:c r="M1837" s="126"/>
      <x:c r="P1837" s="126"/>
      <x:c r="Q1837" s="126"/>
      <x:c r="R1837" s="126"/>
      <x:c r="S1837" s="124"/>
      <x:c r="T1837" s="124"/>
      <x:c r="U1837" s="124"/>
      <x:c r="V1837" s="124"/>
      <x:c r="W1837" s="124"/>
      <x:c r="X1837" s="124"/>
      <x:c r="AD1837"/>
      <x:c r="AE1837" s="145"/>
      <x:c r="AF1837" s="145"/>
      <x:c r="AG1837" s="145"/>
      <x:c r="AH1837" s="145"/>
      <x:c r="AI1837" s="145"/>
      <x:c r="AJ1837"/>
    </x:row>
    <x:row r="1838">
      <x:c r="F1838" s="124"/>
      <x:c r="G1838" s="124"/>
      <x:c r="H1838" s="124"/>
      <x:c r="I1838" s="124"/>
      <x:c r="J1838" s="124"/>
      <x:c r="M1838" s="126"/>
      <x:c r="P1838" s="126"/>
      <x:c r="Q1838" s="126"/>
      <x:c r="R1838" s="126"/>
      <x:c r="S1838" s="124"/>
      <x:c r="T1838" s="124"/>
      <x:c r="U1838" s="124"/>
      <x:c r="V1838" s="124"/>
      <x:c r="W1838" s="124"/>
      <x:c r="X1838" s="124"/>
      <x:c r="AD1838"/>
      <x:c r="AE1838" s="145"/>
      <x:c r="AF1838" s="145"/>
      <x:c r="AG1838" s="145"/>
      <x:c r="AH1838" s="145"/>
      <x:c r="AI1838" s="145"/>
      <x:c r="AJ1838"/>
    </x:row>
    <x:row r="1839">
      <x:c r="F1839" s="124"/>
      <x:c r="G1839" s="124"/>
      <x:c r="H1839" s="124"/>
      <x:c r="I1839" s="124"/>
      <x:c r="J1839" s="124"/>
      <x:c r="M1839" s="126"/>
      <x:c r="P1839" s="126"/>
      <x:c r="Q1839" s="126"/>
      <x:c r="R1839" s="126"/>
      <x:c r="S1839" s="124"/>
      <x:c r="T1839" s="124"/>
      <x:c r="U1839" s="124"/>
      <x:c r="V1839" s="124"/>
      <x:c r="W1839" s="124"/>
      <x:c r="X1839" s="124"/>
      <x:c r="AD1839"/>
      <x:c r="AE1839" s="145"/>
      <x:c r="AF1839" s="145"/>
      <x:c r="AG1839" s="145"/>
      <x:c r="AH1839" s="145"/>
      <x:c r="AI1839" s="145"/>
      <x:c r="AJ1839"/>
    </x:row>
    <x:row r="1840">
      <x:c r="F1840" s="124"/>
      <x:c r="G1840" s="124"/>
      <x:c r="H1840" s="124"/>
      <x:c r="I1840" s="124"/>
      <x:c r="J1840" s="124"/>
      <x:c r="M1840" s="126"/>
      <x:c r="P1840" s="126"/>
      <x:c r="Q1840" s="126"/>
      <x:c r="R1840" s="126"/>
      <x:c r="S1840" s="124"/>
      <x:c r="T1840" s="124"/>
      <x:c r="U1840" s="124"/>
      <x:c r="V1840" s="124"/>
      <x:c r="W1840" s="124"/>
      <x:c r="X1840" s="124"/>
      <x:c r="AD1840"/>
      <x:c r="AE1840" s="145"/>
      <x:c r="AF1840" s="145"/>
      <x:c r="AG1840" s="145"/>
      <x:c r="AH1840" s="145"/>
      <x:c r="AI1840" s="145"/>
      <x:c r="AJ1840"/>
    </x:row>
    <x:row r="1841">
      <x:c r="F1841" s="124"/>
      <x:c r="G1841" s="124"/>
      <x:c r="H1841" s="124"/>
      <x:c r="I1841" s="124"/>
      <x:c r="J1841" s="124"/>
      <x:c r="M1841" s="126"/>
      <x:c r="P1841" s="126"/>
      <x:c r="Q1841" s="126"/>
      <x:c r="R1841" s="126"/>
      <x:c r="S1841" s="124"/>
      <x:c r="T1841" s="124"/>
      <x:c r="U1841" s="124"/>
      <x:c r="V1841" s="124"/>
      <x:c r="W1841" s="124"/>
      <x:c r="X1841" s="124"/>
      <x:c r="AD1841"/>
      <x:c r="AE1841" s="145"/>
      <x:c r="AF1841" s="145"/>
      <x:c r="AG1841" s="145"/>
      <x:c r="AH1841" s="145"/>
      <x:c r="AI1841" s="145"/>
      <x:c r="AJ1841"/>
    </x:row>
    <x:row r="1842">
      <x:c r="F1842" s="124"/>
      <x:c r="G1842" s="124"/>
      <x:c r="H1842" s="124"/>
      <x:c r="I1842" s="124"/>
      <x:c r="J1842" s="124"/>
      <x:c r="M1842" s="126"/>
      <x:c r="P1842" s="126"/>
      <x:c r="Q1842" s="126"/>
      <x:c r="R1842" s="126"/>
      <x:c r="S1842" s="124"/>
      <x:c r="T1842" s="124"/>
      <x:c r="U1842" s="124"/>
      <x:c r="V1842" s="124"/>
      <x:c r="W1842" s="124"/>
      <x:c r="X1842" s="124"/>
      <x:c r="AD1842"/>
      <x:c r="AE1842" s="145"/>
      <x:c r="AF1842" s="145"/>
      <x:c r="AG1842" s="145"/>
      <x:c r="AH1842" s="145"/>
      <x:c r="AI1842" s="145"/>
      <x:c r="AJ1842"/>
    </x:row>
    <x:row r="1843">
      <x:c r="F1843" s="124"/>
      <x:c r="G1843" s="124"/>
      <x:c r="H1843" s="124"/>
      <x:c r="I1843" s="124"/>
      <x:c r="J1843" s="124"/>
      <x:c r="M1843" s="126"/>
      <x:c r="P1843" s="126"/>
      <x:c r="Q1843" s="126"/>
      <x:c r="R1843" s="126"/>
      <x:c r="S1843" s="124"/>
      <x:c r="T1843" s="124"/>
      <x:c r="U1843" s="124"/>
      <x:c r="V1843" s="124"/>
      <x:c r="W1843" s="124"/>
      <x:c r="X1843" s="124"/>
      <x:c r="AD1843"/>
      <x:c r="AE1843" s="145"/>
      <x:c r="AF1843" s="145"/>
      <x:c r="AG1843" s="145"/>
      <x:c r="AH1843" s="145"/>
      <x:c r="AI1843" s="145"/>
      <x:c r="AJ1843"/>
    </x:row>
    <x:row r="1844">
      <x:c r="F1844" s="124"/>
      <x:c r="G1844" s="124"/>
      <x:c r="H1844" s="124"/>
      <x:c r="I1844" s="124"/>
      <x:c r="J1844" s="124"/>
      <x:c r="M1844" s="126"/>
      <x:c r="P1844" s="126"/>
      <x:c r="Q1844" s="126"/>
      <x:c r="R1844" s="126"/>
      <x:c r="S1844" s="124"/>
      <x:c r="T1844" s="124"/>
      <x:c r="U1844" s="124"/>
      <x:c r="V1844" s="124"/>
      <x:c r="W1844" s="124"/>
      <x:c r="X1844" s="124"/>
      <x:c r="AD1844"/>
      <x:c r="AE1844" s="145"/>
      <x:c r="AF1844" s="145"/>
      <x:c r="AG1844" s="145"/>
      <x:c r="AH1844" s="145"/>
      <x:c r="AI1844" s="145"/>
      <x:c r="AJ1844"/>
    </x:row>
    <x:row r="1845">
      <x:c r="F1845" s="124"/>
      <x:c r="G1845" s="124"/>
      <x:c r="H1845" s="124"/>
      <x:c r="I1845" s="124"/>
      <x:c r="J1845" s="124"/>
      <x:c r="M1845" s="126"/>
      <x:c r="P1845" s="126"/>
      <x:c r="Q1845" s="126"/>
      <x:c r="R1845" s="126"/>
      <x:c r="S1845" s="124"/>
      <x:c r="T1845" s="124"/>
      <x:c r="U1845" s="124"/>
      <x:c r="V1845" s="124"/>
      <x:c r="W1845" s="124"/>
      <x:c r="X1845" s="124"/>
      <x:c r="AD1845"/>
      <x:c r="AE1845" s="145"/>
      <x:c r="AF1845" s="145"/>
      <x:c r="AG1845" s="145"/>
      <x:c r="AH1845" s="145"/>
      <x:c r="AI1845" s="145"/>
      <x:c r="AJ1845"/>
    </x:row>
    <x:row r="1846">
      <x:c r="F1846" s="124"/>
      <x:c r="G1846" s="124"/>
      <x:c r="H1846" s="124"/>
      <x:c r="I1846" s="124"/>
      <x:c r="J1846" s="124"/>
      <x:c r="M1846" s="126"/>
      <x:c r="P1846" s="126"/>
      <x:c r="Q1846" s="126"/>
      <x:c r="R1846" s="126"/>
      <x:c r="S1846" s="124"/>
      <x:c r="T1846" s="124"/>
      <x:c r="U1846" s="124"/>
      <x:c r="V1846" s="124"/>
      <x:c r="W1846" s="124"/>
      <x:c r="X1846" s="124"/>
      <x:c r="AD1846"/>
      <x:c r="AE1846" s="145"/>
      <x:c r="AF1846" s="145"/>
      <x:c r="AG1846" s="145"/>
      <x:c r="AH1846" s="145"/>
      <x:c r="AI1846" s="145"/>
      <x:c r="AJ1846"/>
    </x:row>
    <x:row r="1847">
      <x:c r="F1847" s="124"/>
      <x:c r="G1847" s="124"/>
      <x:c r="H1847" s="124"/>
      <x:c r="I1847" s="124"/>
      <x:c r="J1847" s="124"/>
      <x:c r="M1847" s="126"/>
      <x:c r="P1847" s="126"/>
      <x:c r="Q1847" s="126"/>
      <x:c r="R1847" s="126"/>
      <x:c r="S1847" s="124"/>
      <x:c r="T1847" s="124"/>
      <x:c r="U1847" s="124"/>
      <x:c r="V1847" s="124"/>
      <x:c r="W1847" s="124"/>
      <x:c r="X1847" s="124"/>
      <x:c r="AD1847"/>
      <x:c r="AE1847" s="145"/>
      <x:c r="AF1847" s="145"/>
      <x:c r="AG1847" s="145"/>
      <x:c r="AH1847" s="145"/>
      <x:c r="AI1847" s="145"/>
      <x:c r="AJ1847"/>
    </x:row>
    <x:row r="1848">
      <x:c r="F1848" s="124"/>
      <x:c r="G1848" s="124"/>
      <x:c r="H1848" s="124"/>
      <x:c r="I1848" s="124"/>
      <x:c r="J1848" s="124"/>
      <x:c r="M1848" s="126"/>
      <x:c r="P1848" s="126"/>
      <x:c r="Q1848" s="126"/>
      <x:c r="R1848" s="126"/>
      <x:c r="S1848" s="124"/>
      <x:c r="T1848" s="124"/>
      <x:c r="U1848" s="124"/>
      <x:c r="V1848" s="124"/>
      <x:c r="W1848" s="124"/>
      <x:c r="X1848" s="124"/>
      <x:c r="AD1848"/>
      <x:c r="AE1848" s="145"/>
      <x:c r="AF1848" s="145"/>
      <x:c r="AG1848" s="145"/>
      <x:c r="AH1848" s="145"/>
      <x:c r="AI1848" s="145"/>
      <x:c r="AJ1848"/>
    </x:row>
    <x:row r="1849">
      <x:c r="F1849" s="124"/>
      <x:c r="G1849" s="124"/>
      <x:c r="H1849" s="124"/>
      <x:c r="I1849" s="124"/>
      <x:c r="J1849" s="124"/>
      <x:c r="M1849" s="126"/>
      <x:c r="P1849" s="126"/>
      <x:c r="Q1849" s="126"/>
      <x:c r="R1849" s="126"/>
      <x:c r="S1849" s="124"/>
      <x:c r="T1849" s="124"/>
      <x:c r="U1849" s="124"/>
      <x:c r="V1849" s="124"/>
      <x:c r="W1849" s="124"/>
      <x:c r="X1849" s="124"/>
      <x:c r="AD1849"/>
      <x:c r="AE1849" s="145"/>
      <x:c r="AF1849" s="145"/>
      <x:c r="AG1849" s="145"/>
      <x:c r="AH1849" s="145"/>
      <x:c r="AI1849" s="145"/>
      <x:c r="AJ1849"/>
    </x:row>
    <x:row r="1850">
      <x:c r="F1850" s="124"/>
      <x:c r="G1850" s="124"/>
      <x:c r="H1850" s="124"/>
      <x:c r="I1850" s="124"/>
      <x:c r="J1850" s="124"/>
      <x:c r="M1850" s="126"/>
      <x:c r="P1850" s="126"/>
      <x:c r="Q1850" s="126"/>
      <x:c r="R1850" s="126"/>
      <x:c r="S1850" s="124"/>
      <x:c r="T1850" s="124"/>
      <x:c r="U1850" s="124"/>
      <x:c r="V1850" s="124"/>
      <x:c r="W1850" s="124"/>
      <x:c r="X1850" s="124"/>
      <x:c r="AD1850"/>
      <x:c r="AE1850" s="145"/>
      <x:c r="AF1850" s="145"/>
      <x:c r="AG1850" s="145"/>
      <x:c r="AH1850" s="145"/>
      <x:c r="AI1850" s="145"/>
      <x:c r="AJ1850"/>
    </x:row>
    <x:row r="1851">
      <x:c r="F1851" s="124"/>
      <x:c r="G1851" s="124"/>
      <x:c r="H1851" s="124"/>
      <x:c r="I1851" s="124"/>
      <x:c r="J1851" s="124"/>
      <x:c r="M1851" s="126"/>
      <x:c r="P1851" s="126"/>
      <x:c r="Q1851" s="126"/>
      <x:c r="R1851" s="126"/>
      <x:c r="S1851" s="124"/>
      <x:c r="T1851" s="124"/>
      <x:c r="U1851" s="124"/>
      <x:c r="V1851" s="124"/>
      <x:c r="W1851" s="124"/>
      <x:c r="X1851" s="124"/>
      <x:c r="AD1851"/>
      <x:c r="AE1851" s="145"/>
      <x:c r="AF1851" s="145"/>
      <x:c r="AG1851" s="145"/>
      <x:c r="AH1851" s="145"/>
      <x:c r="AI1851" s="145"/>
      <x:c r="AJ1851"/>
    </x:row>
    <x:row r="1852">
      <x:c r="F1852" s="124"/>
      <x:c r="G1852" s="124"/>
      <x:c r="H1852" s="124"/>
      <x:c r="I1852" s="124"/>
      <x:c r="J1852" s="124"/>
      <x:c r="M1852" s="126"/>
      <x:c r="P1852" s="126"/>
      <x:c r="Q1852" s="126"/>
      <x:c r="R1852" s="126"/>
      <x:c r="S1852" s="124"/>
      <x:c r="T1852" s="124"/>
      <x:c r="U1852" s="124"/>
      <x:c r="V1852" s="124"/>
      <x:c r="W1852" s="124"/>
      <x:c r="X1852" s="124"/>
      <x:c r="AD1852"/>
      <x:c r="AE1852" s="145"/>
      <x:c r="AF1852" s="145"/>
      <x:c r="AG1852" s="145"/>
      <x:c r="AH1852" s="145"/>
      <x:c r="AI1852" s="145"/>
      <x:c r="AJ1852"/>
    </x:row>
    <x:row r="1853">
      <x:c r="F1853" s="124"/>
      <x:c r="G1853" s="124"/>
      <x:c r="H1853" s="124"/>
      <x:c r="I1853" s="124"/>
      <x:c r="J1853" s="124"/>
      <x:c r="M1853" s="126"/>
      <x:c r="P1853" s="126"/>
      <x:c r="Q1853" s="126"/>
      <x:c r="R1853" s="126"/>
      <x:c r="S1853" s="124"/>
      <x:c r="T1853" s="124"/>
      <x:c r="U1853" s="124"/>
      <x:c r="V1853" s="124"/>
      <x:c r="W1853" s="124"/>
      <x:c r="X1853" s="124"/>
      <x:c r="AD1853"/>
      <x:c r="AE1853" s="145"/>
      <x:c r="AF1853" s="145"/>
      <x:c r="AG1853" s="145"/>
      <x:c r="AH1853" s="145"/>
      <x:c r="AI1853" s="145"/>
      <x:c r="AJ1853"/>
    </x:row>
    <x:row r="1854">
      <x:c r="F1854" s="124"/>
      <x:c r="G1854" s="124"/>
      <x:c r="H1854" s="124"/>
      <x:c r="I1854" s="124"/>
      <x:c r="J1854" s="124"/>
      <x:c r="M1854" s="126"/>
      <x:c r="P1854" s="126"/>
      <x:c r="Q1854" s="126"/>
      <x:c r="R1854" s="126"/>
      <x:c r="S1854" s="124"/>
      <x:c r="T1854" s="124"/>
      <x:c r="U1854" s="124"/>
      <x:c r="V1854" s="124"/>
      <x:c r="W1854" s="124"/>
      <x:c r="X1854" s="124"/>
      <x:c r="AD1854"/>
      <x:c r="AE1854" s="145"/>
      <x:c r="AF1854" s="145"/>
      <x:c r="AG1854" s="145"/>
      <x:c r="AH1854" s="145"/>
      <x:c r="AI1854" s="145"/>
      <x:c r="AJ1854"/>
    </x:row>
    <x:row r="1855">
      <x:c r="F1855" s="124"/>
      <x:c r="G1855" s="124"/>
      <x:c r="H1855" s="124"/>
      <x:c r="I1855" s="124"/>
      <x:c r="J1855" s="124"/>
      <x:c r="M1855" s="126"/>
      <x:c r="P1855" s="126"/>
      <x:c r="Q1855" s="126"/>
      <x:c r="R1855" s="126"/>
      <x:c r="S1855" s="124"/>
      <x:c r="T1855" s="124"/>
      <x:c r="U1855" s="124"/>
      <x:c r="V1855" s="124"/>
      <x:c r="W1855" s="124"/>
      <x:c r="X1855" s="124"/>
      <x:c r="AD1855"/>
      <x:c r="AE1855" s="145"/>
      <x:c r="AF1855" s="145"/>
      <x:c r="AG1855" s="145"/>
      <x:c r="AH1855" s="145"/>
      <x:c r="AI1855" s="145"/>
      <x:c r="AJ1855"/>
    </x:row>
    <x:row r="1856">
      <x:c r="F1856" s="124"/>
      <x:c r="G1856" s="124"/>
      <x:c r="H1856" s="124"/>
      <x:c r="I1856" s="124"/>
      <x:c r="J1856" s="124"/>
      <x:c r="M1856" s="126"/>
      <x:c r="P1856" s="126"/>
      <x:c r="Q1856" s="126"/>
      <x:c r="R1856" s="126"/>
      <x:c r="S1856" s="124"/>
      <x:c r="T1856" s="124"/>
      <x:c r="U1856" s="124"/>
      <x:c r="V1856" s="124"/>
      <x:c r="W1856" s="124"/>
      <x:c r="X1856" s="124"/>
      <x:c r="AD1856"/>
      <x:c r="AE1856" s="145"/>
      <x:c r="AF1856" s="145"/>
      <x:c r="AG1856" s="145"/>
      <x:c r="AH1856" s="145"/>
      <x:c r="AI1856" s="145"/>
      <x:c r="AJ1856"/>
    </x:row>
    <x:row r="1857">
      <x:c r="F1857" s="124"/>
      <x:c r="G1857" s="124"/>
      <x:c r="H1857" s="124"/>
      <x:c r="I1857" s="124"/>
      <x:c r="J1857" s="124"/>
      <x:c r="M1857" s="126"/>
      <x:c r="P1857" s="126"/>
      <x:c r="Q1857" s="126"/>
      <x:c r="R1857" s="126"/>
      <x:c r="S1857" s="124"/>
      <x:c r="T1857" s="124"/>
      <x:c r="U1857" s="124"/>
      <x:c r="V1857" s="124"/>
      <x:c r="W1857" s="124"/>
      <x:c r="X1857" s="124"/>
      <x:c r="AD1857"/>
      <x:c r="AE1857" s="145"/>
      <x:c r="AF1857" s="145"/>
      <x:c r="AG1857" s="145"/>
      <x:c r="AH1857" s="145"/>
      <x:c r="AI1857" s="145"/>
      <x:c r="AJ1857"/>
    </x:row>
    <x:row r="1858">
      <x:c r="F1858" s="124"/>
      <x:c r="G1858" s="124"/>
      <x:c r="H1858" s="124"/>
      <x:c r="I1858" s="124"/>
      <x:c r="J1858" s="124"/>
      <x:c r="M1858" s="126"/>
      <x:c r="P1858" s="126"/>
      <x:c r="Q1858" s="126"/>
      <x:c r="R1858" s="126"/>
      <x:c r="S1858" s="124"/>
      <x:c r="T1858" s="124"/>
      <x:c r="U1858" s="124"/>
      <x:c r="V1858" s="124"/>
      <x:c r="W1858" s="124"/>
      <x:c r="X1858" s="124"/>
      <x:c r="AD1858"/>
      <x:c r="AE1858" s="145"/>
      <x:c r="AF1858" s="145"/>
      <x:c r="AG1858" s="145"/>
      <x:c r="AH1858" s="145"/>
      <x:c r="AI1858" s="145"/>
      <x:c r="AJ1858"/>
    </x:row>
    <x:row r="1859">
      <x:c r="F1859" s="124"/>
      <x:c r="G1859" s="124"/>
      <x:c r="H1859" s="124"/>
      <x:c r="I1859" s="124"/>
      <x:c r="J1859" s="124"/>
      <x:c r="M1859" s="126"/>
      <x:c r="P1859" s="126"/>
      <x:c r="Q1859" s="126"/>
      <x:c r="R1859" s="126"/>
      <x:c r="S1859" s="124"/>
      <x:c r="T1859" s="124"/>
      <x:c r="U1859" s="124"/>
      <x:c r="V1859" s="124"/>
      <x:c r="W1859" s="124"/>
      <x:c r="X1859" s="124"/>
      <x:c r="AD1859"/>
      <x:c r="AE1859" s="145"/>
      <x:c r="AF1859" s="145"/>
      <x:c r="AG1859" s="145"/>
      <x:c r="AH1859" s="145"/>
      <x:c r="AI1859" s="145"/>
      <x:c r="AJ1859"/>
    </x:row>
    <x:row r="1860">
      <x:c r="F1860" s="124"/>
      <x:c r="G1860" s="124"/>
      <x:c r="H1860" s="124"/>
      <x:c r="I1860" s="124"/>
      <x:c r="J1860" s="124"/>
      <x:c r="M1860" s="126"/>
      <x:c r="P1860" s="126"/>
      <x:c r="Q1860" s="126"/>
      <x:c r="R1860" s="126"/>
      <x:c r="S1860" s="124"/>
      <x:c r="T1860" s="124"/>
      <x:c r="U1860" s="124"/>
      <x:c r="V1860" s="124"/>
      <x:c r="W1860" s="124"/>
      <x:c r="X1860" s="124"/>
      <x:c r="AD1860"/>
      <x:c r="AE1860" s="145"/>
      <x:c r="AF1860" s="145"/>
      <x:c r="AG1860" s="145"/>
      <x:c r="AH1860" s="145"/>
      <x:c r="AI1860" s="145"/>
      <x:c r="AJ1860"/>
    </x:row>
    <x:row r="1861">
      <x:c r="F1861" s="124"/>
      <x:c r="G1861" s="124"/>
      <x:c r="H1861" s="124"/>
      <x:c r="I1861" s="124"/>
      <x:c r="J1861" s="124"/>
      <x:c r="M1861" s="126"/>
      <x:c r="P1861" s="126"/>
      <x:c r="Q1861" s="126"/>
      <x:c r="R1861" s="126"/>
      <x:c r="S1861" s="124"/>
      <x:c r="T1861" s="124"/>
      <x:c r="U1861" s="124"/>
      <x:c r="V1861" s="124"/>
      <x:c r="W1861" s="124"/>
      <x:c r="X1861" s="124"/>
      <x:c r="AD1861"/>
      <x:c r="AE1861" s="145"/>
      <x:c r="AF1861" s="145"/>
      <x:c r="AG1861" s="145"/>
      <x:c r="AH1861" s="145"/>
      <x:c r="AI1861" s="145"/>
      <x:c r="AJ1861"/>
    </x:row>
    <x:row r="1862">
      <x:c r="F1862" s="124"/>
      <x:c r="G1862" s="124"/>
      <x:c r="H1862" s="124"/>
      <x:c r="I1862" s="124"/>
      <x:c r="J1862" s="124"/>
      <x:c r="M1862" s="126"/>
      <x:c r="P1862" s="126"/>
      <x:c r="Q1862" s="126"/>
      <x:c r="R1862" s="126"/>
      <x:c r="S1862" s="124"/>
      <x:c r="T1862" s="124"/>
      <x:c r="U1862" s="124"/>
      <x:c r="V1862" s="124"/>
      <x:c r="W1862" s="124"/>
      <x:c r="X1862" s="124"/>
      <x:c r="AD1862"/>
      <x:c r="AE1862" s="145"/>
      <x:c r="AF1862" s="145"/>
      <x:c r="AG1862" s="145"/>
      <x:c r="AH1862" s="145"/>
      <x:c r="AI1862" s="145"/>
      <x:c r="AJ1862"/>
    </x:row>
    <x:row r="1863">
      <x:c r="F1863" s="124"/>
      <x:c r="G1863" s="124"/>
      <x:c r="H1863" s="124"/>
      <x:c r="I1863" s="124"/>
      <x:c r="J1863" s="124"/>
      <x:c r="M1863" s="126"/>
      <x:c r="P1863" s="126"/>
      <x:c r="Q1863" s="126"/>
      <x:c r="R1863" s="126"/>
      <x:c r="S1863" s="124"/>
      <x:c r="T1863" s="124"/>
      <x:c r="U1863" s="124"/>
      <x:c r="V1863" s="124"/>
      <x:c r="W1863" s="124"/>
      <x:c r="X1863" s="124"/>
      <x:c r="AD1863"/>
      <x:c r="AE1863" s="145"/>
      <x:c r="AF1863" s="145"/>
      <x:c r="AG1863" s="145"/>
      <x:c r="AH1863" s="145"/>
      <x:c r="AI1863" s="145"/>
      <x:c r="AJ1863"/>
    </x:row>
    <x:row r="1864">
      <x:c r="F1864" s="124"/>
      <x:c r="G1864" s="124"/>
      <x:c r="H1864" s="124"/>
      <x:c r="I1864" s="124"/>
      <x:c r="J1864" s="124"/>
      <x:c r="M1864" s="126"/>
      <x:c r="P1864" s="126"/>
      <x:c r="Q1864" s="126"/>
      <x:c r="R1864" s="126"/>
      <x:c r="S1864" s="124"/>
      <x:c r="T1864" s="124"/>
      <x:c r="U1864" s="124"/>
      <x:c r="V1864" s="124"/>
      <x:c r="W1864" s="124"/>
      <x:c r="X1864" s="124"/>
      <x:c r="AD1864"/>
      <x:c r="AE1864" s="145"/>
      <x:c r="AF1864" s="145"/>
      <x:c r="AG1864" s="145"/>
      <x:c r="AH1864" s="145"/>
      <x:c r="AI1864" s="145"/>
      <x:c r="AJ1864"/>
    </x:row>
    <x:row r="1865">
      <x:c r="F1865" s="124"/>
      <x:c r="G1865" s="124"/>
      <x:c r="H1865" s="124"/>
      <x:c r="I1865" s="124"/>
      <x:c r="J1865" s="124"/>
      <x:c r="M1865" s="126"/>
      <x:c r="P1865" s="126"/>
      <x:c r="Q1865" s="126"/>
      <x:c r="R1865" s="126"/>
      <x:c r="S1865" s="124"/>
      <x:c r="T1865" s="124"/>
      <x:c r="U1865" s="124"/>
      <x:c r="V1865" s="124"/>
      <x:c r="W1865" s="124"/>
      <x:c r="X1865" s="124"/>
      <x:c r="AD1865"/>
      <x:c r="AE1865" s="145"/>
      <x:c r="AF1865" s="145"/>
      <x:c r="AG1865" s="145"/>
      <x:c r="AH1865" s="145"/>
      <x:c r="AI1865" s="145"/>
      <x:c r="AJ1865"/>
    </x:row>
    <x:row r="1866">
      <x:c r="F1866" s="124"/>
      <x:c r="G1866" s="124"/>
      <x:c r="H1866" s="124"/>
      <x:c r="I1866" s="124"/>
      <x:c r="J1866" s="124"/>
      <x:c r="M1866" s="126"/>
      <x:c r="P1866" s="126"/>
      <x:c r="Q1866" s="126"/>
      <x:c r="R1866" s="126"/>
      <x:c r="S1866" s="124"/>
      <x:c r="T1866" s="124"/>
      <x:c r="U1866" s="124"/>
      <x:c r="V1866" s="124"/>
      <x:c r="W1866" s="124"/>
      <x:c r="X1866" s="124"/>
      <x:c r="AD1866"/>
      <x:c r="AE1866" s="145"/>
      <x:c r="AF1866" s="145"/>
      <x:c r="AG1866" s="145"/>
      <x:c r="AH1866" s="145"/>
      <x:c r="AI1866" s="145"/>
      <x:c r="AJ1866"/>
    </x:row>
    <x:row r="1867">
      <x:c r="F1867" s="124"/>
      <x:c r="G1867" s="124"/>
      <x:c r="H1867" s="124"/>
      <x:c r="I1867" s="124"/>
      <x:c r="J1867" s="124"/>
      <x:c r="M1867" s="126"/>
      <x:c r="P1867" s="126"/>
      <x:c r="Q1867" s="126"/>
      <x:c r="R1867" s="126"/>
      <x:c r="S1867" s="124"/>
      <x:c r="T1867" s="124"/>
      <x:c r="U1867" s="124"/>
      <x:c r="V1867" s="124"/>
      <x:c r="W1867" s="124"/>
      <x:c r="X1867" s="124"/>
      <x:c r="AD1867"/>
      <x:c r="AE1867" s="145"/>
      <x:c r="AF1867" s="145"/>
      <x:c r="AG1867" s="145"/>
      <x:c r="AH1867" s="145"/>
      <x:c r="AI1867" s="145"/>
      <x:c r="AJ1867"/>
    </x:row>
    <x:row r="1868">
      <x:c r="F1868" s="124"/>
      <x:c r="G1868" s="124"/>
      <x:c r="H1868" s="124"/>
      <x:c r="I1868" s="124"/>
      <x:c r="J1868" s="124"/>
      <x:c r="M1868" s="126"/>
      <x:c r="P1868" s="126"/>
      <x:c r="Q1868" s="126"/>
      <x:c r="R1868" s="126"/>
      <x:c r="S1868" s="124"/>
      <x:c r="T1868" s="124"/>
      <x:c r="U1868" s="124"/>
      <x:c r="V1868" s="124"/>
      <x:c r="W1868" s="124"/>
      <x:c r="X1868" s="124"/>
      <x:c r="AD1868"/>
      <x:c r="AE1868" s="145"/>
      <x:c r="AF1868" s="145"/>
      <x:c r="AG1868" s="145"/>
      <x:c r="AH1868" s="145"/>
      <x:c r="AI1868" s="145"/>
      <x:c r="AJ1868"/>
    </x:row>
    <x:row r="1869">
      <x:c r="F1869" s="124"/>
      <x:c r="G1869" s="124"/>
      <x:c r="H1869" s="124"/>
      <x:c r="I1869" s="124"/>
      <x:c r="J1869" s="124"/>
      <x:c r="M1869" s="126"/>
      <x:c r="P1869" s="126"/>
      <x:c r="Q1869" s="126"/>
      <x:c r="R1869" s="126"/>
      <x:c r="S1869" s="124"/>
      <x:c r="T1869" s="124"/>
      <x:c r="U1869" s="124"/>
      <x:c r="V1869" s="124"/>
      <x:c r="W1869" s="124"/>
      <x:c r="X1869" s="124"/>
      <x:c r="AD1869"/>
      <x:c r="AE1869" s="145"/>
      <x:c r="AF1869" s="145"/>
      <x:c r="AG1869" s="145"/>
      <x:c r="AH1869" s="145"/>
      <x:c r="AI1869" s="145"/>
      <x:c r="AJ1869"/>
    </x:row>
    <x:row r="1870">
      <x:c r="F1870" s="124"/>
      <x:c r="G1870" s="124"/>
      <x:c r="H1870" s="124"/>
      <x:c r="I1870" s="124"/>
      <x:c r="J1870" s="124"/>
      <x:c r="M1870" s="126"/>
      <x:c r="P1870" s="126"/>
      <x:c r="Q1870" s="126"/>
      <x:c r="R1870" s="126"/>
      <x:c r="S1870" s="124"/>
      <x:c r="T1870" s="124"/>
      <x:c r="U1870" s="124"/>
      <x:c r="V1870" s="124"/>
      <x:c r="W1870" s="124"/>
      <x:c r="X1870" s="124"/>
      <x:c r="AD1870"/>
      <x:c r="AE1870" s="145"/>
      <x:c r="AF1870" s="145"/>
      <x:c r="AG1870" s="145"/>
      <x:c r="AH1870" s="145"/>
      <x:c r="AI1870" s="145"/>
      <x:c r="AJ1870"/>
    </x:row>
    <x:row r="1871">
      <x:c r="F1871" s="124"/>
      <x:c r="G1871" s="124"/>
      <x:c r="H1871" s="124"/>
      <x:c r="I1871" s="124"/>
      <x:c r="J1871" s="124"/>
      <x:c r="M1871" s="126"/>
      <x:c r="P1871" s="126"/>
      <x:c r="Q1871" s="126"/>
      <x:c r="R1871" s="126"/>
      <x:c r="S1871" s="124"/>
      <x:c r="T1871" s="124"/>
      <x:c r="U1871" s="124"/>
      <x:c r="V1871" s="124"/>
      <x:c r="W1871" s="124"/>
      <x:c r="X1871" s="124"/>
      <x:c r="AD1871"/>
      <x:c r="AE1871" s="145"/>
      <x:c r="AF1871" s="145"/>
      <x:c r="AG1871" s="145"/>
      <x:c r="AH1871" s="145"/>
      <x:c r="AI1871" s="145"/>
      <x:c r="AJ1871"/>
    </x:row>
    <x:row r="1872">
      <x:c r="F1872" s="124"/>
      <x:c r="G1872" s="124"/>
      <x:c r="H1872" s="124"/>
      <x:c r="I1872" s="124"/>
      <x:c r="J1872" s="124"/>
      <x:c r="M1872" s="126"/>
      <x:c r="P1872" s="126"/>
      <x:c r="Q1872" s="126"/>
      <x:c r="R1872" s="126"/>
      <x:c r="S1872" s="124"/>
      <x:c r="T1872" s="124"/>
      <x:c r="U1872" s="124"/>
      <x:c r="V1872" s="124"/>
      <x:c r="W1872" s="124"/>
      <x:c r="X1872" s="124"/>
      <x:c r="AD1872"/>
      <x:c r="AE1872" s="145"/>
      <x:c r="AF1872" s="145"/>
      <x:c r="AG1872" s="145"/>
      <x:c r="AH1872" s="145"/>
      <x:c r="AI1872" s="145"/>
      <x:c r="AJ1872"/>
    </x:row>
    <x:row r="1873">
      <x:c r="F1873" s="124"/>
      <x:c r="G1873" s="124"/>
      <x:c r="H1873" s="124"/>
      <x:c r="I1873" s="124"/>
      <x:c r="J1873" s="124"/>
      <x:c r="M1873" s="126"/>
      <x:c r="P1873" s="126"/>
      <x:c r="Q1873" s="126"/>
      <x:c r="R1873" s="126"/>
      <x:c r="S1873" s="124"/>
      <x:c r="T1873" s="124"/>
      <x:c r="U1873" s="124"/>
      <x:c r="V1873" s="124"/>
      <x:c r="W1873" s="124"/>
      <x:c r="X1873" s="124"/>
      <x:c r="AD1873"/>
      <x:c r="AE1873" s="145"/>
      <x:c r="AF1873" s="145"/>
      <x:c r="AG1873" s="145"/>
      <x:c r="AH1873" s="145"/>
      <x:c r="AI1873" s="145"/>
      <x:c r="AJ1873"/>
    </x:row>
    <x:row r="1874">
      <x:c r="F1874" s="124"/>
      <x:c r="G1874" s="124"/>
      <x:c r="H1874" s="124"/>
      <x:c r="I1874" s="124"/>
      <x:c r="J1874" s="124"/>
      <x:c r="M1874" s="126"/>
      <x:c r="P1874" s="126"/>
      <x:c r="Q1874" s="126"/>
      <x:c r="R1874" s="126"/>
      <x:c r="S1874" s="124"/>
      <x:c r="T1874" s="124"/>
      <x:c r="U1874" s="124"/>
      <x:c r="V1874" s="124"/>
      <x:c r="W1874" s="124"/>
      <x:c r="X1874" s="124"/>
      <x:c r="AD1874"/>
      <x:c r="AE1874" s="145"/>
      <x:c r="AF1874" s="145"/>
      <x:c r="AG1874" s="145"/>
      <x:c r="AH1874" s="145"/>
      <x:c r="AI1874" s="145"/>
      <x:c r="AJ1874"/>
    </x:row>
    <x:row r="1875">
      <x:c r="F1875" s="124"/>
      <x:c r="G1875" s="124"/>
      <x:c r="H1875" s="124"/>
      <x:c r="I1875" s="124"/>
      <x:c r="J1875" s="124"/>
      <x:c r="M1875" s="126"/>
      <x:c r="P1875" s="126"/>
      <x:c r="Q1875" s="126"/>
      <x:c r="R1875" s="126"/>
      <x:c r="S1875" s="124"/>
      <x:c r="T1875" s="124"/>
      <x:c r="U1875" s="124"/>
      <x:c r="V1875" s="124"/>
      <x:c r="W1875" s="124"/>
      <x:c r="X1875" s="124"/>
      <x:c r="AD1875"/>
      <x:c r="AE1875" s="145"/>
      <x:c r="AF1875" s="145"/>
      <x:c r="AG1875" s="145"/>
      <x:c r="AH1875" s="145"/>
      <x:c r="AI1875" s="145"/>
      <x:c r="AJ1875"/>
    </x:row>
    <x:row r="1876">
      <x:c r="F1876" s="124"/>
      <x:c r="G1876" s="124"/>
      <x:c r="H1876" s="124"/>
      <x:c r="I1876" s="124"/>
      <x:c r="J1876" s="124"/>
      <x:c r="M1876" s="126"/>
      <x:c r="P1876" s="126"/>
      <x:c r="Q1876" s="126"/>
      <x:c r="R1876" s="126"/>
      <x:c r="S1876" s="124"/>
      <x:c r="T1876" s="124"/>
      <x:c r="U1876" s="124"/>
      <x:c r="V1876" s="124"/>
      <x:c r="W1876" s="124"/>
      <x:c r="X1876" s="124"/>
      <x:c r="AD1876"/>
      <x:c r="AE1876" s="145"/>
      <x:c r="AF1876" s="145"/>
      <x:c r="AG1876" s="145"/>
      <x:c r="AH1876" s="145"/>
      <x:c r="AI1876" s="145"/>
      <x:c r="AJ1876"/>
    </x:row>
    <x:row r="1877">
      <x:c r="F1877" s="124"/>
      <x:c r="G1877" s="124"/>
      <x:c r="H1877" s="124"/>
      <x:c r="I1877" s="124"/>
      <x:c r="J1877" s="124"/>
      <x:c r="M1877" s="126"/>
      <x:c r="P1877" s="126"/>
      <x:c r="Q1877" s="126"/>
      <x:c r="R1877" s="126"/>
      <x:c r="S1877" s="124"/>
      <x:c r="T1877" s="124"/>
      <x:c r="U1877" s="124"/>
      <x:c r="V1877" s="124"/>
      <x:c r="W1877" s="124"/>
      <x:c r="X1877" s="124"/>
      <x:c r="AD1877"/>
      <x:c r="AE1877" s="145"/>
      <x:c r="AF1877" s="145"/>
      <x:c r="AG1877" s="145"/>
      <x:c r="AH1877" s="145"/>
      <x:c r="AI1877" s="145"/>
      <x:c r="AJ1877"/>
    </x:row>
    <x:row r="1878">
      <x:c r="F1878" s="124"/>
      <x:c r="G1878" s="124"/>
      <x:c r="H1878" s="124"/>
      <x:c r="I1878" s="124"/>
      <x:c r="J1878" s="124"/>
      <x:c r="M1878" s="126"/>
      <x:c r="P1878" s="126"/>
      <x:c r="Q1878" s="126"/>
      <x:c r="R1878" s="126"/>
      <x:c r="S1878" s="124"/>
      <x:c r="T1878" s="124"/>
      <x:c r="U1878" s="124"/>
      <x:c r="V1878" s="124"/>
      <x:c r="W1878" s="124"/>
      <x:c r="X1878" s="124"/>
      <x:c r="AD1878"/>
      <x:c r="AE1878" s="145"/>
      <x:c r="AF1878" s="145"/>
      <x:c r="AG1878" s="145"/>
      <x:c r="AH1878" s="145"/>
      <x:c r="AI1878" s="145"/>
      <x:c r="AJ1878"/>
    </x:row>
    <x:row r="1879">
      <x:c r="F1879" s="124"/>
      <x:c r="G1879" s="124"/>
      <x:c r="H1879" s="124"/>
      <x:c r="I1879" s="124"/>
      <x:c r="J1879" s="124"/>
      <x:c r="M1879" s="126"/>
      <x:c r="P1879" s="126"/>
      <x:c r="Q1879" s="126"/>
      <x:c r="R1879" s="126"/>
      <x:c r="S1879" s="124"/>
      <x:c r="T1879" s="124"/>
      <x:c r="U1879" s="124"/>
      <x:c r="V1879" s="124"/>
      <x:c r="W1879" s="124"/>
      <x:c r="X1879" s="124"/>
      <x:c r="AD1879"/>
      <x:c r="AE1879" s="145"/>
      <x:c r="AF1879" s="145"/>
      <x:c r="AG1879" s="145"/>
      <x:c r="AH1879" s="145"/>
      <x:c r="AI1879" s="145"/>
      <x:c r="AJ1879"/>
    </x:row>
    <x:row r="1880">
      <x:c r="F1880" s="124"/>
      <x:c r="G1880" s="124"/>
      <x:c r="H1880" s="124"/>
      <x:c r="I1880" s="124"/>
      <x:c r="J1880" s="124"/>
      <x:c r="M1880" s="126"/>
      <x:c r="P1880" s="126"/>
      <x:c r="Q1880" s="126"/>
      <x:c r="R1880" s="126"/>
      <x:c r="S1880" s="124"/>
      <x:c r="T1880" s="124"/>
      <x:c r="U1880" s="124"/>
      <x:c r="V1880" s="124"/>
      <x:c r="W1880" s="124"/>
      <x:c r="X1880" s="124"/>
      <x:c r="AD1880"/>
      <x:c r="AE1880" s="145"/>
      <x:c r="AF1880" s="145"/>
      <x:c r="AG1880" s="145"/>
      <x:c r="AH1880" s="145"/>
      <x:c r="AI1880" s="145"/>
      <x:c r="AJ1880"/>
    </x:row>
    <x:row r="1881">
      <x:c r="F1881" s="124"/>
      <x:c r="G1881" s="124"/>
      <x:c r="H1881" s="124"/>
      <x:c r="I1881" s="124"/>
      <x:c r="J1881" s="124"/>
      <x:c r="M1881" s="126"/>
      <x:c r="P1881" s="126"/>
      <x:c r="Q1881" s="126"/>
      <x:c r="R1881" s="126"/>
      <x:c r="S1881" s="124"/>
      <x:c r="T1881" s="124"/>
      <x:c r="U1881" s="124"/>
      <x:c r="V1881" s="124"/>
      <x:c r="W1881" s="124"/>
      <x:c r="X1881" s="124"/>
      <x:c r="AD1881"/>
      <x:c r="AE1881" s="145"/>
      <x:c r="AF1881" s="145"/>
      <x:c r="AG1881" s="145"/>
      <x:c r="AH1881" s="145"/>
      <x:c r="AI1881" s="145"/>
      <x:c r="AJ1881"/>
    </x:row>
    <x:row r="1882">
      <x:c r="F1882" s="124"/>
      <x:c r="G1882" s="124"/>
      <x:c r="H1882" s="124"/>
      <x:c r="I1882" s="124"/>
      <x:c r="J1882" s="124"/>
      <x:c r="M1882" s="126"/>
      <x:c r="P1882" s="126"/>
      <x:c r="Q1882" s="126"/>
      <x:c r="R1882" s="126"/>
      <x:c r="S1882" s="124"/>
      <x:c r="T1882" s="124"/>
      <x:c r="U1882" s="124"/>
      <x:c r="V1882" s="124"/>
      <x:c r="W1882" s="124"/>
      <x:c r="X1882" s="124"/>
      <x:c r="AD1882"/>
      <x:c r="AE1882" s="145"/>
      <x:c r="AF1882" s="145"/>
      <x:c r="AG1882" s="145"/>
      <x:c r="AH1882" s="145"/>
      <x:c r="AI1882" s="145"/>
      <x:c r="AJ1882"/>
    </x:row>
    <x:row r="1883">
      <x:c r="F1883" s="124"/>
      <x:c r="G1883" s="124"/>
      <x:c r="H1883" s="124"/>
      <x:c r="I1883" s="124"/>
      <x:c r="J1883" s="124"/>
      <x:c r="M1883" s="126"/>
      <x:c r="P1883" s="126"/>
      <x:c r="Q1883" s="126"/>
      <x:c r="R1883" s="126"/>
      <x:c r="S1883" s="124"/>
      <x:c r="T1883" s="124"/>
      <x:c r="U1883" s="124"/>
      <x:c r="V1883" s="124"/>
      <x:c r="W1883" s="124"/>
      <x:c r="X1883" s="124"/>
      <x:c r="AD1883"/>
      <x:c r="AE1883" s="145"/>
      <x:c r="AF1883" s="145"/>
      <x:c r="AG1883" s="145"/>
      <x:c r="AH1883" s="145"/>
      <x:c r="AI1883" s="145"/>
      <x:c r="AJ1883"/>
    </x:row>
    <x:row r="1884">
      <x:c r="F1884" s="124"/>
      <x:c r="G1884" s="124"/>
      <x:c r="H1884" s="124"/>
      <x:c r="I1884" s="124"/>
      <x:c r="J1884" s="124"/>
      <x:c r="M1884" s="126"/>
      <x:c r="P1884" s="126"/>
      <x:c r="Q1884" s="126"/>
      <x:c r="R1884" s="126"/>
      <x:c r="S1884" s="124"/>
      <x:c r="T1884" s="124"/>
      <x:c r="U1884" s="124"/>
      <x:c r="V1884" s="124"/>
      <x:c r="W1884" s="124"/>
      <x:c r="X1884" s="124"/>
      <x:c r="AD1884"/>
      <x:c r="AE1884" s="145"/>
      <x:c r="AF1884" s="145"/>
      <x:c r="AG1884" s="145"/>
      <x:c r="AH1884" s="145"/>
      <x:c r="AI1884" s="145"/>
      <x:c r="AJ1884"/>
    </x:row>
    <x:row r="1885">
      <x:c r="F1885" s="124"/>
      <x:c r="G1885" s="124"/>
      <x:c r="H1885" s="124"/>
      <x:c r="I1885" s="124"/>
      <x:c r="J1885" s="124"/>
      <x:c r="M1885" s="126"/>
      <x:c r="P1885" s="126"/>
      <x:c r="Q1885" s="126"/>
      <x:c r="R1885" s="126"/>
      <x:c r="S1885" s="124"/>
      <x:c r="T1885" s="124"/>
      <x:c r="U1885" s="124"/>
      <x:c r="V1885" s="124"/>
      <x:c r="W1885" s="124"/>
      <x:c r="X1885" s="124"/>
      <x:c r="AD1885"/>
      <x:c r="AE1885" s="145"/>
      <x:c r="AF1885" s="145"/>
      <x:c r="AG1885" s="145"/>
      <x:c r="AH1885" s="145"/>
      <x:c r="AI1885" s="145"/>
      <x:c r="AJ1885"/>
    </x:row>
    <x:row r="1886">
      <x:c r="F1886" s="124"/>
      <x:c r="G1886" s="124"/>
      <x:c r="H1886" s="124"/>
      <x:c r="I1886" s="124"/>
      <x:c r="J1886" s="124"/>
      <x:c r="M1886" s="126"/>
      <x:c r="P1886" s="126"/>
      <x:c r="Q1886" s="126"/>
      <x:c r="R1886" s="126"/>
      <x:c r="S1886" s="124"/>
      <x:c r="T1886" s="124"/>
      <x:c r="U1886" s="124"/>
      <x:c r="V1886" s="124"/>
      <x:c r="W1886" s="124"/>
      <x:c r="X1886" s="124"/>
      <x:c r="AD1886"/>
      <x:c r="AE1886" s="145"/>
      <x:c r="AF1886" s="145"/>
      <x:c r="AG1886" s="145"/>
      <x:c r="AH1886" s="145"/>
      <x:c r="AI1886" s="145"/>
      <x:c r="AJ1886"/>
    </x:row>
    <x:row r="1887">
      <x:c r="F1887" s="124"/>
      <x:c r="G1887" s="124"/>
      <x:c r="H1887" s="124"/>
      <x:c r="I1887" s="124"/>
      <x:c r="J1887" s="124"/>
      <x:c r="M1887" s="126"/>
      <x:c r="P1887" s="126"/>
      <x:c r="Q1887" s="126"/>
      <x:c r="R1887" s="126"/>
      <x:c r="S1887" s="124"/>
      <x:c r="T1887" s="124"/>
      <x:c r="U1887" s="124"/>
      <x:c r="V1887" s="124"/>
      <x:c r="W1887" s="124"/>
      <x:c r="X1887" s="124"/>
      <x:c r="AD1887"/>
      <x:c r="AE1887" s="145"/>
      <x:c r="AF1887" s="145"/>
      <x:c r="AG1887" s="145"/>
      <x:c r="AH1887" s="145"/>
      <x:c r="AI1887" s="145"/>
      <x:c r="AJ1887"/>
    </x:row>
    <x:row r="1888">
      <x:c r="F1888" s="124"/>
      <x:c r="G1888" s="124"/>
      <x:c r="H1888" s="124"/>
      <x:c r="I1888" s="124"/>
      <x:c r="J1888" s="124"/>
      <x:c r="M1888" s="126"/>
      <x:c r="P1888" s="126"/>
      <x:c r="Q1888" s="126"/>
      <x:c r="R1888" s="126"/>
      <x:c r="S1888" s="124"/>
      <x:c r="T1888" s="124"/>
      <x:c r="U1888" s="124"/>
      <x:c r="V1888" s="124"/>
      <x:c r="W1888" s="124"/>
      <x:c r="X1888" s="124"/>
      <x:c r="AD1888"/>
      <x:c r="AE1888" s="145"/>
      <x:c r="AF1888" s="145"/>
      <x:c r="AG1888" s="145"/>
      <x:c r="AH1888" s="145"/>
      <x:c r="AI1888" s="145"/>
      <x:c r="AJ1888"/>
    </x:row>
    <x:row r="1889">
      <x:c r="F1889" s="124"/>
      <x:c r="G1889" s="124"/>
      <x:c r="H1889" s="124"/>
      <x:c r="I1889" s="124"/>
      <x:c r="J1889" s="124"/>
      <x:c r="M1889" s="126"/>
      <x:c r="P1889" s="126"/>
      <x:c r="Q1889" s="126"/>
      <x:c r="R1889" s="126"/>
      <x:c r="S1889" s="124"/>
      <x:c r="T1889" s="124"/>
      <x:c r="U1889" s="124"/>
      <x:c r="V1889" s="124"/>
      <x:c r="W1889" s="124"/>
      <x:c r="X1889" s="124"/>
      <x:c r="AD1889"/>
      <x:c r="AE1889" s="145"/>
      <x:c r="AF1889" s="145"/>
      <x:c r="AG1889" s="145"/>
      <x:c r="AH1889" s="145"/>
      <x:c r="AI1889" s="145"/>
      <x:c r="AJ1889"/>
    </x:row>
    <x:row r="1890">
      <x:c r="F1890" s="124"/>
      <x:c r="G1890" s="124"/>
      <x:c r="H1890" s="124"/>
      <x:c r="I1890" s="124"/>
      <x:c r="J1890" s="124"/>
      <x:c r="M1890" s="126"/>
      <x:c r="P1890" s="126"/>
      <x:c r="Q1890" s="126"/>
      <x:c r="R1890" s="126"/>
      <x:c r="S1890" s="124"/>
      <x:c r="T1890" s="124"/>
      <x:c r="U1890" s="124"/>
      <x:c r="V1890" s="124"/>
      <x:c r="W1890" s="124"/>
      <x:c r="X1890" s="124"/>
      <x:c r="AD1890"/>
      <x:c r="AE1890" s="145"/>
      <x:c r="AF1890" s="145"/>
      <x:c r="AG1890" s="145"/>
      <x:c r="AH1890" s="145"/>
      <x:c r="AI1890" s="145"/>
      <x:c r="AJ1890"/>
    </x:row>
    <x:row r="1891">
      <x:c r="F1891" s="124"/>
      <x:c r="G1891" s="124"/>
      <x:c r="H1891" s="124"/>
      <x:c r="I1891" s="124"/>
      <x:c r="J1891" s="124"/>
      <x:c r="M1891" s="126"/>
      <x:c r="P1891" s="126"/>
      <x:c r="Q1891" s="126"/>
      <x:c r="R1891" s="126"/>
      <x:c r="S1891" s="124"/>
      <x:c r="T1891" s="124"/>
      <x:c r="U1891" s="124"/>
      <x:c r="V1891" s="124"/>
      <x:c r="W1891" s="124"/>
      <x:c r="X1891" s="124"/>
      <x:c r="AD1891"/>
      <x:c r="AE1891" s="145"/>
      <x:c r="AF1891" s="145"/>
      <x:c r="AG1891" s="145"/>
      <x:c r="AH1891" s="145"/>
      <x:c r="AI1891" s="145"/>
      <x:c r="AJ1891"/>
    </x:row>
    <x:row r="1892">
      <x:c r="F1892" s="124"/>
      <x:c r="G1892" s="124"/>
      <x:c r="H1892" s="124"/>
      <x:c r="I1892" s="124"/>
      <x:c r="J1892" s="124"/>
      <x:c r="M1892" s="126"/>
      <x:c r="P1892" s="126"/>
      <x:c r="Q1892" s="126"/>
      <x:c r="R1892" s="126"/>
      <x:c r="S1892" s="124"/>
      <x:c r="T1892" s="124"/>
      <x:c r="U1892" s="124"/>
      <x:c r="V1892" s="124"/>
      <x:c r="W1892" s="124"/>
      <x:c r="X1892" s="124"/>
      <x:c r="AD1892"/>
      <x:c r="AE1892" s="145"/>
      <x:c r="AF1892" s="145"/>
      <x:c r="AG1892" s="145"/>
      <x:c r="AH1892" s="145"/>
      <x:c r="AI1892" s="145"/>
      <x:c r="AJ1892"/>
    </x:row>
    <x:row r="1893">
      <x:c r="F1893" s="124"/>
      <x:c r="G1893" s="124"/>
      <x:c r="H1893" s="124"/>
      <x:c r="I1893" s="124"/>
      <x:c r="J1893" s="124"/>
      <x:c r="M1893" s="126"/>
      <x:c r="P1893" s="126"/>
      <x:c r="Q1893" s="126"/>
      <x:c r="R1893" s="126"/>
      <x:c r="S1893" s="124"/>
      <x:c r="T1893" s="124"/>
      <x:c r="U1893" s="124"/>
      <x:c r="V1893" s="124"/>
      <x:c r="W1893" s="124"/>
      <x:c r="X1893" s="124"/>
      <x:c r="AD1893"/>
      <x:c r="AE1893" s="145"/>
      <x:c r="AF1893" s="145"/>
      <x:c r="AG1893" s="145"/>
      <x:c r="AH1893" s="145"/>
      <x:c r="AI1893" s="145"/>
      <x:c r="AJ1893"/>
    </x:row>
    <x:row r="1894">
      <x:c r="F1894" s="124"/>
      <x:c r="G1894" s="124"/>
      <x:c r="H1894" s="124"/>
      <x:c r="I1894" s="124"/>
      <x:c r="J1894" s="124"/>
      <x:c r="M1894" s="126"/>
      <x:c r="P1894" s="126"/>
      <x:c r="Q1894" s="126"/>
      <x:c r="R1894" s="126"/>
      <x:c r="S1894" s="124"/>
      <x:c r="T1894" s="124"/>
      <x:c r="U1894" s="124"/>
      <x:c r="V1894" s="124"/>
      <x:c r="W1894" s="124"/>
      <x:c r="X1894" s="124"/>
      <x:c r="AD1894"/>
      <x:c r="AE1894" s="145"/>
      <x:c r="AF1894" s="145"/>
      <x:c r="AG1894" s="145"/>
      <x:c r="AH1894" s="145"/>
      <x:c r="AI1894" s="145"/>
      <x:c r="AJ1894"/>
    </x:row>
    <x:row r="1895">
      <x:c r="F1895" s="124"/>
      <x:c r="G1895" s="124"/>
      <x:c r="H1895" s="124"/>
      <x:c r="I1895" s="124"/>
      <x:c r="J1895" s="124"/>
      <x:c r="M1895" s="126"/>
      <x:c r="P1895" s="126"/>
      <x:c r="Q1895" s="126"/>
      <x:c r="R1895" s="126"/>
      <x:c r="S1895" s="124"/>
      <x:c r="T1895" s="124"/>
      <x:c r="U1895" s="124"/>
      <x:c r="V1895" s="124"/>
      <x:c r="W1895" s="124"/>
      <x:c r="X1895" s="124"/>
      <x:c r="AD1895"/>
      <x:c r="AE1895" s="145"/>
      <x:c r="AF1895" s="145"/>
      <x:c r="AG1895" s="145"/>
      <x:c r="AH1895" s="145"/>
      <x:c r="AI1895" s="145"/>
      <x:c r="AJ1895"/>
    </x:row>
    <x:row r="1896">
      <x:c r="F1896" s="124"/>
      <x:c r="G1896" s="124"/>
      <x:c r="H1896" s="124"/>
      <x:c r="I1896" s="124"/>
      <x:c r="J1896" s="124"/>
      <x:c r="M1896" s="126"/>
      <x:c r="P1896" s="126"/>
      <x:c r="Q1896" s="126"/>
      <x:c r="R1896" s="126"/>
      <x:c r="S1896" s="124"/>
      <x:c r="T1896" s="124"/>
      <x:c r="U1896" s="124"/>
      <x:c r="V1896" s="124"/>
      <x:c r="W1896" s="124"/>
      <x:c r="X1896" s="124"/>
      <x:c r="AD1896"/>
      <x:c r="AE1896" s="145"/>
      <x:c r="AF1896" s="145"/>
      <x:c r="AG1896" s="145"/>
      <x:c r="AH1896" s="145"/>
      <x:c r="AI1896" s="145"/>
      <x:c r="AJ1896"/>
    </x:row>
    <x:row r="1897">
      <x:c r="F1897" s="124"/>
      <x:c r="G1897" s="124"/>
      <x:c r="H1897" s="124"/>
      <x:c r="I1897" s="124"/>
      <x:c r="J1897" s="124"/>
      <x:c r="M1897" s="126"/>
      <x:c r="P1897" s="126"/>
      <x:c r="Q1897" s="126"/>
      <x:c r="R1897" s="126"/>
      <x:c r="S1897" s="124"/>
      <x:c r="T1897" s="124"/>
      <x:c r="U1897" s="124"/>
      <x:c r="V1897" s="124"/>
      <x:c r="W1897" s="124"/>
      <x:c r="X1897" s="124"/>
      <x:c r="AD1897"/>
      <x:c r="AE1897" s="145"/>
      <x:c r="AF1897" s="145"/>
      <x:c r="AG1897" s="145"/>
      <x:c r="AH1897" s="145"/>
      <x:c r="AI1897" s="145"/>
      <x:c r="AJ1897"/>
    </x:row>
    <x:row r="1898">
      <x:c r="F1898" s="124"/>
      <x:c r="G1898" s="124"/>
      <x:c r="H1898" s="124"/>
      <x:c r="I1898" s="124"/>
      <x:c r="J1898" s="124"/>
      <x:c r="M1898" s="126"/>
      <x:c r="P1898" s="126"/>
      <x:c r="Q1898" s="126"/>
      <x:c r="R1898" s="126"/>
      <x:c r="S1898" s="124"/>
      <x:c r="T1898" s="124"/>
      <x:c r="U1898" s="124"/>
      <x:c r="V1898" s="124"/>
      <x:c r="W1898" s="124"/>
      <x:c r="X1898" s="124"/>
      <x:c r="AD1898"/>
      <x:c r="AE1898" s="145"/>
      <x:c r="AF1898" s="145"/>
      <x:c r="AG1898" s="145"/>
      <x:c r="AH1898" s="145"/>
      <x:c r="AI1898" s="145"/>
      <x:c r="AJ1898"/>
    </x:row>
    <x:row r="1899">
      <x:c r="F1899" s="124"/>
      <x:c r="G1899" s="124"/>
      <x:c r="H1899" s="124"/>
      <x:c r="I1899" s="124"/>
      <x:c r="J1899" s="124"/>
      <x:c r="M1899" s="126"/>
      <x:c r="P1899" s="126"/>
      <x:c r="Q1899" s="126"/>
      <x:c r="R1899" s="126"/>
      <x:c r="S1899" s="124"/>
      <x:c r="T1899" s="124"/>
      <x:c r="U1899" s="124"/>
      <x:c r="V1899" s="124"/>
      <x:c r="W1899" s="124"/>
      <x:c r="X1899" s="124"/>
      <x:c r="AD1899"/>
      <x:c r="AE1899" s="145"/>
      <x:c r="AF1899" s="145"/>
      <x:c r="AG1899" s="145"/>
      <x:c r="AH1899" s="145"/>
      <x:c r="AI1899" s="145"/>
      <x:c r="AJ1899"/>
    </x:row>
    <x:row r="1900">
      <x:c r="F1900" s="124"/>
      <x:c r="G1900" s="124"/>
      <x:c r="H1900" s="124"/>
      <x:c r="I1900" s="124"/>
      <x:c r="J1900" s="124"/>
      <x:c r="M1900" s="126"/>
      <x:c r="P1900" s="126"/>
      <x:c r="Q1900" s="126"/>
      <x:c r="R1900" s="126"/>
      <x:c r="S1900" s="124"/>
      <x:c r="T1900" s="124"/>
      <x:c r="U1900" s="124"/>
      <x:c r="V1900" s="124"/>
      <x:c r="W1900" s="124"/>
      <x:c r="X1900" s="124"/>
      <x:c r="AD1900"/>
      <x:c r="AE1900" s="145"/>
      <x:c r="AF1900" s="145"/>
      <x:c r="AG1900" s="145"/>
      <x:c r="AH1900" s="145"/>
      <x:c r="AI1900" s="145"/>
      <x:c r="AJ1900"/>
    </x:row>
    <x:row r="1901">
      <x:c r="F1901" s="124"/>
      <x:c r="G1901" s="124"/>
      <x:c r="H1901" s="124"/>
      <x:c r="I1901" s="124"/>
      <x:c r="J1901" s="124"/>
      <x:c r="M1901" s="126"/>
      <x:c r="P1901" s="126"/>
      <x:c r="Q1901" s="126"/>
      <x:c r="R1901" s="126"/>
      <x:c r="S1901" s="124"/>
      <x:c r="T1901" s="124"/>
      <x:c r="U1901" s="124"/>
      <x:c r="V1901" s="124"/>
      <x:c r="W1901" s="124"/>
      <x:c r="X1901" s="124"/>
      <x:c r="AD1901"/>
      <x:c r="AE1901" s="145"/>
      <x:c r="AF1901" s="145"/>
      <x:c r="AG1901" s="145"/>
      <x:c r="AH1901" s="145"/>
      <x:c r="AI1901" s="145"/>
      <x:c r="AJ1901"/>
    </x:row>
    <x:row r="1902">
      <x:c r="F1902" s="124"/>
      <x:c r="G1902" s="124"/>
      <x:c r="H1902" s="124"/>
      <x:c r="I1902" s="124"/>
      <x:c r="J1902" s="124"/>
      <x:c r="M1902" s="126"/>
      <x:c r="P1902" s="126"/>
      <x:c r="Q1902" s="126"/>
      <x:c r="R1902" s="126"/>
      <x:c r="S1902" s="124"/>
      <x:c r="T1902" s="124"/>
      <x:c r="U1902" s="124"/>
      <x:c r="V1902" s="124"/>
      <x:c r="W1902" s="124"/>
      <x:c r="X1902" s="124"/>
      <x:c r="AD1902"/>
      <x:c r="AE1902" s="145"/>
      <x:c r="AF1902" s="145"/>
      <x:c r="AG1902" s="145"/>
      <x:c r="AH1902" s="145"/>
      <x:c r="AI1902" s="145"/>
      <x:c r="AJ1902"/>
    </x:row>
    <x:row r="1903">
      <x:c r="F1903" s="124"/>
      <x:c r="G1903" s="124"/>
      <x:c r="H1903" s="124"/>
      <x:c r="I1903" s="124"/>
      <x:c r="J1903" s="124"/>
      <x:c r="M1903" s="126"/>
      <x:c r="P1903" s="126"/>
      <x:c r="Q1903" s="126"/>
      <x:c r="R1903" s="126"/>
      <x:c r="S1903" s="124"/>
      <x:c r="T1903" s="124"/>
      <x:c r="U1903" s="124"/>
      <x:c r="V1903" s="124"/>
      <x:c r="W1903" s="124"/>
      <x:c r="X1903" s="124"/>
      <x:c r="AD1903"/>
      <x:c r="AE1903" s="145"/>
      <x:c r="AF1903" s="145"/>
      <x:c r="AG1903" s="145"/>
      <x:c r="AH1903" s="145"/>
      <x:c r="AI1903" s="145"/>
      <x:c r="AJ1903"/>
    </x:row>
    <x:row r="1904">
      <x:c r="F1904" s="124"/>
      <x:c r="G1904" s="124"/>
      <x:c r="H1904" s="124"/>
      <x:c r="I1904" s="124"/>
      <x:c r="J1904" s="124"/>
      <x:c r="M1904" s="126"/>
      <x:c r="P1904" s="126"/>
      <x:c r="Q1904" s="126"/>
      <x:c r="R1904" s="126"/>
      <x:c r="S1904" s="124"/>
      <x:c r="T1904" s="124"/>
      <x:c r="U1904" s="124"/>
      <x:c r="V1904" s="124"/>
      <x:c r="W1904" s="124"/>
      <x:c r="X1904" s="124"/>
      <x:c r="AD1904"/>
      <x:c r="AE1904" s="145"/>
      <x:c r="AF1904" s="145"/>
      <x:c r="AG1904" s="145"/>
      <x:c r="AH1904" s="145"/>
      <x:c r="AI1904" s="145"/>
      <x:c r="AJ1904"/>
    </x:row>
    <x:row r="1905">
      <x:c r="F1905" s="124"/>
      <x:c r="G1905" s="124"/>
      <x:c r="H1905" s="124"/>
      <x:c r="I1905" s="124"/>
      <x:c r="J1905" s="124"/>
      <x:c r="M1905" s="126"/>
      <x:c r="P1905" s="126"/>
      <x:c r="Q1905" s="126"/>
      <x:c r="R1905" s="126"/>
      <x:c r="S1905" s="124"/>
      <x:c r="T1905" s="124"/>
      <x:c r="U1905" s="124"/>
      <x:c r="V1905" s="124"/>
      <x:c r="W1905" s="124"/>
      <x:c r="X1905" s="124"/>
      <x:c r="AD1905"/>
      <x:c r="AE1905" s="145"/>
      <x:c r="AF1905" s="145"/>
      <x:c r="AG1905" s="145"/>
      <x:c r="AH1905" s="145"/>
      <x:c r="AI1905" s="145"/>
      <x:c r="AJ1905"/>
    </x:row>
    <x:row r="1906">
      <x:c r="F1906" s="124"/>
      <x:c r="G1906" s="124"/>
      <x:c r="H1906" s="124"/>
      <x:c r="I1906" s="124"/>
      <x:c r="J1906" s="124"/>
      <x:c r="M1906" s="126"/>
      <x:c r="P1906" s="126"/>
      <x:c r="Q1906" s="126"/>
      <x:c r="R1906" s="126"/>
      <x:c r="S1906" s="124"/>
      <x:c r="T1906" s="124"/>
      <x:c r="U1906" s="124"/>
      <x:c r="V1906" s="124"/>
      <x:c r="W1906" s="124"/>
      <x:c r="X1906" s="124"/>
      <x:c r="AD1906"/>
      <x:c r="AE1906" s="145"/>
      <x:c r="AF1906" s="145"/>
      <x:c r="AG1906" s="145"/>
      <x:c r="AH1906" s="145"/>
      <x:c r="AI1906" s="145"/>
      <x:c r="AJ1906"/>
    </x:row>
    <x:row r="1907">
      <x:c r="F1907" s="124"/>
      <x:c r="G1907" s="124"/>
      <x:c r="H1907" s="124"/>
      <x:c r="I1907" s="124"/>
      <x:c r="J1907" s="124"/>
      <x:c r="M1907" s="126"/>
      <x:c r="P1907" s="126"/>
      <x:c r="Q1907" s="126"/>
      <x:c r="R1907" s="126"/>
      <x:c r="S1907" s="124"/>
      <x:c r="T1907" s="124"/>
      <x:c r="U1907" s="124"/>
      <x:c r="V1907" s="124"/>
      <x:c r="W1907" s="124"/>
      <x:c r="X1907" s="124"/>
      <x:c r="AD1907"/>
      <x:c r="AE1907" s="145"/>
      <x:c r="AF1907" s="145"/>
      <x:c r="AG1907" s="145"/>
      <x:c r="AH1907" s="145"/>
      <x:c r="AI1907" s="145"/>
      <x:c r="AJ1907"/>
    </x:row>
    <x:row r="1908">
      <x:c r="F1908" s="124"/>
      <x:c r="G1908" s="124"/>
      <x:c r="H1908" s="124"/>
      <x:c r="I1908" s="124"/>
      <x:c r="J1908" s="124"/>
      <x:c r="M1908" s="126"/>
      <x:c r="P1908" s="126"/>
      <x:c r="Q1908" s="126"/>
      <x:c r="R1908" s="126"/>
      <x:c r="S1908" s="124"/>
      <x:c r="T1908" s="124"/>
      <x:c r="U1908" s="124"/>
      <x:c r="V1908" s="124"/>
      <x:c r="W1908" s="124"/>
      <x:c r="X1908" s="124"/>
      <x:c r="AD1908"/>
      <x:c r="AE1908" s="145"/>
      <x:c r="AF1908" s="145"/>
      <x:c r="AG1908" s="145"/>
      <x:c r="AH1908" s="145"/>
      <x:c r="AI1908" s="145"/>
      <x:c r="AJ1908"/>
    </x:row>
    <x:row r="1909">
      <x:c r="F1909" s="124"/>
      <x:c r="G1909" s="124"/>
      <x:c r="H1909" s="124"/>
      <x:c r="I1909" s="124"/>
      <x:c r="J1909" s="124"/>
      <x:c r="M1909" s="126"/>
      <x:c r="P1909" s="126"/>
      <x:c r="Q1909" s="126"/>
      <x:c r="R1909" s="126"/>
      <x:c r="S1909" s="124"/>
      <x:c r="T1909" s="124"/>
      <x:c r="U1909" s="124"/>
      <x:c r="V1909" s="124"/>
      <x:c r="W1909" s="124"/>
      <x:c r="X1909" s="124"/>
      <x:c r="AD1909"/>
      <x:c r="AE1909" s="145"/>
      <x:c r="AF1909" s="145"/>
      <x:c r="AG1909" s="145"/>
      <x:c r="AH1909" s="145"/>
      <x:c r="AI1909" s="145"/>
      <x:c r="AJ1909"/>
    </x:row>
    <x:row r="1910">
      <x:c r="F1910" s="124"/>
      <x:c r="G1910" s="124"/>
      <x:c r="H1910" s="124"/>
      <x:c r="I1910" s="124"/>
      <x:c r="J1910" s="124"/>
      <x:c r="M1910" s="126"/>
      <x:c r="P1910" s="126"/>
      <x:c r="Q1910" s="126"/>
      <x:c r="R1910" s="126"/>
      <x:c r="S1910" s="124"/>
      <x:c r="T1910" s="124"/>
      <x:c r="U1910" s="124"/>
      <x:c r="V1910" s="124"/>
      <x:c r="W1910" s="124"/>
      <x:c r="X1910" s="124"/>
      <x:c r="AD1910"/>
      <x:c r="AE1910" s="145"/>
      <x:c r="AF1910" s="145"/>
      <x:c r="AG1910" s="145"/>
      <x:c r="AH1910" s="145"/>
      <x:c r="AI1910" s="145"/>
      <x:c r="AJ1910"/>
    </x:row>
    <x:row r="1911">
      <x:c r="F1911" s="124"/>
      <x:c r="G1911" s="124"/>
      <x:c r="H1911" s="124"/>
      <x:c r="I1911" s="124"/>
      <x:c r="J1911" s="124"/>
      <x:c r="M1911" s="126"/>
      <x:c r="P1911" s="126"/>
      <x:c r="Q1911" s="126"/>
      <x:c r="R1911" s="126"/>
      <x:c r="S1911" s="124"/>
      <x:c r="T1911" s="124"/>
      <x:c r="U1911" s="124"/>
      <x:c r="V1911" s="124"/>
      <x:c r="W1911" s="124"/>
      <x:c r="X1911" s="124"/>
      <x:c r="AD1911"/>
      <x:c r="AE1911" s="145"/>
      <x:c r="AF1911" s="145"/>
      <x:c r="AG1911" s="145"/>
      <x:c r="AH1911" s="145"/>
      <x:c r="AI1911" s="145"/>
      <x:c r="AJ1911"/>
    </x:row>
    <x:row r="1912">
      <x:c r="F1912" s="124"/>
      <x:c r="G1912" s="124"/>
      <x:c r="H1912" s="124"/>
      <x:c r="I1912" s="124"/>
      <x:c r="J1912" s="124"/>
      <x:c r="M1912" s="126"/>
      <x:c r="P1912" s="126"/>
      <x:c r="Q1912" s="126"/>
      <x:c r="R1912" s="126"/>
      <x:c r="S1912" s="124"/>
      <x:c r="T1912" s="124"/>
      <x:c r="U1912" s="124"/>
      <x:c r="V1912" s="124"/>
      <x:c r="W1912" s="124"/>
      <x:c r="X1912" s="124"/>
      <x:c r="AD1912"/>
      <x:c r="AE1912" s="145"/>
      <x:c r="AF1912" s="145"/>
      <x:c r="AG1912" s="145"/>
      <x:c r="AH1912" s="145"/>
      <x:c r="AI1912" s="145"/>
      <x:c r="AJ1912"/>
    </x:row>
    <x:row r="1913">
      <x:c r="F1913" s="124"/>
      <x:c r="G1913" s="124"/>
      <x:c r="H1913" s="124"/>
      <x:c r="I1913" s="124"/>
      <x:c r="J1913" s="124"/>
      <x:c r="M1913" s="126"/>
      <x:c r="P1913" s="126"/>
      <x:c r="Q1913" s="126"/>
      <x:c r="R1913" s="126"/>
      <x:c r="S1913" s="124"/>
      <x:c r="T1913" s="124"/>
      <x:c r="U1913" s="124"/>
      <x:c r="V1913" s="124"/>
      <x:c r="W1913" s="124"/>
      <x:c r="X1913" s="124"/>
      <x:c r="AD1913"/>
      <x:c r="AE1913" s="145"/>
      <x:c r="AF1913" s="145"/>
      <x:c r="AG1913" s="145"/>
      <x:c r="AH1913" s="145"/>
      <x:c r="AI1913" s="145"/>
      <x:c r="AJ1913"/>
    </x:row>
    <x:row r="1914">
      <x:c r="F1914" s="124"/>
      <x:c r="G1914" s="124"/>
      <x:c r="H1914" s="124"/>
      <x:c r="I1914" s="124"/>
      <x:c r="J1914" s="124"/>
      <x:c r="M1914" s="126"/>
      <x:c r="P1914" s="126"/>
      <x:c r="Q1914" s="126"/>
      <x:c r="R1914" s="126"/>
      <x:c r="S1914" s="124"/>
      <x:c r="T1914" s="124"/>
      <x:c r="U1914" s="124"/>
      <x:c r="V1914" s="124"/>
      <x:c r="W1914" s="124"/>
      <x:c r="X1914" s="124"/>
      <x:c r="AD1914"/>
      <x:c r="AE1914" s="145"/>
      <x:c r="AF1914" s="145"/>
      <x:c r="AG1914" s="145"/>
      <x:c r="AH1914" s="145"/>
      <x:c r="AI1914" s="145"/>
      <x:c r="AJ1914"/>
    </x:row>
    <x:row r="1915">
      <x:c r="F1915" s="124"/>
      <x:c r="G1915" s="124"/>
      <x:c r="H1915" s="124"/>
      <x:c r="I1915" s="124"/>
      <x:c r="J1915" s="124"/>
      <x:c r="M1915" s="126"/>
      <x:c r="P1915" s="126"/>
      <x:c r="Q1915" s="126"/>
      <x:c r="R1915" s="126"/>
      <x:c r="S1915" s="124"/>
      <x:c r="T1915" s="124"/>
      <x:c r="U1915" s="124"/>
      <x:c r="V1915" s="124"/>
      <x:c r="W1915" s="124"/>
      <x:c r="X1915" s="124"/>
      <x:c r="AD1915"/>
      <x:c r="AE1915" s="145"/>
      <x:c r="AF1915" s="145"/>
      <x:c r="AG1915" s="145"/>
      <x:c r="AH1915" s="145"/>
      <x:c r="AI1915" s="145"/>
      <x:c r="AJ1915"/>
    </x:row>
    <x:row r="1916">
      <x:c r="F1916" s="124"/>
      <x:c r="G1916" s="124"/>
      <x:c r="H1916" s="124"/>
      <x:c r="I1916" s="124"/>
      <x:c r="J1916" s="124"/>
      <x:c r="M1916" s="126"/>
      <x:c r="P1916" s="126"/>
      <x:c r="Q1916" s="126"/>
      <x:c r="R1916" s="126"/>
      <x:c r="S1916" s="124"/>
      <x:c r="T1916" s="124"/>
      <x:c r="U1916" s="124"/>
      <x:c r="V1916" s="124"/>
      <x:c r="W1916" s="124"/>
      <x:c r="X1916" s="124"/>
      <x:c r="AD1916"/>
      <x:c r="AE1916" s="145"/>
      <x:c r="AF1916" s="145"/>
      <x:c r="AG1916" s="145"/>
      <x:c r="AH1916" s="145"/>
      <x:c r="AI1916" s="145"/>
      <x:c r="AJ1916"/>
    </x:row>
    <x:row r="1917">
      <x:c r="F1917" s="124"/>
      <x:c r="G1917" s="124"/>
      <x:c r="H1917" s="124"/>
      <x:c r="I1917" s="124"/>
      <x:c r="J1917" s="124"/>
      <x:c r="M1917" s="126"/>
      <x:c r="P1917" s="126"/>
      <x:c r="Q1917" s="126"/>
      <x:c r="R1917" s="126"/>
      <x:c r="S1917" s="124"/>
      <x:c r="T1917" s="124"/>
      <x:c r="U1917" s="124"/>
      <x:c r="V1917" s="124"/>
      <x:c r="W1917" s="124"/>
      <x:c r="X1917" s="124"/>
      <x:c r="AD1917"/>
      <x:c r="AE1917" s="145"/>
      <x:c r="AF1917" s="145"/>
      <x:c r="AG1917" s="145"/>
      <x:c r="AH1917" s="145"/>
      <x:c r="AI1917" s="145"/>
      <x:c r="AJ1917"/>
    </x:row>
    <x:row r="1918">
      <x:c r="F1918" s="124"/>
      <x:c r="G1918" s="124"/>
      <x:c r="H1918" s="124"/>
      <x:c r="I1918" s="124"/>
      <x:c r="J1918" s="124"/>
      <x:c r="M1918" s="126"/>
      <x:c r="P1918" s="126"/>
      <x:c r="Q1918" s="126"/>
      <x:c r="R1918" s="126"/>
      <x:c r="S1918" s="124"/>
      <x:c r="T1918" s="124"/>
      <x:c r="U1918" s="124"/>
      <x:c r="V1918" s="124"/>
      <x:c r="W1918" s="124"/>
      <x:c r="X1918" s="124"/>
      <x:c r="AD1918"/>
      <x:c r="AE1918" s="145"/>
      <x:c r="AF1918" s="145"/>
      <x:c r="AG1918" s="145"/>
      <x:c r="AH1918" s="145"/>
      <x:c r="AI1918" s="145"/>
      <x:c r="AJ1918"/>
    </x:row>
    <x:row r="1919">
      <x:c r="F1919" s="124"/>
      <x:c r="G1919" s="124"/>
      <x:c r="H1919" s="124"/>
      <x:c r="I1919" s="124"/>
      <x:c r="J1919" s="124"/>
      <x:c r="M1919" s="126"/>
      <x:c r="P1919" s="126"/>
      <x:c r="Q1919" s="126"/>
      <x:c r="R1919" s="126"/>
      <x:c r="S1919" s="124"/>
      <x:c r="T1919" s="124"/>
      <x:c r="U1919" s="124"/>
      <x:c r="V1919" s="124"/>
      <x:c r="W1919" s="124"/>
      <x:c r="X1919" s="124"/>
      <x:c r="AD1919"/>
      <x:c r="AE1919" s="145"/>
      <x:c r="AF1919" s="145"/>
      <x:c r="AG1919" s="145"/>
      <x:c r="AH1919" s="145"/>
      <x:c r="AI1919" s="145"/>
      <x:c r="AJ1919"/>
    </x:row>
    <x:row r="1920">
      <x:c r="F1920" s="124"/>
      <x:c r="G1920" s="124"/>
      <x:c r="H1920" s="124"/>
      <x:c r="I1920" s="124"/>
      <x:c r="J1920" s="124"/>
      <x:c r="M1920" s="126"/>
      <x:c r="P1920" s="126"/>
      <x:c r="Q1920" s="126"/>
      <x:c r="R1920" s="126"/>
      <x:c r="S1920" s="124"/>
      <x:c r="T1920" s="124"/>
      <x:c r="U1920" s="124"/>
      <x:c r="V1920" s="124"/>
      <x:c r="W1920" s="124"/>
      <x:c r="X1920" s="124"/>
      <x:c r="AD1920"/>
      <x:c r="AE1920" s="145"/>
      <x:c r="AF1920" s="145"/>
      <x:c r="AG1920" s="145"/>
      <x:c r="AH1920" s="145"/>
      <x:c r="AI1920" s="145"/>
      <x:c r="AJ1920"/>
    </x:row>
    <x:row r="1921">
      <x:c r="F1921" s="124"/>
      <x:c r="G1921" s="124"/>
      <x:c r="H1921" s="124"/>
      <x:c r="I1921" s="124"/>
      <x:c r="J1921" s="124"/>
      <x:c r="M1921" s="126"/>
      <x:c r="P1921" s="126"/>
      <x:c r="Q1921" s="126"/>
      <x:c r="R1921" s="126"/>
      <x:c r="S1921" s="124"/>
      <x:c r="T1921" s="124"/>
      <x:c r="U1921" s="124"/>
      <x:c r="V1921" s="124"/>
      <x:c r="W1921" s="124"/>
      <x:c r="X1921" s="124"/>
      <x:c r="AD1921"/>
      <x:c r="AE1921" s="145"/>
      <x:c r="AF1921" s="145"/>
      <x:c r="AG1921" s="145"/>
      <x:c r="AH1921" s="145"/>
      <x:c r="AI1921" s="145"/>
      <x:c r="AJ1921"/>
    </x:row>
    <x:row r="1922">
      <x:c r="F1922" s="124"/>
      <x:c r="G1922" s="124"/>
      <x:c r="H1922" s="124"/>
      <x:c r="I1922" s="124"/>
      <x:c r="J1922" s="124"/>
      <x:c r="M1922" s="126"/>
      <x:c r="P1922" s="126"/>
      <x:c r="Q1922" s="126"/>
      <x:c r="R1922" s="126"/>
      <x:c r="S1922" s="124"/>
      <x:c r="T1922" s="124"/>
      <x:c r="U1922" s="124"/>
      <x:c r="V1922" s="124"/>
      <x:c r="W1922" s="124"/>
      <x:c r="X1922" s="124"/>
      <x:c r="AD1922"/>
      <x:c r="AE1922" s="145"/>
      <x:c r="AF1922" s="145"/>
      <x:c r="AG1922" s="145"/>
      <x:c r="AH1922" s="145"/>
      <x:c r="AI1922" s="145"/>
      <x:c r="AJ1922"/>
    </x:row>
    <x:row r="1923">
      <x:c r="F1923" s="124"/>
      <x:c r="G1923" s="124"/>
      <x:c r="H1923" s="124"/>
      <x:c r="I1923" s="124"/>
      <x:c r="J1923" s="124"/>
      <x:c r="M1923" s="126"/>
      <x:c r="P1923" s="126"/>
      <x:c r="Q1923" s="126"/>
      <x:c r="R1923" s="126"/>
      <x:c r="S1923" s="124"/>
      <x:c r="T1923" s="124"/>
      <x:c r="U1923" s="124"/>
      <x:c r="V1923" s="124"/>
      <x:c r="W1923" s="124"/>
      <x:c r="X1923" s="124"/>
      <x:c r="AD1923"/>
      <x:c r="AE1923" s="145"/>
      <x:c r="AF1923" s="145"/>
      <x:c r="AG1923" s="145"/>
      <x:c r="AH1923" s="145"/>
      <x:c r="AI1923" s="145"/>
      <x:c r="AJ1923"/>
    </x:row>
    <x:row r="1924">
      <x:c r="F1924" s="124"/>
      <x:c r="G1924" s="124"/>
      <x:c r="H1924" s="124"/>
      <x:c r="I1924" s="124"/>
      <x:c r="J1924" s="124"/>
      <x:c r="M1924" s="126"/>
      <x:c r="P1924" s="126"/>
      <x:c r="Q1924" s="126"/>
      <x:c r="R1924" s="126"/>
      <x:c r="S1924" s="124"/>
      <x:c r="T1924" s="124"/>
      <x:c r="U1924" s="124"/>
      <x:c r="V1924" s="124"/>
      <x:c r="W1924" s="124"/>
      <x:c r="X1924" s="124"/>
      <x:c r="AD1924"/>
      <x:c r="AE1924" s="145"/>
      <x:c r="AF1924" s="145"/>
      <x:c r="AG1924" s="145"/>
      <x:c r="AH1924" s="145"/>
      <x:c r="AI1924" s="145"/>
      <x:c r="AJ1924"/>
    </x:row>
    <x:row r="1925">
      <x:c r="F1925" s="124"/>
      <x:c r="G1925" s="124"/>
      <x:c r="H1925" s="124"/>
      <x:c r="I1925" s="124"/>
      <x:c r="J1925" s="124"/>
      <x:c r="M1925" s="126"/>
      <x:c r="P1925" s="126"/>
      <x:c r="Q1925" s="126"/>
      <x:c r="R1925" s="126"/>
      <x:c r="S1925" s="124"/>
      <x:c r="T1925" s="124"/>
      <x:c r="U1925" s="124"/>
      <x:c r="V1925" s="124"/>
      <x:c r="W1925" s="124"/>
      <x:c r="X1925" s="124"/>
      <x:c r="AD1925"/>
      <x:c r="AE1925" s="145"/>
      <x:c r="AF1925" s="145"/>
      <x:c r="AG1925" s="145"/>
      <x:c r="AH1925" s="145"/>
      <x:c r="AI1925" s="145"/>
      <x:c r="AJ1925"/>
    </x:row>
    <x:row r="1926">
      <x:c r="F1926" s="124"/>
      <x:c r="G1926" s="124"/>
      <x:c r="H1926" s="124"/>
      <x:c r="I1926" s="124"/>
      <x:c r="J1926" s="124"/>
      <x:c r="M1926" s="126"/>
      <x:c r="P1926" s="126"/>
      <x:c r="Q1926" s="126"/>
      <x:c r="R1926" s="126"/>
      <x:c r="S1926" s="124"/>
      <x:c r="T1926" s="124"/>
      <x:c r="U1926" s="124"/>
      <x:c r="V1926" s="124"/>
      <x:c r="W1926" s="124"/>
      <x:c r="X1926" s="124"/>
      <x:c r="AD1926"/>
      <x:c r="AE1926" s="145"/>
      <x:c r="AF1926" s="145"/>
      <x:c r="AG1926" s="145"/>
      <x:c r="AH1926" s="145"/>
      <x:c r="AI1926" s="145"/>
      <x:c r="AJ1926"/>
    </x:row>
    <x:row r="1927">
      <x:c r="F1927" s="124"/>
      <x:c r="G1927" s="124"/>
      <x:c r="H1927" s="124"/>
      <x:c r="I1927" s="124"/>
      <x:c r="J1927" s="124"/>
      <x:c r="M1927" s="126"/>
      <x:c r="P1927" s="126"/>
      <x:c r="Q1927" s="126"/>
      <x:c r="R1927" s="126"/>
      <x:c r="S1927" s="124"/>
      <x:c r="T1927" s="124"/>
      <x:c r="U1927" s="124"/>
      <x:c r="V1927" s="124"/>
      <x:c r="W1927" s="124"/>
      <x:c r="X1927" s="124"/>
      <x:c r="AD1927"/>
      <x:c r="AE1927" s="145"/>
      <x:c r="AF1927" s="145"/>
      <x:c r="AG1927" s="145"/>
      <x:c r="AH1927" s="145"/>
      <x:c r="AI1927" s="145"/>
      <x:c r="AJ1927"/>
    </x:row>
    <x:row r="1928">
      <x:c r="F1928" s="124"/>
      <x:c r="G1928" s="124"/>
      <x:c r="H1928" s="124"/>
      <x:c r="I1928" s="124"/>
      <x:c r="J1928" s="124"/>
      <x:c r="M1928" s="126"/>
      <x:c r="P1928" s="126"/>
      <x:c r="Q1928" s="126"/>
      <x:c r="R1928" s="126"/>
      <x:c r="S1928" s="124"/>
      <x:c r="T1928" s="124"/>
      <x:c r="U1928" s="124"/>
      <x:c r="V1928" s="124"/>
      <x:c r="W1928" s="124"/>
      <x:c r="X1928" s="124"/>
      <x:c r="AD1928"/>
      <x:c r="AE1928" s="145"/>
      <x:c r="AF1928" s="145"/>
      <x:c r="AG1928" s="145"/>
      <x:c r="AH1928" s="145"/>
      <x:c r="AI1928" s="145"/>
      <x:c r="AJ1928"/>
    </x:row>
    <x:row r="1929">
      <x:c r="F1929" s="124"/>
      <x:c r="G1929" s="124"/>
      <x:c r="H1929" s="124"/>
      <x:c r="I1929" s="124"/>
      <x:c r="J1929" s="124"/>
      <x:c r="M1929" s="126"/>
      <x:c r="P1929" s="126"/>
      <x:c r="Q1929" s="126"/>
      <x:c r="R1929" s="126"/>
      <x:c r="S1929" s="124"/>
      <x:c r="T1929" s="124"/>
      <x:c r="U1929" s="124"/>
      <x:c r="V1929" s="124"/>
      <x:c r="W1929" s="124"/>
      <x:c r="X1929" s="124"/>
      <x:c r="AD1929"/>
      <x:c r="AE1929" s="145"/>
      <x:c r="AF1929" s="145"/>
      <x:c r="AG1929" s="145"/>
      <x:c r="AH1929" s="145"/>
      <x:c r="AI1929" s="145"/>
      <x:c r="AJ1929"/>
    </x:row>
    <x:row r="1930">
      <x:c r="F1930" s="124"/>
      <x:c r="G1930" s="124"/>
      <x:c r="H1930" s="124"/>
      <x:c r="I1930" s="124"/>
      <x:c r="J1930" s="124"/>
      <x:c r="M1930" s="126"/>
      <x:c r="P1930" s="126"/>
      <x:c r="Q1930" s="126"/>
      <x:c r="R1930" s="126"/>
      <x:c r="S1930" s="124"/>
      <x:c r="T1930" s="124"/>
      <x:c r="U1930" s="124"/>
      <x:c r="V1930" s="124"/>
      <x:c r="W1930" s="124"/>
      <x:c r="X1930" s="124"/>
      <x:c r="AD1930"/>
      <x:c r="AE1930" s="145"/>
      <x:c r="AF1930" s="145"/>
      <x:c r="AG1930" s="145"/>
      <x:c r="AH1930" s="145"/>
      <x:c r="AI1930" s="145"/>
      <x:c r="AJ1930"/>
    </x:row>
    <x:row r="1931">
      <x:c r="F1931" s="124"/>
      <x:c r="G1931" s="124"/>
      <x:c r="H1931" s="124"/>
      <x:c r="I1931" s="124"/>
      <x:c r="J1931" s="124"/>
      <x:c r="M1931" s="126"/>
      <x:c r="P1931" s="126"/>
      <x:c r="Q1931" s="126"/>
      <x:c r="R1931" s="126"/>
      <x:c r="S1931" s="124"/>
      <x:c r="T1931" s="124"/>
      <x:c r="U1931" s="124"/>
      <x:c r="V1931" s="124"/>
      <x:c r="W1931" s="124"/>
      <x:c r="X1931" s="124"/>
      <x:c r="AD1931"/>
      <x:c r="AE1931" s="145"/>
      <x:c r="AF1931" s="145"/>
      <x:c r="AG1931" s="145"/>
      <x:c r="AH1931" s="145"/>
      <x:c r="AI1931" s="145"/>
      <x:c r="AJ1931"/>
    </x:row>
    <x:row r="1932">
      <x:c r="F1932" s="124"/>
      <x:c r="G1932" s="124"/>
      <x:c r="H1932" s="124"/>
      <x:c r="I1932" s="124"/>
      <x:c r="J1932" s="124"/>
      <x:c r="M1932" s="126"/>
      <x:c r="P1932" s="126"/>
      <x:c r="Q1932" s="126"/>
      <x:c r="R1932" s="126"/>
      <x:c r="S1932" s="124"/>
      <x:c r="T1932" s="124"/>
      <x:c r="U1932" s="124"/>
      <x:c r="V1932" s="124"/>
      <x:c r="W1932" s="124"/>
      <x:c r="X1932" s="124"/>
      <x:c r="AD1932"/>
      <x:c r="AE1932" s="145"/>
      <x:c r="AF1932" s="145"/>
      <x:c r="AG1932" s="145"/>
      <x:c r="AH1932" s="145"/>
      <x:c r="AI1932" s="145"/>
      <x:c r="AJ1932"/>
    </x:row>
    <x:row r="1933">
      <x:c r="F1933" s="124"/>
      <x:c r="G1933" s="124"/>
      <x:c r="H1933" s="124"/>
      <x:c r="I1933" s="124"/>
      <x:c r="J1933" s="124"/>
      <x:c r="M1933" s="126"/>
      <x:c r="P1933" s="126"/>
      <x:c r="Q1933" s="126"/>
      <x:c r="R1933" s="126"/>
      <x:c r="S1933" s="124"/>
      <x:c r="T1933" s="124"/>
      <x:c r="U1933" s="124"/>
      <x:c r="V1933" s="124"/>
      <x:c r="W1933" s="124"/>
      <x:c r="X1933" s="124"/>
      <x:c r="AD1933"/>
      <x:c r="AE1933" s="145"/>
      <x:c r="AF1933" s="145"/>
      <x:c r="AG1933" s="145"/>
      <x:c r="AH1933" s="145"/>
      <x:c r="AI1933" s="145"/>
      <x:c r="AJ1933"/>
    </x:row>
    <x:row r="1934">
      <x:c r="F1934" s="124"/>
      <x:c r="G1934" s="124"/>
      <x:c r="H1934" s="124"/>
      <x:c r="I1934" s="124"/>
      <x:c r="J1934" s="124"/>
      <x:c r="M1934" s="126"/>
      <x:c r="P1934" s="126"/>
      <x:c r="Q1934" s="126"/>
      <x:c r="R1934" s="126"/>
      <x:c r="S1934" s="124"/>
      <x:c r="T1934" s="124"/>
      <x:c r="U1934" s="124"/>
      <x:c r="V1934" s="124"/>
      <x:c r="W1934" s="124"/>
      <x:c r="X1934" s="124"/>
      <x:c r="AD1934"/>
      <x:c r="AE1934" s="145"/>
      <x:c r="AF1934" s="145"/>
      <x:c r="AG1934" s="145"/>
      <x:c r="AH1934" s="145"/>
      <x:c r="AI1934" s="145"/>
      <x:c r="AJ1934"/>
    </x:row>
    <x:row r="1935">
      <x:c r="F1935" s="124"/>
      <x:c r="G1935" s="124"/>
      <x:c r="H1935" s="124"/>
      <x:c r="I1935" s="124"/>
      <x:c r="J1935" s="124"/>
      <x:c r="M1935" s="126"/>
      <x:c r="P1935" s="126"/>
      <x:c r="Q1935" s="126"/>
      <x:c r="R1935" s="126"/>
      <x:c r="S1935" s="124"/>
      <x:c r="T1935" s="124"/>
      <x:c r="U1935" s="124"/>
      <x:c r="V1935" s="124"/>
      <x:c r="W1935" s="124"/>
      <x:c r="X1935" s="124"/>
      <x:c r="AD1935"/>
      <x:c r="AE1935" s="145"/>
      <x:c r="AF1935" s="145"/>
      <x:c r="AG1935" s="145"/>
      <x:c r="AH1935" s="145"/>
      <x:c r="AI1935" s="145"/>
      <x:c r="AJ1935"/>
    </x:row>
    <x:row r="1936">
      <x:c r="F1936" s="124"/>
      <x:c r="G1936" s="124"/>
      <x:c r="H1936" s="124"/>
      <x:c r="I1936" s="124"/>
      <x:c r="J1936" s="124"/>
      <x:c r="M1936" s="126"/>
      <x:c r="P1936" s="126"/>
      <x:c r="Q1936" s="126"/>
      <x:c r="R1936" s="126"/>
      <x:c r="S1936" s="124"/>
      <x:c r="T1936" s="124"/>
      <x:c r="U1936" s="124"/>
      <x:c r="V1936" s="124"/>
      <x:c r="W1936" s="124"/>
      <x:c r="X1936" s="124"/>
      <x:c r="AD1936"/>
      <x:c r="AE1936" s="145"/>
      <x:c r="AF1936" s="145"/>
      <x:c r="AG1936" s="145"/>
      <x:c r="AH1936" s="145"/>
      <x:c r="AI1936" s="145"/>
      <x:c r="AJ1936"/>
    </x:row>
    <x:row r="1937">
      <x:c r="F1937" s="124"/>
      <x:c r="G1937" s="124"/>
      <x:c r="H1937" s="124"/>
      <x:c r="I1937" s="124"/>
      <x:c r="J1937" s="124"/>
      <x:c r="M1937" s="126"/>
      <x:c r="P1937" s="126"/>
      <x:c r="Q1937" s="126"/>
      <x:c r="R1937" s="126"/>
      <x:c r="S1937" s="124"/>
      <x:c r="T1937" s="124"/>
      <x:c r="U1937" s="124"/>
      <x:c r="V1937" s="124"/>
      <x:c r="W1937" s="124"/>
      <x:c r="X1937" s="124"/>
      <x:c r="AD1937"/>
      <x:c r="AE1937" s="145"/>
      <x:c r="AF1937" s="145"/>
      <x:c r="AG1937" s="145"/>
      <x:c r="AH1937" s="145"/>
      <x:c r="AI1937" s="145"/>
      <x:c r="AJ1937"/>
    </x:row>
    <x:row r="1938">
      <x:c r="F1938" s="124"/>
      <x:c r="G1938" s="124"/>
      <x:c r="H1938" s="124"/>
      <x:c r="I1938" s="124"/>
      <x:c r="J1938" s="124"/>
      <x:c r="M1938" s="126"/>
      <x:c r="P1938" s="126"/>
      <x:c r="Q1938" s="126"/>
      <x:c r="R1938" s="126"/>
      <x:c r="S1938" s="124"/>
      <x:c r="T1938" s="124"/>
      <x:c r="U1938" s="124"/>
      <x:c r="V1938" s="124"/>
      <x:c r="W1938" s="124"/>
      <x:c r="X1938" s="124"/>
      <x:c r="AD1938"/>
      <x:c r="AE1938" s="145"/>
      <x:c r="AF1938" s="145"/>
      <x:c r="AG1938" s="145"/>
      <x:c r="AH1938" s="145"/>
      <x:c r="AI1938" s="145"/>
      <x:c r="AJ1938"/>
    </x:row>
    <x:row r="1939">
      <x:c r="F1939" s="124"/>
      <x:c r="G1939" s="124"/>
      <x:c r="H1939" s="124"/>
      <x:c r="I1939" s="124"/>
      <x:c r="J1939" s="124"/>
      <x:c r="M1939" s="126"/>
      <x:c r="P1939" s="126"/>
      <x:c r="Q1939" s="126"/>
      <x:c r="R1939" s="126"/>
      <x:c r="S1939" s="124"/>
      <x:c r="T1939" s="124"/>
      <x:c r="U1939" s="124"/>
      <x:c r="V1939" s="124"/>
      <x:c r="W1939" s="124"/>
      <x:c r="X1939" s="124"/>
      <x:c r="AD1939"/>
      <x:c r="AE1939" s="145"/>
      <x:c r="AF1939" s="145"/>
      <x:c r="AG1939" s="145"/>
      <x:c r="AH1939" s="145"/>
      <x:c r="AI1939" s="145"/>
      <x:c r="AJ1939"/>
    </x:row>
    <x:row r="1940">
      <x:c r="F1940" s="124"/>
      <x:c r="G1940" s="124"/>
      <x:c r="H1940" s="124"/>
      <x:c r="I1940" s="124"/>
      <x:c r="J1940" s="124"/>
      <x:c r="M1940" s="126"/>
      <x:c r="P1940" s="126"/>
      <x:c r="Q1940" s="126"/>
      <x:c r="R1940" s="126"/>
      <x:c r="S1940" s="124"/>
      <x:c r="T1940" s="124"/>
      <x:c r="U1940" s="124"/>
      <x:c r="V1940" s="124"/>
      <x:c r="W1940" s="124"/>
      <x:c r="X1940" s="124"/>
      <x:c r="AD1940"/>
      <x:c r="AE1940" s="145"/>
      <x:c r="AF1940" s="145"/>
      <x:c r="AG1940" s="145"/>
      <x:c r="AH1940" s="145"/>
      <x:c r="AI1940" s="145"/>
      <x:c r="AJ1940"/>
    </x:row>
    <x:row r="1941">
      <x:c r="F1941" s="124"/>
      <x:c r="G1941" s="124"/>
      <x:c r="H1941" s="124"/>
      <x:c r="I1941" s="124"/>
      <x:c r="J1941" s="124"/>
      <x:c r="M1941" s="126"/>
      <x:c r="P1941" s="126"/>
      <x:c r="Q1941" s="126"/>
      <x:c r="R1941" s="126"/>
      <x:c r="S1941" s="124"/>
      <x:c r="T1941" s="124"/>
      <x:c r="U1941" s="124"/>
      <x:c r="V1941" s="124"/>
      <x:c r="W1941" s="124"/>
      <x:c r="X1941" s="124"/>
      <x:c r="AD1941"/>
      <x:c r="AE1941" s="145"/>
      <x:c r="AF1941" s="145"/>
      <x:c r="AG1941" s="145"/>
      <x:c r="AH1941" s="145"/>
      <x:c r="AI1941" s="145"/>
      <x:c r="AJ1941"/>
    </x:row>
    <x:row r="1942">
      <x:c r="F1942" s="124"/>
      <x:c r="G1942" s="124"/>
      <x:c r="H1942" s="124"/>
      <x:c r="I1942" s="124"/>
      <x:c r="J1942" s="124"/>
      <x:c r="M1942" s="126"/>
      <x:c r="P1942" s="126"/>
      <x:c r="Q1942" s="126"/>
      <x:c r="R1942" s="126"/>
      <x:c r="S1942" s="124"/>
      <x:c r="T1942" s="124"/>
      <x:c r="U1942" s="124"/>
      <x:c r="V1942" s="124"/>
      <x:c r="W1942" s="124"/>
      <x:c r="X1942" s="124"/>
      <x:c r="AD1942"/>
      <x:c r="AE1942" s="145"/>
      <x:c r="AF1942" s="145"/>
      <x:c r="AG1942" s="145"/>
      <x:c r="AH1942" s="145"/>
      <x:c r="AI1942" s="145"/>
      <x:c r="AJ1942"/>
    </x:row>
    <x:row r="1943">
      <x:c r="F1943" s="124"/>
      <x:c r="G1943" s="124"/>
      <x:c r="H1943" s="124"/>
      <x:c r="I1943" s="124"/>
      <x:c r="J1943" s="124"/>
      <x:c r="M1943" s="126"/>
      <x:c r="P1943" s="126"/>
      <x:c r="Q1943" s="126"/>
      <x:c r="R1943" s="126"/>
      <x:c r="S1943" s="124"/>
      <x:c r="T1943" s="124"/>
      <x:c r="U1943" s="124"/>
      <x:c r="V1943" s="124"/>
      <x:c r="W1943" s="124"/>
      <x:c r="X1943" s="124"/>
      <x:c r="AD1943"/>
      <x:c r="AE1943" s="145"/>
      <x:c r="AF1943" s="145"/>
      <x:c r="AG1943" s="145"/>
      <x:c r="AH1943" s="145"/>
      <x:c r="AI1943" s="145"/>
      <x:c r="AJ1943"/>
    </x:row>
    <x:row r="1944">
      <x:c r="F1944" s="124"/>
      <x:c r="G1944" s="124"/>
      <x:c r="H1944" s="124"/>
      <x:c r="I1944" s="124"/>
      <x:c r="J1944" s="124"/>
      <x:c r="M1944" s="126"/>
      <x:c r="P1944" s="126"/>
      <x:c r="Q1944" s="126"/>
      <x:c r="R1944" s="126"/>
      <x:c r="S1944" s="124"/>
      <x:c r="T1944" s="124"/>
      <x:c r="U1944" s="124"/>
      <x:c r="V1944" s="124"/>
      <x:c r="W1944" s="124"/>
      <x:c r="X1944" s="124"/>
      <x:c r="AD1944"/>
      <x:c r="AE1944" s="145"/>
      <x:c r="AF1944" s="145"/>
      <x:c r="AG1944" s="145"/>
      <x:c r="AH1944" s="145"/>
      <x:c r="AI1944" s="145"/>
      <x:c r="AJ1944"/>
    </x:row>
    <x:row r="1945">
      <x:c r="F1945" s="124"/>
      <x:c r="G1945" s="124"/>
      <x:c r="H1945" s="124"/>
      <x:c r="I1945" s="124"/>
      <x:c r="J1945" s="124"/>
      <x:c r="M1945" s="126"/>
      <x:c r="P1945" s="126"/>
      <x:c r="Q1945" s="126"/>
      <x:c r="R1945" s="126"/>
      <x:c r="S1945" s="124"/>
      <x:c r="T1945" s="124"/>
      <x:c r="U1945" s="124"/>
      <x:c r="V1945" s="124"/>
      <x:c r="W1945" s="124"/>
      <x:c r="X1945" s="124"/>
      <x:c r="AD1945"/>
      <x:c r="AE1945" s="145"/>
      <x:c r="AF1945" s="145"/>
      <x:c r="AG1945" s="145"/>
      <x:c r="AH1945" s="145"/>
      <x:c r="AI1945" s="145"/>
      <x:c r="AJ1945"/>
    </x:row>
    <x:row r="1946">
      <x:c r="F1946" s="124"/>
      <x:c r="G1946" s="124"/>
      <x:c r="H1946" s="124"/>
      <x:c r="I1946" s="124"/>
      <x:c r="J1946" s="124"/>
      <x:c r="M1946" s="126"/>
      <x:c r="P1946" s="126"/>
      <x:c r="Q1946" s="126"/>
      <x:c r="R1946" s="126"/>
      <x:c r="S1946" s="124"/>
      <x:c r="T1946" s="124"/>
      <x:c r="U1946" s="124"/>
      <x:c r="V1946" s="124"/>
      <x:c r="W1946" s="124"/>
      <x:c r="X1946" s="124"/>
      <x:c r="AD1946"/>
      <x:c r="AE1946" s="145"/>
      <x:c r="AF1946" s="145"/>
      <x:c r="AG1946" s="145"/>
      <x:c r="AH1946" s="145"/>
      <x:c r="AI1946" s="145"/>
      <x:c r="AJ1946"/>
    </x:row>
    <x:row r="1947">
      <x:c r="F1947" s="124"/>
      <x:c r="G1947" s="124"/>
      <x:c r="H1947" s="124"/>
      <x:c r="I1947" s="124"/>
      <x:c r="J1947" s="124"/>
      <x:c r="M1947" s="126"/>
      <x:c r="P1947" s="126"/>
      <x:c r="Q1947" s="126"/>
      <x:c r="R1947" s="126"/>
      <x:c r="S1947" s="124"/>
      <x:c r="T1947" s="124"/>
      <x:c r="U1947" s="124"/>
      <x:c r="V1947" s="124"/>
      <x:c r="W1947" s="124"/>
      <x:c r="X1947" s="124"/>
      <x:c r="AD1947"/>
      <x:c r="AE1947" s="145"/>
      <x:c r="AF1947" s="145"/>
      <x:c r="AG1947" s="145"/>
      <x:c r="AH1947" s="145"/>
      <x:c r="AI1947" s="145"/>
      <x:c r="AJ1947"/>
    </x:row>
    <x:row r="1948">
      <x:c r="F1948" s="124"/>
      <x:c r="G1948" s="124"/>
      <x:c r="H1948" s="124"/>
      <x:c r="I1948" s="124"/>
      <x:c r="J1948" s="124"/>
      <x:c r="M1948" s="126"/>
      <x:c r="P1948" s="126"/>
      <x:c r="Q1948" s="126"/>
      <x:c r="R1948" s="126"/>
      <x:c r="S1948" s="124"/>
      <x:c r="T1948" s="124"/>
      <x:c r="U1948" s="124"/>
      <x:c r="V1948" s="124"/>
      <x:c r="W1948" s="124"/>
      <x:c r="X1948" s="124"/>
      <x:c r="AD1948"/>
      <x:c r="AE1948" s="145"/>
      <x:c r="AF1948" s="145"/>
      <x:c r="AG1948" s="145"/>
      <x:c r="AH1948" s="145"/>
      <x:c r="AI1948" s="145"/>
      <x:c r="AJ1948"/>
    </x:row>
    <x:row r="1949">
      <x:c r="F1949" s="124"/>
      <x:c r="G1949" s="124"/>
      <x:c r="H1949" s="124"/>
      <x:c r="I1949" s="124"/>
      <x:c r="J1949" s="124"/>
      <x:c r="M1949" s="126"/>
      <x:c r="P1949" s="126"/>
      <x:c r="Q1949" s="126"/>
      <x:c r="R1949" s="126"/>
      <x:c r="S1949" s="124"/>
      <x:c r="T1949" s="124"/>
      <x:c r="U1949" s="124"/>
      <x:c r="V1949" s="124"/>
      <x:c r="W1949" s="124"/>
      <x:c r="X1949" s="124"/>
      <x:c r="AD1949"/>
      <x:c r="AE1949" s="145"/>
      <x:c r="AF1949" s="145"/>
      <x:c r="AG1949" s="145"/>
      <x:c r="AH1949" s="145"/>
      <x:c r="AI1949" s="145"/>
      <x:c r="AJ1949"/>
    </x:row>
    <x:row r="1950">
      <x:c r="F1950" s="124"/>
      <x:c r="G1950" s="124"/>
      <x:c r="H1950" s="124"/>
      <x:c r="I1950" s="124"/>
      <x:c r="J1950" s="124"/>
      <x:c r="M1950" s="126"/>
      <x:c r="P1950" s="126"/>
      <x:c r="Q1950" s="126"/>
      <x:c r="R1950" s="126"/>
      <x:c r="S1950" s="124"/>
      <x:c r="T1950" s="124"/>
      <x:c r="U1950" s="124"/>
      <x:c r="V1950" s="124"/>
      <x:c r="W1950" s="124"/>
      <x:c r="X1950" s="124"/>
      <x:c r="AD1950"/>
      <x:c r="AE1950" s="145"/>
      <x:c r="AF1950" s="145"/>
      <x:c r="AG1950" s="145"/>
      <x:c r="AH1950" s="145"/>
      <x:c r="AI1950" s="145"/>
      <x:c r="AJ1950"/>
    </x:row>
    <x:row r="1951">
      <x:c r="F1951" s="124"/>
      <x:c r="G1951" s="124"/>
      <x:c r="H1951" s="124"/>
      <x:c r="I1951" s="124"/>
      <x:c r="J1951" s="124"/>
      <x:c r="M1951" s="126"/>
      <x:c r="P1951" s="126"/>
      <x:c r="Q1951" s="126"/>
      <x:c r="R1951" s="126"/>
      <x:c r="S1951" s="124"/>
      <x:c r="T1951" s="124"/>
      <x:c r="U1951" s="124"/>
      <x:c r="V1951" s="124"/>
      <x:c r="W1951" s="124"/>
      <x:c r="X1951" s="124"/>
      <x:c r="AD1951"/>
      <x:c r="AE1951" s="145"/>
      <x:c r="AF1951" s="145"/>
      <x:c r="AG1951" s="145"/>
      <x:c r="AH1951" s="145"/>
      <x:c r="AI1951" s="145"/>
      <x:c r="AJ1951"/>
    </x:row>
    <x:row r="1952">
      <x:c r="F1952" s="124"/>
      <x:c r="G1952" s="124"/>
      <x:c r="H1952" s="124"/>
      <x:c r="I1952" s="124"/>
      <x:c r="J1952" s="124"/>
      <x:c r="M1952" s="126"/>
      <x:c r="P1952" s="126"/>
      <x:c r="Q1952" s="126"/>
      <x:c r="R1952" s="126"/>
      <x:c r="S1952" s="124"/>
      <x:c r="T1952" s="124"/>
      <x:c r="U1952" s="124"/>
      <x:c r="V1952" s="124"/>
      <x:c r="W1952" s="124"/>
      <x:c r="X1952" s="124"/>
      <x:c r="AD1952"/>
      <x:c r="AE1952" s="145"/>
      <x:c r="AF1952" s="145"/>
      <x:c r="AG1952" s="145"/>
      <x:c r="AH1952" s="145"/>
      <x:c r="AI1952" s="145"/>
      <x:c r="AJ1952"/>
    </x:row>
    <x:row r="1953">
      <x:c r="F1953" s="124"/>
      <x:c r="G1953" s="124"/>
      <x:c r="H1953" s="124"/>
      <x:c r="I1953" s="124"/>
      <x:c r="J1953" s="124"/>
      <x:c r="M1953" s="126"/>
      <x:c r="P1953" s="126"/>
      <x:c r="Q1953" s="126"/>
      <x:c r="R1953" s="126"/>
      <x:c r="S1953" s="124"/>
      <x:c r="T1953" s="124"/>
      <x:c r="U1953" s="124"/>
      <x:c r="V1953" s="124"/>
      <x:c r="W1953" s="124"/>
      <x:c r="X1953" s="124"/>
      <x:c r="AD1953"/>
      <x:c r="AE1953" s="145"/>
      <x:c r="AF1953" s="145"/>
      <x:c r="AG1953" s="145"/>
      <x:c r="AH1953" s="145"/>
      <x:c r="AI1953" s="145"/>
      <x:c r="AJ1953"/>
    </x:row>
    <x:row r="1954">
      <x:c r="F1954" s="124"/>
      <x:c r="G1954" s="124"/>
      <x:c r="H1954" s="124"/>
      <x:c r="I1954" s="124"/>
      <x:c r="J1954" s="124"/>
      <x:c r="M1954" s="126"/>
      <x:c r="P1954" s="126"/>
      <x:c r="Q1954" s="126"/>
      <x:c r="R1954" s="126"/>
      <x:c r="S1954" s="124"/>
      <x:c r="T1954" s="124"/>
      <x:c r="U1954" s="124"/>
      <x:c r="V1954" s="124"/>
      <x:c r="W1954" s="124"/>
      <x:c r="X1954" s="124"/>
      <x:c r="AD1954"/>
      <x:c r="AE1954" s="145"/>
      <x:c r="AF1954" s="145"/>
      <x:c r="AG1954" s="145"/>
      <x:c r="AH1954" s="145"/>
      <x:c r="AI1954" s="145"/>
      <x:c r="AJ1954"/>
    </x:row>
    <x:row r="1955">
      <x:c r="F1955" s="124"/>
      <x:c r="G1955" s="124"/>
      <x:c r="H1955" s="124"/>
      <x:c r="I1955" s="124"/>
      <x:c r="J1955" s="124"/>
      <x:c r="M1955" s="126"/>
      <x:c r="P1955" s="126"/>
      <x:c r="Q1955" s="126"/>
      <x:c r="R1955" s="126"/>
      <x:c r="S1955" s="124"/>
      <x:c r="T1955" s="124"/>
      <x:c r="U1955" s="124"/>
      <x:c r="V1955" s="124"/>
      <x:c r="W1955" s="124"/>
      <x:c r="X1955" s="124"/>
      <x:c r="AD1955"/>
      <x:c r="AE1955" s="145"/>
      <x:c r="AF1955" s="145"/>
      <x:c r="AG1955" s="145"/>
      <x:c r="AH1955" s="145"/>
      <x:c r="AI1955" s="145"/>
      <x:c r="AJ1955"/>
    </x:row>
    <x:row r="1956">
      <x:c r="F1956" s="124"/>
      <x:c r="G1956" s="124"/>
      <x:c r="H1956" s="124"/>
      <x:c r="I1956" s="124"/>
      <x:c r="J1956" s="124"/>
      <x:c r="M1956" s="126"/>
      <x:c r="P1956" s="126"/>
      <x:c r="Q1956" s="126"/>
      <x:c r="R1956" s="126"/>
      <x:c r="S1956" s="124"/>
      <x:c r="T1956" s="124"/>
      <x:c r="U1956" s="124"/>
      <x:c r="V1956" s="124"/>
      <x:c r="W1956" s="124"/>
      <x:c r="X1956" s="124"/>
      <x:c r="AD1956"/>
      <x:c r="AE1956" s="145"/>
      <x:c r="AF1956" s="145"/>
      <x:c r="AG1956" s="145"/>
      <x:c r="AH1956" s="145"/>
      <x:c r="AI1956" s="145"/>
      <x:c r="AJ1956"/>
    </x:row>
    <x:row r="1957">
      <x:c r="F1957" s="124"/>
      <x:c r="G1957" s="124"/>
      <x:c r="H1957" s="124"/>
      <x:c r="I1957" s="124"/>
      <x:c r="J1957" s="124"/>
      <x:c r="M1957" s="126"/>
      <x:c r="P1957" s="126"/>
      <x:c r="Q1957" s="126"/>
      <x:c r="R1957" s="126"/>
      <x:c r="S1957" s="124"/>
      <x:c r="T1957" s="124"/>
      <x:c r="U1957" s="124"/>
      <x:c r="V1957" s="124"/>
      <x:c r="W1957" s="124"/>
      <x:c r="X1957" s="124"/>
      <x:c r="AD1957"/>
      <x:c r="AE1957" s="145"/>
      <x:c r="AF1957" s="145"/>
      <x:c r="AG1957" s="145"/>
      <x:c r="AH1957" s="145"/>
      <x:c r="AI1957" s="145"/>
      <x:c r="AJ1957"/>
    </x:row>
    <x:row r="1958">
      <x:c r="F1958" s="124"/>
      <x:c r="G1958" s="124"/>
      <x:c r="H1958" s="124"/>
      <x:c r="I1958" s="124"/>
      <x:c r="J1958" s="124"/>
      <x:c r="M1958" s="126"/>
      <x:c r="P1958" s="126"/>
      <x:c r="Q1958" s="126"/>
      <x:c r="R1958" s="126"/>
      <x:c r="S1958" s="124"/>
      <x:c r="T1958" s="124"/>
      <x:c r="U1958" s="124"/>
      <x:c r="V1958" s="124"/>
      <x:c r="W1958" s="124"/>
      <x:c r="X1958" s="124"/>
      <x:c r="AD1958"/>
      <x:c r="AE1958" s="145"/>
      <x:c r="AF1958" s="145"/>
      <x:c r="AG1958" s="145"/>
      <x:c r="AH1958" s="145"/>
      <x:c r="AI1958" s="145"/>
      <x:c r="AJ1958"/>
    </x:row>
    <x:row r="1959">
      <x:c r="F1959" s="124"/>
      <x:c r="G1959" s="124"/>
      <x:c r="H1959" s="124"/>
      <x:c r="I1959" s="124"/>
      <x:c r="J1959" s="124"/>
      <x:c r="M1959" s="126"/>
      <x:c r="P1959" s="126"/>
      <x:c r="Q1959" s="126"/>
      <x:c r="R1959" s="126"/>
      <x:c r="S1959" s="124"/>
      <x:c r="T1959" s="124"/>
      <x:c r="U1959" s="124"/>
      <x:c r="V1959" s="124"/>
      <x:c r="W1959" s="124"/>
      <x:c r="X1959" s="124"/>
      <x:c r="AD1959"/>
      <x:c r="AE1959" s="145"/>
      <x:c r="AF1959" s="145"/>
      <x:c r="AG1959" s="145"/>
      <x:c r="AH1959" s="145"/>
      <x:c r="AI1959" s="145"/>
      <x:c r="AJ1959"/>
    </x:row>
    <x:row r="1960">
      <x:c r="F1960" s="124"/>
      <x:c r="G1960" s="124"/>
      <x:c r="H1960" s="124"/>
      <x:c r="I1960" s="124"/>
      <x:c r="J1960" s="124"/>
      <x:c r="M1960" s="126"/>
      <x:c r="P1960" s="126"/>
      <x:c r="Q1960" s="126"/>
      <x:c r="R1960" s="126"/>
      <x:c r="S1960" s="124"/>
      <x:c r="T1960" s="124"/>
      <x:c r="U1960" s="124"/>
      <x:c r="V1960" s="124"/>
      <x:c r="W1960" s="124"/>
      <x:c r="X1960" s="124"/>
      <x:c r="AD1960"/>
      <x:c r="AE1960" s="145"/>
      <x:c r="AF1960" s="145"/>
      <x:c r="AG1960" s="145"/>
      <x:c r="AH1960" s="145"/>
      <x:c r="AI1960" s="145"/>
      <x:c r="AJ1960"/>
    </x:row>
    <x:row r="1961">
      <x:c r="F1961" s="124"/>
      <x:c r="G1961" s="124"/>
      <x:c r="H1961" s="124"/>
      <x:c r="I1961" s="124"/>
      <x:c r="J1961" s="124"/>
      <x:c r="M1961" s="126"/>
      <x:c r="P1961" s="126"/>
      <x:c r="Q1961" s="126"/>
      <x:c r="R1961" s="126"/>
      <x:c r="S1961" s="124"/>
      <x:c r="T1961" s="124"/>
      <x:c r="U1961" s="124"/>
      <x:c r="V1961" s="124"/>
      <x:c r="W1961" s="124"/>
      <x:c r="X1961" s="124"/>
      <x:c r="AD1961"/>
      <x:c r="AE1961" s="145"/>
      <x:c r="AF1961" s="145"/>
      <x:c r="AG1961" s="145"/>
      <x:c r="AH1961" s="145"/>
      <x:c r="AI1961" s="145"/>
      <x:c r="AJ1961"/>
    </x:row>
    <x:row r="1962">
      <x:c r="F1962" s="124"/>
      <x:c r="G1962" s="124"/>
      <x:c r="H1962" s="124"/>
      <x:c r="I1962" s="124"/>
      <x:c r="J1962" s="124"/>
      <x:c r="M1962" s="126"/>
      <x:c r="P1962" s="126"/>
      <x:c r="Q1962" s="126"/>
      <x:c r="R1962" s="126"/>
      <x:c r="S1962" s="124"/>
      <x:c r="T1962" s="124"/>
      <x:c r="U1962" s="124"/>
      <x:c r="V1962" s="124"/>
      <x:c r="W1962" s="124"/>
      <x:c r="X1962" s="124"/>
      <x:c r="AD1962"/>
      <x:c r="AE1962" s="145"/>
      <x:c r="AF1962" s="145"/>
      <x:c r="AG1962" s="145"/>
      <x:c r="AH1962" s="145"/>
      <x:c r="AI1962" s="145"/>
      <x:c r="AJ1962"/>
    </x:row>
    <x:row r="1963">
      <x:c r="F1963" s="124"/>
      <x:c r="G1963" s="124"/>
      <x:c r="H1963" s="124"/>
      <x:c r="I1963" s="124"/>
      <x:c r="J1963" s="124"/>
      <x:c r="M1963" s="126"/>
      <x:c r="P1963" s="126"/>
      <x:c r="Q1963" s="126"/>
      <x:c r="R1963" s="126"/>
      <x:c r="S1963" s="124"/>
      <x:c r="T1963" s="124"/>
      <x:c r="U1963" s="124"/>
      <x:c r="V1963" s="124"/>
      <x:c r="W1963" s="124"/>
      <x:c r="X1963" s="124"/>
      <x:c r="AD1963"/>
      <x:c r="AE1963" s="145"/>
      <x:c r="AF1963" s="145"/>
      <x:c r="AG1963" s="145"/>
      <x:c r="AH1963" s="145"/>
      <x:c r="AI1963" s="145"/>
      <x:c r="AJ1963"/>
    </x:row>
    <x:row r="1964">
      <x:c r="F1964" s="124"/>
      <x:c r="G1964" s="124"/>
      <x:c r="H1964" s="124"/>
      <x:c r="I1964" s="124"/>
      <x:c r="J1964" s="124"/>
      <x:c r="M1964" s="126"/>
      <x:c r="P1964" s="126"/>
      <x:c r="Q1964" s="126"/>
      <x:c r="R1964" s="126"/>
      <x:c r="S1964" s="124"/>
      <x:c r="T1964" s="124"/>
      <x:c r="U1964" s="124"/>
      <x:c r="V1964" s="124"/>
      <x:c r="W1964" s="124"/>
      <x:c r="X1964" s="124"/>
      <x:c r="AD1964"/>
      <x:c r="AE1964" s="145"/>
      <x:c r="AF1964" s="145"/>
      <x:c r="AG1964" s="145"/>
      <x:c r="AH1964" s="145"/>
      <x:c r="AI1964" s="145"/>
      <x:c r="AJ1964"/>
    </x:row>
    <x:row r="1965">
      <x:c r="F1965" s="124"/>
      <x:c r="G1965" s="124"/>
      <x:c r="H1965" s="124"/>
      <x:c r="I1965" s="124"/>
      <x:c r="J1965" s="124"/>
      <x:c r="M1965" s="126"/>
      <x:c r="P1965" s="126"/>
      <x:c r="Q1965" s="126"/>
      <x:c r="R1965" s="126"/>
      <x:c r="S1965" s="124"/>
      <x:c r="T1965" s="124"/>
      <x:c r="U1965" s="124"/>
      <x:c r="V1965" s="124"/>
      <x:c r="W1965" s="124"/>
      <x:c r="X1965" s="124"/>
      <x:c r="AD1965"/>
      <x:c r="AE1965" s="145"/>
      <x:c r="AF1965" s="145"/>
      <x:c r="AG1965" s="145"/>
      <x:c r="AH1965" s="145"/>
      <x:c r="AI1965" s="145"/>
      <x:c r="AJ1965"/>
    </x:row>
    <x:row r="1966">
      <x:c r="F1966" s="124"/>
      <x:c r="G1966" s="124"/>
      <x:c r="H1966" s="124"/>
      <x:c r="I1966" s="124"/>
      <x:c r="J1966" s="124"/>
      <x:c r="M1966" s="126"/>
      <x:c r="P1966" s="126"/>
      <x:c r="Q1966" s="126"/>
      <x:c r="R1966" s="126"/>
      <x:c r="S1966" s="124"/>
      <x:c r="T1966" s="124"/>
      <x:c r="U1966" s="124"/>
      <x:c r="V1966" s="124"/>
      <x:c r="W1966" s="124"/>
      <x:c r="X1966" s="124"/>
      <x:c r="AD1966"/>
      <x:c r="AE1966" s="145"/>
      <x:c r="AF1966" s="145"/>
      <x:c r="AG1966" s="145"/>
      <x:c r="AH1966" s="145"/>
      <x:c r="AI1966" s="145"/>
      <x:c r="AJ1966"/>
    </x:row>
    <x:row r="1967">
      <x:c r="F1967" s="124"/>
      <x:c r="G1967" s="124"/>
      <x:c r="H1967" s="124"/>
      <x:c r="I1967" s="124"/>
      <x:c r="J1967" s="124"/>
      <x:c r="M1967" s="126"/>
      <x:c r="P1967" s="126"/>
      <x:c r="Q1967" s="126"/>
      <x:c r="R1967" s="126"/>
      <x:c r="S1967" s="124"/>
      <x:c r="T1967" s="124"/>
      <x:c r="U1967" s="124"/>
      <x:c r="V1967" s="124"/>
      <x:c r="W1967" s="124"/>
      <x:c r="X1967" s="124"/>
      <x:c r="AD1967"/>
      <x:c r="AE1967" s="145"/>
      <x:c r="AF1967" s="145"/>
      <x:c r="AG1967" s="145"/>
      <x:c r="AH1967" s="145"/>
      <x:c r="AI1967" s="145"/>
      <x:c r="AJ1967"/>
    </x:row>
    <x:row r="1968">
      <x:c r="F1968" s="124"/>
      <x:c r="G1968" s="124"/>
      <x:c r="H1968" s="124"/>
      <x:c r="I1968" s="124"/>
      <x:c r="J1968" s="124"/>
      <x:c r="M1968" s="126"/>
      <x:c r="P1968" s="126"/>
      <x:c r="Q1968" s="126"/>
      <x:c r="R1968" s="126"/>
      <x:c r="S1968" s="124"/>
      <x:c r="T1968" s="124"/>
      <x:c r="U1968" s="124"/>
      <x:c r="V1968" s="124"/>
      <x:c r="W1968" s="124"/>
      <x:c r="X1968" s="124"/>
      <x:c r="AD1968"/>
      <x:c r="AE1968" s="145"/>
      <x:c r="AF1968" s="145"/>
      <x:c r="AG1968" s="145"/>
      <x:c r="AH1968" s="145"/>
      <x:c r="AI1968" s="145"/>
      <x:c r="AJ1968"/>
    </x:row>
    <x:row r="1969">
      <x:c r="F1969" s="124"/>
      <x:c r="G1969" s="124"/>
      <x:c r="H1969" s="124"/>
      <x:c r="I1969" s="124"/>
      <x:c r="J1969" s="124"/>
      <x:c r="M1969" s="126"/>
      <x:c r="P1969" s="126"/>
      <x:c r="Q1969" s="126"/>
      <x:c r="R1969" s="126"/>
      <x:c r="S1969" s="124"/>
      <x:c r="T1969" s="124"/>
      <x:c r="U1969" s="124"/>
      <x:c r="V1969" s="124"/>
      <x:c r="W1969" s="124"/>
      <x:c r="X1969" s="124"/>
      <x:c r="AD1969"/>
      <x:c r="AE1969" s="145"/>
      <x:c r="AF1969" s="145"/>
      <x:c r="AG1969" s="145"/>
      <x:c r="AH1969" s="145"/>
      <x:c r="AI1969" s="145"/>
      <x:c r="AJ1969"/>
    </x:row>
    <x:row r="1970">
      <x:c r="F1970" s="124"/>
      <x:c r="G1970" s="124"/>
      <x:c r="H1970" s="124"/>
      <x:c r="I1970" s="124"/>
      <x:c r="J1970" s="124"/>
      <x:c r="M1970" s="126"/>
      <x:c r="P1970" s="126"/>
      <x:c r="Q1970" s="126"/>
      <x:c r="R1970" s="126"/>
      <x:c r="S1970" s="124"/>
      <x:c r="T1970" s="124"/>
      <x:c r="U1970" s="124"/>
      <x:c r="V1970" s="124"/>
      <x:c r="W1970" s="124"/>
      <x:c r="X1970" s="124"/>
      <x:c r="AD1970"/>
      <x:c r="AE1970" s="145"/>
      <x:c r="AF1970" s="145"/>
      <x:c r="AG1970" s="145"/>
      <x:c r="AH1970" s="145"/>
      <x:c r="AI1970" s="145"/>
      <x:c r="AJ1970"/>
    </x:row>
    <x:row r="1971">
      <x:c r="F1971" s="124"/>
      <x:c r="G1971" s="124"/>
      <x:c r="H1971" s="124"/>
      <x:c r="I1971" s="124"/>
      <x:c r="J1971" s="124"/>
      <x:c r="M1971" s="126"/>
      <x:c r="P1971" s="126"/>
      <x:c r="Q1971" s="126"/>
      <x:c r="R1971" s="126"/>
      <x:c r="S1971" s="124"/>
      <x:c r="T1971" s="124"/>
      <x:c r="U1971" s="124"/>
      <x:c r="V1971" s="124"/>
      <x:c r="W1971" s="124"/>
      <x:c r="X1971" s="124"/>
      <x:c r="AD1971"/>
      <x:c r="AE1971" s="145"/>
      <x:c r="AF1971" s="145"/>
      <x:c r="AG1971" s="145"/>
      <x:c r="AH1971" s="145"/>
      <x:c r="AI1971" s="145"/>
      <x:c r="AJ1971"/>
    </x:row>
    <x:row r="1972">
      <x:c r="F1972" s="124"/>
      <x:c r="G1972" s="124"/>
      <x:c r="H1972" s="124"/>
      <x:c r="I1972" s="124"/>
      <x:c r="J1972" s="124"/>
      <x:c r="M1972" s="126"/>
      <x:c r="P1972" s="126"/>
      <x:c r="Q1972" s="126"/>
      <x:c r="R1972" s="126"/>
      <x:c r="S1972" s="124"/>
      <x:c r="T1972" s="124"/>
      <x:c r="U1972" s="124"/>
      <x:c r="V1972" s="124"/>
      <x:c r="W1972" s="124"/>
      <x:c r="X1972" s="124"/>
      <x:c r="AD1972"/>
      <x:c r="AE1972" s="145"/>
      <x:c r="AF1972" s="145"/>
      <x:c r="AG1972" s="145"/>
      <x:c r="AH1972" s="145"/>
      <x:c r="AI1972" s="145"/>
      <x:c r="AJ1972"/>
    </x:row>
    <x:row r="1973">
      <x:c r="F1973" s="124"/>
      <x:c r="G1973" s="124"/>
      <x:c r="H1973" s="124"/>
      <x:c r="I1973" s="124"/>
      <x:c r="J1973" s="124"/>
      <x:c r="M1973" s="126"/>
      <x:c r="P1973" s="126"/>
      <x:c r="Q1973" s="126"/>
      <x:c r="R1973" s="126"/>
      <x:c r="S1973" s="124"/>
      <x:c r="T1973" s="124"/>
      <x:c r="U1973" s="124"/>
      <x:c r="V1973" s="124"/>
      <x:c r="W1973" s="124"/>
      <x:c r="X1973" s="124"/>
      <x:c r="AD1973"/>
      <x:c r="AE1973" s="145"/>
      <x:c r="AF1973" s="145"/>
      <x:c r="AG1973" s="145"/>
      <x:c r="AH1973" s="145"/>
      <x:c r="AI1973" s="145"/>
      <x:c r="AJ1973"/>
    </x:row>
    <x:row r="1974">
      <x:c r="F1974" s="124"/>
      <x:c r="G1974" s="124"/>
      <x:c r="H1974" s="124"/>
      <x:c r="I1974" s="124"/>
      <x:c r="J1974" s="124"/>
      <x:c r="M1974" s="126"/>
      <x:c r="P1974" s="126"/>
      <x:c r="Q1974" s="126"/>
      <x:c r="R1974" s="126"/>
      <x:c r="S1974" s="124"/>
      <x:c r="T1974" s="124"/>
      <x:c r="U1974" s="124"/>
      <x:c r="V1974" s="124"/>
      <x:c r="W1974" s="124"/>
      <x:c r="X1974" s="124"/>
      <x:c r="AD1974"/>
      <x:c r="AE1974" s="145"/>
      <x:c r="AF1974" s="145"/>
      <x:c r="AG1974" s="145"/>
      <x:c r="AH1974" s="145"/>
      <x:c r="AI1974" s="145"/>
      <x:c r="AJ1974"/>
    </x:row>
    <x:row r="1975">
      <x:c r="F1975" s="124"/>
      <x:c r="G1975" s="124"/>
      <x:c r="H1975" s="124"/>
      <x:c r="I1975" s="124"/>
      <x:c r="J1975" s="124"/>
      <x:c r="M1975" s="126"/>
      <x:c r="P1975" s="126"/>
      <x:c r="Q1975" s="126"/>
      <x:c r="R1975" s="126"/>
      <x:c r="S1975" s="124"/>
      <x:c r="T1975" s="124"/>
      <x:c r="U1975" s="124"/>
      <x:c r="V1975" s="124"/>
      <x:c r="W1975" s="124"/>
      <x:c r="X1975" s="124"/>
      <x:c r="AD1975"/>
      <x:c r="AE1975" s="145"/>
      <x:c r="AF1975" s="145"/>
      <x:c r="AG1975" s="145"/>
      <x:c r="AH1975" s="145"/>
      <x:c r="AI1975" s="145"/>
      <x:c r="AJ1975"/>
    </x:row>
    <x:row r="1976">
      <x:c r="F1976" s="124"/>
      <x:c r="G1976" s="124"/>
      <x:c r="H1976" s="124"/>
      <x:c r="I1976" s="124"/>
      <x:c r="J1976" s="124"/>
      <x:c r="M1976" s="126"/>
      <x:c r="P1976" s="126"/>
      <x:c r="Q1976" s="126"/>
      <x:c r="R1976" s="126"/>
      <x:c r="S1976" s="124"/>
      <x:c r="T1976" s="124"/>
      <x:c r="U1976" s="124"/>
      <x:c r="V1976" s="124"/>
      <x:c r="W1976" s="124"/>
      <x:c r="X1976" s="124"/>
      <x:c r="AD1976"/>
      <x:c r="AE1976" s="145"/>
      <x:c r="AF1976" s="145"/>
      <x:c r="AG1976" s="145"/>
      <x:c r="AH1976" s="145"/>
      <x:c r="AI1976" s="145"/>
      <x:c r="AJ1976"/>
    </x:row>
    <x:row r="1977">
      <x:c r="F1977" s="124"/>
      <x:c r="G1977" s="124"/>
      <x:c r="H1977" s="124"/>
      <x:c r="I1977" s="124"/>
      <x:c r="J1977" s="124"/>
      <x:c r="M1977" s="126"/>
      <x:c r="P1977" s="126"/>
      <x:c r="Q1977" s="126"/>
      <x:c r="R1977" s="126"/>
      <x:c r="S1977" s="124"/>
      <x:c r="T1977" s="124"/>
      <x:c r="U1977" s="124"/>
      <x:c r="V1977" s="124"/>
      <x:c r="W1977" s="124"/>
      <x:c r="X1977" s="124"/>
      <x:c r="AD1977"/>
      <x:c r="AE1977" s="145"/>
      <x:c r="AF1977" s="145"/>
      <x:c r="AG1977" s="145"/>
      <x:c r="AH1977" s="145"/>
      <x:c r="AI1977" s="145"/>
      <x:c r="AJ1977"/>
    </x:row>
    <x:row r="1978">
      <x:c r="F1978" s="124"/>
      <x:c r="G1978" s="124"/>
      <x:c r="H1978" s="124"/>
      <x:c r="I1978" s="124"/>
      <x:c r="J1978" s="124"/>
      <x:c r="M1978" s="126"/>
      <x:c r="P1978" s="126"/>
      <x:c r="Q1978" s="126"/>
      <x:c r="R1978" s="126"/>
      <x:c r="S1978" s="124"/>
      <x:c r="T1978" s="124"/>
      <x:c r="U1978" s="124"/>
      <x:c r="V1978" s="124"/>
      <x:c r="W1978" s="124"/>
      <x:c r="X1978" s="124"/>
      <x:c r="AD1978"/>
      <x:c r="AE1978" s="145"/>
      <x:c r="AF1978" s="145"/>
      <x:c r="AG1978" s="145"/>
      <x:c r="AH1978" s="145"/>
      <x:c r="AI1978" s="145"/>
      <x:c r="AJ1978"/>
    </x:row>
    <x:row r="1979">
      <x:c r="F1979" s="124"/>
      <x:c r="G1979" s="124"/>
      <x:c r="H1979" s="124"/>
      <x:c r="I1979" s="124"/>
      <x:c r="J1979" s="124"/>
      <x:c r="M1979" s="126"/>
      <x:c r="P1979" s="126"/>
      <x:c r="Q1979" s="126"/>
      <x:c r="R1979" s="126"/>
      <x:c r="S1979" s="124"/>
      <x:c r="T1979" s="124"/>
      <x:c r="U1979" s="124"/>
      <x:c r="V1979" s="124"/>
      <x:c r="W1979" s="124"/>
      <x:c r="X1979" s="124"/>
      <x:c r="AD1979"/>
      <x:c r="AE1979" s="145"/>
      <x:c r="AF1979" s="145"/>
      <x:c r="AG1979" s="145"/>
      <x:c r="AH1979" s="145"/>
      <x:c r="AI1979" s="145"/>
      <x:c r="AJ1979"/>
    </x:row>
    <x:row r="1980">
      <x:c r="F1980" s="124"/>
      <x:c r="G1980" s="124"/>
      <x:c r="H1980" s="124"/>
      <x:c r="I1980" s="124"/>
      <x:c r="J1980" s="124"/>
      <x:c r="M1980" s="126"/>
      <x:c r="P1980" s="126"/>
      <x:c r="Q1980" s="126"/>
      <x:c r="R1980" s="126"/>
      <x:c r="S1980" s="124"/>
      <x:c r="T1980" s="124"/>
      <x:c r="U1980" s="124"/>
      <x:c r="V1980" s="124"/>
      <x:c r="W1980" s="124"/>
      <x:c r="X1980" s="124"/>
      <x:c r="AD1980"/>
      <x:c r="AE1980" s="145"/>
      <x:c r="AF1980" s="145"/>
      <x:c r="AG1980" s="145"/>
      <x:c r="AH1980" s="145"/>
      <x:c r="AI1980" s="145"/>
      <x:c r="AJ1980"/>
    </x:row>
    <x:row r="1981">
      <x:c r="F1981" s="124"/>
      <x:c r="G1981" s="124"/>
      <x:c r="H1981" s="124"/>
      <x:c r="I1981" s="124"/>
      <x:c r="J1981" s="124"/>
      <x:c r="M1981" s="126"/>
      <x:c r="P1981" s="126"/>
      <x:c r="Q1981" s="126"/>
      <x:c r="R1981" s="126"/>
      <x:c r="S1981" s="124"/>
      <x:c r="T1981" s="124"/>
      <x:c r="U1981" s="124"/>
      <x:c r="V1981" s="124"/>
      <x:c r="W1981" s="124"/>
      <x:c r="X1981" s="124"/>
      <x:c r="AD1981"/>
      <x:c r="AE1981" s="145"/>
      <x:c r="AF1981" s="145"/>
      <x:c r="AG1981" s="145"/>
      <x:c r="AH1981" s="145"/>
      <x:c r="AI1981" s="145"/>
      <x:c r="AJ1981"/>
    </x:row>
    <x:row r="1982">
      <x:c r="F1982" s="124"/>
      <x:c r="G1982" s="124"/>
      <x:c r="H1982" s="124"/>
      <x:c r="I1982" s="124"/>
      <x:c r="J1982" s="124"/>
      <x:c r="M1982" s="126"/>
      <x:c r="P1982" s="126"/>
      <x:c r="Q1982" s="126"/>
      <x:c r="R1982" s="126"/>
      <x:c r="S1982" s="124"/>
      <x:c r="T1982" s="124"/>
      <x:c r="U1982" s="124"/>
      <x:c r="V1982" s="124"/>
      <x:c r="W1982" s="124"/>
      <x:c r="X1982" s="124"/>
      <x:c r="AD1982"/>
      <x:c r="AE1982" s="145"/>
      <x:c r="AF1982" s="145"/>
      <x:c r="AG1982" s="145"/>
      <x:c r="AH1982" s="145"/>
      <x:c r="AI1982" s="145"/>
      <x:c r="AJ1982"/>
    </x:row>
    <x:row r="1983">
      <x:c r="F1983" s="124"/>
      <x:c r="G1983" s="124"/>
      <x:c r="H1983" s="124"/>
      <x:c r="I1983" s="124"/>
      <x:c r="J1983" s="124"/>
      <x:c r="M1983" s="126"/>
      <x:c r="P1983" s="126"/>
      <x:c r="Q1983" s="126"/>
      <x:c r="R1983" s="126"/>
      <x:c r="S1983" s="124"/>
      <x:c r="T1983" s="124"/>
      <x:c r="U1983" s="124"/>
      <x:c r="V1983" s="124"/>
      <x:c r="W1983" s="124"/>
      <x:c r="X1983" s="124"/>
      <x:c r="AD1983"/>
      <x:c r="AE1983" s="145"/>
      <x:c r="AF1983" s="145"/>
      <x:c r="AG1983" s="145"/>
      <x:c r="AH1983" s="145"/>
      <x:c r="AI1983" s="145"/>
      <x:c r="AJ1983"/>
    </x:row>
    <x:row r="1984">
      <x:c r="F1984" s="124"/>
      <x:c r="G1984" s="124"/>
      <x:c r="H1984" s="124"/>
      <x:c r="I1984" s="124"/>
      <x:c r="J1984" s="124"/>
      <x:c r="M1984" s="126"/>
      <x:c r="P1984" s="126"/>
      <x:c r="Q1984" s="126"/>
      <x:c r="R1984" s="126"/>
      <x:c r="S1984" s="124"/>
      <x:c r="T1984" s="124"/>
      <x:c r="U1984" s="124"/>
      <x:c r="V1984" s="124"/>
      <x:c r="W1984" s="124"/>
      <x:c r="X1984" s="124"/>
      <x:c r="AD1984"/>
      <x:c r="AE1984" s="145"/>
      <x:c r="AF1984" s="145"/>
      <x:c r="AG1984" s="145"/>
      <x:c r="AH1984" s="145"/>
      <x:c r="AI1984" s="145"/>
      <x:c r="AJ1984"/>
    </x:row>
    <x:row r="1985">
      <x:c r="F1985" s="124"/>
      <x:c r="G1985" s="124"/>
      <x:c r="H1985" s="124"/>
      <x:c r="I1985" s="124"/>
      <x:c r="J1985" s="124"/>
      <x:c r="M1985" s="126"/>
      <x:c r="P1985" s="126"/>
      <x:c r="Q1985" s="126"/>
      <x:c r="R1985" s="126"/>
      <x:c r="S1985" s="124"/>
      <x:c r="T1985" s="124"/>
      <x:c r="U1985" s="124"/>
      <x:c r="V1985" s="124"/>
      <x:c r="W1985" s="124"/>
      <x:c r="X1985" s="124"/>
      <x:c r="AD1985"/>
      <x:c r="AE1985" s="145"/>
      <x:c r="AF1985" s="145"/>
      <x:c r="AG1985" s="145"/>
      <x:c r="AH1985" s="145"/>
      <x:c r="AI1985" s="145"/>
      <x:c r="AJ1985"/>
    </x:row>
    <x:row r="1986">
      <x:c r="F1986" s="124"/>
      <x:c r="G1986" s="124"/>
      <x:c r="H1986" s="124"/>
      <x:c r="I1986" s="124"/>
      <x:c r="J1986" s="124"/>
      <x:c r="M1986" s="126"/>
      <x:c r="P1986" s="126"/>
      <x:c r="Q1986" s="126"/>
      <x:c r="R1986" s="126"/>
      <x:c r="S1986" s="124"/>
      <x:c r="T1986" s="124"/>
      <x:c r="U1986" s="124"/>
      <x:c r="V1986" s="124"/>
      <x:c r="W1986" s="124"/>
      <x:c r="X1986" s="124"/>
      <x:c r="AD1986"/>
      <x:c r="AE1986" s="145"/>
      <x:c r="AF1986" s="145"/>
      <x:c r="AG1986" s="145"/>
      <x:c r="AH1986" s="145"/>
      <x:c r="AI1986" s="145"/>
      <x:c r="AJ1986"/>
    </x:row>
    <x:row r="1987">
      <x:c r="F1987" s="124"/>
      <x:c r="G1987" s="124"/>
      <x:c r="H1987" s="124"/>
      <x:c r="I1987" s="124"/>
      <x:c r="J1987" s="124"/>
      <x:c r="M1987" s="126"/>
      <x:c r="P1987" s="126"/>
      <x:c r="Q1987" s="126"/>
      <x:c r="R1987" s="126"/>
      <x:c r="S1987" s="124"/>
      <x:c r="T1987" s="124"/>
      <x:c r="U1987" s="124"/>
      <x:c r="V1987" s="124"/>
      <x:c r="W1987" s="124"/>
      <x:c r="X1987" s="124"/>
      <x:c r="AD1987"/>
      <x:c r="AE1987" s="145"/>
      <x:c r="AF1987" s="145"/>
      <x:c r="AG1987" s="145"/>
      <x:c r="AH1987" s="145"/>
      <x:c r="AI1987" s="145"/>
      <x:c r="AJ1987"/>
    </x:row>
    <x:row r="1988">
      <x:c r="F1988" s="124"/>
      <x:c r="G1988" s="124"/>
      <x:c r="H1988" s="124"/>
      <x:c r="I1988" s="124"/>
      <x:c r="J1988" s="124"/>
      <x:c r="M1988" s="126"/>
      <x:c r="P1988" s="126"/>
      <x:c r="Q1988" s="126"/>
      <x:c r="R1988" s="126"/>
      <x:c r="S1988" s="124"/>
      <x:c r="T1988" s="124"/>
      <x:c r="U1988" s="124"/>
      <x:c r="V1988" s="124"/>
      <x:c r="W1988" s="124"/>
      <x:c r="X1988" s="124"/>
      <x:c r="AD1988"/>
      <x:c r="AE1988" s="145"/>
      <x:c r="AF1988" s="145"/>
      <x:c r="AG1988" s="145"/>
      <x:c r="AH1988" s="145"/>
      <x:c r="AI1988" s="145"/>
      <x:c r="AJ1988"/>
    </x:row>
    <x:row r="1989">
      <x:c r="F1989" s="124"/>
      <x:c r="G1989" s="124"/>
      <x:c r="H1989" s="124"/>
      <x:c r="I1989" s="124"/>
      <x:c r="J1989" s="124"/>
      <x:c r="M1989" s="126"/>
      <x:c r="P1989" s="126"/>
      <x:c r="Q1989" s="126"/>
      <x:c r="R1989" s="126"/>
      <x:c r="S1989" s="124"/>
      <x:c r="T1989" s="124"/>
      <x:c r="U1989" s="124"/>
      <x:c r="V1989" s="124"/>
      <x:c r="W1989" s="124"/>
      <x:c r="X1989" s="124"/>
      <x:c r="AD1989"/>
      <x:c r="AE1989" s="145"/>
      <x:c r="AF1989" s="145"/>
      <x:c r="AG1989" s="145"/>
      <x:c r="AH1989" s="145"/>
      <x:c r="AI1989" s="145"/>
      <x:c r="AJ1989"/>
    </x:row>
    <x:row r="1990">
      <x:c r="F1990" s="124"/>
      <x:c r="G1990" s="124"/>
      <x:c r="H1990" s="124"/>
      <x:c r="I1990" s="124"/>
      <x:c r="J1990" s="124"/>
      <x:c r="M1990" s="126"/>
      <x:c r="P1990" s="126"/>
      <x:c r="Q1990" s="126"/>
      <x:c r="R1990" s="126"/>
      <x:c r="S1990" s="124"/>
      <x:c r="T1990" s="124"/>
      <x:c r="U1990" s="124"/>
      <x:c r="V1990" s="124"/>
      <x:c r="W1990" s="124"/>
      <x:c r="X1990" s="124"/>
      <x:c r="AD1990"/>
      <x:c r="AE1990" s="145"/>
      <x:c r="AF1990" s="145"/>
      <x:c r="AG1990" s="145"/>
      <x:c r="AH1990" s="145"/>
      <x:c r="AI1990" s="145"/>
      <x:c r="AJ1990"/>
    </x:row>
    <x:row r="1991">
      <x:c r="F1991" s="124"/>
      <x:c r="G1991" s="124"/>
      <x:c r="H1991" s="124"/>
      <x:c r="I1991" s="124"/>
      <x:c r="J1991" s="124"/>
      <x:c r="M1991" s="126"/>
      <x:c r="P1991" s="126"/>
      <x:c r="Q1991" s="126"/>
      <x:c r="R1991" s="126"/>
      <x:c r="S1991" s="124"/>
      <x:c r="T1991" s="124"/>
      <x:c r="U1991" s="124"/>
      <x:c r="V1991" s="124"/>
      <x:c r="W1991" s="124"/>
      <x:c r="X1991" s="124"/>
      <x:c r="AD1991"/>
      <x:c r="AE1991" s="145"/>
      <x:c r="AF1991" s="145"/>
      <x:c r="AG1991" s="145"/>
      <x:c r="AH1991" s="145"/>
      <x:c r="AI1991" s="145"/>
      <x:c r="AJ1991"/>
    </x:row>
    <x:row r="1992">
      <x:c r="F1992" s="124"/>
      <x:c r="G1992" s="124"/>
      <x:c r="H1992" s="124"/>
      <x:c r="I1992" s="124"/>
      <x:c r="J1992" s="124"/>
      <x:c r="M1992" s="126"/>
      <x:c r="P1992" s="126"/>
      <x:c r="Q1992" s="126"/>
      <x:c r="R1992" s="126"/>
      <x:c r="S1992" s="124"/>
      <x:c r="T1992" s="124"/>
      <x:c r="U1992" s="124"/>
      <x:c r="V1992" s="124"/>
      <x:c r="W1992" s="124"/>
      <x:c r="X1992" s="124"/>
      <x:c r="AD1992"/>
      <x:c r="AE1992" s="145"/>
      <x:c r="AF1992" s="145"/>
      <x:c r="AG1992" s="145"/>
      <x:c r="AH1992" s="145"/>
      <x:c r="AI1992" s="145"/>
      <x:c r="AJ1992"/>
    </x:row>
    <x:row r="1993">
      <x:c r="F1993" s="124"/>
      <x:c r="G1993" s="124"/>
      <x:c r="H1993" s="124"/>
      <x:c r="I1993" s="124"/>
      <x:c r="J1993" s="124"/>
      <x:c r="M1993" s="126"/>
      <x:c r="P1993" s="126"/>
      <x:c r="Q1993" s="126"/>
      <x:c r="R1993" s="126"/>
      <x:c r="S1993" s="124"/>
      <x:c r="T1993" s="124"/>
      <x:c r="U1993" s="124"/>
      <x:c r="V1993" s="124"/>
      <x:c r="W1993" s="124"/>
      <x:c r="X1993" s="124"/>
      <x:c r="AD1993"/>
      <x:c r="AE1993" s="145"/>
      <x:c r="AF1993" s="145"/>
      <x:c r="AG1993" s="145"/>
      <x:c r="AH1993" s="145"/>
      <x:c r="AI1993" s="145"/>
      <x:c r="AJ1993"/>
    </x:row>
    <x:row r="1994">
      <x:c r="F1994" s="124"/>
      <x:c r="G1994" s="124"/>
      <x:c r="H1994" s="124"/>
      <x:c r="I1994" s="124"/>
      <x:c r="J1994" s="124"/>
      <x:c r="M1994" s="126"/>
      <x:c r="P1994" s="126"/>
      <x:c r="Q1994" s="126"/>
      <x:c r="R1994" s="126"/>
      <x:c r="S1994" s="124"/>
      <x:c r="T1994" s="124"/>
      <x:c r="U1994" s="124"/>
      <x:c r="V1994" s="124"/>
      <x:c r="W1994" s="124"/>
      <x:c r="X1994" s="124"/>
      <x:c r="AD1994"/>
      <x:c r="AE1994" s="145"/>
      <x:c r="AF1994" s="145"/>
      <x:c r="AG1994" s="145"/>
      <x:c r="AH1994" s="145"/>
      <x:c r="AI1994" s="145"/>
      <x:c r="AJ1994"/>
    </x:row>
    <x:row r="1995">
      <x:c r="F1995" s="124"/>
      <x:c r="G1995" s="124"/>
      <x:c r="H1995" s="124"/>
      <x:c r="I1995" s="124"/>
      <x:c r="J1995" s="124"/>
      <x:c r="M1995" s="126"/>
      <x:c r="P1995" s="126"/>
      <x:c r="Q1995" s="126"/>
      <x:c r="R1995" s="126"/>
      <x:c r="S1995" s="124"/>
      <x:c r="T1995" s="124"/>
      <x:c r="U1995" s="124"/>
      <x:c r="V1995" s="124"/>
      <x:c r="W1995" s="124"/>
      <x:c r="X1995" s="124"/>
      <x:c r="AD1995"/>
      <x:c r="AE1995" s="145"/>
      <x:c r="AF1995" s="145"/>
      <x:c r="AG1995" s="145"/>
      <x:c r="AH1995" s="145"/>
      <x:c r="AI1995" s="145"/>
      <x:c r="AJ1995"/>
    </x:row>
    <x:row r="1996">
      <x:c r="F1996" s="124"/>
      <x:c r="G1996" s="124"/>
      <x:c r="H1996" s="124"/>
      <x:c r="I1996" s="124"/>
      <x:c r="J1996" s="124"/>
      <x:c r="M1996" s="126"/>
      <x:c r="P1996" s="126"/>
      <x:c r="Q1996" s="126"/>
      <x:c r="R1996" s="126"/>
      <x:c r="S1996" s="124"/>
      <x:c r="T1996" s="124"/>
      <x:c r="U1996" s="124"/>
      <x:c r="V1996" s="124"/>
      <x:c r="W1996" s="124"/>
      <x:c r="X1996" s="124"/>
      <x:c r="AD1996"/>
      <x:c r="AE1996" s="145"/>
      <x:c r="AF1996" s="145"/>
      <x:c r="AG1996" s="145"/>
      <x:c r="AH1996" s="145"/>
      <x:c r="AI1996" s="145"/>
      <x:c r="AJ1996"/>
    </x:row>
    <x:row r="1997">
      <x:c r="F1997" s="124"/>
      <x:c r="G1997" s="124"/>
      <x:c r="H1997" s="124"/>
      <x:c r="I1997" s="124"/>
      <x:c r="J1997" s="124"/>
      <x:c r="M1997" s="126"/>
      <x:c r="P1997" s="126"/>
      <x:c r="Q1997" s="126"/>
      <x:c r="R1997" s="126"/>
      <x:c r="S1997" s="124"/>
      <x:c r="T1997" s="124"/>
      <x:c r="U1997" s="124"/>
      <x:c r="V1997" s="124"/>
      <x:c r="W1997" s="124"/>
      <x:c r="X1997" s="124"/>
      <x:c r="AD1997"/>
      <x:c r="AE1997" s="145"/>
      <x:c r="AF1997" s="145"/>
      <x:c r="AG1997" s="145"/>
      <x:c r="AH1997" s="145"/>
      <x:c r="AI1997" s="145"/>
      <x:c r="AJ1997"/>
    </x:row>
    <x:row r="1998">
      <x:c r="F1998" s="124"/>
      <x:c r="G1998" s="124"/>
      <x:c r="H1998" s="124"/>
      <x:c r="I1998" s="124"/>
      <x:c r="J1998" s="124"/>
      <x:c r="M1998" s="126"/>
      <x:c r="P1998" s="126"/>
      <x:c r="Q1998" s="126"/>
      <x:c r="R1998" s="126"/>
      <x:c r="S1998" s="124"/>
      <x:c r="T1998" s="124"/>
      <x:c r="U1998" s="124"/>
      <x:c r="V1998" s="124"/>
      <x:c r="W1998" s="124"/>
      <x:c r="X1998" s="124"/>
      <x:c r="AD1998"/>
      <x:c r="AE1998" s="145"/>
      <x:c r="AF1998" s="145"/>
      <x:c r="AG1998" s="145"/>
      <x:c r="AH1998" s="145"/>
      <x:c r="AI1998" s="145"/>
      <x:c r="AJ1998"/>
    </x:row>
    <x:row r="1999">
      <x:c r="F1999" s="124"/>
      <x:c r="G1999" s="124"/>
      <x:c r="H1999" s="124"/>
      <x:c r="I1999" s="124"/>
      <x:c r="J1999" s="124"/>
      <x:c r="M1999" s="126"/>
      <x:c r="P1999" s="126"/>
      <x:c r="Q1999" s="126"/>
      <x:c r="R1999" s="126"/>
      <x:c r="S1999" s="124"/>
      <x:c r="T1999" s="124"/>
      <x:c r="U1999" s="124"/>
      <x:c r="V1999" s="124"/>
      <x:c r="W1999" s="124"/>
      <x:c r="X1999" s="124"/>
      <x:c r="AD1999"/>
      <x:c r="AE1999" s="145"/>
      <x:c r="AF1999" s="145"/>
      <x:c r="AG1999" s="145"/>
      <x:c r="AH1999" s="145"/>
      <x:c r="AI1999" s="145"/>
      <x:c r="AJ1999"/>
    </x:row>
    <x:row r="2000">
      <x:c r="F2000" s="124"/>
      <x:c r="G2000" s="124"/>
      <x:c r="H2000" s="124"/>
      <x:c r="I2000" s="124"/>
      <x:c r="J2000" s="124"/>
      <x:c r="M2000" s="126"/>
      <x:c r="P2000" s="126"/>
      <x:c r="Q2000" s="126"/>
      <x:c r="R2000" s="126"/>
      <x:c r="S2000" s="124"/>
      <x:c r="T2000" s="124"/>
      <x:c r="U2000" s="124"/>
      <x:c r="V2000" s="124"/>
      <x:c r="W2000" s="124"/>
      <x:c r="X2000" s="124"/>
      <x:c r="AD2000"/>
      <x:c r="AE2000" s="145"/>
      <x:c r="AF2000" s="145"/>
      <x:c r="AG2000" s="145"/>
      <x:c r="AH2000" s="145"/>
      <x:c r="AI2000" s="145"/>
      <x:c r="AJ2000"/>
    </x:row>
    <x:row r="2001">
      <x:c r="F2001" s="124"/>
      <x:c r="G2001" s="124"/>
      <x:c r="H2001" s="124"/>
      <x:c r="I2001" s="124"/>
      <x:c r="J2001" s="124"/>
      <x:c r="M2001" s="126"/>
      <x:c r="P2001" s="126"/>
      <x:c r="Q2001" s="126"/>
      <x:c r="R2001" s="126"/>
      <x:c r="S2001" s="124"/>
      <x:c r="T2001" s="124"/>
      <x:c r="U2001" s="124"/>
      <x:c r="V2001" s="124"/>
      <x:c r="W2001" s="124"/>
      <x:c r="X2001" s="124"/>
      <x:c r="AD2001"/>
      <x:c r="AE2001" s="145"/>
      <x:c r="AF2001" s="145"/>
      <x:c r="AG2001" s="145"/>
      <x:c r="AH2001" s="145"/>
      <x:c r="AI2001" s="145"/>
      <x:c r="AJ2001"/>
    </x:row>
    <x:row r="2002">
      <x:c r="F2002" s="124"/>
      <x:c r="G2002" s="124"/>
      <x:c r="H2002" s="124"/>
      <x:c r="I2002" s="124"/>
      <x:c r="J2002" s="124"/>
      <x:c r="M2002" s="126"/>
      <x:c r="P2002" s="126"/>
      <x:c r="Q2002" s="126"/>
      <x:c r="R2002" s="126"/>
      <x:c r="S2002" s="124"/>
      <x:c r="T2002" s="124"/>
      <x:c r="U2002" s="124"/>
      <x:c r="V2002" s="124"/>
      <x:c r="W2002" s="124"/>
      <x:c r="X2002" s="124"/>
      <x:c r="AD2002"/>
      <x:c r="AE2002" s="145"/>
      <x:c r="AF2002" s="145"/>
      <x:c r="AG2002" s="145"/>
      <x:c r="AH2002" s="145"/>
      <x:c r="AI2002" s="145"/>
      <x:c r="AJ2002"/>
    </x:row>
    <x:row r="2003">
      <x:c r="F2003" s="124"/>
      <x:c r="G2003" s="124"/>
      <x:c r="H2003" s="124"/>
      <x:c r="I2003" s="124"/>
      <x:c r="J2003" s="124"/>
      <x:c r="M2003" s="126"/>
      <x:c r="P2003" s="126"/>
      <x:c r="Q2003" s="126"/>
      <x:c r="R2003" s="126"/>
      <x:c r="S2003" s="124"/>
      <x:c r="T2003" s="124"/>
      <x:c r="U2003" s="124"/>
      <x:c r="V2003" s="124"/>
      <x:c r="W2003" s="124"/>
      <x:c r="X2003" s="124"/>
      <x:c r="AD2003"/>
      <x:c r="AE2003" s="145"/>
      <x:c r="AF2003" s="145"/>
      <x:c r="AG2003" s="145"/>
      <x:c r="AH2003" s="145"/>
      <x:c r="AI2003" s="145"/>
      <x:c r="AJ2003"/>
    </x:row>
    <x:row r="2004">
      <x:c r="F2004" s="124"/>
      <x:c r="G2004" s="124"/>
      <x:c r="H2004" s="124"/>
      <x:c r="I2004" s="124"/>
      <x:c r="J2004" s="124"/>
      <x:c r="M2004" s="126"/>
      <x:c r="P2004" s="126"/>
      <x:c r="Q2004" s="126"/>
      <x:c r="R2004" s="126"/>
      <x:c r="S2004" s="124"/>
      <x:c r="T2004" s="124"/>
      <x:c r="U2004" s="124"/>
      <x:c r="V2004" s="124"/>
      <x:c r="W2004" s="124"/>
      <x:c r="X2004" s="124"/>
      <x:c r="AD2004"/>
      <x:c r="AE2004" s="145"/>
      <x:c r="AF2004" s="145"/>
      <x:c r="AG2004" s="145"/>
      <x:c r="AH2004" s="145"/>
      <x:c r="AI2004" s="145"/>
      <x:c r="AJ2004"/>
    </x:row>
    <x:row r="2005">
      <x:c r="F2005" s="124"/>
      <x:c r="G2005" s="124"/>
      <x:c r="H2005" s="124"/>
      <x:c r="I2005" s="124"/>
      <x:c r="J2005" s="124"/>
      <x:c r="M2005" s="126"/>
      <x:c r="P2005" s="126"/>
      <x:c r="Q2005" s="126"/>
      <x:c r="R2005" s="126"/>
      <x:c r="S2005" s="124"/>
      <x:c r="T2005" s="124"/>
      <x:c r="U2005" s="124"/>
      <x:c r="V2005" s="124"/>
      <x:c r="W2005" s="124"/>
      <x:c r="X2005" s="124"/>
      <x:c r="AD2005"/>
      <x:c r="AE2005" s="145"/>
      <x:c r="AF2005" s="145"/>
      <x:c r="AG2005" s="145"/>
      <x:c r="AH2005" s="145"/>
      <x:c r="AI2005" s="145"/>
      <x:c r="AJ2005"/>
    </x:row>
    <x:row r="2006">
      <x:c r="F2006" s="124"/>
      <x:c r="G2006" s="124"/>
      <x:c r="H2006" s="124"/>
      <x:c r="I2006" s="124"/>
      <x:c r="J2006" s="124"/>
      <x:c r="M2006" s="126"/>
      <x:c r="P2006" s="126"/>
      <x:c r="Q2006" s="126"/>
      <x:c r="R2006" s="126"/>
      <x:c r="S2006" s="124"/>
      <x:c r="T2006" s="124"/>
      <x:c r="U2006" s="124"/>
      <x:c r="V2006" s="124"/>
      <x:c r="W2006" s="124"/>
      <x:c r="X2006" s="124"/>
      <x:c r="AD2006"/>
      <x:c r="AE2006" s="145"/>
      <x:c r="AF2006" s="145"/>
      <x:c r="AG2006" s="145"/>
      <x:c r="AH2006" s="145"/>
      <x:c r="AI2006" s="145"/>
      <x:c r="AJ2006"/>
    </x:row>
    <x:row r="2007">
      <x:c r="F2007" s="124"/>
      <x:c r="G2007" s="124"/>
      <x:c r="H2007" s="124"/>
      <x:c r="I2007" s="124"/>
      <x:c r="J2007" s="124"/>
      <x:c r="M2007" s="126"/>
      <x:c r="P2007" s="126"/>
      <x:c r="Q2007" s="126"/>
      <x:c r="R2007" s="126"/>
      <x:c r="S2007" s="124"/>
      <x:c r="T2007" s="124"/>
      <x:c r="U2007" s="124"/>
      <x:c r="V2007" s="124"/>
      <x:c r="W2007" s="124"/>
      <x:c r="X2007" s="124"/>
      <x:c r="AD2007"/>
      <x:c r="AE2007" s="145"/>
      <x:c r="AF2007" s="145"/>
      <x:c r="AG2007" s="145"/>
      <x:c r="AH2007" s="145"/>
      <x:c r="AI2007" s="145"/>
      <x:c r="AJ2007"/>
    </x:row>
    <x:row r="2008">
      <x:c r="F2008" s="124"/>
      <x:c r="G2008" s="124"/>
      <x:c r="H2008" s="124"/>
      <x:c r="I2008" s="124"/>
      <x:c r="J2008" s="124"/>
      <x:c r="M2008" s="126"/>
      <x:c r="P2008" s="126"/>
      <x:c r="Q2008" s="126"/>
      <x:c r="R2008" s="126"/>
      <x:c r="S2008" s="124"/>
      <x:c r="T2008" s="124"/>
      <x:c r="U2008" s="124"/>
      <x:c r="V2008" s="124"/>
      <x:c r="W2008" s="124"/>
      <x:c r="X2008" s="124"/>
      <x:c r="AD2008"/>
      <x:c r="AE2008" s="145"/>
      <x:c r="AF2008" s="145"/>
      <x:c r="AG2008" s="145"/>
      <x:c r="AH2008" s="145"/>
      <x:c r="AI2008" s="145"/>
      <x:c r="AJ2008"/>
    </x:row>
    <x:row r="2009">
      <x:c r="F2009" s="124"/>
      <x:c r="G2009" s="124"/>
      <x:c r="H2009" s="124"/>
      <x:c r="I2009" s="124"/>
      <x:c r="J2009" s="124"/>
      <x:c r="M2009" s="126"/>
      <x:c r="P2009" s="126"/>
      <x:c r="Q2009" s="126"/>
      <x:c r="R2009" s="126"/>
      <x:c r="S2009" s="124"/>
      <x:c r="T2009" s="124"/>
      <x:c r="U2009" s="124"/>
      <x:c r="V2009" s="124"/>
      <x:c r="W2009" s="124"/>
      <x:c r="X2009" s="124"/>
      <x:c r="AD2009"/>
      <x:c r="AE2009" s="145"/>
      <x:c r="AF2009" s="145"/>
      <x:c r="AG2009" s="145"/>
      <x:c r="AH2009" s="145"/>
      <x:c r="AI2009" s="145"/>
      <x:c r="AJ2009"/>
    </x:row>
    <x:row r="2010">
      <x:c r="F2010" s="124"/>
      <x:c r="G2010" s="124"/>
      <x:c r="H2010" s="124"/>
      <x:c r="I2010" s="124"/>
      <x:c r="J2010" s="124"/>
      <x:c r="M2010" s="126"/>
      <x:c r="P2010" s="126"/>
      <x:c r="Q2010" s="126"/>
      <x:c r="R2010" s="126"/>
      <x:c r="S2010" s="124"/>
      <x:c r="T2010" s="124"/>
      <x:c r="U2010" s="124"/>
      <x:c r="V2010" s="124"/>
      <x:c r="W2010" s="124"/>
      <x:c r="X2010" s="124"/>
      <x:c r="AD2010"/>
      <x:c r="AE2010" s="145"/>
      <x:c r="AF2010" s="145"/>
      <x:c r="AG2010" s="145"/>
      <x:c r="AH2010" s="145"/>
      <x:c r="AI2010" s="145"/>
      <x:c r="AJ2010"/>
    </x:row>
    <x:row r="2011">
      <x:c r="F2011" s="124"/>
      <x:c r="G2011" s="124"/>
      <x:c r="H2011" s="124"/>
      <x:c r="I2011" s="124"/>
      <x:c r="J2011" s="124"/>
      <x:c r="M2011" s="126"/>
      <x:c r="P2011" s="126"/>
      <x:c r="Q2011" s="126"/>
      <x:c r="R2011" s="126"/>
      <x:c r="S2011" s="124"/>
      <x:c r="T2011" s="124"/>
      <x:c r="U2011" s="124"/>
      <x:c r="V2011" s="124"/>
      <x:c r="W2011" s="124"/>
      <x:c r="X2011" s="124"/>
      <x:c r="AD2011"/>
      <x:c r="AE2011" s="145"/>
      <x:c r="AF2011" s="145"/>
      <x:c r="AG2011" s="145"/>
      <x:c r="AH2011" s="145"/>
      <x:c r="AI2011" s="145"/>
      <x:c r="AJ2011"/>
    </x:row>
    <x:row r="2012">
      <x:c r="F2012" s="124"/>
      <x:c r="G2012" s="124"/>
      <x:c r="H2012" s="124"/>
      <x:c r="I2012" s="124"/>
      <x:c r="J2012" s="124"/>
      <x:c r="M2012" s="126"/>
      <x:c r="P2012" s="126"/>
      <x:c r="Q2012" s="126"/>
      <x:c r="R2012" s="126"/>
      <x:c r="S2012" s="124"/>
      <x:c r="T2012" s="124"/>
      <x:c r="U2012" s="124"/>
      <x:c r="V2012" s="124"/>
      <x:c r="W2012" s="124"/>
      <x:c r="X2012" s="124"/>
      <x:c r="AD2012"/>
      <x:c r="AE2012" s="145"/>
      <x:c r="AF2012" s="145"/>
      <x:c r="AG2012" s="145"/>
      <x:c r="AH2012" s="145"/>
      <x:c r="AI2012" s="145"/>
      <x:c r="AJ2012"/>
    </x:row>
    <x:row r="2013">
      <x:c r="F2013" s="124"/>
      <x:c r="G2013" s="124"/>
      <x:c r="H2013" s="124"/>
      <x:c r="I2013" s="124"/>
      <x:c r="J2013" s="124"/>
      <x:c r="M2013" s="126"/>
      <x:c r="P2013" s="126"/>
      <x:c r="Q2013" s="126"/>
      <x:c r="R2013" s="126"/>
      <x:c r="S2013" s="124"/>
      <x:c r="T2013" s="124"/>
      <x:c r="U2013" s="124"/>
      <x:c r="V2013" s="124"/>
      <x:c r="W2013" s="124"/>
      <x:c r="X2013" s="124"/>
      <x:c r="AD2013"/>
      <x:c r="AE2013" s="145"/>
      <x:c r="AF2013" s="145"/>
      <x:c r="AG2013" s="145"/>
      <x:c r="AH2013" s="145"/>
      <x:c r="AI2013" s="145"/>
      <x:c r="AJ2013"/>
    </x:row>
    <x:row r="2014">
      <x:c r="F2014" s="124"/>
      <x:c r="G2014" s="124"/>
      <x:c r="H2014" s="124"/>
      <x:c r="I2014" s="124"/>
      <x:c r="J2014" s="124"/>
      <x:c r="M2014" s="126"/>
      <x:c r="P2014" s="126"/>
      <x:c r="Q2014" s="126"/>
      <x:c r="R2014" s="126"/>
      <x:c r="S2014" s="124"/>
      <x:c r="T2014" s="124"/>
      <x:c r="U2014" s="124"/>
      <x:c r="V2014" s="124"/>
      <x:c r="W2014" s="124"/>
      <x:c r="X2014" s="124"/>
      <x:c r="AD2014"/>
      <x:c r="AE2014" s="145"/>
      <x:c r="AF2014" s="145"/>
      <x:c r="AG2014" s="145"/>
      <x:c r="AH2014" s="145"/>
      <x:c r="AI2014" s="145"/>
      <x:c r="AJ2014"/>
    </x:row>
    <x:row r="2015">
      <x:c r="F2015" s="124"/>
      <x:c r="G2015" s="124"/>
      <x:c r="H2015" s="124"/>
      <x:c r="I2015" s="124"/>
      <x:c r="J2015" s="124"/>
      <x:c r="M2015" s="126"/>
      <x:c r="P2015" s="126"/>
      <x:c r="Q2015" s="126"/>
      <x:c r="R2015" s="126"/>
      <x:c r="S2015" s="124"/>
      <x:c r="T2015" s="124"/>
      <x:c r="U2015" s="124"/>
      <x:c r="V2015" s="124"/>
      <x:c r="W2015" s="124"/>
      <x:c r="X2015" s="124"/>
      <x:c r="AD2015"/>
      <x:c r="AE2015" s="145"/>
      <x:c r="AF2015" s="145"/>
      <x:c r="AG2015" s="145"/>
      <x:c r="AH2015" s="145"/>
      <x:c r="AI2015" s="145"/>
      <x:c r="AJ2015"/>
    </x:row>
    <x:row r="2016">
      <x:c r="F2016" s="124"/>
      <x:c r="G2016" s="124"/>
      <x:c r="H2016" s="124"/>
      <x:c r="I2016" s="124"/>
      <x:c r="J2016" s="124"/>
      <x:c r="M2016" s="126"/>
      <x:c r="P2016" s="126"/>
      <x:c r="Q2016" s="126"/>
      <x:c r="R2016" s="126"/>
      <x:c r="S2016" s="124"/>
      <x:c r="T2016" s="124"/>
      <x:c r="U2016" s="124"/>
      <x:c r="V2016" s="124"/>
      <x:c r="W2016" s="124"/>
      <x:c r="X2016" s="124"/>
      <x:c r="AD2016"/>
      <x:c r="AE2016" s="145"/>
      <x:c r="AF2016" s="145"/>
      <x:c r="AG2016" s="145"/>
      <x:c r="AH2016" s="145"/>
      <x:c r="AI2016" s="145"/>
      <x:c r="AJ2016"/>
    </x:row>
    <x:row r="2017">
      <x:c r="F2017" s="124"/>
      <x:c r="G2017" s="124"/>
      <x:c r="H2017" s="124"/>
      <x:c r="I2017" s="124"/>
      <x:c r="J2017" s="124"/>
      <x:c r="M2017" s="126"/>
      <x:c r="P2017" s="126"/>
      <x:c r="Q2017" s="126"/>
      <x:c r="R2017" s="126"/>
      <x:c r="S2017" s="124"/>
      <x:c r="T2017" s="124"/>
      <x:c r="U2017" s="124"/>
      <x:c r="V2017" s="124"/>
      <x:c r="W2017" s="124"/>
      <x:c r="X2017" s="124"/>
      <x:c r="AD2017"/>
      <x:c r="AE2017" s="145"/>
      <x:c r="AF2017" s="145"/>
      <x:c r="AG2017" s="145"/>
      <x:c r="AH2017" s="145"/>
      <x:c r="AI2017" s="145"/>
      <x:c r="AJ2017"/>
    </x:row>
    <x:row r="2018">
      <x:c r="F2018" s="124"/>
      <x:c r="G2018" s="124"/>
      <x:c r="H2018" s="124"/>
      <x:c r="I2018" s="124"/>
      <x:c r="J2018" s="124"/>
      <x:c r="M2018" s="126"/>
      <x:c r="P2018" s="126"/>
      <x:c r="Q2018" s="126"/>
      <x:c r="R2018" s="126"/>
      <x:c r="S2018" s="124"/>
      <x:c r="T2018" s="124"/>
      <x:c r="U2018" s="124"/>
      <x:c r="V2018" s="124"/>
      <x:c r="W2018" s="124"/>
      <x:c r="X2018" s="124"/>
      <x:c r="AD2018"/>
      <x:c r="AE2018" s="145"/>
      <x:c r="AF2018" s="145"/>
      <x:c r="AG2018" s="145"/>
      <x:c r="AH2018" s="145"/>
      <x:c r="AI2018" s="145"/>
      <x:c r="AJ2018"/>
    </x:row>
    <x:row r="2019">
      <x:c r="F2019" s="124"/>
      <x:c r="G2019" s="124"/>
      <x:c r="H2019" s="124"/>
      <x:c r="I2019" s="124"/>
      <x:c r="J2019" s="124"/>
      <x:c r="M2019" s="126"/>
      <x:c r="P2019" s="126"/>
      <x:c r="Q2019" s="126"/>
      <x:c r="R2019" s="126"/>
      <x:c r="S2019" s="124"/>
      <x:c r="T2019" s="124"/>
      <x:c r="U2019" s="124"/>
      <x:c r="V2019" s="124"/>
      <x:c r="W2019" s="124"/>
      <x:c r="X2019" s="124"/>
      <x:c r="AD2019"/>
      <x:c r="AE2019" s="145"/>
      <x:c r="AF2019" s="145"/>
      <x:c r="AG2019" s="145"/>
      <x:c r="AH2019" s="145"/>
      <x:c r="AI2019" s="145"/>
      <x:c r="AJ2019"/>
    </x:row>
    <x:row r="2020">
      <x:c r="F2020" s="124"/>
      <x:c r="G2020" s="124"/>
      <x:c r="H2020" s="124"/>
      <x:c r="I2020" s="124"/>
      <x:c r="J2020" s="124"/>
      <x:c r="M2020" s="126"/>
      <x:c r="P2020" s="126"/>
      <x:c r="Q2020" s="126"/>
      <x:c r="R2020" s="126"/>
      <x:c r="S2020" s="124"/>
      <x:c r="T2020" s="124"/>
      <x:c r="U2020" s="124"/>
      <x:c r="V2020" s="124"/>
      <x:c r="W2020" s="124"/>
      <x:c r="X2020" s="124"/>
      <x:c r="AD2020"/>
      <x:c r="AE2020" s="145"/>
      <x:c r="AF2020" s="145"/>
      <x:c r="AG2020" s="145"/>
      <x:c r="AH2020" s="145"/>
      <x:c r="AI2020" s="145"/>
      <x:c r="AJ2020"/>
    </x:row>
    <x:row r="2021">
      <x:c r="F2021" s="124"/>
      <x:c r="G2021" s="124"/>
      <x:c r="H2021" s="124"/>
      <x:c r="I2021" s="124"/>
      <x:c r="J2021" s="124"/>
      <x:c r="M2021" s="126"/>
      <x:c r="P2021" s="126"/>
      <x:c r="Q2021" s="126"/>
      <x:c r="R2021" s="126"/>
      <x:c r="S2021" s="124"/>
      <x:c r="T2021" s="124"/>
      <x:c r="U2021" s="124"/>
      <x:c r="V2021" s="124"/>
      <x:c r="W2021" s="124"/>
      <x:c r="X2021" s="124"/>
      <x:c r="AD2021"/>
      <x:c r="AE2021" s="145"/>
      <x:c r="AF2021" s="145"/>
      <x:c r="AG2021" s="145"/>
      <x:c r="AH2021" s="145"/>
      <x:c r="AI2021" s="145"/>
      <x:c r="AJ2021"/>
    </x:row>
    <x:row r="2022">
      <x:c r="F2022" s="124"/>
      <x:c r="G2022" s="124"/>
      <x:c r="H2022" s="124"/>
      <x:c r="I2022" s="124"/>
      <x:c r="J2022" s="124"/>
      <x:c r="M2022" s="126"/>
      <x:c r="P2022" s="126"/>
      <x:c r="Q2022" s="126"/>
      <x:c r="R2022" s="126"/>
      <x:c r="S2022" s="124"/>
      <x:c r="T2022" s="124"/>
      <x:c r="U2022" s="124"/>
      <x:c r="V2022" s="124"/>
      <x:c r="W2022" s="124"/>
      <x:c r="X2022" s="124"/>
      <x:c r="AD2022"/>
      <x:c r="AE2022" s="145"/>
      <x:c r="AF2022" s="145"/>
      <x:c r="AG2022" s="145"/>
      <x:c r="AH2022" s="145"/>
      <x:c r="AI2022" s="145"/>
      <x:c r="AJ2022"/>
    </x:row>
    <x:row r="2023">
      <x:c r="F2023" s="124"/>
      <x:c r="G2023" s="124"/>
      <x:c r="H2023" s="124"/>
      <x:c r="I2023" s="124"/>
      <x:c r="J2023" s="124"/>
      <x:c r="M2023" s="126"/>
      <x:c r="P2023" s="126"/>
      <x:c r="Q2023" s="126"/>
      <x:c r="R2023" s="126"/>
      <x:c r="S2023" s="124"/>
      <x:c r="T2023" s="124"/>
      <x:c r="U2023" s="124"/>
      <x:c r="V2023" s="124"/>
      <x:c r="W2023" s="124"/>
      <x:c r="X2023" s="124"/>
      <x:c r="AD2023"/>
      <x:c r="AE2023" s="145"/>
      <x:c r="AF2023" s="145"/>
      <x:c r="AG2023" s="145"/>
      <x:c r="AH2023" s="145"/>
      <x:c r="AI2023" s="145"/>
      <x:c r="AJ2023"/>
    </x:row>
    <x:row r="2024">
      <x:c r="F2024" s="124"/>
      <x:c r="G2024" s="124"/>
      <x:c r="H2024" s="124"/>
      <x:c r="I2024" s="124"/>
      <x:c r="J2024" s="124"/>
      <x:c r="M2024" s="126"/>
      <x:c r="P2024" s="126"/>
      <x:c r="Q2024" s="126"/>
      <x:c r="R2024" s="126"/>
      <x:c r="S2024" s="124"/>
      <x:c r="T2024" s="124"/>
      <x:c r="U2024" s="124"/>
      <x:c r="V2024" s="124"/>
      <x:c r="W2024" s="124"/>
      <x:c r="X2024" s="124"/>
      <x:c r="AD2024"/>
      <x:c r="AE2024" s="145"/>
      <x:c r="AF2024" s="145"/>
      <x:c r="AG2024" s="145"/>
      <x:c r="AH2024" s="145"/>
      <x:c r="AI2024" s="145"/>
      <x:c r="AJ2024"/>
    </x:row>
    <x:row r="2025">
      <x:c r="F2025" s="124"/>
      <x:c r="G2025" s="124"/>
      <x:c r="H2025" s="124"/>
      <x:c r="I2025" s="124"/>
      <x:c r="J2025" s="124"/>
      <x:c r="M2025" s="126"/>
      <x:c r="P2025" s="126"/>
      <x:c r="Q2025" s="126"/>
      <x:c r="R2025" s="126"/>
      <x:c r="S2025" s="124"/>
      <x:c r="T2025" s="124"/>
      <x:c r="U2025" s="124"/>
      <x:c r="V2025" s="124"/>
      <x:c r="W2025" s="124"/>
      <x:c r="X2025" s="124"/>
      <x:c r="AD2025"/>
      <x:c r="AE2025" s="145"/>
      <x:c r="AF2025" s="145"/>
      <x:c r="AG2025" s="145"/>
      <x:c r="AH2025" s="145"/>
      <x:c r="AI2025" s="145"/>
      <x:c r="AJ2025"/>
    </x:row>
    <x:row r="2026">
      <x:c r="F2026" s="124"/>
      <x:c r="G2026" s="124"/>
      <x:c r="H2026" s="124"/>
      <x:c r="I2026" s="124"/>
      <x:c r="J2026" s="124"/>
      <x:c r="M2026" s="126"/>
      <x:c r="P2026" s="126"/>
      <x:c r="Q2026" s="126"/>
      <x:c r="R2026" s="126"/>
      <x:c r="S2026" s="124"/>
      <x:c r="T2026" s="124"/>
      <x:c r="U2026" s="124"/>
      <x:c r="V2026" s="124"/>
      <x:c r="W2026" s="124"/>
      <x:c r="X2026" s="124"/>
      <x:c r="AD2026"/>
      <x:c r="AE2026" s="145"/>
      <x:c r="AF2026" s="145"/>
      <x:c r="AG2026" s="145"/>
      <x:c r="AH2026" s="145"/>
      <x:c r="AI2026" s="145"/>
      <x:c r="AJ2026"/>
    </x:row>
    <x:row r="2027">
      <x:c r="F2027" s="124"/>
      <x:c r="G2027" s="124"/>
      <x:c r="H2027" s="124"/>
      <x:c r="I2027" s="124"/>
      <x:c r="J2027" s="124"/>
      <x:c r="M2027" s="126"/>
      <x:c r="P2027" s="126"/>
      <x:c r="Q2027" s="126"/>
      <x:c r="R2027" s="126"/>
      <x:c r="S2027" s="124"/>
      <x:c r="T2027" s="124"/>
      <x:c r="U2027" s="124"/>
      <x:c r="V2027" s="124"/>
      <x:c r="W2027" s="124"/>
      <x:c r="X2027" s="124"/>
      <x:c r="AD2027"/>
      <x:c r="AE2027" s="145"/>
      <x:c r="AF2027" s="145"/>
      <x:c r="AG2027" s="145"/>
      <x:c r="AH2027" s="145"/>
      <x:c r="AI2027" s="145"/>
      <x:c r="AJ2027"/>
    </x:row>
    <x:row r="2028">
      <x:c r="F2028" s="124"/>
      <x:c r="G2028" s="124"/>
      <x:c r="H2028" s="124"/>
      <x:c r="I2028" s="124"/>
      <x:c r="J2028" s="124"/>
      <x:c r="M2028" s="126"/>
      <x:c r="P2028" s="126"/>
      <x:c r="Q2028" s="126"/>
      <x:c r="R2028" s="126"/>
      <x:c r="S2028" s="124"/>
      <x:c r="T2028" s="124"/>
      <x:c r="U2028" s="124"/>
      <x:c r="V2028" s="124"/>
      <x:c r="W2028" s="124"/>
      <x:c r="X2028" s="124"/>
      <x:c r="AD2028"/>
      <x:c r="AE2028" s="145"/>
      <x:c r="AF2028" s="145"/>
      <x:c r="AG2028" s="145"/>
      <x:c r="AH2028" s="145"/>
      <x:c r="AI2028" s="145"/>
      <x:c r="AJ2028"/>
    </x:row>
    <x:row r="2029">
      <x:c r="F2029" s="124"/>
      <x:c r="G2029" s="124"/>
      <x:c r="H2029" s="124"/>
      <x:c r="I2029" s="124"/>
      <x:c r="J2029" s="124"/>
      <x:c r="M2029" s="126"/>
      <x:c r="P2029" s="126"/>
      <x:c r="Q2029" s="126"/>
      <x:c r="R2029" s="126"/>
      <x:c r="S2029" s="124"/>
      <x:c r="T2029" s="124"/>
      <x:c r="U2029" s="124"/>
      <x:c r="V2029" s="124"/>
      <x:c r="W2029" s="124"/>
      <x:c r="X2029" s="124"/>
      <x:c r="AD2029"/>
      <x:c r="AE2029" s="145"/>
      <x:c r="AF2029" s="145"/>
      <x:c r="AG2029" s="145"/>
      <x:c r="AH2029" s="145"/>
      <x:c r="AI2029" s="145"/>
      <x:c r="AJ2029"/>
    </x:row>
    <x:row r="2030">
      <x:c r="F2030" s="124"/>
      <x:c r="G2030" s="124"/>
      <x:c r="H2030" s="124"/>
      <x:c r="I2030" s="124"/>
      <x:c r="J2030" s="124"/>
      <x:c r="M2030" s="126"/>
      <x:c r="P2030" s="126"/>
      <x:c r="Q2030" s="126"/>
      <x:c r="R2030" s="126"/>
      <x:c r="S2030" s="124"/>
      <x:c r="T2030" s="124"/>
      <x:c r="U2030" s="124"/>
      <x:c r="V2030" s="124"/>
      <x:c r="W2030" s="124"/>
      <x:c r="X2030" s="124"/>
      <x:c r="AD2030"/>
      <x:c r="AE2030" s="145"/>
      <x:c r="AF2030" s="145"/>
      <x:c r="AG2030" s="145"/>
      <x:c r="AH2030" s="145"/>
      <x:c r="AI2030" s="145"/>
      <x:c r="AJ2030"/>
    </x:row>
    <x:row r="2031">
      <x:c r="F2031" s="124"/>
      <x:c r="G2031" s="124"/>
      <x:c r="H2031" s="124"/>
      <x:c r="I2031" s="124"/>
      <x:c r="J2031" s="124"/>
      <x:c r="M2031" s="126"/>
      <x:c r="P2031" s="126"/>
      <x:c r="Q2031" s="126"/>
      <x:c r="R2031" s="126"/>
      <x:c r="S2031" s="124"/>
      <x:c r="T2031" s="124"/>
      <x:c r="U2031" s="124"/>
      <x:c r="V2031" s="124"/>
      <x:c r="W2031" s="124"/>
      <x:c r="X2031" s="124"/>
      <x:c r="AD2031"/>
      <x:c r="AE2031" s="145"/>
      <x:c r="AF2031" s="145"/>
      <x:c r="AG2031" s="145"/>
      <x:c r="AH2031" s="145"/>
      <x:c r="AI2031" s="145"/>
      <x:c r="AJ2031"/>
    </x:row>
    <x:row r="2032">
      <x:c r="F2032" s="124"/>
      <x:c r="G2032" s="124"/>
      <x:c r="H2032" s="124"/>
      <x:c r="I2032" s="124"/>
      <x:c r="J2032" s="124"/>
      <x:c r="M2032" s="126"/>
      <x:c r="P2032" s="126"/>
      <x:c r="Q2032" s="126"/>
      <x:c r="R2032" s="126"/>
      <x:c r="S2032" s="124"/>
      <x:c r="T2032" s="124"/>
      <x:c r="U2032" s="124"/>
      <x:c r="V2032" s="124"/>
      <x:c r="W2032" s="124"/>
      <x:c r="X2032" s="124"/>
      <x:c r="AD2032"/>
      <x:c r="AE2032" s="145"/>
      <x:c r="AF2032" s="145"/>
      <x:c r="AG2032" s="145"/>
      <x:c r="AH2032" s="145"/>
      <x:c r="AI2032" s="145"/>
      <x:c r="AJ2032"/>
    </x:row>
    <x:row r="2033">
      <x:c r="F2033" s="124"/>
      <x:c r="G2033" s="124"/>
      <x:c r="H2033" s="124"/>
      <x:c r="I2033" s="124"/>
      <x:c r="J2033" s="124"/>
      <x:c r="M2033" s="126"/>
      <x:c r="P2033" s="126"/>
      <x:c r="Q2033" s="126"/>
      <x:c r="R2033" s="126"/>
      <x:c r="S2033" s="124"/>
      <x:c r="T2033" s="124"/>
      <x:c r="U2033" s="124"/>
      <x:c r="V2033" s="124"/>
      <x:c r="W2033" s="124"/>
      <x:c r="X2033" s="124"/>
      <x:c r="AD2033"/>
      <x:c r="AE2033" s="145"/>
      <x:c r="AF2033" s="145"/>
      <x:c r="AG2033" s="145"/>
      <x:c r="AH2033" s="145"/>
      <x:c r="AI2033" s="145"/>
      <x:c r="AJ2033"/>
    </x:row>
    <x:row r="2034">
      <x:c r="F2034" s="124"/>
      <x:c r="G2034" s="124"/>
      <x:c r="H2034" s="124"/>
      <x:c r="I2034" s="124"/>
      <x:c r="J2034" s="124"/>
      <x:c r="M2034" s="126"/>
      <x:c r="P2034" s="126"/>
      <x:c r="Q2034" s="126"/>
      <x:c r="R2034" s="126"/>
      <x:c r="S2034" s="124"/>
      <x:c r="T2034" s="124"/>
      <x:c r="U2034" s="124"/>
      <x:c r="V2034" s="124"/>
      <x:c r="W2034" s="124"/>
      <x:c r="X2034" s="124"/>
      <x:c r="AD2034"/>
      <x:c r="AE2034" s="145"/>
      <x:c r="AF2034" s="145"/>
      <x:c r="AG2034" s="145"/>
      <x:c r="AH2034" s="145"/>
      <x:c r="AI2034" s="145"/>
      <x:c r="AJ2034"/>
    </x:row>
    <x:row r="2035">
      <x:c r="F2035" s="124"/>
      <x:c r="G2035" s="124"/>
      <x:c r="H2035" s="124"/>
      <x:c r="I2035" s="124"/>
      <x:c r="J2035" s="124"/>
      <x:c r="M2035" s="126"/>
      <x:c r="P2035" s="126"/>
      <x:c r="Q2035" s="126"/>
      <x:c r="R2035" s="126"/>
      <x:c r="S2035" s="124"/>
      <x:c r="T2035" s="124"/>
      <x:c r="U2035" s="124"/>
      <x:c r="V2035" s="124"/>
      <x:c r="W2035" s="124"/>
      <x:c r="X2035" s="124"/>
      <x:c r="AD2035"/>
      <x:c r="AE2035" s="145"/>
      <x:c r="AF2035" s="145"/>
      <x:c r="AG2035" s="145"/>
      <x:c r="AH2035" s="145"/>
      <x:c r="AI2035" s="145"/>
      <x:c r="AJ2035"/>
    </x:row>
    <x:row r="2036">
      <x:c r="F2036" s="124"/>
      <x:c r="G2036" s="124"/>
      <x:c r="H2036" s="124"/>
      <x:c r="I2036" s="124"/>
      <x:c r="J2036" s="124"/>
      <x:c r="M2036" s="126"/>
      <x:c r="P2036" s="126"/>
      <x:c r="Q2036" s="126"/>
      <x:c r="R2036" s="126"/>
      <x:c r="S2036" s="124"/>
      <x:c r="T2036" s="124"/>
      <x:c r="U2036" s="124"/>
      <x:c r="V2036" s="124"/>
      <x:c r="W2036" s="124"/>
      <x:c r="X2036" s="124"/>
      <x:c r="AD2036"/>
      <x:c r="AE2036" s="145"/>
      <x:c r="AF2036" s="145"/>
      <x:c r="AG2036" s="145"/>
      <x:c r="AH2036" s="145"/>
      <x:c r="AI2036" s="145"/>
      <x:c r="AJ2036"/>
    </x:row>
    <x:row r="2037">
      <x:c r="F2037" s="124"/>
      <x:c r="G2037" s="124"/>
      <x:c r="H2037" s="124"/>
      <x:c r="I2037" s="124"/>
      <x:c r="J2037" s="124"/>
      <x:c r="M2037" s="126"/>
      <x:c r="P2037" s="126"/>
      <x:c r="Q2037" s="126"/>
      <x:c r="R2037" s="126"/>
      <x:c r="S2037" s="124"/>
      <x:c r="T2037" s="124"/>
      <x:c r="U2037" s="124"/>
      <x:c r="V2037" s="124"/>
      <x:c r="W2037" s="124"/>
      <x:c r="X2037" s="124"/>
      <x:c r="AD2037"/>
      <x:c r="AE2037" s="145"/>
      <x:c r="AF2037" s="145"/>
      <x:c r="AG2037" s="145"/>
      <x:c r="AH2037" s="145"/>
      <x:c r="AI2037" s="145"/>
      <x:c r="AJ2037"/>
    </x:row>
    <x:row r="2038">
      <x:c r="F2038" s="124"/>
      <x:c r="G2038" s="124"/>
      <x:c r="H2038" s="124"/>
      <x:c r="I2038" s="124"/>
      <x:c r="J2038" s="124"/>
      <x:c r="M2038" s="126"/>
      <x:c r="P2038" s="126"/>
      <x:c r="Q2038" s="126"/>
      <x:c r="R2038" s="126"/>
      <x:c r="S2038" s="124"/>
      <x:c r="T2038" s="124"/>
      <x:c r="U2038" s="124"/>
      <x:c r="V2038" s="124"/>
      <x:c r="W2038" s="124"/>
      <x:c r="X2038" s="124"/>
      <x:c r="AD2038"/>
      <x:c r="AE2038" s="145"/>
      <x:c r="AF2038" s="145"/>
      <x:c r="AG2038" s="145"/>
      <x:c r="AH2038" s="145"/>
      <x:c r="AI2038" s="145"/>
      <x:c r="AJ2038"/>
    </x:row>
    <x:row r="2039">
      <x:c r="F2039" s="124"/>
      <x:c r="G2039" s="124"/>
      <x:c r="H2039" s="124"/>
      <x:c r="I2039" s="124"/>
      <x:c r="J2039" s="124"/>
      <x:c r="M2039" s="126"/>
      <x:c r="P2039" s="126"/>
      <x:c r="Q2039" s="126"/>
      <x:c r="R2039" s="126"/>
      <x:c r="S2039" s="124"/>
      <x:c r="T2039" s="124"/>
      <x:c r="U2039" s="124"/>
      <x:c r="V2039" s="124"/>
      <x:c r="W2039" s="124"/>
      <x:c r="X2039" s="124"/>
      <x:c r="AD2039"/>
      <x:c r="AE2039" s="145"/>
      <x:c r="AF2039" s="145"/>
      <x:c r="AG2039" s="145"/>
      <x:c r="AH2039" s="145"/>
      <x:c r="AI2039" s="145"/>
      <x:c r="AJ2039"/>
    </x:row>
    <x:row r="2040">
      <x:c r="F2040" s="124"/>
      <x:c r="G2040" s="124"/>
      <x:c r="H2040" s="124"/>
      <x:c r="I2040" s="124"/>
      <x:c r="J2040" s="124"/>
      <x:c r="M2040" s="126"/>
      <x:c r="P2040" s="126"/>
      <x:c r="Q2040" s="126"/>
      <x:c r="R2040" s="126"/>
      <x:c r="S2040" s="124"/>
      <x:c r="T2040" s="124"/>
      <x:c r="U2040" s="124"/>
      <x:c r="V2040" s="124"/>
      <x:c r="W2040" s="124"/>
      <x:c r="X2040" s="124"/>
      <x:c r="AD2040"/>
      <x:c r="AE2040" s="145"/>
      <x:c r="AF2040" s="145"/>
      <x:c r="AG2040" s="145"/>
      <x:c r="AH2040" s="145"/>
      <x:c r="AI2040" s="145"/>
      <x:c r="AJ2040"/>
    </x:row>
    <x:row r="2041">
      <x:c r="F2041" s="124"/>
      <x:c r="G2041" s="124"/>
      <x:c r="H2041" s="124"/>
      <x:c r="I2041" s="124"/>
      <x:c r="J2041" s="124"/>
      <x:c r="M2041" s="126"/>
      <x:c r="P2041" s="126"/>
      <x:c r="Q2041" s="126"/>
      <x:c r="R2041" s="126"/>
      <x:c r="S2041" s="124"/>
      <x:c r="T2041" s="124"/>
      <x:c r="U2041" s="124"/>
      <x:c r="V2041" s="124"/>
      <x:c r="W2041" s="124"/>
      <x:c r="X2041" s="124"/>
      <x:c r="AD2041"/>
      <x:c r="AE2041" s="145"/>
      <x:c r="AF2041" s="145"/>
      <x:c r="AG2041" s="145"/>
      <x:c r="AH2041" s="145"/>
      <x:c r="AI2041" s="145"/>
      <x:c r="AJ2041"/>
    </x:row>
    <x:row r="2042">
      <x:c r="F2042" s="124"/>
      <x:c r="G2042" s="124"/>
      <x:c r="H2042" s="124"/>
      <x:c r="I2042" s="124"/>
      <x:c r="J2042" s="124"/>
      <x:c r="M2042" s="126"/>
      <x:c r="P2042" s="126"/>
      <x:c r="Q2042" s="126"/>
      <x:c r="R2042" s="126"/>
      <x:c r="S2042" s="124"/>
      <x:c r="T2042" s="124"/>
      <x:c r="U2042" s="124"/>
      <x:c r="V2042" s="124"/>
      <x:c r="W2042" s="124"/>
      <x:c r="X2042" s="124"/>
      <x:c r="AD2042"/>
      <x:c r="AE2042" s="145"/>
      <x:c r="AF2042" s="145"/>
      <x:c r="AG2042" s="145"/>
      <x:c r="AH2042" s="145"/>
      <x:c r="AI2042" s="145"/>
      <x:c r="AJ2042"/>
    </x:row>
    <x:row r="2043">
      <x:c r="F2043" s="124"/>
      <x:c r="G2043" s="124"/>
      <x:c r="H2043" s="124"/>
      <x:c r="I2043" s="124"/>
      <x:c r="J2043" s="124"/>
      <x:c r="M2043" s="126"/>
      <x:c r="P2043" s="126"/>
      <x:c r="Q2043" s="126"/>
      <x:c r="R2043" s="126"/>
      <x:c r="S2043" s="124"/>
      <x:c r="T2043" s="124"/>
      <x:c r="U2043" s="124"/>
      <x:c r="V2043" s="124"/>
      <x:c r="W2043" s="124"/>
      <x:c r="X2043" s="124"/>
      <x:c r="AD2043"/>
      <x:c r="AE2043" s="145"/>
      <x:c r="AF2043" s="145"/>
      <x:c r="AG2043" s="145"/>
      <x:c r="AH2043" s="145"/>
      <x:c r="AI2043" s="145"/>
      <x:c r="AJ2043"/>
    </x:row>
    <x:row r="2044">
      <x:c r="F2044" s="124"/>
      <x:c r="G2044" s="124"/>
      <x:c r="H2044" s="124"/>
      <x:c r="I2044" s="124"/>
      <x:c r="J2044" s="124"/>
      <x:c r="M2044" s="126"/>
      <x:c r="P2044" s="126"/>
      <x:c r="Q2044" s="126"/>
      <x:c r="R2044" s="126"/>
      <x:c r="S2044" s="124"/>
      <x:c r="T2044" s="124"/>
      <x:c r="U2044" s="124"/>
      <x:c r="V2044" s="124"/>
      <x:c r="W2044" s="124"/>
      <x:c r="X2044" s="124"/>
      <x:c r="AD2044"/>
      <x:c r="AE2044" s="145"/>
      <x:c r="AF2044" s="145"/>
      <x:c r="AG2044" s="145"/>
      <x:c r="AH2044" s="145"/>
      <x:c r="AI2044" s="145"/>
      <x:c r="AJ2044"/>
    </x:row>
    <x:row r="2045">
      <x:c r="F2045" s="124"/>
      <x:c r="G2045" s="124"/>
      <x:c r="H2045" s="124"/>
      <x:c r="I2045" s="124"/>
      <x:c r="J2045" s="124"/>
      <x:c r="M2045" s="126"/>
      <x:c r="P2045" s="126"/>
      <x:c r="Q2045" s="126"/>
      <x:c r="R2045" s="126"/>
      <x:c r="S2045" s="124"/>
      <x:c r="T2045" s="124"/>
      <x:c r="U2045" s="124"/>
      <x:c r="V2045" s="124"/>
      <x:c r="W2045" s="124"/>
      <x:c r="X2045" s="124"/>
      <x:c r="AD2045"/>
      <x:c r="AE2045" s="145"/>
      <x:c r="AF2045" s="145"/>
      <x:c r="AG2045" s="145"/>
      <x:c r="AH2045" s="145"/>
      <x:c r="AI2045" s="145"/>
      <x:c r="AJ2045"/>
    </x:row>
    <x:row r="2046">
      <x:c r="F2046" s="124"/>
      <x:c r="G2046" s="124"/>
      <x:c r="H2046" s="124"/>
      <x:c r="I2046" s="124"/>
      <x:c r="J2046" s="124"/>
      <x:c r="M2046" s="126"/>
      <x:c r="P2046" s="126"/>
      <x:c r="Q2046" s="126"/>
      <x:c r="R2046" s="126"/>
      <x:c r="S2046" s="124"/>
      <x:c r="T2046" s="124"/>
      <x:c r="U2046" s="124"/>
      <x:c r="V2046" s="124"/>
      <x:c r="W2046" s="124"/>
      <x:c r="X2046" s="124"/>
      <x:c r="AD2046"/>
      <x:c r="AE2046" s="145"/>
      <x:c r="AF2046" s="145"/>
      <x:c r="AG2046" s="145"/>
      <x:c r="AH2046" s="145"/>
      <x:c r="AI2046" s="145"/>
      <x:c r="AJ2046"/>
    </x:row>
    <x:row r="2047">
      <x:c r="F2047" s="124"/>
      <x:c r="G2047" s="124"/>
      <x:c r="H2047" s="124"/>
      <x:c r="I2047" s="124"/>
      <x:c r="J2047" s="124"/>
      <x:c r="M2047" s="126"/>
      <x:c r="P2047" s="126"/>
      <x:c r="Q2047" s="126"/>
      <x:c r="R2047" s="126"/>
      <x:c r="S2047" s="124"/>
      <x:c r="T2047" s="124"/>
      <x:c r="U2047" s="124"/>
      <x:c r="V2047" s="124"/>
      <x:c r="W2047" s="124"/>
      <x:c r="X2047" s="124"/>
      <x:c r="AD2047"/>
      <x:c r="AE2047" s="145"/>
      <x:c r="AF2047" s="145"/>
      <x:c r="AG2047" s="145"/>
      <x:c r="AH2047" s="145"/>
      <x:c r="AI2047" s="145"/>
      <x:c r="AJ2047"/>
    </x:row>
    <x:row r="2048">
      <x:c r="F2048" s="124"/>
      <x:c r="G2048" s="124"/>
      <x:c r="H2048" s="124"/>
      <x:c r="I2048" s="124"/>
      <x:c r="J2048" s="124"/>
      <x:c r="M2048" s="126"/>
      <x:c r="P2048" s="126"/>
      <x:c r="Q2048" s="126"/>
      <x:c r="R2048" s="126"/>
      <x:c r="S2048" s="124"/>
      <x:c r="T2048" s="124"/>
      <x:c r="U2048" s="124"/>
      <x:c r="V2048" s="124"/>
      <x:c r="W2048" s="124"/>
      <x:c r="X2048" s="124"/>
      <x:c r="AD2048"/>
      <x:c r="AE2048" s="145"/>
      <x:c r="AF2048" s="145"/>
      <x:c r="AG2048" s="145"/>
      <x:c r="AH2048" s="145"/>
      <x:c r="AI2048" s="145"/>
      <x:c r="AJ2048"/>
    </x:row>
    <x:row r="2049">
      <x:c r="F2049" s="124"/>
      <x:c r="G2049" s="124"/>
      <x:c r="H2049" s="124"/>
      <x:c r="I2049" s="124"/>
      <x:c r="J2049" s="124"/>
      <x:c r="M2049" s="126"/>
      <x:c r="P2049" s="126"/>
      <x:c r="Q2049" s="126"/>
      <x:c r="R2049" s="126"/>
      <x:c r="S2049" s="124"/>
      <x:c r="T2049" s="124"/>
      <x:c r="U2049" s="124"/>
      <x:c r="V2049" s="124"/>
      <x:c r="W2049" s="124"/>
      <x:c r="X2049" s="124"/>
      <x:c r="AD2049"/>
      <x:c r="AE2049" s="145"/>
      <x:c r="AF2049" s="145"/>
      <x:c r="AG2049" s="145"/>
      <x:c r="AH2049" s="145"/>
      <x:c r="AI2049" s="145"/>
      <x:c r="AJ2049"/>
    </x:row>
    <x:row r="2050">
      <x:c r="F2050" s="124"/>
      <x:c r="G2050" s="124"/>
      <x:c r="H2050" s="124"/>
      <x:c r="I2050" s="124"/>
      <x:c r="J2050" s="124"/>
      <x:c r="M2050" s="126"/>
      <x:c r="P2050" s="126"/>
      <x:c r="Q2050" s="126"/>
      <x:c r="R2050" s="126"/>
      <x:c r="S2050" s="124"/>
      <x:c r="T2050" s="124"/>
      <x:c r="U2050" s="124"/>
      <x:c r="V2050" s="124"/>
      <x:c r="W2050" s="124"/>
      <x:c r="X2050" s="124"/>
      <x:c r="AD2050"/>
      <x:c r="AE2050" s="145"/>
      <x:c r="AF2050" s="145"/>
      <x:c r="AG2050" s="145"/>
      <x:c r="AH2050" s="145"/>
      <x:c r="AI2050" s="145"/>
      <x:c r="AJ2050"/>
    </x:row>
    <x:row r="2051">
      <x:c r="F2051" s="124"/>
      <x:c r="G2051" s="124"/>
      <x:c r="H2051" s="124"/>
      <x:c r="I2051" s="124"/>
      <x:c r="J2051" s="124"/>
      <x:c r="M2051" s="126"/>
      <x:c r="P2051" s="126"/>
      <x:c r="Q2051" s="126"/>
      <x:c r="R2051" s="126"/>
      <x:c r="S2051" s="124"/>
      <x:c r="T2051" s="124"/>
      <x:c r="U2051" s="124"/>
      <x:c r="V2051" s="124"/>
      <x:c r="W2051" s="124"/>
      <x:c r="X2051" s="124"/>
      <x:c r="AD2051"/>
      <x:c r="AE2051" s="145"/>
      <x:c r="AF2051" s="145"/>
      <x:c r="AG2051" s="145"/>
      <x:c r="AH2051" s="145"/>
      <x:c r="AI2051" s="145"/>
      <x:c r="AJ2051"/>
    </x:row>
    <x:row r="2052">
      <x:c r="F2052" s="124"/>
      <x:c r="G2052" s="124"/>
      <x:c r="H2052" s="124"/>
      <x:c r="I2052" s="124"/>
      <x:c r="J2052" s="124"/>
      <x:c r="M2052" s="126"/>
      <x:c r="P2052" s="126"/>
      <x:c r="Q2052" s="126"/>
      <x:c r="R2052" s="126"/>
      <x:c r="S2052" s="124"/>
      <x:c r="T2052" s="124"/>
      <x:c r="U2052" s="124"/>
      <x:c r="V2052" s="124"/>
      <x:c r="W2052" s="124"/>
      <x:c r="X2052" s="124"/>
      <x:c r="AD2052"/>
      <x:c r="AE2052" s="145"/>
      <x:c r="AF2052" s="145"/>
      <x:c r="AG2052" s="145"/>
      <x:c r="AH2052" s="145"/>
      <x:c r="AI2052" s="145"/>
      <x:c r="AJ2052"/>
    </x:row>
    <x:row r="2053">
      <x:c r="F2053" s="124"/>
      <x:c r="G2053" s="124"/>
      <x:c r="H2053" s="124"/>
      <x:c r="I2053" s="124"/>
      <x:c r="J2053" s="124"/>
      <x:c r="M2053" s="126"/>
      <x:c r="P2053" s="126"/>
      <x:c r="Q2053" s="126"/>
      <x:c r="R2053" s="126"/>
      <x:c r="S2053" s="124"/>
      <x:c r="T2053" s="124"/>
      <x:c r="U2053" s="124"/>
      <x:c r="V2053" s="124"/>
      <x:c r="W2053" s="124"/>
      <x:c r="X2053" s="124"/>
      <x:c r="AD2053"/>
      <x:c r="AE2053" s="145"/>
      <x:c r="AF2053" s="145"/>
      <x:c r="AG2053" s="145"/>
      <x:c r="AH2053" s="145"/>
      <x:c r="AI2053" s="145"/>
      <x:c r="AJ2053"/>
    </x:row>
    <x:row r="2054">
      <x:c r="F2054" s="124"/>
      <x:c r="G2054" s="124"/>
      <x:c r="H2054" s="124"/>
      <x:c r="I2054" s="124"/>
      <x:c r="J2054" s="124"/>
      <x:c r="M2054" s="126"/>
      <x:c r="P2054" s="126"/>
      <x:c r="Q2054" s="126"/>
      <x:c r="R2054" s="126"/>
      <x:c r="S2054" s="124"/>
      <x:c r="T2054" s="124"/>
      <x:c r="U2054" s="124"/>
      <x:c r="V2054" s="124"/>
      <x:c r="W2054" s="124"/>
      <x:c r="X2054" s="124"/>
      <x:c r="AD2054"/>
      <x:c r="AE2054" s="145"/>
      <x:c r="AF2054" s="145"/>
      <x:c r="AG2054" s="145"/>
      <x:c r="AH2054" s="145"/>
      <x:c r="AI2054" s="145"/>
      <x:c r="AJ2054"/>
    </x:row>
    <x:row r="2055">
      <x:c r="F2055" s="124"/>
      <x:c r="G2055" s="124"/>
      <x:c r="H2055" s="124"/>
      <x:c r="I2055" s="124"/>
      <x:c r="J2055" s="124"/>
      <x:c r="M2055" s="126"/>
      <x:c r="P2055" s="126"/>
      <x:c r="Q2055" s="126"/>
      <x:c r="R2055" s="126"/>
      <x:c r="S2055" s="124"/>
      <x:c r="T2055" s="124"/>
      <x:c r="U2055" s="124"/>
      <x:c r="V2055" s="124"/>
      <x:c r="W2055" s="124"/>
      <x:c r="X2055" s="124"/>
      <x:c r="AD2055"/>
      <x:c r="AE2055" s="145"/>
      <x:c r="AF2055" s="145"/>
      <x:c r="AG2055" s="145"/>
      <x:c r="AH2055" s="145"/>
      <x:c r="AI2055" s="145"/>
      <x:c r="AJ2055"/>
    </x:row>
    <x:row r="2056">
      <x:c r="F2056" s="124"/>
      <x:c r="G2056" s="124"/>
      <x:c r="H2056" s="124"/>
      <x:c r="I2056" s="124"/>
      <x:c r="J2056" s="124"/>
      <x:c r="M2056" s="126"/>
      <x:c r="P2056" s="126"/>
      <x:c r="Q2056" s="126"/>
      <x:c r="R2056" s="126"/>
      <x:c r="S2056" s="124"/>
      <x:c r="T2056" s="124"/>
      <x:c r="U2056" s="124"/>
      <x:c r="V2056" s="124"/>
      <x:c r="W2056" s="124"/>
      <x:c r="X2056" s="124"/>
      <x:c r="AD2056"/>
      <x:c r="AE2056" s="145"/>
      <x:c r="AF2056" s="145"/>
      <x:c r="AG2056" s="145"/>
      <x:c r="AH2056" s="145"/>
      <x:c r="AI2056" s="145"/>
      <x:c r="AJ2056"/>
    </x:row>
    <x:row r="2057">
      <x:c r="F2057" s="124"/>
      <x:c r="G2057" s="124"/>
      <x:c r="H2057" s="124"/>
      <x:c r="I2057" s="124"/>
      <x:c r="J2057" s="124"/>
      <x:c r="M2057" s="126"/>
      <x:c r="P2057" s="126"/>
      <x:c r="Q2057" s="126"/>
      <x:c r="R2057" s="126"/>
      <x:c r="S2057" s="124"/>
      <x:c r="T2057" s="124"/>
      <x:c r="U2057" s="124"/>
      <x:c r="V2057" s="124"/>
      <x:c r="W2057" s="124"/>
      <x:c r="X2057" s="124"/>
      <x:c r="AD2057"/>
      <x:c r="AE2057" s="145"/>
      <x:c r="AF2057" s="145"/>
      <x:c r="AG2057" s="145"/>
      <x:c r="AH2057" s="145"/>
      <x:c r="AI2057" s="145"/>
      <x:c r="AJ2057"/>
    </x:row>
    <x:row r="2058">
      <x:c r="F2058" s="124"/>
      <x:c r="G2058" s="124"/>
      <x:c r="H2058" s="124"/>
      <x:c r="I2058" s="124"/>
      <x:c r="J2058" s="124"/>
      <x:c r="M2058" s="126"/>
      <x:c r="P2058" s="126"/>
      <x:c r="Q2058" s="126"/>
      <x:c r="R2058" s="126"/>
      <x:c r="S2058" s="124"/>
      <x:c r="T2058" s="124"/>
      <x:c r="U2058" s="124"/>
      <x:c r="V2058" s="124"/>
      <x:c r="W2058" s="124"/>
      <x:c r="X2058" s="124"/>
      <x:c r="AD2058"/>
      <x:c r="AE2058" s="145"/>
      <x:c r="AF2058" s="145"/>
      <x:c r="AG2058" s="145"/>
      <x:c r="AH2058" s="145"/>
      <x:c r="AI2058" s="145"/>
      <x:c r="AJ2058"/>
    </x:row>
    <x:row r="2059">
      <x:c r="F2059" s="124"/>
      <x:c r="G2059" s="124"/>
      <x:c r="H2059" s="124"/>
      <x:c r="I2059" s="124"/>
      <x:c r="J2059" s="124"/>
      <x:c r="M2059" s="126"/>
      <x:c r="P2059" s="126"/>
      <x:c r="Q2059" s="126"/>
      <x:c r="R2059" s="126"/>
      <x:c r="S2059" s="124"/>
      <x:c r="T2059" s="124"/>
      <x:c r="U2059" s="124"/>
      <x:c r="V2059" s="124"/>
      <x:c r="W2059" s="124"/>
      <x:c r="X2059" s="124"/>
      <x:c r="AD2059"/>
      <x:c r="AE2059" s="145"/>
      <x:c r="AF2059" s="145"/>
      <x:c r="AG2059" s="145"/>
      <x:c r="AH2059" s="145"/>
      <x:c r="AI2059" s="145"/>
      <x:c r="AJ2059"/>
    </x:row>
    <x:row r="2060">
      <x:c r="F2060" s="124"/>
      <x:c r="G2060" s="124"/>
      <x:c r="H2060" s="124"/>
      <x:c r="I2060" s="124"/>
      <x:c r="J2060" s="124"/>
      <x:c r="M2060" s="126"/>
      <x:c r="P2060" s="126"/>
      <x:c r="Q2060" s="126"/>
      <x:c r="R2060" s="126"/>
      <x:c r="S2060" s="124"/>
      <x:c r="T2060" s="124"/>
      <x:c r="U2060" s="124"/>
      <x:c r="V2060" s="124"/>
      <x:c r="W2060" s="124"/>
      <x:c r="X2060" s="124"/>
      <x:c r="AD2060"/>
      <x:c r="AE2060" s="145"/>
      <x:c r="AF2060" s="145"/>
      <x:c r="AG2060" s="145"/>
      <x:c r="AH2060" s="145"/>
      <x:c r="AI2060" s="145"/>
      <x:c r="AJ2060"/>
    </x:row>
    <x:row r="2061">
      <x:c r="F2061" s="124"/>
      <x:c r="G2061" s="124"/>
      <x:c r="H2061" s="124"/>
      <x:c r="I2061" s="124"/>
      <x:c r="J2061" s="124"/>
      <x:c r="M2061" s="126"/>
      <x:c r="P2061" s="126"/>
      <x:c r="Q2061" s="126"/>
      <x:c r="R2061" s="126"/>
      <x:c r="S2061" s="124"/>
      <x:c r="T2061" s="124"/>
      <x:c r="U2061" s="124"/>
      <x:c r="V2061" s="124"/>
      <x:c r="W2061" s="124"/>
      <x:c r="X2061" s="124"/>
      <x:c r="AD2061"/>
      <x:c r="AE2061" s="145"/>
      <x:c r="AF2061" s="145"/>
      <x:c r="AG2061" s="145"/>
      <x:c r="AH2061" s="145"/>
      <x:c r="AI2061" s="145"/>
      <x:c r="AJ2061"/>
    </x:row>
    <x:row r="2062">
      <x:c r="F2062" s="124"/>
      <x:c r="G2062" s="124"/>
      <x:c r="H2062" s="124"/>
      <x:c r="I2062" s="124"/>
      <x:c r="J2062" s="124"/>
      <x:c r="M2062" s="126"/>
      <x:c r="P2062" s="126"/>
      <x:c r="Q2062" s="126"/>
      <x:c r="R2062" s="126"/>
      <x:c r="S2062" s="124"/>
      <x:c r="T2062" s="124"/>
      <x:c r="U2062" s="124"/>
      <x:c r="V2062" s="124"/>
      <x:c r="W2062" s="124"/>
      <x:c r="X2062" s="124"/>
      <x:c r="AD2062"/>
      <x:c r="AE2062" s="145"/>
      <x:c r="AF2062" s="145"/>
      <x:c r="AG2062" s="145"/>
      <x:c r="AH2062" s="145"/>
      <x:c r="AI2062" s="145"/>
      <x:c r="AJ2062"/>
    </x:row>
    <x:row r="2063">
      <x:c r="F2063" s="124"/>
      <x:c r="G2063" s="124"/>
      <x:c r="H2063" s="124"/>
      <x:c r="I2063" s="124"/>
      <x:c r="J2063" s="124"/>
      <x:c r="M2063" s="126"/>
      <x:c r="P2063" s="126"/>
      <x:c r="Q2063" s="126"/>
      <x:c r="R2063" s="126"/>
      <x:c r="S2063" s="124"/>
      <x:c r="T2063" s="124"/>
      <x:c r="U2063" s="124"/>
      <x:c r="V2063" s="124"/>
      <x:c r="W2063" s="124"/>
      <x:c r="X2063" s="124"/>
      <x:c r="AD2063"/>
      <x:c r="AE2063" s="145"/>
      <x:c r="AF2063" s="145"/>
      <x:c r="AG2063" s="145"/>
      <x:c r="AH2063" s="145"/>
      <x:c r="AI2063" s="145"/>
      <x:c r="AJ2063"/>
    </x:row>
    <x:row r="2064">
      <x:c r="F2064" s="124"/>
      <x:c r="G2064" s="124"/>
      <x:c r="H2064" s="124"/>
      <x:c r="I2064" s="124"/>
      <x:c r="J2064" s="124"/>
      <x:c r="M2064" s="126"/>
      <x:c r="P2064" s="126"/>
      <x:c r="Q2064" s="126"/>
      <x:c r="R2064" s="126"/>
      <x:c r="S2064" s="124"/>
      <x:c r="T2064" s="124"/>
      <x:c r="U2064" s="124"/>
      <x:c r="V2064" s="124"/>
      <x:c r="W2064" s="124"/>
      <x:c r="X2064" s="124"/>
      <x:c r="AD2064"/>
      <x:c r="AE2064" s="145"/>
      <x:c r="AF2064" s="145"/>
      <x:c r="AG2064" s="145"/>
      <x:c r="AH2064" s="145"/>
      <x:c r="AI2064" s="145"/>
      <x:c r="AJ2064"/>
    </x:row>
    <x:row r="2065">
      <x:c r="F2065" s="124"/>
      <x:c r="G2065" s="124"/>
      <x:c r="H2065" s="124"/>
      <x:c r="I2065" s="124"/>
      <x:c r="J2065" s="124"/>
      <x:c r="M2065" s="126"/>
      <x:c r="P2065" s="126"/>
      <x:c r="Q2065" s="126"/>
      <x:c r="R2065" s="126"/>
      <x:c r="S2065" s="124"/>
      <x:c r="T2065" s="124"/>
      <x:c r="U2065" s="124"/>
      <x:c r="V2065" s="124"/>
      <x:c r="W2065" s="124"/>
      <x:c r="X2065" s="124"/>
      <x:c r="AD2065"/>
      <x:c r="AE2065" s="145"/>
      <x:c r="AF2065" s="145"/>
      <x:c r="AG2065" s="145"/>
      <x:c r="AH2065" s="145"/>
      <x:c r="AI2065" s="145"/>
      <x:c r="AJ2065"/>
    </x:row>
    <x:row r="2066">
      <x:c r="F2066" s="124"/>
      <x:c r="G2066" s="124"/>
      <x:c r="H2066" s="124"/>
      <x:c r="I2066" s="124"/>
      <x:c r="J2066" s="124"/>
      <x:c r="M2066" s="126"/>
      <x:c r="P2066" s="126"/>
      <x:c r="Q2066" s="126"/>
      <x:c r="R2066" s="126"/>
      <x:c r="S2066" s="124"/>
      <x:c r="T2066" s="124"/>
      <x:c r="U2066" s="124"/>
      <x:c r="V2066" s="124"/>
      <x:c r="W2066" s="124"/>
      <x:c r="X2066" s="124"/>
      <x:c r="AD2066"/>
      <x:c r="AE2066" s="145"/>
      <x:c r="AF2066" s="145"/>
      <x:c r="AG2066" s="145"/>
      <x:c r="AH2066" s="145"/>
      <x:c r="AI2066" s="145"/>
      <x:c r="AJ2066"/>
    </x:row>
    <x:row r="2067">
      <x:c r="F2067" s="124"/>
      <x:c r="G2067" s="124"/>
      <x:c r="H2067" s="124"/>
      <x:c r="I2067" s="124"/>
      <x:c r="J2067" s="124"/>
      <x:c r="M2067" s="126"/>
      <x:c r="P2067" s="126"/>
      <x:c r="Q2067" s="126"/>
      <x:c r="R2067" s="126"/>
      <x:c r="S2067" s="124"/>
      <x:c r="T2067" s="124"/>
      <x:c r="U2067" s="124"/>
      <x:c r="V2067" s="124"/>
      <x:c r="W2067" s="124"/>
      <x:c r="X2067" s="124"/>
      <x:c r="AD2067"/>
      <x:c r="AE2067" s="145"/>
      <x:c r="AF2067" s="145"/>
      <x:c r="AG2067" s="145"/>
      <x:c r="AH2067" s="145"/>
      <x:c r="AI2067" s="145"/>
      <x:c r="AJ2067"/>
    </x:row>
    <x:row r="2068">
      <x:c r="F2068" s="124"/>
      <x:c r="G2068" s="124"/>
      <x:c r="H2068" s="124"/>
      <x:c r="I2068" s="124"/>
      <x:c r="J2068" s="124"/>
      <x:c r="M2068" s="126"/>
      <x:c r="P2068" s="126"/>
      <x:c r="Q2068" s="126"/>
      <x:c r="R2068" s="126"/>
      <x:c r="S2068" s="124"/>
      <x:c r="T2068" s="124"/>
      <x:c r="U2068" s="124"/>
      <x:c r="V2068" s="124"/>
      <x:c r="W2068" s="124"/>
      <x:c r="X2068" s="124"/>
      <x:c r="AD2068"/>
      <x:c r="AE2068" s="145"/>
      <x:c r="AF2068" s="145"/>
      <x:c r="AG2068" s="145"/>
      <x:c r="AH2068" s="145"/>
      <x:c r="AI2068" s="145"/>
      <x:c r="AJ2068"/>
    </x:row>
    <x:row r="2069">
      <x:c r="F2069" s="124"/>
      <x:c r="G2069" s="124"/>
      <x:c r="H2069" s="124"/>
      <x:c r="I2069" s="124"/>
      <x:c r="J2069" s="124"/>
      <x:c r="M2069" s="126"/>
      <x:c r="P2069" s="126"/>
      <x:c r="Q2069" s="126"/>
      <x:c r="R2069" s="126"/>
      <x:c r="S2069" s="124"/>
      <x:c r="T2069" s="124"/>
      <x:c r="U2069" s="124"/>
      <x:c r="V2069" s="124"/>
      <x:c r="W2069" s="124"/>
      <x:c r="X2069" s="124"/>
      <x:c r="AD2069"/>
      <x:c r="AE2069" s="145"/>
      <x:c r="AF2069" s="145"/>
      <x:c r="AG2069" s="145"/>
      <x:c r="AH2069" s="145"/>
      <x:c r="AI2069" s="145"/>
      <x:c r="AJ2069"/>
    </x:row>
    <x:row r="2070">
      <x:c r="F2070" s="124"/>
      <x:c r="G2070" s="124"/>
      <x:c r="H2070" s="124"/>
      <x:c r="I2070" s="124"/>
      <x:c r="J2070" s="124"/>
      <x:c r="M2070" s="126"/>
      <x:c r="P2070" s="126"/>
      <x:c r="Q2070" s="126"/>
      <x:c r="R2070" s="126"/>
      <x:c r="S2070" s="124"/>
      <x:c r="T2070" s="124"/>
      <x:c r="U2070" s="124"/>
      <x:c r="V2070" s="124"/>
      <x:c r="W2070" s="124"/>
      <x:c r="X2070" s="124"/>
      <x:c r="AD2070"/>
      <x:c r="AE2070" s="145"/>
      <x:c r="AF2070" s="145"/>
      <x:c r="AG2070" s="145"/>
      <x:c r="AH2070" s="145"/>
      <x:c r="AI2070" s="145"/>
      <x:c r="AJ2070"/>
    </x:row>
    <x:row r="2071">
      <x:c r="F2071" s="124"/>
      <x:c r="G2071" s="124"/>
      <x:c r="H2071" s="124"/>
      <x:c r="I2071" s="124"/>
      <x:c r="J2071" s="124"/>
      <x:c r="M2071" s="126"/>
      <x:c r="P2071" s="126"/>
      <x:c r="Q2071" s="126"/>
      <x:c r="R2071" s="126"/>
      <x:c r="S2071" s="124"/>
      <x:c r="T2071" s="124"/>
      <x:c r="U2071" s="124"/>
      <x:c r="V2071" s="124"/>
      <x:c r="W2071" s="124"/>
      <x:c r="X2071" s="124"/>
      <x:c r="AD2071"/>
      <x:c r="AE2071" s="145"/>
      <x:c r="AF2071" s="145"/>
      <x:c r="AG2071" s="145"/>
      <x:c r="AH2071" s="145"/>
      <x:c r="AI2071" s="145"/>
      <x:c r="AJ2071"/>
    </x:row>
    <x:row r="2072">
      <x:c r="F2072" s="124"/>
      <x:c r="G2072" s="124"/>
      <x:c r="H2072" s="124"/>
      <x:c r="I2072" s="124"/>
      <x:c r="J2072" s="124"/>
      <x:c r="M2072" s="126"/>
      <x:c r="P2072" s="126"/>
      <x:c r="Q2072" s="126"/>
      <x:c r="R2072" s="126"/>
      <x:c r="S2072" s="124"/>
      <x:c r="T2072" s="124"/>
      <x:c r="U2072" s="124"/>
      <x:c r="V2072" s="124"/>
      <x:c r="W2072" s="124"/>
      <x:c r="X2072" s="124"/>
      <x:c r="AD2072"/>
      <x:c r="AE2072" s="145"/>
      <x:c r="AF2072" s="145"/>
      <x:c r="AG2072" s="145"/>
      <x:c r="AH2072" s="145"/>
      <x:c r="AI2072" s="145"/>
      <x:c r="AJ2072"/>
    </x:row>
    <x:row r="2073">
      <x:c r="F2073" s="124"/>
      <x:c r="G2073" s="124"/>
      <x:c r="H2073" s="124"/>
      <x:c r="I2073" s="124"/>
      <x:c r="J2073" s="124"/>
      <x:c r="M2073" s="126"/>
      <x:c r="P2073" s="126"/>
      <x:c r="Q2073" s="126"/>
      <x:c r="R2073" s="126"/>
      <x:c r="S2073" s="124"/>
      <x:c r="T2073" s="124"/>
      <x:c r="U2073" s="124"/>
      <x:c r="V2073" s="124"/>
      <x:c r="W2073" s="124"/>
      <x:c r="X2073" s="124"/>
      <x:c r="AD2073"/>
      <x:c r="AE2073" s="145"/>
      <x:c r="AF2073" s="145"/>
      <x:c r="AG2073" s="145"/>
      <x:c r="AH2073" s="145"/>
      <x:c r="AI2073" s="145"/>
      <x:c r="AJ2073"/>
    </x:row>
    <x:row r="2074">
      <x:c r="F2074" s="124"/>
      <x:c r="G2074" s="124"/>
      <x:c r="H2074" s="124"/>
      <x:c r="I2074" s="124"/>
      <x:c r="J2074" s="124"/>
      <x:c r="M2074" s="126"/>
      <x:c r="P2074" s="126"/>
      <x:c r="Q2074" s="126"/>
      <x:c r="R2074" s="126"/>
      <x:c r="S2074" s="124"/>
      <x:c r="T2074" s="124"/>
      <x:c r="U2074" s="124"/>
      <x:c r="V2074" s="124"/>
      <x:c r="W2074" s="124"/>
      <x:c r="X2074" s="124"/>
      <x:c r="AD2074"/>
      <x:c r="AE2074" s="145"/>
      <x:c r="AF2074" s="145"/>
      <x:c r="AG2074" s="145"/>
      <x:c r="AH2074" s="145"/>
      <x:c r="AI2074" s="145"/>
      <x:c r="AJ2074"/>
    </x:row>
    <x:row r="2075">
      <x:c r="F2075" s="124"/>
      <x:c r="G2075" s="124"/>
      <x:c r="H2075" s="124"/>
      <x:c r="I2075" s="124"/>
      <x:c r="J2075" s="124"/>
      <x:c r="M2075" s="126"/>
      <x:c r="P2075" s="126"/>
      <x:c r="Q2075" s="126"/>
      <x:c r="R2075" s="126"/>
      <x:c r="S2075" s="124"/>
      <x:c r="T2075" s="124"/>
      <x:c r="U2075" s="124"/>
      <x:c r="V2075" s="124"/>
      <x:c r="W2075" s="124"/>
      <x:c r="X2075" s="124"/>
      <x:c r="AD2075"/>
      <x:c r="AE2075" s="145"/>
      <x:c r="AF2075" s="145"/>
      <x:c r="AG2075" s="145"/>
      <x:c r="AH2075" s="145"/>
      <x:c r="AI2075" s="145"/>
      <x:c r="AJ2075"/>
    </x:row>
    <x:row r="2076">
      <x:c r="F2076" s="124"/>
      <x:c r="G2076" s="124"/>
      <x:c r="H2076" s="124"/>
      <x:c r="I2076" s="124"/>
      <x:c r="J2076" s="124"/>
      <x:c r="M2076" s="126"/>
      <x:c r="P2076" s="126"/>
      <x:c r="Q2076" s="126"/>
      <x:c r="R2076" s="126"/>
      <x:c r="S2076" s="124"/>
      <x:c r="T2076" s="124"/>
      <x:c r="U2076" s="124"/>
      <x:c r="V2076" s="124"/>
      <x:c r="W2076" s="124"/>
      <x:c r="X2076" s="124"/>
      <x:c r="AD2076"/>
      <x:c r="AE2076" s="145"/>
      <x:c r="AF2076" s="145"/>
      <x:c r="AG2076" s="145"/>
      <x:c r="AH2076" s="145"/>
      <x:c r="AI2076" s="145"/>
      <x:c r="AJ2076"/>
    </x:row>
    <x:row r="2077">
      <x:c r="F2077" s="124"/>
      <x:c r="G2077" s="124"/>
      <x:c r="H2077" s="124"/>
      <x:c r="I2077" s="124"/>
      <x:c r="J2077" s="124"/>
      <x:c r="M2077" s="126"/>
      <x:c r="P2077" s="126"/>
      <x:c r="Q2077" s="126"/>
      <x:c r="R2077" s="126"/>
      <x:c r="S2077" s="124"/>
      <x:c r="T2077" s="124"/>
      <x:c r="U2077" s="124"/>
      <x:c r="V2077" s="124"/>
      <x:c r="W2077" s="124"/>
      <x:c r="X2077" s="124"/>
      <x:c r="AD2077"/>
      <x:c r="AE2077" s="145"/>
      <x:c r="AF2077" s="145"/>
      <x:c r="AG2077" s="145"/>
      <x:c r="AH2077" s="145"/>
      <x:c r="AI2077" s="145"/>
      <x:c r="AJ2077"/>
    </x:row>
    <x:row r="2078">
      <x:c r="F2078" s="124"/>
      <x:c r="G2078" s="124"/>
      <x:c r="H2078" s="124"/>
      <x:c r="I2078" s="124"/>
      <x:c r="J2078" s="124"/>
      <x:c r="M2078" s="126"/>
      <x:c r="P2078" s="126"/>
      <x:c r="Q2078" s="126"/>
      <x:c r="R2078" s="126"/>
      <x:c r="S2078" s="124"/>
      <x:c r="T2078" s="124"/>
      <x:c r="U2078" s="124"/>
      <x:c r="V2078" s="124"/>
      <x:c r="W2078" s="124"/>
      <x:c r="X2078" s="124"/>
      <x:c r="AD2078"/>
      <x:c r="AE2078" s="145"/>
      <x:c r="AF2078" s="145"/>
      <x:c r="AG2078" s="145"/>
      <x:c r="AH2078" s="145"/>
      <x:c r="AI2078" s="145"/>
      <x:c r="AJ2078"/>
    </x:row>
    <x:row r="2079">
      <x:c r="F2079" s="124"/>
      <x:c r="G2079" s="124"/>
      <x:c r="H2079" s="124"/>
      <x:c r="I2079" s="124"/>
      <x:c r="J2079" s="124"/>
      <x:c r="M2079" s="126"/>
      <x:c r="P2079" s="126"/>
      <x:c r="Q2079" s="126"/>
      <x:c r="R2079" s="126"/>
      <x:c r="S2079" s="124"/>
      <x:c r="T2079" s="124"/>
      <x:c r="U2079" s="124"/>
      <x:c r="V2079" s="124"/>
      <x:c r="W2079" s="124"/>
      <x:c r="X2079" s="124"/>
      <x:c r="AD2079"/>
      <x:c r="AE2079" s="145"/>
      <x:c r="AF2079" s="145"/>
      <x:c r="AG2079" s="145"/>
      <x:c r="AH2079" s="145"/>
      <x:c r="AI2079" s="145"/>
      <x:c r="AJ2079"/>
    </x:row>
    <x:row r="2080">
      <x:c r="F2080" s="124"/>
      <x:c r="G2080" s="124"/>
      <x:c r="H2080" s="124"/>
      <x:c r="I2080" s="124"/>
      <x:c r="J2080" s="124"/>
      <x:c r="M2080" s="126"/>
      <x:c r="P2080" s="126"/>
      <x:c r="Q2080" s="126"/>
      <x:c r="R2080" s="126"/>
      <x:c r="S2080" s="124"/>
      <x:c r="T2080" s="124"/>
      <x:c r="U2080" s="124"/>
      <x:c r="V2080" s="124"/>
      <x:c r="W2080" s="124"/>
      <x:c r="X2080" s="124"/>
      <x:c r="AD2080"/>
      <x:c r="AE2080" s="145"/>
      <x:c r="AF2080" s="145"/>
      <x:c r="AG2080" s="145"/>
      <x:c r="AH2080" s="145"/>
      <x:c r="AI2080" s="145"/>
      <x:c r="AJ2080"/>
    </x:row>
    <x:row r="2081">
      <x:c r="F2081" s="124"/>
      <x:c r="G2081" s="124"/>
      <x:c r="H2081" s="124"/>
      <x:c r="I2081" s="124"/>
      <x:c r="J2081" s="124"/>
      <x:c r="M2081" s="126"/>
      <x:c r="P2081" s="126"/>
      <x:c r="Q2081" s="126"/>
      <x:c r="R2081" s="126"/>
      <x:c r="S2081" s="124"/>
      <x:c r="T2081" s="124"/>
      <x:c r="U2081" s="124"/>
      <x:c r="V2081" s="124"/>
      <x:c r="W2081" s="124"/>
      <x:c r="X2081" s="124"/>
      <x:c r="AD2081"/>
      <x:c r="AE2081" s="145"/>
      <x:c r="AF2081" s="145"/>
      <x:c r="AG2081" s="145"/>
      <x:c r="AH2081" s="145"/>
      <x:c r="AI2081" s="145"/>
      <x:c r="AJ2081"/>
    </x:row>
    <x:row r="2082">
      <x:c r="F2082" s="124"/>
      <x:c r="G2082" s="124"/>
      <x:c r="H2082" s="124"/>
      <x:c r="I2082" s="124"/>
      <x:c r="J2082" s="124"/>
      <x:c r="M2082" s="126"/>
      <x:c r="P2082" s="126"/>
      <x:c r="Q2082" s="126"/>
      <x:c r="R2082" s="126"/>
      <x:c r="S2082" s="124"/>
      <x:c r="T2082" s="124"/>
      <x:c r="U2082" s="124"/>
      <x:c r="V2082" s="124"/>
      <x:c r="W2082" s="124"/>
      <x:c r="X2082" s="124"/>
      <x:c r="AD2082"/>
      <x:c r="AE2082" s="145"/>
      <x:c r="AF2082" s="145"/>
      <x:c r="AG2082" s="145"/>
      <x:c r="AH2082" s="145"/>
      <x:c r="AI2082" s="145"/>
      <x:c r="AJ2082"/>
    </x:row>
    <x:row r="2083">
      <x:c r="F2083" s="124"/>
      <x:c r="G2083" s="124"/>
      <x:c r="H2083" s="124"/>
      <x:c r="I2083" s="124"/>
      <x:c r="J2083" s="124"/>
      <x:c r="M2083" s="126"/>
      <x:c r="P2083" s="126"/>
      <x:c r="Q2083" s="126"/>
      <x:c r="R2083" s="126"/>
      <x:c r="S2083" s="124"/>
      <x:c r="T2083" s="124"/>
      <x:c r="U2083" s="124"/>
      <x:c r="V2083" s="124"/>
      <x:c r="W2083" s="124"/>
      <x:c r="X2083" s="124"/>
      <x:c r="AD2083"/>
      <x:c r="AE2083" s="145"/>
      <x:c r="AF2083" s="145"/>
      <x:c r="AG2083" s="145"/>
      <x:c r="AH2083" s="145"/>
      <x:c r="AI2083" s="145"/>
      <x:c r="AJ2083"/>
    </x:row>
    <x:row r="2084">
      <x:c r="F2084" s="124"/>
      <x:c r="G2084" s="124"/>
      <x:c r="H2084" s="124"/>
      <x:c r="I2084" s="124"/>
      <x:c r="J2084" s="124"/>
      <x:c r="M2084" s="126"/>
      <x:c r="P2084" s="126"/>
      <x:c r="Q2084" s="126"/>
      <x:c r="R2084" s="126"/>
      <x:c r="S2084" s="124"/>
      <x:c r="T2084" s="124"/>
      <x:c r="U2084" s="124"/>
      <x:c r="V2084" s="124"/>
      <x:c r="W2084" s="124"/>
      <x:c r="X2084" s="124"/>
      <x:c r="AD2084"/>
      <x:c r="AE2084" s="145"/>
      <x:c r="AF2084" s="145"/>
      <x:c r="AG2084" s="145"/>
      <x:c r="AH2084" s="145"/>
      <x:c r="AI2084" s="145"/>
      <x:c r="AJ2084"/>
    </x:row>
    <x:row r="2085">
      <x:c r="F2085" s="124"/>
      <x:c r="G2085" s="124"/>
      <x:c r="H2085" s="124"/>
      <x:c r="I2085" s="124"/>
      <x:c r="J2085" s="124"/>
      <x:c r="M2085" s="126"/>
      <x:c r="P2085" s="126"/>
      <x:c r="Q2085" s="126"/>
      <x:c r="R2085" s="126"/>
      <x:c r="S2085" s="124"/>
      <x:c r="T2085" s="124"/>
      <x:c r="U2085" s="124"/>
      <x:c r="V2085" s="124"/>
      <x:c r="W2085" s="124"/>
      <x:c r="X2085" s="124"/>
      <x:c r="AD2085"/>
      <x:c r="AE2085" s="145"/>
      <x:c r="AF2085" s="145"/>
      <x:c r="AG2085" s="145"/>
      <x:c r="AH2085" s="145"/>
      <x:c r="AI2085" s="145"/>
      <x:c r="AJ2085"/>
    </x:row>
    <x:row r="2086">
      <x:c r="F2086" s="124"/>
      <x:c r="G2086" s="124"/>
      <x:c r="H2086" s="124"/>
      <x:c r="I2086" s="124"/>
      <x:c r="J2086" s="124"/>
      <x:c r="M2086" s="126"/>
      <x:c r="P2086" s="126"/>
      <x:c r="Q2086" s="126"/>
      <x:c r="R2086" s="126"/>
      <x:c r="S2086" s="124"/>
      <x:c r="T2086" s="124"/>
      <x:c r="U2086" s="124"/>
      <x:c r="V2086" s="124"/>
      <x:c r="W2086" s="124"/>
      <x:c r="X2086" s="124"/>
      <x:c r="AD2086"/>
      <x:c r="AE2086" s="145"/>
      <x:c r="AF2086" s="145"/>
      <x:c r="AG2086" s="145"/>
      <x:c r="AH2086" s="145"/>
      <x:c r="AI2086" s="145"/>
      <x:c r="AJ2086"/>
    </x:row>
    <x:row r="2087">
      <x:c r="F2087" s="124"/>
      <x:c r="G2087" s="124"/>
      <x:c r="H2087" s="124"/>
      <x:c r="I2087" s="124"/>
      <x:c r="J2087" s="124"/>
      <x:c r="M2087" s="126"/>
      <x:c r="P2087" s="126"/>
      <x:c r="Q2087" s="126"/>
      <x:c r="R2087" s="126"/>
      <x:c r="S2087" s="124"/>
      <x:c r="T2087" s="124"/>
      <x:c r="U2087" s="124"/>
      <x:c r="V2087" s="124"/>
      <x:c r="W2087" s="124"/>
      <x:c r="X2087" s="124"/>
      <x:c r="AD2087"/>
      <x:c r="AE2087" s="145"/>
      <x:c r="AF2087" s="145"/>
      <x:c r="AG2087" s="145"/>
      <x:c r="AH2087" s="145"/>
      <x:c r="AI2087" s="145"/>
      <x:c r="AJ2087"/>
    </x:row>
    <x:row r="2088">
      <x:c r="F2088" s="124"/>
      <x:c r="G2088" s="124"/>
      <x:c r="H2088" s="124"/>
      <x:c r="I2088" s="124"/>
      <x:c r="J2088" s="124"/>
      <x:c r="M2088" s="126"/>
      <x:c r="P2088" s="126"/>
      <x:c r="Q2088" s="126"/>
      <x:c r="R2088" s="126"/>
      <x:c r="S2088" s="124"/>
      <x:c r="T2088" s="124"/>
      <x:c r="U2088" s="124"/>
      <x:c r="V2088" s="124"/>
      <x:c r="W2088" s="124"/>
      <x:c r="X2088" s="124"/>
      <x:c r="AD2088"/>
      <x:c r="AE2088" s="145"/>
      <x:c r="AF2088" s="145"/>
      <x:c r="AG2088" s="145"/>
      <x:c r="AH2088" s="145"/>
      <x:c r="AI2088" s="145"/>
      <x:c r="AJ2088"/>
    </x:row>
    <x:row r="2089">
      <x:c r="F2089" s="124"/>
      <x:c r="G2089" s="124"/>
      <x:c r="H2089" s="124"/>
      <x:c r="I2089" s="124"/>
      <x:c r="J2089" s="124"/>
      <x:c r="M2089" s="126"/>
      <x:c r="P2089" s="126"/>
      <x:c r="Q2089" s="126"/>
      <x:c r="R2089" s="126"/>
      <x:c r="S2089" s="124"/>
      <x:c r="T2089" s="124"/>
      <x:c r="U2089" s="124"/>
      <x:c r="V2089" s="124"/>
      <x:c r="W2089" s="124"/>
      <x:c r="X2089" s="124"/>
      <x:c r="AD2089"/>
      <x:c r="AE2089" s="145"/>
      <x:c r="AF2089" s="145"/>
      <x:c r="AG2089" s="145"/>
      <x:c r="AH2089" s="145"/>
      <x:c r="AI2089" s="145"/>
      <x:c r="AJ2089"/>
    </x:row>
    <x:row r="2090">
      <x:c r="F2090" s="124"/>
      <x:c r="G2090" s="124"/>
      <x:c r="H2090" s="124"/>
      <x:c r="I2090" s="124"/>
      <x:c r="J2090" s="124"/>
      <x:c r="M2090" s="126"/>
      <x:c r="P2090" s="126"/>
      <x:c r="Q2090" s="126"/>
      <x:c r="R2090" s="126"/>
      <x:c r="S2090" s="124"/>
      <x:c r="T2090" s="124"/>
      <x:c r="U2090" s="124"/>
      <x:c r="V2090" s="124"/>
      <x:c r="W2090" s="124"/>
      <x:c r="X2090" s="124"/>
      <x:c r="AD2090"/>
      <x:c r="AE2090" s="145"/>
      <x:c r="AF2090" s="145"/>
      <x:c r="AG2090" s="145"/>
      <x:c r="AH2090" s="145"/>
      <x:c r="AI2090" s="145"/>
      <x:c r="AJ2090"/>
    </x:row>
    <x:row r="2091">
      <x:c r="F2091" s="124"/>
      <x:c r="G2091" s="124"/>
      <x:c r="H2091" s="124"/>
      <x:c r="I2091" s="124"/>
      <x:c r="J2091" s="124"/>
      <x:c r="M2091" s="126"/>
      <x:c r="P2091" s="126"/>
      <x:c r="Q2091" s="126"/>
      <x:c r="R2091" s="126"/>
      <x:c r="S2091" s="124"/>
      <x:c r="T2091" s="124"/>
      <x:c r="U2091" s="124"/>
      <x:c r="V2091" s="124"/>
      <x:c r="W2091" s="124"/>
      <x:c r="X2091" s="124"/>
      <x:c r="AD2091"/>
      <x:c r="AE2091" s="145"/>
      <x:c r="AF2091" s="145"/>
      <x:c r="AG2091" s="145"/>
      <x:c r="AH2091" s="145"/>
      <x:c r="AI2091" s="145"/>
      <x:c r="AJ2091"/>
    </x:row>
    <x:row r="2092">
      <x:c r="F2092" s="124"/>
      <x:c r="G2092" s="124"/>
      <x:c r="H2092" s="124"/>
      <x:c r="I2092" s="124"/>
      <x:c r="J2092" s="124"/>
      <x:c r="M2092" s="126"/>
      <x:c r="P2092" s="126"/>
      <x:c r="Q2092" s="126"/>
      <x:c r="R2092" s="126"/>
      <x:c r="S2092" s="124"/>
      <x:c r="T2092" s="124"/>
      <x:c r="U2092" s="124"/>
      <x:c r="V2092" s="124"/>
      <x:c r="W2092" s="124"/>
      <x:c r="X2092" s="124"/>
      <x:c r="AD2092"/>
      <x:c r="AE2092" s="145"/>
      <x:c r="AF2092" s="145"/>
      <x:c r="AG2092" s="145"/>
      <x:c r="AH2092" s="145"/>
      <x:c r="AI2092" s="145"/>
      <x:c r="AJ2092"/>
    </x:row>
    <x:row r="2093">
      <x:c r="F2093" s="124"/>
      <x:c r="G2093" s="124"/>
      <x:c r="H2093" s="124"/>
      <x:c r="I2093" s="124"/>
      <x:c r="J2093" s="124"/>
      <x:c r="M2093" s="126"/>
      <x:c r="P2093" s="126"/>
      <x:c r="Q2093" s="126"/>
      <x:c r="R2093" s="126"/>
      <x:c r="S2093" s="124"/>
      <x:c r="T2093" s="124"/>
      <x:c r="U2093" s="124"/>
      <x:c r="V2093" s="124"/>
      <x:c r="W2093" s="124"/>
      <x:c r="X2093" s="124"/>
      <x:c r="AD2093"/>
      <x:c r="AE2093" s="145"/>
      <x:c r="AF2093" s="145"/>
      <x:c r="AG2093" s="145"/>
      <x:c r="AH2093" s="145"/>
      <x:c r="AI2093" s="145"/>
      <x:c r="AJ2093"/>
    </x:row>
    <x:row r="2094">
      <x:c r="F2094" s="124"/>
      <x:c r="G2094" s="124"/>
      <x:c r="H2094" s="124"/>
      <x:c r="I2094" s="124"/>
      <x:c r="J2094" s="124"/>
      <x:c r="M2094" s="126"/>
      <x:c r="P2094" s="126"/>
      <x:c r="Q2094" s="126"/>
      <x:c r="R2094" s="126"/>
      <x:c r="S2094" s="124"/>
      <x:c r="T2094" s="124"/>
      <x:c r="U2094" s="124"/>
      <x:c r="V2094" s="124"/>
      <x:c r="W2094" s="124"/>
      <x:c r="X2094" s="124"/>
      <x:c r="AD2094"/>
      <x:c r="AE2094" s="145"/>
      <x:c r="AF2094" s="145"/>
      <x:c r="AG2094" s="145"/>
      <x:c r="AH2094" s="145"/>
      <x:c r="AI2094" s="145"/>
      <x:c r="AJ2094"/>
    </x:row>
    <x:row r="2095">
      <x:c r="F2095" s="124"/>
      <x:c r="G2095" s="124"/>
      <x:c r="H2095" s="124"/>
      <x:c r="I2095" s="124"/>
      <x:c r="J2095" s="124"/>
      <x:c r="M2095" s="126"/>
      <x:c r="P2095" s="126"/>
      <x:c r="Q2095" s="126"/>
      <x:c r="R2095" s="126"/>
      <x:c r="S2095" s="124"/>
      <x:c r="T2095" s="124"/>
      <x:c r="U2095" s="124"/>
      <x:c r="V2095" s="124"/>
      <x:c r="W2095" s="124"/>
      <x:c r="X2095" s="124"/>
      <x:c r="AD2095"/>
      <x:c r="AE2095" s="145"/>
      <x:c r="AF2095" s="145"/>
      <x:c r="AG2095" s="145"/>
      <x:c r="AH2095" s="145"/>
      <x:c r="AI2095" s="145"/>
      <x:c r="AJ2095"/>
    </x:row>
    <x:row r="2096">
      <x:c r="F2096" s="124"/>
      <x:c r="G2096" s="124"/>
      <x:c r="H2096" s="124"/>
      <x:c r="I2096" s="124"/>
      <x:c r="J2096" s="124"/>
      <x:c r="M2096" s="126"/>
      <x:c r="P2096" s="126"/>
      <x:c r="Q2096" s="126"/>
      <x:c r="R2096" s="126"/>
      <x:c r="S2096" s="124"/>
      <x:c r="T2096" s="124"/>
      <x:c r="U2096" s="124"/>
      <x:c r="V2096" s="124"/>
      <x:c r="W2096" s="124"/>
      <x:c r="X2096" s="124"/>
      <x:c r="AD2096"/>
      <x:c r="AE2096" s="145"/>
      <x:c r="AF2096" s="145"/>
      <x:c r="AG2096" s="145"/>
      <x:c r="AH2096" s="145"/>
      <x:c r="AI2096" s="145"/>
      <x:c r="AJ2096"/>
    </x:row>
    <x:row r="2097">
      <x:c r="F2097" s="124"/>
      <x:c r="G2097" s="124"/>
      <x:c r="H2097" s="124"/>
      <x:c r="I2097" s="124"/>
      <x:c r="J2097" s="124"/>
      <x:c r="M2097" s="126"/>
      <x:c r="P2097" s="126"/>
      <x:c r="Q2097" s="126"/>
      <x:c r="R2097" s="126"/>
      <x:c r="S2097" s="124"/>
      <x:c r="T2097" s="124"/>
      <x:c r="U2097" s="124"/>
      <x:c r="V2097" s="124"/>
      <x:c r="W2097" s="124"/>
      <x:c r="X2097" s="124"/>
      <x:c r="AD2097"/>
      <x:c r="AE2097" s="145"/>
      <x:c r="AF2097" s="145"/>
      <x:c r="AG2097" s="145"/>
      <x:c r="AH2097" s="145"/>
      <x:c r="AI2097" s="145"/>
      <x:c r="AJ2097"/>
    </x:row>
    <x:row r="2098">
      <x:c r="F2098" s="124"/>
      <x:c r="G2098" s="124"/>
      <x:c r="H2098" s="124"/>
      <x:c r="I2098" s="124"/>
      <x:c r="J2098" s="124"/>
      <x:c r="M2098" s="126"/>
      <x:c r="P2098" s="126"/>
      <x:c r="Q2098" s="126"/>
      <x:c r="R2098" s="126"/>
      <x:c r="S2098" s="124"/>
      <x:c r="T2098" s="124"/>
      <x:c r="U2098" s="124"/>
      <x:c r="V2098" s="124"/>
      <x:c r="W2098" s="124"/>
      <x:c r="X2098" s="124"/>
      <x:c r="AD2098"/>
      <x:c r="AE2098" s="145"/>
      <x:c r="AF2098" s="145"/>
      <x:c r="AG2098" s="145"/>
      <x:c r="AH2098" s="145"/>
      <x:c r="AI2098" s="145"/>
      <x:c r="AJ2098"/>
    </x:row>
    <x:row r="2099">
      <x:c r="F2099" s="124"/>
      <x:c r="G2099" s="124"/>
      <x:c r="H2099" s="124"/>
      <x:c r="I2099" s="124"/>
      <x:c r="J2099" s="124"/>
      <x:c r="M2099" s="126"/>
      <x:c r="P2099" s="126"/>
      <x:c r="Q2099" s="126"/>
      <x:c r="R2099" s="126"/>
      <x:c r="S2099" s="124"/>
      <x:c r="T2099" s="124"/>
      <x:c r="U2099" s="124"/>
      <x:c r="V2099" s="124"/>
      <x:c r="W2099" s="124"/>
      <x:c r="X2099" s="124"/>
      <x:c r="AD2099"/>
      <x:c r="AE2099" s="145"/>
      <x:c r="AF2099" s="145"/>
      <x:c r="AG2099" s="145"/>
      <x:c r="AH2099" s="145"/>
      <x:c r="AI2099" s="145"/>
      <x:c r="AJ2099"/>
    </x:row>
    <x:row r="2100">
      <x:c r="F2100" s="124"/>
      <x:c r="G2100" s="124"/>
      <x:c r="H2100" s="124"/>
      <x:c r="I2100" s="124"/>
      <x:c r="J2100" s="124"/>
      <x:c r="M2100" s="126"/>
      <x:c r="P2100" s="126"/>
      <x:c r="Q2100" s="126"/>
      <x:c r="R2100" s="126"/>
      <x:c r="S2100" s="124"/>
      <x:c r="T2100" s="124"/>
      <x:c r="U2100" s="124"/>
      <x:c r="V2100" s="124"/>
      <x:c r="W2100" s="124"/>
      <x:c r="X2100" s="124"/>
      <x:c r="AD2100"/>
      <x:c r="AE2100" s="145"/>
      <x:c r="AF2100" s="145"/>
      <x:c r="AG2100" s="145"/>
      <x:c r="AH2100" s="145"/>
      <x:c r="AI2100" s="145"/>
      <x:c r="AJ2100"/>
    </x:row>
    <x:row r="2101">
      <x:c r="F2101" s="124"/>
      <x:c r="G2101" s="124"/>
      <x:c r="H2101" s="124"/>
      <x:c r="I2101" s="124"/>
      <x:c r="J2101" s="124"/>
      <x:c r="M2101" s="126"/>
      <x:c r="P2101" s="126"/>
      <x:c r="Q2101" s="126"/>
      <x:c r="R2101" s="126"/>
      <x:c r="S2101" s="124"/>
      <x:c r="T2101" s="124"/>
      <x:c r="U2101" s="124"/>
      <x:c r="V2101" s="124"/>
      <x:c r="W2101" s="124"/>
      <x:c r="X2101" s="124"/>
      <x:c r="AD2101"/>
      <x:c r="AE2101" s="145"/>
      <x:c r="AF2101" s="145"/>
      <x:c r="AG2101" s="145"/>
      <x:c r="AH2101" s="145"/>
      <x:c r="AI2101" s="145"/>
      <x:c r="AJ2101"/>
    </x:row>
    <x:row r="2102">
      <x:c r="F2102" s="124"/>
      <x:c r="G2102" s="124"/>
      <x:c r="H2102" s="124"/>
      <x:c r="I2102" s="124"/>
      <x:c r="J2102" s="124"/>
      <x:c r="M2102" s="126"/>
      <x:c r="P2102" s="126"/>
      <x:c r="Q2102" s="126"/>
      <x:c r="R2102" s="126"/>
      <x:c r="S2102" s="124"/>
      <x:c r="T2102" s="124"/>
      <x:c r="U2102" s="124"/>
      <x:c r="V2102" s="124"/>
      <x:c r="W2102" s="124"/>
      <x:c r="X2102" s="124"/>
      <x:c r="AD2102"/>
      <x:c r="AE2102" s="145"/>
      <x:c r="AF2102" s="145"/>
      <x:c r="AG2102" s="145"/>
      <x:c r="AH2102" s="145"/>
      <x:c r="AI2102" s="145"/>
      <x:c r="AJ2102"/>
    </x:row>
    <x:row r="2103">
      <x:c r="F2103" s="124"/>
      <x:c r="G2103" s="124"/>
      <x:c r="H2103" s="124"/>
      <x:c r="I2103" s="124"/>
      <x:c r="J2103" s="124"/>
      <x:c r="M2103" s="126"/>
      <x:c r="P2103" s="126"/>
      <x:c r="Q2103" s="126"/>
      <x:c r="R2103" s="126"/>
      <x:c r="S2103" s="124"/>
      <x:c r="T2103" s="124"/>
      <x:c r="U2103" s="124"/>
      <x:c r="V2103" s="124"/>
      <x:c r="W2103" s="124"/>
      <x:c r="X2103" s="124"/>
      <x:c r="AD2103"/>
      <x:c r="AE2103" s="145"/>
      <x:c r="AF2103" s="145"/>
      <x:c r="AG2103" s="145"/>
      <x:c r="AH2103" s="145"/>
      <x:c r="AI2103" s="145"/>
      <x:c r="AJ2103"/>
    </x:row>
    <x:row r="2104">
      <x:c r="F2104" s="124"/>
      <x:c r="G2104" s="124"/>
      <x:c r="H2104" s="124"/>
      <x:c r="I2104" s="124"/>
      <x:c r="J2104" s="124"/>
      <x:c r="M2104" s="126"/>
      <x:c r="P2104" s="126"/>
      <x:c r="Q2104" s="126"/>
      <x:c r="R2104" s="126"/>
      <x:c r="S2104" s="124"/>
      <x:c r="T2104" s="124"/>
      <x:c r="U2104" s="124"/>
      <x:c r="V2104" s="124"/>
      <x:c r="W2104" s="124"/>
      <x:c r="X2104" s="124"/>
      <x:c r="AD2104"/>
      <x:c r="AE2104" s="145"/>
      <x:c r="AF2104" s="145"/>
      <x:c r="AG2104" s="145"/>
      <x:c r="AH2104" s="145"/>
      <x:c r="AI2104" s="145"/>
      <x:c r="AJ2104"/>
    </x:row>
    <x:row r="2105">
      <x:c r="F2105" s="124"/>
      <x:c r="G2105" s="124"/>
      <x:c r="H2105" s="124"/>
      <x:c r="I2105" s="124"/>
      <x:c r="J2105" s="124"/>
      <x:c r="M2105" s="126"/>
      <x:c r="P2105" s="126"/>
      <x:c r="Q2105" s="126"/>
      <x:c r="R2105" s="126"/>
      <x:c r="S2105" s="124"/>
      <x:c r="T2105" s="124"/>
      <x:c r="U2105" s="124"/>
      <x:c r="V2105" s="124"/>
      <x:c r="W2105" s="124"/>
      <x:c r="X2105" s="124"/>
      <x:c r="AD2105"/>
      <x:c r="AE2105" s="145"/>
      <x:c r="AF2105" s="145"/>
      <x:c r="AG2105" s="145"/>
      <x:c r="AH2105" s="145"/>
      <x:c r="AI2105" s="145"/>
      <x:c r="AJ2105"/>
    </x:row>
    <x:row r="2106">
      <x:c r="F2106" s="124"/>
      <x:c r="G2106" s="124"/>
      <x:c r="H2106" s="124"/>
      <x:c r="I2106" s="124"/>
      <x:c r="J2106" s="124"/>
      <x:c r="M2106" s="126"/>
      <x:c r="P2106" s="126"/>
      <x:c r="Q2106" s="126"/>
      <x:c r="R2106" s="126"/>
      <x:c r="S2106" s="124"/>
      <x:c r="T2106" s="124"/>
      <x:c r="U2106" s="124"/>
      <x:c r="V2106" s="124"/>
      <x:c r="W2106" s="124"/>
      <x:c r="X2106" s="124"/>
      <x:c r="AD2106"/>
      <x:c r="AE2106" s="145"/>
      <x:c r="AF2106" s="145"/>
      <x:c r="AG2106" s="145"/>
      <x:c r="AH2106" s="145"/>
      <x:c r="AI2106" s="145"/>
      <x:c r="AJ2106"/>
    </x:row>
    <x:row r="2107">
      <x:c r="F2107" s="124"/>
      <x:c r="G2107" s="124"/>
      <x:c r="H2107" s="124"/>
      <x:c r="I2107" s="124"/>
      <x:c r="J2107" s="124"/>
      <x:c r="M2107" s="126"/>
      <x:c r="P2107" s="126"/>
      <x:c r="Q2107" s="126"/>
      <x:c r="R2107" s="126"/>
      <x:c r="S2107" s="124"/>
      <x:c r="T2107" s="124"/>
      <x:c r="U2107" s="124"/>
      <x:c r="V2107" s="124"/>
      <x:c r="W2107" s="124"/>
      <x:c r="X2107" s="124"/>
      <x:c r="AD2107"/>
      <x:c r="AE2107" s="145"/>
      <x:c r="AF2107" s="145"/>
      <x:c r="AG2107" s="145"/>
      <x:c r="AH2107" s="145"/>
      <x:c r="AI2107" s="145"/>
      <x:c r="AJ2107"/>
    </x:row>
    <x:row r="2108">
      <x:c r="F2108" s="124"/>
      <x:c r="G2108" s="124"/>
      <x:c r="H2108" s="124"/>
      <x:c r="I2108" s="124"/>
      <x:c r="J2108" s="124"/>
      <x:c r="M2108" s="126"/>
      <x:c r="P2108" s="126"/>
      <x:c r="Q2108" s="126"/>
      <x:c r="R2108" s="126"/>
      <x:c r="S2108" s="124"/>
      <x:c r="T2108" s="124"/>
      <x:c r="U2108" s="124"/>
      <x:c r="V2108" s="124"/>
      <x:c r="W2108" s="124"/>
      <x:c r="X2108" s="124"/>
      <x:c r="AD2108"/>
      <x:c r="AE2108" s="145"/>
      <x:c r="AF2108" s="145"/>
      <x:c r="AG2108" s="145"/>
      <x:c r="AH2108" s="145"/>
      <x:c r="AI2108" s="145"/>
      <x:c r="AJ2108"/>
    </x:row>
    <x:row r="2109">
      <x:c r="F2109" s="124"/>
      <x:c r="G2109" s="124"/>
      <x:c r="H2109" s="124"/>
      <x:c r="I2109" s="124"/>
      <x:c r="J2109" s="124"/>
      <x:c r="M2109" s="126"/>
      <x:c r="P2109" s="126"/>
      <x:c r="Q2109" s="126"/>
      <x:c r="R2109" s="126"/>
      <x:c r="S2109" s="124"/>
      <x:c r="T2109" s="124"/>
      <x:c r="U2109" s="124"/>
      <x:c r="V2109" s="124"/>
      <x:c r="W2109" s="124"/>
      <x:c r="X2109" s="124"/>
      <x:c r="AD2109"/>
      <x:c r="AE2109" s="145"/>
      <x:c r="AF2109" s="145"/>
      <x:c r="AG2109" s="145"/>
      <x:c r="AH2109" s="145"/>
      <x:c r="AI2109" s="145"/>
      <x:c r="AJ2109"/>
    </x:row>
    <x:row r="2110">
      <x:c r="F2110" s="124"/>
      <x:c r="G2110" s="124"/>
      <x:c r="H2110" s="124"/>
      <x:c r="I2110" s="124"/>
      <x:c r="J2110" s="124"/>
      <x:c r="M2110" s="126"/>
      <x:c r="P2110" s="126"/>
      <x:c r="Q2110" s="126"/>
      <x:c r="R2110" s="126"/>
      <x:c r="S2110" s="124"/>
      <x:c r="T2110" s="124"/>
      <x:c r="U2110" s="124"/>
      <x:c r="V2110" s="124"/>
      <x:c r="W2110" s="124"/>
      <x:c r="X2110" s="124"/>
      <x:c r="AD2110"/>
      <x:c r="AE2110" s="145"/>
      <x:c r="AF2110" s="145"/>
      <x:c r="AG2110" s="145"/>
      <x:c r="AH2110" s="145"/>
      <x:c r="AI2110" s="145"/>
      <x:c r="AJ2110"/>
    </x:row>
    <x:row r="2111">
      <x:c r="F2111" s="124"/>
      <x:c r="G2111" s="124"/>
      <x:c r="H2111" s="124"/>
      <x:c r="I2111" s="124"/>
      <x:c r="J2111" s="124"/>
      <x:c r="M2111" s="126"/>
      <x:c r="P2111" s="126"/>
      <x:c r="Q2111" s="126"/>
      <x:c r="R2111" s="126"/>
      <x:c r="S2111" s="124"/>
      <x:c r="T2111" s="124"/>
      <x:c r="U2111" s="124"/>
      <x:c r="V2111" s="124"/>
      <x:c r="W2111" s="124"/>
      <x:c r="X2111" s="124"/>
      <x:c r="AD2111"/>
      <x:c r="AE2111" s="145"/>
      <x:c r="AF2111" s="145"/>
      <x:c r="AG2111" s="145"/>
      <x:c r="AH2111" s="145"/>
      <x:c r="AI2111" s="145"/>
      <x:c r="AJ2111"/>
    </x:row>
    <x:row r="2112">
      <x:c r="F2112" s="124"/>
      <x:c r="G2112" s="124"/>
      <x:c r="H2112" s="124"/>
      <x:c r="I2112" s="124"/>
      <x:c r="J2112" s="124"/>
      <x:c r="M2112" s="126"/>
      <x:c r="P2112" s="126"/>
      <x:c r="Q2112" s="126"/>
      <x:c r="R2112" s="126"/>
      <x:c r="S2112" s="124"/>
      <x:c r="T2112" s="124"/>
      <x:c r="U2112" s="124"/>
      <x:c r="V2112" s="124"/>
      <x:c r="W2112" s="124"/>
      <x:c r="X2112" s="124"/>
      <x:c r="AD2112"/>
      <x:c r="AE2112" s="145"/>
      <x:c r="AF2112" s="145"/>
      <x:c r="AG2112" s="145"/>
      <x:c r="AH2112" s="145"/>
      <x:c r="AI2112" s="145"/>
      <x:c r="AJ2112"/>
    </x:row>
    <x:row r="2113">
      <x:c r="F2113" s="124"/>
      <x:c r="G2113" s="124"/>
      <x:c r="H2113" s="124"/>
      <x:c r="I2113" s="124"/>
      <x:c r="J2113" s="124"/>
      <x:c r="M2113" s="126"/>
      <x:c r="P2113" s="126"/>
      <x:c r="Q2113" s="126"/>
      <x:c r="R2113" s="126"/>
      <x:c r="S2113" s="124"/>
      <x:c r="T2113" s="124"/>
      <x:c r="U2113" s="124"/>
      <x:c r="V2113" s="124"/>
      <x:c r="W2113" s="124"/>
      <x:c r="X2113" s="124"/>
      <x:c r="AD2113"/>
      <x:c r="AE2113" s="145"/>
      <x:c r="AF2113" s="145"/>
      <x:c r="AG2113" s="145"/>
      <x:c r="AH2113" s="145"/>
      <x:c r="AI2113" s="145"/>
      <x:c r="AJ2113"/>
    </x:row>
    <x:row r="2114">
      <x:c r="F2114" s="124"/>
      <x:c r="G2114" s="124"/>
      <x:c r="H2114" s="124"/>
      <x:c r="I2114" s="124"/>
      <x:c r="J2114" s="124"/>
      <x:c r="M2114" s="126"/>
      <x:c r="P2114" s="126"/>
      <x:c r="Q2114" s="126"/>
      <x:c r="R2114" s="126"/>
      <x:c r="S2114" s="124"/>
      <x:c r="T2114" s="124"/>
      <x:c r="U2114" s="124"/>
      <x:c r="V2114" s="124"/>
      <x:c r="W2114" s="124"/>
      <x:c r="X2114" s="124"/>
      <x:c r="AD2114"/>
      <x:c r="AE2114" s="145"/>
      <x:c r="AF2114" s="145"/>
      <x:c r="AG2114" s="145"/>
      <x:c r="AH2114" s="145"/>
      <x:c r="AI2114" s="145"/>
      <x:c r="AJ2114"/>
    </x:row>
    <x:row r="2115">
      <x:c r="F2115" s="124"/>
      <x:c r="G2115" s="124"/>
      <x:c r="H2115" s="124"/>
      <x:c r="I2115" s="124"/>
      <x:c r="J2115" s="124"/>
      <x:c r="M2115" s="126"/>
      <x:c r="P2115" s="126"/>
      <x:c r="Q2115" s="126"/>
      <x:c r="R2115" s="126"/>
      <x:c r="S2115" s="124"/>
      <x:c r="T2115" s="124"/>
      <x:c r="U2115" s="124"/>
      <x:c r="V2115" s="124"/>
      <x:c r="W2115" s="124"/>
      <x:c r="X2115" s="124"/>
      <x:c r="AD2115"/>
      <x:c r="AE2115" s="145"/>
      <x:c r="AF2115" s="145"/>
      <x:c r="AG2115" s="145"/>
      <x:c r="AH2115" s="145"/>
      <x:c r="AI2115" s="145"/>
      <x:c r="AJ2115"/>
    </x:row>
    <x:row r="2116">
      <x:c r="F2116" s="124"/>
      <x:c r="G2116" s="124"/>
      <x:c r="H2116" s="124"/>
      <x:c r="I2116" s="124"/>
      <x:c r="J2116" s="124"/>
      <x:c r="M2116" s="126"/>
      <x:c r="P2116" s="126"/>
      <x:c r="Q2116" s="126"/>
      <x:c r="R2116" s="126"/>
      <x:c r="S2116" s="124"/>
      <x:c r="T2116" s="124"/>
      <x:c r="U2116" s="124"/>
      <x:c r="V2116" s="124"/>
      <x:c r="W2116" s="124"/>
      <x:c r="X2116" s="124"/>
      <x:c r="AD2116"/>
      <x:c r="AE2116" s="145"/>
      <x:c r="AF2116" s="145"/>
      <x:c r="AG2116" s="145"/>
      <x:c r="AH2116" s="145"/>
      <x:c r="AI2116" s="145"/>
      <x:c r="AJ2116"/>
    </x:row>
    <x:row r="2117">
      <x:c r="F2117" s="124"/>
      <x:c r="G2117" s="124"/>
      <x:c r="H2117" s="124"/>
      <x:c r="I2117" s="124"/>
      <x:c r="J2117" s="124"/>
      <x:c r="M2117" s="126"/>
      <x:c r="P2117" s="126"/>
      <x:c r="Q2117" s="126"/>
      <x:c r="R2117" s="126"/>
      <x:c r="S2117" s="124"/>
      <x:c r="T2117" s="124"/>
      <x:c r="U2117" s="124"/>
      <x:c r="V2117" s="124"/>
      <x:c r="W2117" s="124"/>
      <x:c r="X2117" s="124"/>
      <x:c r="AD2117"/>
      <x:c r="AE2117" s="145"/>
      <x:c r="AF2117" s="145"/>
      <x:c r="AG2117" s="145"/>
      <x:c r="AH2117" s="145"/>
      <x:c r="AI2117" s="145"/>
      <x:c r="AJ2117"/>
    </x:row>
    <x:row r="2118">
      <x:c r="F2118" s="124"/>
      <x:c r="G2118" s="124"/>
      <x:c r="H2118" s="124"/>
      <x:c r="I2118" s="124"/>
      <x:c r="J2118" s="124"/>
      <x:c r="M2118" s="126"/>
      <x:c r="P2118" s="126"/>
      <x:c r="Q2118" s="126"/>
      <x:c r="R2118" s="126"/>
      <x:c r="S2118" s="124"/>
      <x:c r="T2118" s="124"/>
      <x:c r="U2118" s="124"/>
      <x:c r="V2118" s="124"/>
      <x:c r="W2118" s="124"/>
      <x:c r="X2118" s="124"/>
      <x:c r="AD2118"/>
      <x:c r="AE2118" s="145"/>
      <x:c r="AF2118" s="145"/>
      <x:c r="AG2118" s="145"/>
      <x:c r="AH2118" s="145"/>
      <x:c r="AI2118" s="145"/>
      <x:c r="AJ2118"/>
    </x:row>
    <x:row r="2119">
      <x:c r="F2119" s="124"/>
      <x:c r="G2119" s="124"/>
      <x:c r="H2119" s="124"/>
      <x:c r="I2119" s="124"/>
      <x:c r="J2119" s="124"/>
      <x:c r="M2119" s="126"/>
      <x:c r="P2119" s="126"/>
      <x:c r="Q2119" s="126"/>
      <x:c r="R2119" s="126"/>
      <x:c r="S2119" s="124"/>
      <x:c r="T2119" s="124"/>
      <x:c r="U2119" s="124"/>
      <x:c r="V2119" s="124"/>
      <x:c r="W2119" s="124"/>
      <x:c r="X2119" s="124"/>
      <x:c r="AD2119"/>
      <x:c r="AE2119" s="145"/>
      <x:c r="AF2119" s="145"/>
      <x:c r="AG2119" s="145"/>
      <x:c r="AH2119" s="145"/>
      <x:c r="AI2119" s="145"/>
      <x:c r="AJ2119"/>
    </x:row>
    <x:row r="2120">
      <x:c r="F2120" s="124"/>
      <x:c r="G2120" s="124"/>
      <x:c r="H2120" s="124"/>
      <x:c r="I2120" s="124"/>
      <x:c r="J2120" s="124"/>
      <x:c r="M2120" s="126"/>
      <x:c r="P2120" s="126"/>
      <x:c r="Q2120" s="126"/>
      <x:c r="R2120" s="126"/>
      <x:c r="S2120" s="124"/>
      <x:c r="T2120" s="124"/>
      <x:c r="U2120" s="124"/>
      <x:c r="V2120" s="124"/>
      <x:c r="W2120" s="124"/>
      <x:c r="X2120" s="124"/>
      <x:c r="AD2120"/>
      <x:c r="AE2120" s="145"/>
      <x:c r="AF2120" s="145"/>
      <x:c r="AG2120" s="145"/>
      <x:c r="AH2120" s="145"/>
      <x:c r="AI2120" s="145"/>
      <x:c r="AJ2120"/>
    </x:row>
    <x:row r="2121">
      <x:c r="F2121" s="124"/>
      <x:c r="G2121" s="124"/>
      <x:c r="H2121" s="124"/>
      <x:c r="I2121" s="124"/>
      <x:c r="J2121" s="124"/>
      <x:c r="M2121" s="126"/>
      <x:c r="P2121" s="126"/>
      <x:c r="Q2121" s="126"/>
      <x:c r="R2121" s="126"/>
      <x:c r="S2121" s="124"/>
      <x:c r="T2121" s="124"/>
      <x:c r="U2121" s="124"/>
      <x:c r="V2121" s="124"/>
      <x:c r="W2121" s="124"/>
      <x:c r="X2121" s="124"/>
      <x:c r="AD2121"/>
      <x:c r="AE2121" s="145"/>
      <x:c r="AF2121" s="145"/>
      <x:c r="AG2121" s="145"/>
      <x:c r="AH2121" s="145"/>
      <x:c r="AI2121" s="145"/>
      <x:c r="AJ2121"/>
    </x:row>
    <x:row r="2122">
      <x:c r="F2122" s="124"/>
      <x:c r="G2122" s="124"/>
      <x:c r="H2122" s="124"/>
      <x:c r="I2122" s="124"/>
      <x:c r="J2122" s="124"/>
      <x:c r="M2122" s="126"/>
      <x:c r="P2122" s="126"/>
      <x:c r="Q2122" s="126"/>
      <x:c r="R2122" s="126"/>
      <x:c r="S2122" s="124"/>
      <x:c r="T2122" s="124"/>
      <x:c r="U2122" s="124"/>
      <x:c r="V2122" s="124"/>
      <x:c r="W2122" s="124"/>
      <x:c r="X2122" s="124"/>
      <x:c r="AD2122"/>
      <x:c r="AE2122" s="145"/>
      <x:c r="AF2122" s="145"/>
      <x:c r="AG2122" s="145"/>
      <x:c r="AH2122" s="145"/>
      <x:c r="AI2122" s="145"/>
      <x:c r="AJ2122"/>
    </x:row>
    <x:row r="2123">
      <x:c r="F2123" s="124"/>
      <x:c r="G2123" s="124"/>
      <x:c r="H2123" s="124"/>
      <x:c r="I2123" s="124"/>
      <x:c r="J2123" s="124"/>
      <x:c r="M2123" s="126"/>
      <x:c r="P2123" s="126"/>
      <x:c r="Q2123" s="126"/>
      <x:c r="R2123" s="126"/>
      <x:c r="S2123" s="124"/>
      <x:c r="T2123" s="124"/>
      <x:c r="U2123" s="124"/>
      <x:c r="V2123" s="124"/>
      <x:c r="W2123" s="124"/>
      <x:c r="X2123" s="124"/>
      <x:c r="AD2123"/>
      <x:c r="AE2123" s="145"/>
      <x:c r="AF2123" s="145"/>
      <x:c r="AG2123" s="145"/>
      <x:c r="AH2123" s="145"/>
      <x:c r="AI2123" s="145"/>
      <x:c r="AJ2123"/>
    </x:row>
    <x:row r="2124">
      <x:c r="F2124" s="124"/>
      <x:c r="G2124" s="124"/>
      <x:c r="H2124" s="124"/>
      <x:c r="I2124" s="124"/>
      <x:c r="J2124" s="124"/>
      <x:c r="M2124" s="126"/>
      <x:c r="P2124" s="126"/>
      <x:c r="Q2124" s="126"/>
      <x:c r="R2124" s="126"/>
      <x:c r="S2124" s="124"/>
      <x:c r="T2124" s="124"/>
      <x:c r="U2124" s="124"/>
      <x:c r="V2124" s="124"/>
      <x:c r="W2124" s="124"/>
      <x:c r="X2124" s="124"/>
      <x:c r="AD2124"/>
      <x:c r="AE2124" s="145"/>
      <x:c r="AF2124" s="145"/>
      <x:c r="AG2124" s="145"/>
      <x:c r="AH2124" s="145"/>
      <x:c r="AI2124" s="145"/>
      <x:c r="AJ2124"/>
    </x:row>
    <x:row r="2125">
      <x:c r="F2125" s="124"/>
      <x:c r="G2125" s="124"/>
      <x:c r="H2125" s="124"/>
      <x:c r="I2125" s="124"/>
      <x:c r="J2125" s="124"/>
      <x:c r="M2125" s="126"/>
      <x:c r="P2125" s="126"/>
      <x:c r="Q2125" s="126"/>
      <x:c r="R2125" s="126"/>
      <x:c r="S2125" s="124"/>
      <x:c r="T2125" s="124"/>
      <x:c r="U2125" s="124"/>
      <x:c r="V2125" s="124"/>
      <x:c r="W2125" s="124"/>
      <x:c r="X2125" s="124"/>
      <x:c r="AD2125"/>
      <x:c r="AE2125" s="145"/>
      <x:c r="AF2125" s="145"/>
      <x:c r="AG2125" s="145"/>
      <x:c r="AH2125" s="145"/>
      <x:c r="AI2125" s="145"/>
      <x:c r="AJ2125"/>
    </x:row>
    <x:row r="2126">
      <x:c r="F2126" s="124"/>
      <x:c r="G2126" s="124"/>
      <x:c r="H2126" s="124"/>
      <x:c r="I2126" s="124"/>
      <x:c r="J2126" s="124"/>
      <x:c r="M2126" s="126"/>
      <x:c r="P2126" s="126"/>
      <x:c r="Q2126" s="126"/>
      <x:c r="R2126" s="126"/>
      <x:c r="S2126" s="124"/>
      <x:c r="T2126" s="124"/>
      <x:c r="U2126" s="124"/>
      <x:c r="V2126" s="124"/>
      <x:c r="W2126" s="124"/>
      <x:c r="X2126" s="124"/>
      <x:c r="AD2126"/>
      <x:c r="AE2126" s="145"/>
      <x:c r="AF2126" s="145"/>
      <x:c r="AG2126" s="145"/>
      <x:c r="AH2126" s="145"/>
      <x:c r="AI2126" s="145"/>
      <x:c r="AJ2126"/>
    </x:row>
    <x:row r="2127">
      <x:c r="F2127" s="124"/>
      <x:c r="G2127" s="124"/>
      <x:c r="H2127" s="124"/>
      <x:c r="I2127" s="124"/>
      <x:c r="J2127" s="124"/>
      <x:c r="M2127" s="126"/>
      <x:c r="P2127" s="126"/>
      <x:c r="Q2127" s="126"/>
      <x:c r="R2127" s="126"/>
      <x:c r="S2127" s="124"/>
      <x:c r="T2127" s="124"/>
      <x:c r="U2127" s="124"/>
      <x:c r="V2127" s="124"/>
      <x:c r="W2127" s="124"/>
      <x:c r="X2127" s="124"/>
      <x:c r="AD2127"/>
      <x:c r="AE2127" s="145"/>
      <x:c r="AF2127" s="145"/>
      <x:c r="AG2127" s="145"/>
      <x:c r="AH2127" s="145"/>
      <x:c r="AI2127" s="145"/>
      <x:c r="AJ2127"/>
    </x:row>
    <x:row r="2128">
      <x:c r="F2128" s="124"/>
      <x:c r="G2128" s="124"/>
      <x:c r="H2128" s="124"/>
      <x:c r="I2128" s="124"/>
      <x:c r="J2128" s="124"/>
      <x:c r="M2128" s="126"/>
      <x:c r="P2128" s="126"/>
      <x:c r="Q2128" s="126"/>
      <x:c r="R2128" s="126"/>
      <x:c r="S2128" s="124"/>
      <x:c r="T2128" s="124"/>
      <x:c r="U2128" s="124"/>
      <x:c r="V2128" s="124"/>
      <x:c r="W2128" s="124"/>
      <x:c r="X2128" s="124"/>
      <x:c r="AD2128"/>
      <x:c r="AE2128" s="145"/>
      <x:c r="AF2128" s="145"/>
      <x:c r="AG2128" s="145"/>
      <x:c r="AH2128" s="145"/>
      <x:c r="AI2128" s="145"/>
      <x:c r="AJ2128"/>
    </x:row>
    <x:row r="2129">
      <x:c r="F2129" s="124"/>
      <x:c r="G2129" s="124"/>
      <x:c r="H2129" s="124"/>
      <x:c r="I2129" s="124"/>
      <x:c r="J2129" s="124"/>
      <x:c r="M2129" s="126"/>
      <x:c r="P2129" s="126"/>
      <x:c r="Q2129" s="126"/>
      <x:c r="R2129" s="126"/>
      <x:c r="S2129" s="124"/>
      <x:c r="T2129" s="124"/>
      <x:c r="U2129" s="124"/>
      <x:c r="V2129" s="124"/>
      <x:c r="W2129" s="124"/>
      <x:c r="X2129" s="124"/>
      <x:c r="AD2129"/>
      <x:c r="AE2129" s="145"/>
      <x:c r="AF2129" s="145"/>
      <x:c r="AG2129" s="145"/>
      <x:c r="AH2129" s="145"/>
      <x:c r="AI2129" s="145"/>
      <x:c r="AJ2129"/>
    </x:row>
    <x:row r="2130">
      <x:c r="F2130" s="124"/>
      <x:c r="G2130" s="124"/>
      <x:c r="H2130" s="124"/>
      <x:c r="I2130" s="124"/>
      <x:c r="J2130" s="124"/>
      <x:c r="M2130" s="126"/>
      <x:c r="P2130" s="126"/>
      <x:c r="Q2130" s="126"/>
      <x:c r="R2130" s="126"/>
      <x:c r="S2130" s="124"/>
      <x:c r="T2130" s="124"/>
      <x:c r="U2130" s="124"/>
      <x:c r="V2130" s="124"/>
      <x:c r="W2130" s="124"/>
      <x:c r="X2130" s="124"/>
      <x:c r="AD2130"/>
      <x:c r="AE2130" s="145"/>
      <x:c r="AF2130" s="145"/>
      <x:c r="AG2130" s="145"/>
      <x:c r="AH2130" s="145"/>
      <x:c r="AI2130" s="145"/>
      <x:c r="AJ2130"/>
    </x:row>
    <x:row r="2131">
      <x:c r="F2131" s="124"/>
      <x:c r="G2131" s="124"/>
      <x:c r="H2131" s="124"/>
      <x:c r="I2131" s="124"/>
      <x:c r="J2131" s="124"/>
      <x:c r="M2131" s="126"/>
      <x:c r="P2131" s="126"/>
      <x:c r="Q2131" s="126"/>
      <x:c r="R2131" s="126"/>
      <x:c r="S2131" s="124"/>
      <x:c r="T2131" s="124"/>
      <x:c r="U2131" s="124"/>
      <x:c r="V2131" s="124"/>
      <x:c r="W2131" s="124"/>
      <x:c r="X2131" s="124"/>
      <x:c r="AD2131"/>
      <x:c r="AE2131" s="145"/>
      <x:c r="AF2131" s="145"/>
      <x:c r="AG2131" s="145"/>
      <x:c r="AH2131" s="145"/>
      <x:c r="AI2131" s="145"/>
      <x:c r="AJ2131"/>
    </x:row>
    <x:row r="2132">
      <x:c r="F2132" s="124"/>
      <x:c r="G2132" s="124"/>
      <x:c r="H2132" s="124"/>
      <x:c r="I2132" s="124"/>
      <x:c r="J2132" s="124"/>
      <x:c r="M2132" s="126"/>
      <x:c r="P2132" s="126"/>
      <x:c r="Q2132" s="126"/>
      <x:c r="R2132" s="126"/>
      <x:c r="S2132" s="124"/>
      <x:c r="T2132" s="124"/>
      <x:c r="U2132" s="124"/>
      <x:c r="V2132" s="124"/>
      <x:c r="W2132" s="124"/>
      <x:c r="X2132" s="124"/>
      <x:c r="AD2132"/>
      <x:c r="AE2132" s="145"/>
      <x:c r="AF2132" s="145"/>
      <x:c r="AG2132" s="145"/>
      <x:c r="AH2132" s="145"/>
      <x:c r="AI2132" s="145"/>
      <x:c r="AJ2132"/>
    </x:row>
    <x:row r="2133">
      <x:c r="F2133" s="124"/>
      <x:c r="G2133" s="124"/>
      <x:c r="H2133" s="124"/>
      <x:c r="I2133" s="124"/>
      <x:c r="J2133" s="124"/>
      <x:c r="M2133" s="126"/>
      <x:c r="P2133" s="126"/>
      <x:c r="Q2133" s="126"/>
      <x:c r="R2133" s="126"/>
      <x:c r="S2133" s="124"/>
      <x:c r="T2133" s="124"/>
      <x:c r="U2133" s="124"/>
      <x:c r="V2133" s="124"/>
      <x:c r="W2133" s="124"/>
      <x:c r="X2133" s="124"/>
      <x:c r="AD2133"/>
      <x:c r="AE2133" s="145"/>
      <x:c r="AF2133" s="145"/>
      <x:c r="AG2133" s="145"/>
      <x:c r="AH2133" s="145"/>
      <x:c r="AI2133" s="145"/>
      <x:c r="AJ2133"/>
    </x:row>
    <x:row r="2134">
      <x:c r="F2134" s="124"/>
      <x:c r="G2134" s="124"/>
      <x:c r="H2134" s="124"/>
      <x:c r="I2134" s="124"/>
      <x:c r="J2134" s="124"/>
      <x:c r="M2134" s="126"/>
      <x:c r="P2134" s="126"/>
      <x:c r="Q2134" s="126"/>
      <x:c r="R2134" s="126"/>
      <x:c r="S2134" s="124"/>
      <x:c r="T2134" s="124"/>
      <x:c r="U2134" s="124"/>
      <x:c r="V2134" s="124"/>
      <x:c r="W2134" s="124"/>
      <x:c r="X2134" s="124"/>
      <x:c r="AD2134"/>
      <x:c r="AE2134" s="145"/>
      <x:c r="AF2134" s="145"/>
      <x:c r="AG2134" s="145"/>
      <x:c r="AH2134" s="145"/>
      <x:c r="AI2134" s="145"/>
      <x:c r="AJ2134"/>
    </x:row>
    <x:row r="2135">
      <x:c r="F2135" s="124"/>
      <x:c r="G2135" s="124"/>
      <x:c r="H2135" s="124"/>
      <x:c r="I2135" s="124"/>
      <x:c r="J2135" s="124"/>
      <x:c r="M2135" s="126"/>
      <x:c r="P2135" s="126"/>
      <x:c r="Q2135" s="126"/>
      <x:c r="R2135" s="126"/>
      <x:c r="S2135" s="124"/>
      <x:c r="T2135" s="124"/>
      <x:c r="U2135" s="124"/>
      <x:c r="V2135" s="124"/>
      <x:c r="W2135" s="124"/>
      <x:c r="X2135" s="124"/>
      <x:c r="AD2135"/>
      <x:c r="AE2135" s="145"/>
      <x:c r="AF2135" s="145"/>
      <x:c r="AG2135" s="145"/>
      <x:c r="AH2135" s="145"/>
      <x:c r="AI2135" s="145"/>
      <x:c r="AJ2135"/>
    </x:row>
    <x:row r="2136">
      <x:c r="F2136" s="124"/>
      <x:c r="G2136" s="124"/>
      <x:c r="H2136" s="124"/>
      <x:c r="I2136" s="124"/>
      <x:c r="J2136" s="124"/>
      <x:c r="M2136" s="126"/>
      <x:c r="P2136" s="126"/>
      <x:c r="Q2136" s="126"/>
      <x:c r="R2136" s="126"/>
      <x:c r="S2136" s="124"/>
      <x:c r="T2136" s="124"/>
      <x:c r="U2136" s="124"/>
      <x:c r="V2136" s="124"/>
      <x:c r="W2136" s="124"/>
      <x:c r="X2136" s="124"/>
      <x:c r="AD2136"/>
      <x:c r="AE2136" s="145"/>
      <x:c r="AF2136" s="145"/>
      <x:c r="AG2136" s="145"/>
      <x:c r="AH2136" s="145"/>
      <x:c r="AI2136" s="145"/>
      <x:c r="AJ2136"/>
    </x:row>
    <x:row r="2137">
      <x:c r="F2137" s="124"/>
      <x:c r="G2137" s="124"/>
      <x:c r="H2137" s="124"/>
      <x:c r="I2137" s="124"/>
      <x:c r="J2137" s="124"/>
      <x:c r="M2137" s="126"/>
      <x:c r="P2137" s="126"/>
      <x:c r="Q2137" s="126"/>
      <x:c r="R2137" s="126"/>
      <x:c r="S2137" s="124"/>
      <x:c r="T2137" s="124"/>
      <x:c r="U2137" s="124"/>
      <x:c r="V2137" s="124"/>
      <x:c r="W2137" s="124"/>
      <x:c r="X2137" s="124"/>
      <x:c r="AD2137"/>
      <x:c r="AE2137" s="145"/>
      <x:c r="AF2137" s="145"/>
      <x:c r="AG2137" s="145"/>
      <x:c r="AH2137" s="145"/>
      <x:c r="AI2137" s="145"/>
      <x:c r="AJ2137"/>
    </x:row>
    <x:row r="2138">
      <x:c r="F2138" s="124"/>
      <x:c r="G2138" s="124"/>
      <x:c r="H2138" s="124"/>
      <x:c r="I2138" s="124"/>
      <x:c r="J2138" s="124"/>
      <x:c r="M2138" s="126"/>
      <x:c r="P2138" s="126"/>
      <x:c r="Q2138" s="126"/>
      <x:c r="R2138" s="126"/>
      <x:c r="S2138" s="124"/>
      <x:c r="T2138" s="124"/>
      <x:c r="U2138" s="124"/>
      <x:c r="V2138" s="124"/>
      <x:c r="W2138" s="124"/>
      <x:c r="X2138" s="124"/>
      <x:c r="AD2138"/>
      <x:c r="AE2138" s="145"/>
      <x:c r="AF2138" s="145"/>
      <x:c r="AG2138" s="145"/>
      <x:c r="AH2138" s="145"/>
      <x:c r="AI2138" s="145"/>
      <x:c r="AJ2138"/>
    </x:row>
    <x:row r="2139">
      <x:c r="F2139" s="124"/>
      <x:c r="G2139" s="124"/>
      <x:c r="H2139" s="124"/>
      <x:c r="I2139" s="124"/>
      <x:c r="J2139" s="124"/>
      <x:c r="M2139" s="126"/>
      <x:c r="P2139" s="126"/>
      <x:c r="Q2139" s="126"/>
      <x:c r="R2139" s="126"/>
      <x:c r="S2139" s="124"/>
      <x:c r="T2139" s="124"/>
      <x:c r="U2139" s="124"/>
      <x:c r="V2139" s="124"/>
      <x:c r="W2139" s="124"/>
      <x:c r="X2139" s="124"/>
      <x:c r="AD2139"/>
      <x:c r="AE2139" s="145"/>
      <x:c r="AF2139" s="145"/>
      <x:c r="AG2139" s="145"/>
      <x:c r="AH2139" s="145"/>
      <x:c r="AI2139" s="145"/>
      <x:c r="AJ2139"/>
    </x:row>
    <x:row r="2140">
      <x:c r="F2140" s="124"/>
      <x:c r="G2140" s="124"/>
      <x:c r="H2140" s="124"/>
      <x:c r="I2140" s="124"/>
      <x:c r="J2140" s="124"/>
      <x:c r="M2140" s="126"/>
      <x:c r="P2140" s="126"/>
      <x:c r="Q2140" s="126"/>
      <x:c r="R2140" s="126"/>
      <x:c r="S2140" s="124"/>
      <x:c r="T2140" s="124"/>
      <x:c r="U2140" s="124"/>
      <x:c r="V2140" s="124"/>
      <x:c r="W2140" s="124"/>
      <x:c r="X2140" s="124"/>
      <x:c r="AD2140"/>
      <x:c r="AE2140" s="145"/>
      <x:c r="AF2140" s="145"/>
      <x:c r="AG2140" s="145"/>
      <x:c r="AH2140" s="145"/>
      <x:c r="AI2140" s="145"/>
      <x:c r="AJ2140"/>
    </x:row>
    <x:row r="2141">
      <x:c r="F2141" s="124"/>
      <x:c r="G2141" s="124"/>
      <x:c r="H2141" s="124"/>
      <x:c r="I2141" s="124"/>
      <x:c r="J2141" s="124"/>
      <x:c r="M2141" s="126"/>
      <x:c r="P2141" s="126"/>
      <x:c r="Q2141" s="126"/>
      <x:c r="R2141" s="126"/>
      <x:c r="S2141" s="124"/>
      <x:c r="T2141" s="124"/>
      <x:c r="U2141" s="124"/>
      <x:c r="V2141" s="124"/>
      <x:c r="W2141" s="124"/>
      <x:c r="X2141" s="124"/>
      <x:c r="AD2141"/>
      <x:c r="AE2141" s="145"/>
      <x:c r="AF2141" s="145"/>
      <x:c r="AG2141" s="145"/>
      <x:c r="AH2141" s="145"/>
      <x:c r="AI2141" s="145"/>
      <x:c r="AJ2141"/>
    </x:row>
    <x:row r="2142">
      <x:c r="F2142" s="124"/>
      <x:c r="G2142" s="124"/>
      <x:c r="H2142" s="124"/>
      <x:c r="I2142" s="124"/>
      <x:c r="J2142" s="124"/>
      <x:c r="M2142" s="126"/>
      <x:c r="P2142" s="126"/>
      <x:c r="Q2142" s="126"/>
      <x:c r="R2142" s="126"/>
      <x:c r="S2142" s="124"/>
      <x:c r="T2142" s="124"/>
      <x:c r="U2142" s="124"/>
      <x:c r="V2142" s="124"/>
      <x:c r="W2142" s="124"/>
      <x:c r="X2142" s="124"/>
      <x:c r="AD2142"/>
      <x:c r="AE2142" s="145"/>
      <x:c r="AF2142" s="145"/>
      <x:c r="AG2142" s="145"/>
      <x:c r="AH2142" s="145"/>
      <x:c r="AI2142" s="145"/>
      <x:c r="AJ2142"/>
    </x:row>
    <x:row r="2143">
      <x:c r="F2143" s="124"/>
      <x:c r="G2143" s="124"/>
      <x:c r="H2143" s="124"/>
      <x:c r="I2143" s="124"/>
      <x:c r="J2143" s="124"/>
      <x:c r="M2143" s="126"/>
      <x:c r="P2143" s="126"/>
      <x:c r="Q2143" s="126"/>
      <x:c r="R2143" s="126"/>
      <x:c r="S2143" s="124"/>
      <x:c r="T2143" s="124"/>
      <x:c r="U2143" s="124"/>
      <x:c r="V2143" s="124"/>
      <x:c r="W2143" s="124"/>
      <x:c r="X2143" s="124"/>
      <x:c r="AD2143"/>
      <x:c r="AE2143" s="145"/>
      <x:c r="AF2143" s="145"/>
      <x:c r="AG2143" s="145"/>
      <x:c r="AH2143" s="145"/>
      <x:c r="AI2143" s="145"/>
      <x:c r="AJ2143"/>
    </x:row>
    <x:row r="2144">
      <x:c r="F2144" s="124"/>
      <x:c r="G2144" s="124"/>
      <x:c r="H2144" s="124"/>
      <x:c r="I2144" s="124"/>
      <x:c r="J2144" s="124"/>
      <x:c r="M2144" s="126"/>
      <x:c r="P2144" s="126"/>
      <x:c r="Q2144" s="126"/>
      <x:c r="R2144" s="126"/>
      <x:c r="S2144" s="124"/>
      <x:c r="T2144" s="124"/>
      <x:c r="U2144" s="124"/>
      <x:c r="V2144" s="124"/>
      <x:c r="W2144" s="124"/>
      <x:c r="X2144" s="124"/>
      <x:c r="AD2144"/>
      <x:c r="AE2144" s="145"/>
      <x:c r="AF2144" s="145"/>
      <x:c r="AG2144" s="145"/>
      <x:c r="AH2144" s="145"/>
      <x:c r="AI2144" s="145"/>
      <x:c r="AJ2144"/>
    </x:row>
    <x:row r="2145">
      <x:c r="F2145" s="124"/>
      <x:c r="G2145" s="124"/>
      <x:c r="H2145" s="124"/>
      <x:c r="I2145" s="124"/>
      <x:c r="J2145" s="124"/>
      <x:c r="M2145" s="126"/>
      <x:c r="P2145" s="126"/>
      <x:c r="Q2145" s="126"/>
      <x:c r="R2145" s="126"/>
      <x:c r="S2145" s="124"/>
      <x:c r="T2145" s="124"/>
      <x:c r="U2145" s="124"/>
      <x:c r="V2145" s="124"/>
      <x:c r="W2145" s="124"/>
      <x:c r="X2145" s="124"/>
      <x:c r="AD2145"/>
      <x:c r="AE2145" s="145"/>
      <x:c r="AF2145" s="145"/>
      <x:c r="AG2145" s="145"/>
      <x:c r="AH2145" s="145"/>
      <x:c r="AI2145" s="145"/>
      <x:c r="AJ2145"/>
    </x:row>
    <x:row r="2146">
      <x:c r="F2146" s="124"/>
      <x:c r="G2146" s="124"/>
      <x:c r="H2146" s="124"/>
      <x:c r="I2146" s="124"/>
      <x:c r="J2146" s="124"/>
      <x:c r="M2146" s="126"/>
      <x:c r="P2146" s="126"/>
      <x:c r="Q2146" s="126"/>
      <x:c r="R2146" s="126"/>
      <x:c r="S2146" s="124"/>
      <x:c r="T2146" s="124"/>
      <x:c r="U2146" s="124"/>
      <x:c r="V2146" s="124"/>
      <x:c r="W2146" s="124"/>
      <x:c r="X2146" s="124"/>
      <x:c r="AD2146"/>
      <x:c r="AE2146" s="145"/>
      <x:c r="AF2146" s="145"/>
      <x:c r="AG2146" s="145"/>
      <x:c r="AH2146" s="145"/>
      <x:c r="AI2146" s="145"/>
      <x:c r="AJ2146"/>
    </x:row>
    <x:row r="2147">
      <x:c r="F2147" s="124"/>
      <x:c r="G2147" s="124"/>
      <x:c r="H2147" s="124"/>
      <x:c r="I2147" s="124"/>
      <x:c r="J2147" s="124"/>
      <x:c r="M2147" s="126"/>
      <x:c r="P2147" s="126"/>
      <x:c r="Q2147" s="126"/>
      <x:c r="R2147" s="126"/>
      <x:c r="S2147" s="124"/>
      <x:c r="T2147" s="124"/>
      <x:c r="U2147" s="124"/>
      <x:c r="V2147" s="124"/>
      <x:c r="W2147" s="124"/>
      <x:c r="X2147" s="124"/>
      <x:c r="AD2147"/>
      <x:c r="AE2147" s="145"/>
      <x:c r="AF2147" s="145"/>
      <x:c r="AG2147" s="145"/>
      <x:c r="AH2147" s="145"/>
      <x:c r="AI2147" s="145"/>
      <x:c r="AJ2147"/>
    </x:row>
    <x:row r="2148">
      <x:c r="F2148" s="124"/>
      <x:c r="G2148" s="124"/>
      <x:c r="H2148" s="124"/>
      <x:c r="I2148" s="124"/>
      <x:c r="J2148" s="124"/>
      <x:c r="M2148" s="126"/>
      <x:c r="P2148" s="126"/>
      <x:c r="Q2148" s="126"/>
      <x:c r="R2148" s="126"/>
      <x:c r="S2148" s="124"/>
      <x:c r="T2148" s="124"/>
      <x:c r="U2148" s="124"/>
      <x:c r="V2148" s="124"/>
      <x:c r="W2148" s="124"/>
      <x:c r="X2148" s="124"/>
      <x:c r="AD2148"/>
      <x:c r="AE2148" s="145"/>
      <x:c r="AF2148" s="145"/>
      <x:c r="AG2148" s="145"/>
      <x:c r="AH2148" s="145"/>
      <x:c r="AI2148" s="145"/>
      <x:c r="AJ2148"/>
    </x:row>
    <x:row r="2149">
      <x:c r="F2149" s="124"/>
      <x:c r="G2149" s="124"/>
      <x:c r="H2149" s="124"/>
      <x:c r="I2149" s="124"/>
      <x:c r="J2149" s="124"/>
      <x:c r="M2149" s="126"/>
      <x:c r="P2149" s="126"/>
      <x:c r="Q2149" s="126"/>
      <x:c r="R2149" s="126"/>
      <x:c r="S2149" s="124"/>
      <x:c r="T2149" s="124"/>
      <x:c r="U2149" s="124"/>
      <x:c r="V2149" s="124"/>
      <x:c r="W2149" s="124"/>
      <x:c r="X2149" s="124"/>
      <x:c r="AD2149"/>
      <x:c r="AE2149" s="145"/>
      <x:c r="AF2149" s="145"/>
      <x:c r="AG2149" s="145"/>
      <x:c r="AH2149" s="145"/>
      <x:c r="AI2149" s="145"/>
      <x:c r="AJ2149"/>
    </x:row>
    <x:row r="2150">
      <x:c r="F2150" s="124"/>
      <x:c r="G2150" s="124"/>
      <x:c r="H2150" s="124"/>
      <x:c r="I2150" s="124"/>
      <x:c r="J2150" s="124"/>
      <x:c r="M2150" s="126"/>
      <x:c r="P2150" s="126"/>
      <x:c r="Q2150" s="126"/>
      <x:c r="R2150" s="126"/>
      <x:c r="S2150" s="124"/>
      <x:c r="T2150" s="124"/>
      <x:c r="U2150" s="124"/>
      <x:c r="V2150" s="124"/>
      <x:c r="W2150" s="124"/>
      <x:c r="X2150" s="124"/>
      <x:c r="AD2150"/>
      <x:c r="AE2150" s="145"/>
      <x:c r="AF2150" s="145"/>
      <x:c r="AG2150" s="145"/>
      <x:c r="AH2150" s="145"/>
      <x:c r="AI2150" s="145"/>
      <x:c r="AJ2150"/>
    </x:row>
    <x:row r="2151">
      <x:c r="F2151" s="124"/>
      <x:c r="G2151" s="124"/>
      <x:c r="H2151" s="124"/>
      <x:c r="I2151" s="124"/>
      <x:c r="J2151" s="124"/>
      <x:c r="M2151" s="126"/>
      <x:c r="P2151" s="126"/>
      <x:c r="Q2151" s="126"/>
      <x:c r="R2151" s="126"/>
      <x:c r="S2151" s="124"/>
      <x:c r="T2151" s="124"/>
      <x:c r="U2151" s="124"/>
      <x:c r="V2151" s="124"/>
      <x:c r="W2151" s="124"/>
      <x:c r="X2151" s="124"/>
      <x:c r="AD2151"/>
      <x:c r="AE2151" s="145"/>
      <x:c r="AF2151" s="145"/>
      <x:c r="AG2151" s="145"/>
      <x:c r="AH2151" s="145"/>
      <x:c r="AI2151" s="145"/>
      <x:c r="AJ2151"/>
    </x:row>
    <x:row r="2152">
      <x:c r="F2152" s="124"/>
      <x:c r="G2152" s="124"/>
      <x:c r="H2152" s="124"/>
      <x:c r="I2152" s="124"/>
      <x:c r="J2152" s="124"/>
      <x:c r="M2152" s="126"/>
      <x:c r="P2152" s="126"/>
      <x:c r="Q2152" s="126"/>
      <x:c r="R2152" s="126"/>
      <x:c r="S2152" s="124"/>
      <x:c r="T2152" s="124"/>
      <x:c r="U2152" s="124"/>
      <x:c r="V2152" s="124"/>
      <x:c r="W2152" s="124"/>
      <x:c r="X2152" s="124"/>
      <x:c r="AD2152"/>
      <x:c r="AE2152" s="145"/>
      <x:c r="AF2152" s="145"/>
      <x:c r="AG2152" s="145"/>
      <x:c r="AH2152" s="145"/>
      <x:c r="AI2152" s="145"/>
      <x:c r="AJ2152"/>
    </x:row>
    <x:row r="2153">
      <x:c r="F2153" s="124"/>
      <x:c r="G2153" s="124"/>
      <x:c r="H2153" s="124"/>
      <x:c r="I2153" s="124"/>
      <x:c r="J2153" s="124"/>
      <x:c r="M2153" s="126"/>
      <x:c r="P2153" s="126"/>
      <x:c r="Q2153" s="126"/>
      <x:c r="R2153" s="126"/>
      <x:c r="S2153" s="124"/>
      <x:c r="T2153" s="124"/>
      <x:c r="U2153" s="124"/>
      <x:c r="V2153" s="124"/>
      <x:c r="W2153" s="124"/>
      <x:c r="X2153" s="124"/>
      <x:c r="AD2153"/>
      <x:c r="AE2153" s="145"/>
      <x:c r="AF2153" s="145"/>
      <x:c r="AG2153" s="145"/>
      <x:c r="AH2153" s="145"/>
      <x:c r="AI2153" s="145"/>
      <x:c r="AJ2153"/>
    </x:row>
    <x:row r="2154">
      <x:c r="F2154" s="124"/>
      <x:c r="G2154" s="124"/>
      <x:c r="H2154" s="124"/>
      <x:c r="I2154" s="124"/>
      <x:c r="J2154" s="124"/>
      <x:c r="M2154" s="126"/>
      <x:c r="P2154" s="126"/>
      <x:c r="Q2154" s="126"/>
      <x:c r="R2154" s="126"/>
      <x:c r="S2154" s="124"/>
      <x:c r="T2154" s="124"/>
      <x:c r="U2154" s="124"/>
      <x:c r="V2154" s="124"/>
      <x:c r="W2154" s="124"/>
      <x:c r="X2154" s="124"/>
      <x:c r="AD2154"/>
      <x:c r="AE2154" s="145"/>
      <x:c r="AF2154" s="145"/>
      <x:c r="AG2154" s="145"/>
      <x:c r="AH2154" s="145"/>
      <x:c r="AI2154" s="145"/>
      <x:c r="AJ2154"/>
    </x:row>
    <x:row r="2155">
      <x:c r="F2155" s="124"/>
      <x:c r="G2155" s="124"/>
      <x:c r="H2155" s="124"/>
      <x:c r="I2155" s="124"/>
      <x:c r="J2155" s="124"/>
      <x:c r="M2155" s="126"/>
      <x:c r="P2155" s="126"/>
      <x:c r="Q2155" s="126"/>
      <x:c r="R2155" s="126"/>
      <x:c r="S2155" s="124"/>
      <x:c r="T2155" s="124"/>
      <x:c r="U2155" s="124"/>
      <x:c r="V2155" s="124"/>
      <x:c r="W2155" s="124"/>
      <x:c r="X2155" s="124"/>
      <x:c r="AD2155"/>
      <x:c r="AE2155" s="145"/>
      <x:c r="AF2155" s="145"/>
      <x:c r="AG2155" s="145"/>
      <x:c r="AH2155" s="145"/>
      <x:c r="AI2155" s="145"/>
      <x:c r="AJ2155"/>
    </x:row>
    <x:row r="2156">
      <x:c r="F2156" s="124"/>
      <x:c r="G2156" s="124"/>
      <x:c r="H2156" s="124"/>
      <x:c r="I2156" s="124"/>
      <x:c r="J2156" s="124"/>
      <x:c r="M2156" s="126"/>
      <x:c r="P2156" s="126"/>
      <x:c r="Q2156" s="126"/>
      <x:c r="R2156" s="126"/>
      <x:c r="S2156" s="124"/>
      <x:c r="T2156" s="124"/>
      <x:c r="U2156" s="124"/>
      <x:c r="V2156" s="124"/>
      <x:c r="W2156" s="124"/>
      <x:c r="X2156" s="124"/>
      <x:c r="AD2156"/>
      <x:c r="AE2156" s="145"/>
      <x:c r="AF2156" s="145"/>
      <x:c r="AG2156" s="145"/>
      <x:c r="AH2156" s="145"/>
      <x:c r="AI2156" s="145"/>
      <x:c r="AJ2156"/>
    </x:row>
    <x:row r="2157">
      <x:c r="F2157" s="124"/>
      <x:c r="G2157" s="124"/>
      <x:c r="H2157" s="124"/>
      <x:c r="I2157" s="124"/>
      <x:c r="J2157" s="124"/>
      <x:c r="M2157" s="126"/>
      <x:c r="P2157" s="126"/>
      <x:c r="Q2157" s="126"/>
      <x:c r="R2157" s="126"/>
      <x:c r="S2157" s="124"/>
      <x:c r="T2157" s="124"/>
      <x:c r="U2157" s="124"/>
      <x:c r="V2157" s="124"/>
      <x:c r="W2157" s="124"/>
      <x:c r="X2157" s="124"/>
      <x:c r="AD2157"/>
      <x:c r="AE2157" s="145"/>
      <x:c r="AF2157" s="145"/>
      <x:c r="AG2157" s="145"/>
      <x:c r="AH2157" s="145"/>
      <x:c r="AI2157" s="145"/>
      <x:c r="AJ2157"/>
    </x:row>
    <x:row r="2158">
      <x:c r="F2158" s="124"/>
      <x:c r="G2158" s="124"/>
      <x:c r="H2158" s="124"/>
      <x:c r="I2158" s="124"/>
      <x:c r="J2158" s="124"/>
      <x:c r="M2158" s="126"/>
      <x:c r="P2158" s="126"/>
      <x:c r="Q2158" s="126"/>
      <x:c r="R2158" s="126"/>
      <x:c r="S2158" s="124"/>
      <x:c r="T2158" s="124"/>
      <x:c r="U2158" s="124"/>
      <x:c r="V2158" s="124"/>
      <x:c r="W2158" s="124"/>
      <x:c r="X2158" s="124"/>
      <x:c r="AD2158"/>
      <x:c r="AE2158" s="145"/>
      <x:c r="AF2158" s="145"/>
      <x:c r="AG2158" s="145"/>
      <x:c r="AH2158" s="145"/>
      <x:c r="AI2158" s="145"/>
      <x:c r="AJ2158"/>
    </x:row>
    <x:row r="2159">
      <x:c r="F2159" s="124"/>
      <x:c r="G2159" s="124"/>
      <x:c r="H2159" s="124"/>
      <x:c r="I2159" s="124"/>
      <x:c r="J2159" s="124"/>
      <x:c r="M2159" s="126"/>
      <x:c r="P2159" s="126"/>
      <x:c r="Q2159" s="126"/>
      <x:c r="R2159" s="126"/>
      <x:c r="S2159" s="124"/>
      <x:c r="T2159" s="124"/>
      <x:c r="U2159" s="124"/>
      <x:c r="V2159" s="124"/>
      <x:c r="W2159" s="124"/>
      <x:c r="X2159" s="124"/>
      <x:c r="AD2159"/>
      <x:c r="AE2159" s="145"/>
      <x:c r="AF2159" s="145"/>
      <x:c r="AG2159" s="145"/>
      <x:c r="AH2159" s="145"/>
      <x:c r="AI2159" s="145"/>
      <x:c r="AJ2159"/>
    </x:row>
    <x:row r="2160">
      <x:c r="F2160" s="124"/>
      <x:c r="G2160" s="124"/>
      <x:c r="H2160" s="124"/>
      <x:c r="I2160" s="124"/>
      <x:c r="J2160" s="124"/>
      <x:c r="M2160" s="126"/>
      <x:c r="P2160" s="126"/>
      <x:c r="Q2160" s="126"/>
      <x:c r="R2160" s="126"/>
      <x:c r="S2160" s="124"/>
      <x:c r="T2160" s="124"/>
      <x:c r="U2160" s="124"/>
      <x:c r="V2160" s="124"/>
      <x:c r="W2160" s="124"/>
      <x:c r="X2160" s="124"/>
      <x:c r="AD2160"/>
      <x:c r="AE2160" s="145"/>
      <x:c r="AF2160" s="145"/>
      <x:c r="AG2160" s="145"/>
      <x:c r="AH2160" s="145"/>
      <x:c r="AI2160" s="145"/>
      <x:c r="AJ2160"/>
    </x:row>
    <x:row r="2161">
      <x:c r="F2161" s="124"/>
      <x:c r="G2161" s="124"/>
      <x:c r="H2161" s="124"/>
      <x:c r="I2161" s="124"/>
      <x:c r="J2161" s="124"/>
      <x:c r="M2161" s="126"/>
      <x:c r="P2161" s="126"/>
      <x:c r="Q2161" s="126"/>
      <x:c r="R2161" s="126"/>
      <x:c r="S2161" s="124"/>
      <x:c r="T2161" s="124"/>
      <x:c r="U2161" s="124"/>
      <x:c r="V2161" s="124"/>
      <x:c r="W2161" s="124"/>
      <x:c r="X2161" s="124"/>
      <x:c r="AD2161"/>
      <x:c r="AE2161" s="145"/>
      <x:c r="AF2161" s="145"/>
      <x:c r="AG2161" s="145"/>
      <x:c r="AH2161" s="145"/>
      <x:c r="AI2161" s="145"/>
      <x:c r="AJ2161"/>
    </x:row>
    <x:row r="2162">
      <x:c r="F2162" s="124"/>
      <x:c r="G2162" s="124"/>
      <x:c r="H2162" s="124"/>
      <x:c r="I2162" s="124"/>
      <x:c r="J2162" s="124"/>
      <x:c r="M2162" s="126"/>
      <x:c r="P2162" s="126"/>
      <x:c r="Q2162" s="126"/>
      <x:c r="R2162" s="126"/>
      <x:c r="S2162" s="124"/>
      <x:c r="T2162" s="124"/>
      <x:c r="U2162" s="124"/>
      <x:c r="V2162" s="124"/>
      <x:c r="W2162" s="124"/>
      <x:c r="X2162" s="124"/>
      <x:c r="AD2162"/>
      <x:c r="AE2162" s="145"/>
      <x:c r="AF2162" s="145"/>
      <x:c r="AG2162" s="145"/>
      <x:c r="AH2162" s="145"/>
      <x:c r="AI2162" s="145"/>
      <x:c r="AJ2162"/>
    </x:row>
    <x:row r="2163">
      <x:c r="F2163" s="124"/>
      <x:c r="G2163" s="124"/>
      <x:c r="H2163" s="124"/>
      <x:c r="I2163" s="124"/>
      <x:c r="J2163" s="124"/>
      <x:c r="M2163" s="126"/>
      <x:c r="P2163" s="126"/>
      <x:c r="Q2163" s="126"/>
      <x:c r="R2163" s="126"/>
      <x:c r="S2163" s="124"/>
      <x:c r="T2163" s="124"/>
      <x:c r="U2163" s="124"/>
      <x:c r="V2163" s="124"/>
      <x:c r="W2163" s="124"/>
      <x:c r="X2163" s="124"/>
      <x:c r="AD2163"/>
      <x:c r="AE2163" s="145"/>
      <x:c r="AF2163" s="145"/>
      <x:c r="AG2163" s="145"/>
      <x:c r="AH2163" s="145"/>
      <x:c r="AI2163" s="145"/>
      <x:c r="AJ2163"/>
    </x:row>
    <x:row r="2164">
      <x:c r="F2164" s="124"/>
      <x:c r="G2164" s="124"/>
      <x:c r="H2164" s="124"/>
      <x:c r="I2164" s="124"/>
      <x:c r="J2164" s="124"/>
      <x:c r="M2164" s="126"/>
      <x:c r="P2164" s="126"/>
      <x:c r="Q2164" s="126"/>
      <x:c r="R2164" s="126"/>
      <x:c r="S2164" s="124"/>
      <x:c r="T2164" s="124"/>
      <x:c r="U2164" s="124"/>
      <x:c r="V2164" s="124"/>
      <x:c r="W2164" s="124"/>
      <x:c r="X2164" s="124"/>
      <x:c r="AD2164"/>
      <x:c r="AE2164" s="145"/>
      <x:c r="AF2164" s="145"/>
      <x:c r="AG2164" s="145"/>
      <x:c r="AH2164" s="145"/>
      <x:c r="AI2164" s="145"/>
      <x:c r="AJ2164"/>
    </x:row>
    <x:row r="2165">
      <x:c r="F2165" s="124"/>
      <x:c r="G2165" s="124"/>
      <x:c r="H2165" s="124"/>
      <x:c r="I2165" s="124"/>
      <x:c r="J2165" s="124"/>
      <x:c r="M2165" s="126"/>
      <x:c r="P2165" s="126"/>
      <x:c r="Q2165" s="126"/>
      <x:c r="R2165" s="126"/>
      <x:c r="S2165" s="124"/>
      <x:c r="T2165" s="124"/>
      <x:c r="U2165" s="124"/>
      <x:c r="V2165" s="124"/>
      <x:c r="W2165" s="124"/>
      <x:c r="X2165" s="124"/>
      <x:c r="AD2165"/>
      <x:c r="AE2165" s="145"/>
      <x:c r="AF2165" s="145"/>
      <x:c r="AG2165" s="145"/>
      <x:c r="AH2165" s="145"/>
      <x:c r="AI2165" s="145"/>
      <x:c r="AJ2165"/>
    </x:row>
    <x:row r="2166">
      <x:c r="F2166" s="124"/>
      <x:c r="G2166" s="124"/>
      <x:c r="H2166" s="124"/>
      <x:c r="I2166" s="124"/>
      <x:c r="J2166" s="124"/>
      <x:c r="M2166" s="126"/>
      <x:c r="P2166" s="126"/>
      <x:c r="Q2166" s="126"/>
      <x:c r="R2166" s="126"/>
      <x:c r="S2166" s="124"/>
      <x:c r="T2166" s="124"/>
      <x:c r="U2166" s="124"/>
      <x:c r="V2166" s="124"/>
      <x:c r="W2166" s="124"/>
      <x:c r="X2166" s="124"/>
      <x:c r="AD2166"/>
      <x:c r="AE2166" s="145"/>
      <x:c r="AF2166" s="145"/>
      <x:c r="AG2166" s="145"/>
      <x:c r="AH2166" s="145"/>
      <x:c r="AI2166" s="145"/>
      <x:c r="AJ2166"/>
    </x:row>
    <x:row r="2167">
      <x:c r="F2167" s="124"/>
      <x:c r="G2167" s="124"/>
      <x:c r="H2167" s="124"/>
      <x:c r="I2167" s="124"/>
      <x:c r="J2167" s="124"/>
      <x:c r="M2167" s="126"/>
      <x:c r="P2167" s="126"/>
      <x:c r="Q2167" s="126"/>
      <x:c r="R2167" s="126"/>
      <x:c r="S2167" s="124"/>
      <x:c r="T2167" s="124"/>
      <x:c r="U2167" s="124"/>
      <x:c r="V2167" s="124"/>
      <x:c r="W2167" s="124"/>
      <x:c r="X2167" s="124"/>
      <x:c r="AD2167"/>
      <x:c r="AE2167" s="145"/>
      <x:c r="AF2167" s="145"/>
      <x:c r="AG2167" s="145"/>
      <x:c r="AH2167" s="145"/>
      <x:c r="AI2167" s="145"/>
      <x:c r="AJ2167"/>
    </x:row>
    <x:row r="2168">
      <x:c r="F2168" s="124"/>
      <x:c r="G2168" s="124"/>
      <x:c r="H2168" s="124"/>
      <x:c r="I2168" s="124"/>
      <x:c r="J2168" s="124"/>
      <x:c r="M2168" s="126"/>
      <x:c r="P2168" s="126"/>
      <x:c r="Q2168" s="126"/>
      <x:c r="R2168" s="126"/>
      <x:c r="S2168" s="124"/>
      <x:c r="T2168" s="124"/>
      <x:c r="U2168" s="124"/>
      <x:c r="V2168" s="124"/>
      <x:c r="W2168" s="124"/>
      <x:c r="X2168" s="124"/>
      <x:c r="AD2168"/>
      <x:c r="AE2168" s="145"/>
      <x:c r="AF2168" s="145"/>
      <x:c r="AG2168" s="145"/>
      <x:c r="AH2168" s="145"/>
      <x:c r="AI2168" s="145"/>
      <x:c r="AJ2168"/>
    </x:row>
    <x:row r="2169">
      <x:c r="F2169" s="124"/>
      <x:c r="G2169" s="124"/>
      <x:c r="H2169" s="124"/>
      <x:c r="I2169" s="124"/>
      <x:c r="J2169" s="124"/>
      <x:c r="M2169" s="126"/>
      <x:c r="P2169" s="126"/>
      <x:c r="Q2169" s="126"/>
      <x:c r="R2169" s="126"/>
      <x:c r="S2169" s="124"/>
      <x:c r="T2169" s="124"/>
      <x:c r="U2169" s="124"/>
      <x:c r="V2169" s="124"/>
      <x:c r="W2169" s="124"/>
      <x:c r="X2169" s="124"/>
      <x:c r="AD2169"/>
      <x:c r="AE2169" s="145"/>
      <x:c r="AF2169" s="145"/>
      <x:c r="AG2169" s="145"/>
      <x:c r="AH2169" s="145"/>
      <x:c r="AI2169" s="145"/>
      <x:c r="AJ2169"/>
    </x:row>
    <x:row r="2170">
      <x:c r="F2170" s="124"/>
      <x:c r="G2170" s="124"/>
      <x:c r="H2170" s="124"/>
      <x:c r="I2170" s="124"/>
      <x:c r="J2170" s="124"/>
      <x:c r="M2170" s="126"/>
      <x:c r="P2170" s="126"/>
      <x:c r="Q2170" s="126"/>
      <x:c r="R2170" s="126"/>
      <x:c r="S2170" s="124"/>
      <x:c r="T2170" s="124"/>
      <x:c r="U2170" s="124"/>
      <x:c r="V2170" s="124"/>
      <x:c r="W2170" s="124"/>
      <x:c r="X2170" s="124"/>
      <x:c r="AD2170"/>
      <x:c r="AE2170" s="145"/>
      <x:c r="AF2170" s="145"/>
      <x:c r="AG2170" s="145"/>
      <x:c r="AH2170" s="145"/>
      <x:c r="AI2170" s="145"/>
      <x:c r="AJ2170"/>
    </x:row>
    <x:row r="2171">
      <x:c r="F2171" s="124"/>
      <x:c r="G2171" s="124"/>
      <x:c r="H2171" s="124"/>
      <x:c r="I2171" s="124"/>
      <x:c r="J2171" s="124"/>
      <x:c r="M2171" s="126"/>
      <x:c r="P2171" s="126"/>
      <x:c r="Q2171" s="126"/>
      <x:c r="R2171" s="126"/>
      <x:c r="S2171" s="124"/>
      <x:c r="T2171" s="124"/>
      <x:c r="U2171" s="124"/>
      <x:c r="V2171" s="124"/>
      <x:c r="W2171" s="124"/>
      <x:c r="X2171" s="124"/>
      <x:c r="AD2171"/>
      <x:c r="AE2171" s="145"/>
      <x:c r="AF2171" s="145"/>
      <x:c r="AG2171" s="145"/>
      <x:c r="AH2171" s="145"/>
      <x:c r="AI2171" s="145"/>
      <x:c r="AJ2171"/>
    </x:row>
    <x:row r="2172">
      <x:c r="F2172" s="124"/>
      <x:c r="G2172" s="124"/>
      <x:c r="H2172" s="124"/>
      <x:c r="I2172" s="124"/>
      <x:c r="J2172" s="124"/>
      <x:c r="M2172" s="126"/>
      <x:c r="P2172" s="126"/>
      <x:c r="Q2172" s="126"/>
      <x:c r="R2172" s="126"/>
      <x:c r="S2172" s="124"/>
      <x:c r="T2172" s="124"/>
      <x:c r="U2172" s="124"/>
      <x:c r="V2172" s="124"/>
      <x:c r="W2172" s="124"/>
      <x:c r="X2172" s="124"/>
      <x:c r="AD2172"/>
      <x:c r="AE2172" s="145"/>
      <x:c r="AF2172" s="145"/>
      <x:c r="AG2172" s="145"/>
      <x:c r="AH2172" s="145"/>
      <x:c r="AI2172" s="145"/>
      <x:c r="AJ2172"/>
    </x:row>
    <x:row r="2173">
      <x:c r="F2173" s="124"/>
      <x:c r="G2173" s="124"/>
      <x:c r="H2173" s="124"/>
      <x:c r="I2173" s="124"/>
      <x:c r="J2173" s="124"/>
      <x:c r="M2173" s="126"/>
      <x:c r="P2173" s="126"/>
      <x:c r="Q2173" s="126"/>
      <x:c r="R2173" s="126"/>
      <x:c r="S2173" s="124"/>
      <x:c r="T2173" s="124"/>
      <x:c r="U2173" s="124"/>
      <x:c r="V2173" s="124"/>
      <x:c r="W2173" s="124"/>
      <x:c r="X2173" s="124"/>
      <x:c r="AD2173"/>
      <x:c r="AE2173" s="145"/>
      <x:c r="AF2173" s="145"/>
      <x:c r="AG2173" s="145"/>
      <x:c r="AH2173" s="145"/>
      <x:c r="AI2173" s="145"/>
      <x:c r="AJ2173"/>
    </x:row>
    <x:row r="2174">
      <x:c r="F2174" s="124"/>
      <x:c r="G2174" s="124"/>
      <x:c r="H2174" s="124"/>
      <x:c r="I2174" s="124"/>
      <x:c r="J2174" s="124"/>
      <x:c r="M2174" s="126"/>
      <x:c r="P2174" s="126"/>
      <x:c r="Q2174" s="126"/>
      <x:c r="R2174" s="126"/>
      <x:c r="S2174" s="124"/>
      <x:c r="T2174" s="124"/>
      <x:c r="U2174" s="124"/>
      <x:c r="V2174" s="124"/>
      <x:c r="W2174" s="124"/>
      <x:c r="X2174" s="124"/>
      <x:c r="AD2174"/>
      <x:c r="AE2174" s="145"/>
      <x:c r="AF2174" s="145"/>
      <x:c r="AG2174" s="145"/>
      <x:c r="AH2174" s="145"/>
      <x:c r="AI2174" s="145"/>
      <x:c r="AJ2174"/>
    </x:row>
    <x:row r="2175">
      <x:c r="F2175" s="124"/>
      <x:c r="G2175" s="124"/>
      <x:c r="H2175" s="124"/>
      <x:c r="I2175" s="124"/>
      <x:c r="J2175" s="124"/>
      <x:c r="M2175" s="126"/>
      <x:c r="P2175" s="126"/>
      <x:c r="Q2175" s="126"/>
      <x:c r="R2175" s="126"/>
      <x:c r="S2175" s="124"/>
      <x:c r="T2175" s="124"/>
      <x:c r="U2175" s="124"/>
      <x:c r="V2175" s="124"/>
      <x:c r="W2175" s="124"/>
      <x:c r="X2175" s="124"/>
      <x:c r="AD2175"/>
      <x:c r="AE2175" s="145"/>
      <x:c r="AF2175" s="145"/>
      <x:c r="AG2175" s="145"/>
      <x:c r="AH2175" s="145"/>
      <x:c r="AI2175" s="145"/>
      <x:c r="AJ2175"/>
    </x:row>
    <x:row r="2176">
      <x:c r="F2176" s="124"/>
      <x:c r="G2176" s="124"/>
      <x:c r="H2176" s="124"/>
      <x:c r="I2176" s="124"/>
      <x:c r="J2176" s="124"/>
      <x:c r="M2176" s="126"/>
      <x:c r="P2176" s="126"/>
      <x:c r="Q2176" s="126"/>
      <x:c r="R2176" s="126"/>
      <x:c r="S2176" s="124"/>
      <x:c r="T2176" s="124"/>
      <x:c r="U2176" s="124"/>
      <x:c r="V2176" s="124"/>
      <x:c r="W2176" s="124"/>
      <x:c r="X2176" s="124"/>
      <x:c r="AD2176"/>
      <x:c r="AE2176" s="145"/>
      <x:c r="AF2176" s="145"/>
      <x:c r="AG2176" s="145"/>
      <x:c r="AH2176" s="145"/>
      <x:c r="AI2176" s="145"/>
      <x:c r="AJ2176"/>
    </x:row>
    <x:row r="2177">
      <x:c r="F2177" s="124"/>
      <x:c r="G2177" s="124"/>
      <x:c r="H2177" s="124"/>
      <x:c r="I2177" s="124"/>
      <x:c r="J2177" s="124"/>
      <x:c r="M2177" s="126"/>
      <x:c r="P2177" s="126"/>
      <x:c r="Q2177" s="126"/>
      <x:c r="R2177" s="126"/>
      <x:c r="S2177" s="124"/>
      <x:c r="T2177" s="124"/>
      <x:c r="U2177" s="124"/>
      <x:c r="V2177" s="124"/>
      <x:c r="W2177" s="124"/>
      <x:c r="X2177" s="124"/>
      <x:c r="AD2177"/>
      <x:c r="AE2177" s="145"/>
      <x:c r="AF2177" s="145"/>
      <x:c r="AG2177" s="145"/>
      <x:c r="AH2177" s="145"/>
      <x:c r="AI2177" s="145"/>
      <x:c r="AJ2177"/>
    </x:row>
    <x:row r="2178">
      <x:c r="F2178" s="124"/>
      <x:c r="G2178" s="124"/>
      <x:c r="H2178" s="124"/>
      <x:c r="I2178" s="124"/>
      <x:c r="J2178" s="124"/>
      <x:c r="M2178" s="126"/>
      <x:c r="P2178" s="126"/>
      <x:c r="Q2178" s="126"/>
      <x:c r="R2178" s="126"/>
      <x:c r="S2178" s="124"/>
      <x:c r="T2178" s="124"/>
      <x:c r="U2178" s="124"/>
      <x:c r="V2178" s="124"/>
      <x:c r="W2178" s="124"/>
      <x:c r="X2178" s="124"/>
      <x:c r="AD2178"/>
      <x:c r="AE2178" s="145"/>
      <x:c r="AF2178" s="145"/>
      <x:c r="AG2178" s="145"/>
      <x:c r="AH2178" s="145"/>
      <x:c r="AI2178" s="145"/>
      <x:c r="AJ2178"/>
    </x:row>
    <x:row r="2179">
      <x:c r="F2179" s="124"/>
      <x:c r="G2179" s="124"/>
      <x:c r="H2179" s="124"/>
      <x:c r="I2179" s="124"/>
      <x:c r="J2179" s="124"/>
      <x:c r="M2179" s="126"/>
      <x:c r="P2179" s="126"/>
      <x:c r="Q2179" s="126"/>
      <x:c r="R2179" s="126"/>
      <x:c r="S2179" s="124"/>
      <x:c r="T2179" s="124"/>
      <x:c r="U2179" s="124"/>
      <x:c r="V2179" s="124"/>
      <x:c r="W2179" s="124"/>
      <x:c r="X2179" s="124"/>
      <x:c r="AD2179"/>
      <x:c r="AE2179" s="145"/>
      <x:c r="AF2179" s="145"/>
      <x:c r="AG2179" s="145"/>
      <x:c r="AH2179" s="145"/>
      <x:c r="AI2179" s="145"/>
      <x:c r="AJ2179"/>
    </x:row>
    <x:row r="2180">
      <x:c r="F2180" s="124"/>
      <x:c r="G2180" s="124"/>
      <x:c r="H2180" s="124"/>
      <x:c r="I2180" s="124"/>
      <x:c r="J2180" s="124"/>
      <x:c r="M2180" s="126"/>
      <x:c r="P2180" s="126"/>
      <x:c r="Q2180" s="126"/>
      <x:c r="R2180" s="126"/>
      <x:c r="S2180" s="124"/>
      <x:c r="T2180" s="124"/>
      <x:c r="U2180" s="124"/>
      <x:c r="V2180" s="124"/>
      <x:c r="W2180" s="124"/>
      <x:c r="X2180" s="124"/>
      <x:c r="AD2180"/>
      <x:c r="AE2180" s="145"/>
      <x:c r="AF2180" s="145"/>
      <x:c r="AG2180" s="145"/>
      <x:c r="AH2180" s="145"/>
      <x:c r="AI2180" s="145"/>
      <x:c r="AJ2180"/>
    </x:row>
    <x:row r="2181">
      <x:c r="F2181" s="124"/>
      <x:c r="G2181" s="124"/>
      <x:c r="H2181" s="124"/>
      <x:c r="I2181" s="124"/>
      <x:c r="J2181" s="124"/>
      <x:c r="M2181" s="126"/>
      <x:c r="P2181" s="126"/>
      <x:c r="Q2181" s="126"/>
      <x:c r="R2181" s="126"/>
      <x:c r="S2181" s="124"/>
      <x:c r="T2181" s="124"/>
      <x:c r="U2181" s="124"/>
      <x:c r="V2181" s="124"/>
      <x:c r="W2181" s="124"/>
      <x:c r="X2181" s="124"/>
      <x:c r="AD2181"/>
      <x:c r="AE2181" s="145"/>
      <x:c r="AF2181" s="145"/>
      <x:c r="AG2181" s="145"/>
      <x:c r="AH2181" s="145"/>
      <x:c r="AI2181" s="145"/>
      <x:c r="AJ2181"/>
    </x:row>
    <x:row r="2182">
      <x:c r="F2182" s="124"/>
      <x:c r="G2182" s="124"/>
      <x:c r="H2182" s="124"/>
      <x:c r="I2182" s="124"/>
      <x:c r="J2182" s="124"/>
      <x:c r="M2182" s="126"/>
      <x:c r="P2182" s="126"/>
      <x:c r="Q2182" s="126"/>
      <x:c r="R2182" s="126"/>
      <x:c r="S2182" s="124"/>
      <x:c r="T2182" s="124"/>
      <x:c r="U2182" s="124"/>
      <x:c r="V2182" s="124"/>
      <x:c r="W2182" s="124"/>
      <x:c r="X2182" s="124"/>
      <x:c r="AD2182"/>
      <x:c r="AE2182" s="145"/>
      <x:c r="AF2182" s="145"/>
      <x:c r="AG2182" s="145"/>
      <x:c r="AH2182" s="145"/>
      <x:c r="AI2182" s="145"/>
      <x:c r="AJ2182"/>
    </x:row>
    <x:row r="2183">
      <x:c r="F2183" s="124"/>
      <x:c r="G2183" s="124"/>
      <x:c r="H2183" s="124"/>
      <x:c r="I2183" s="124"/>
      <x:c r="J2183" s="124"/>
      <x:c r="M2183" s="126"/>
      <x:c r="P2183" s="126"/>
      <x:c r="Q2183" s="126"/>
      <x:c r="R2183" s="126"/>
      <x:c r="S2183" s="124"/>
      <x:c r="T2183" s="124"/>
      <x:c r="U2183" s="124"/>
      <x:c r="V2183" s="124"/>
      <x:c r="W2183" s="124"/>
      <x:c r="X2183" s="124"/>
      <x:c r="AD2183"/>
      <x:c r="AE2183" s="145"/>
      <x:c r="AF2183" s="145"/>
      <x:c r="AG2183" s="145"/>
      <x:c r="AH2183" s="145"/>
      <x:c r="AI2183" s="145"/>
      <x:c r="AJ2183"/>
    </x:row>
    <x:row r="2184">
      <x:c r="F2184" s="124"/>
      <x:c r="G2184" s="124"/>
      <x:c r="H2184" s="124"/>
      <x:c r="I2184" s="124"/>
      <x:c r="J2184" s="124"/>
      <x:c r="M2184" s="126"/>
      <x:c r="P2184" s="126"/>
      <x:c r="Q2184" s="126"/>
      <x:c r="R2184" s="126"/>
      <x:c r="S2184" s="124"/>
      <x:c r="T2184" s="124"/>
      <x:c r="U2184" s="124"/>
      <x:c r="V2184" s="124"/>
      <x:c r="W2184" s="124"/>
      <x:c r="X2184" s="124"/>
      <x:c r="AD2184"/>
      <x:c r="AE2184" s="145"/>
      <x:c r="AF2184" s="145"/>
      <x:c r="AG2184" s="145"/>
      <x:c r="AH2184" s="145"/>
      <x:c r="AI2184" s="145"/>
      <x:c r="AJ2184"/>
    </x:row>
    <x:row r="2185">
      <x:c r="F2185" s="124"/>
      <x:c r="G2185" s="124"/>
      <x:c r="H2185" s="124"/>
      <x:c r="I2185" s="124"/>
      <x:c r="J2185" s="124"/>
      <x:c r="M2185" s="126"/>
      <x:c r="P2185" s="126"/>
      <x:c r="Q2185" s="126"/>
      <x:c r="R2185" s="126"/>
      <x:c r="S2185" s="124"/>
      <x:c r="T2185" s="124"/>
      <x:c r="U2185" s="124"/>
      <x:c r="V2185" s="124"/>
      <x:c r="W2185" s="124"/>
      <x:c r="X2185" s="124"/>
      <x:c r="AD2185"/>
      <x:c r="AE2185" s="145"/>
      <x:c r="AF2185" s="145"/>
      <x:c r="AG2185" s="145"/>
      <x:c r="AH2185" s="145"/>
      <x:c r="AI2185" s="145"/>
      <x:c r="AJ2185"/>
    </x:row>
    <x:row r="2186">
      <x:c r="F2186" s="124"/>
      <x:c r="G2186" s="124"/>
      <x:c r="H2186" s="124"/>
      <x:c r="I2186" s="124"/>
      <x:c r="J2186" s="124"/>
      <x:c r="M2186" s="126"/>
      <x:c r="P2186" s="126"/>
      <x:c r="Q2186" s="126"/>
      <x:c r="R2186" s="126"/>
      <x:c r="S2186" s="124"/>
      <x:c r="T2186" s="124"/>
      <x:c r="U2186" s="124"/>
      <x:c r="V2186" s="124"/>
      <x:c r="W2186" s="124"/>
      <x:c r="X2186" s="124"/>
      <x:c r="AD2186"/>
      <x:c r="AE2186" s="145"/>
      <x:c r="AF2186" s="145"/>
      <x:c r="AG2186" s="145"/>
      <x:c r="AH2186" s="145"/>
      <x:c r="AI2186" s="145"/>
      <x:c r="AJ2186"/>
    </x:row>
    <x:row r="2187">
      <x:c r="F2187" s="124"/>
      <x:c r="G2187" s="124"/>
      <x:c r="H2187" s="124"/>
      <x:c r="I2187" s="124"/>
      <x:c r="J2187" s="124"/>
      <x:c r="M2187" s="126"/>
      <x:c r="P2187" s="126"/>
      <x:c r="Q2187" s="126"/>
      <x:c r="R2187" s="126"/>
      <x:c r="S2187" s="124"/>
      <x:c r="T2187" s="124"/>
      <x:c r="U2187" s="124"/>
      <x:c r="V2187" s="124"/>
      <x:c r="W2187" s="124"/>
      <x:c r="X2187" s="124"/>
      <x:c r="AD2187"/>
      <x:c r="AE2187" s="145"/>
      <x:c r="AF2187" s="145"/>
      <x:c r="AG2187" s="145"/>
      <x:c r="AH2187" s="145"/>
      <x:c r="AI2187" s="145"/>
      <x:c r="AJ2187"/>
    </x:row>
    <x:row r="2188">
      <x:c r="F2188" s="124"/>
      <x:c r="G2188" s="124"/>
      <x:c r="H2188" s="124"/>
      <x:c r="I2188" s="124"/>
      <x:c r="J2188" s="124"/>
      <x:c r="M2188" s="126"/>
      <x:c r="P2188" s="126"/>
      <x:c r="Q2188" s="126"/>
      <x:c r="R2188" s="126"/>
      <x:c r="S2188" s="124"/>
      <x:c r="T2188" s="124"/>
      <x:c r="U2188" s="124"/>
      <x:c r="V2188" s="124"/>
      <x:c r="W2188" s="124"/>
      <x:c r="X2188" s="124"/>
      <x:c r="AD2188"/>
      <x:c r="AE2188" s="145"/>
      <x:c r="AF2188" s="145"/>
      <x:c r="AG2188" s="145"/>
      <x:c r="AH2188" s="145"/>
      <x:c r="AI2188" s="145"/>
      <x:c r="AJ2188"/>
    </x:row>
    <x:row r="2189">
      <x:c r="F2189" s="124"/>
      <x:c r="G2189" s="124"/>
      <x:c r="H2189" s="124"/>
      <x:c r="I2189" s="124"/>
      <x:c r="J2189" s="124"/>
      <x:c r="M2189" s="126"/>
      <x:c r="P2189" s="126"/>
      <x:c r="Q2189" s="126"/>
      <x:c r="R2189" s="126"/>
      <x:c r="S2189" s="124"/>
      <x:c r="T2189" s="124"/>
      <x:c r="U2189" s="124"/>
      <x:c r="V2189" s="124"/>
      <x:c r="W2189" s="124"/>
      <x:c r="X2189" s="124"/>
      <x:c r="AD2189"/>
      <x:c r="AE2189" s="145"/>
      <x:c r="AF2189" s="145"/>
      <x:c r="AG2189" s="145"/>
      <x:c r="AH2189" s="145"/>
      <x:c r="AI2189" s="145"/>
      <x:c r="AJ2189"/>
    </x:row>
    <x:row r="2190">
      <x:c r="F2190" s="124"/>
      <x:c r="G2190" s="124"/>
      <x:c r="H2190" s="124"/>
      <x:c r="I2190" s="124"/>
      <x:c r="J2190" s="124"/>
      <x:c r="M2190" s="126"/>
      <x:c r="P2190" s="126"/>
      <x:c r="Q2190" s="126"/>
      <x:c r="R2190" s="126"/>
      <x:c r="S2190" s="124"/>
      <x:c r="T2190" s="124"/>
      <x:c r="U2190" s="124"/>
      <x:c r="V2190" s="124"/>
      <x:c r="W2190" s="124"/>
      <x:c r="X2190" s="124"/>
      <x:c r="AD2190"/>
      <x:c r="AE2190" s="145"/>
      <x:c r="AF2190" s="145"/>
      <x:c r="AG2190" s="145"/>
      <x:c r="AH2190" s="145"/>
      <x:c r="AI2190" s="145"/>
      <x:c r="AJ2190"/>
    </x:row>
    <x:row r="2191">
      <x:c r="F2191" s="124"/>
      <x:c r="G2191" s="124"/>
      <x:c r="H2191" s="124"/>
      <x:c r="I2191" s="124"/>
      <x:c r="J2191" s="124"/>
      <x:c r="M2191" s="126"/>
      <x:c r="P2191" s="126"/>
      <x:c r="Q2191" s="126"/>
      <x:c r="R2191" s="126"/>
      <x:c r="S2191" s="124"/>
      <x:c r="T2191" s="124"/>
      <x:c r="U2191" s="124"/>
      <x:c r="V2191" s="124"/>
      <x:c r="W2191" s="124"/>
      <x:c r="X2191" s="124"/>
      <x:c r="AD2191"/>
      <x:c r="AE2191" s="145"/>
      <x:c r="AF2191" s="145"/>
      <x:c r="AG2191" s="145"/>
      <x:c r="AH2191" s="145"/>
      <x:c r="AI2191" s="145"/>
      <x:c r="AJ2191"/>
    </x:row>
    <x:row r="2192">
      <x:c r="F2192" s="124"/>
      <x:c r="G2192" s="124"/>
      <x:c r="H2192" s="124"/>
      <x:c r="I2192" s="124"/>
      <x:c r="J2192" s="124"/>
      <x:c r="M2192" s="126"/>
      <x:c r="P2192" s="126"/>
      <x:c r="Q2192" s="126"/>
      <x:c r="R2192" s="126"/>
      <x:c r="S2192" s="124"/>
      <x:c r="T2192" s="124"/>
      <x:c r="U2192" s="124"/>
      <x:c r="V2192" s="124"/>
      <x:c r="W2192" s="124"/>
      <x:c r="X2192" s="124"/>
      <x:c r="AD2192"/>
      <x:c r="AE2192" s="145"/>
      <x:c r="AF2192" s="145"/>
      <x:c r="AG2192" s="145"/>
      <x:c r="AH2192" s="145"/>
      <x:c r="AI2192" s="145"/>
      <x:c r="AJ2192"/>
    </x:row>
    <x:row r="2193">
      <x:c r="F2193" s="124"/>
      <x:c r="G2193" s="124"/>
      <x:c r="H2193" s="124"/>
      <x:c r="I2193" s="124"/>
      <x:c r="J2193" s="124"/>
      <x:c r="M2193" s="126"/>
      <x:c r="P2193" s="126"/>
      <x:c r="Q2193" s="126"/>
      <x:c r="R2193" s="126"/>
      <x:c r="S2193" s="124"/>
      <x:c r="T2193" s="124"/>
      <x:c r="U2193" s="124"/>
      <x:c r="V2193" s="124"/>
      <x:c r="W2193" s="124"/>
      <x:c r="X2193" s="124"/>
      <x:c r="AD2193"/>
      <x:c r="AE2193" s="145"/>
      <x:c r="AF2193" s="145"/>
      <x:c r="AG2193" s="145"/>
      <x:c r="AH2193" s="145"/>
      <x:c r="AI2193" s="145"/>
      <x:c r="AJ2193"/>
    </x:row>
    <x:row r="2194">
      <x:c r="F2194" s="124"/>
      <x:c r="G2194" s="124"/>
      <x:c r="H2194" s="124"/>
      <x:c r="I2194" s="124"/>
      <x:c r="J2194" s="124"/>
      <x:c r="M2194" s="126"/>
      <x:c r="P2194" s="126"/>
      <x:c r="Q2194" s="126"/>
      <x:c r="R2194" s="126"/>
      <x:c r="S2194" s="124"/>
      <x:c r="T2194" s="124"/>
      <x:c r="U2194" s="124"/>
      <x:c r="V2194" s="124"/>
      <x:c r="W2194" s="124"/>
      <x:c r="X2194" s="124"/>
      <x:c r="AD2194"/>
      <x:c r="AE2194" s="145"/>
      <x:c r="AF2194" s="145"/>
      <x:c r="AG2194" s="145"/>
      <x:c r="AH2194" s="145"/>
      <x:c r="AI2194" s="145"/>
      <x:c r="AJ2194"/>
    </x:row>
    <x:row r="2195">
      <x:c r="F2195" s="124"/>
      <x:c r="G2195" s="124"/>
      <x:c r="H2195" s="124"/>
      <x:c r="I2195" s="124"/>
      <x:c r="J2195" s="124"/>
      <x:c r="M2195" s="126"/>
      <x:c r="P2195" s="126"/>
      <x:c r="Q2195" s="126"/>
      <x:c r="R2195" s="126"/>
      <x:c r="S2195" s="124"/>
      <x:c r="T2195" s="124"/>
      <x:c r="U2195" s="124"/>
      <x:c r="V2195" s="124"/>
      <x:c r="W2195" s="124"/>
      <x:c r="X2195" s="124"/>
      <x:c r="AD2195"/>
      <x:c r="AE2195" s="145"/>
      <x:c r="AF2195" s="145"/>
      <x:c r="AG2195" s="145"/>
      <x:c r="AH2195" s="145"/>
      <x:c r="AI2195" s="145"/>
      <x:c r="AJ2195"/>
    </x:row>
    <x:row r="2196">
      <x:c r="F2196" s="124"/>
      <x:c r="G2196" s="124"/>
      <x:c r="H2196" s="124"/>
      <x:c r="I2196" s="124"/>
      <x:c r="J2196" s="124"/>
      <x:c r="M2196" s="126"/>
      <x:c r="P2196" s="126"/>
      <x:c r="Q2196" s="126"/>
      <x:c r="R2196" s="126"/>
      <x:c r="S2196" s="124"/>
      <x:c r="T2196" s="124"/>
      <x:c r="U2196" s="124"/>
      <x:c r="V2196" s="124"/>
      <x:c r="W2196" s="124"/>
      <x:c r="X2196" s="124"/>
      <x:c r="AD2196"/>
      <x:c r="AE2196" s="145"/>
      <x:c r="AF2196" s="145"/>
      <x:c r="AG2196" s="145"/>
      <x:c r="AH2196" s="145"/>
      <x:c r="AI2196" s="145"/>
      <x:c r="AJ2196"/>
    </x:row>
    <x:row r="2197">
      <x:c r="F2197" s="124"/>
      <x:c r="G2197" s="124"/>
      <x:c r="H2197" s="124"/>
      <x:c r="I2197" s="124"/>
      <x:c r="J2197" s="124"/>
      <x:c r="M2197" s="126"/>
      <x:c r="P2197" s="126"/>
      <x:c r="Q2197" s="126"/>
      <x:c r="R2197" s="126"/>
      <x:c r="S2197" s="124"/>
      <x:c r="T2197" s="124"/>
      <x:c r="U2197" s="124"/>
      <x:c r="V2197" s="124"/>
      <x:c r="W2197" s="124"/>
      <x:c r="X2197" s="124"/>
      <x:c r="AD2197"/>
      <x:c r="AE2197" s="145"/>
      <x:c r="AF2197" s="145"/>
      <x:c r="AG2197" s="145"/>
      <x:c r="AH2197" s="145"/>
      <x:c r="AI2197" s="145"/>
      <x:c r="AJ2197"/>
    </x:row>
    <x:row r="2198">
      <x:c r="F2198" s="124"/>
      <x:c r="G2198" s="124"/>
      <x:c r="H2198" s="124"/>
      <x:c r="I2198" s="124"/>
      <x:c r="J2198" s="124"/>
      <x:c r="M2198" s="126"/>
      <x:c r="P2198" s="126"/>
      <x:c r="Q2198" s="126"/>
      <x:c r="R2198" s="126"/>
      <x:c r="S2198" s="124"/>
      <x:c r="T2198" s="124"/>
      <x:c r="U2198" s="124"/>
      <x:c r="V2198" s="124"/>
      <x:c r="W2198" s="124"/>
      <x:c r="X2198" s="124"/>
      <x:c r="AD2198"/>
      <x:c r="AE2198" s="145"/>
      <x:c r="AF2198" s="145"/>
      <x:c r="AG2198" s="145"/>
      <x:c r="AH2198" s="145"/>
      <x:c r="AI2198" s="145"/>
      <x:c r="AJ2198"/>
    </x:row>
    <x:row r="2199">
      <x:c r="F2199" s="124"/>
      <x:c r="G2199" s="124"/>
      <x:c r="H2199" s="124"/>
      <x:c r="I2199" s="124"/>
      <x:c r="J2199" s="124"/>
      <x:c r="M2199" s="126"/>
      <x:c r="P2199" s="126"/>
      <x:c r="Q2199" s="126"/>
      <x:c r="R2199" s="126"/>
      <x:c r="S2199" s="124"/>
      <x:c r="T2199" s="124"/>
      <x:c r="U2199" s="124"/>
      <x:c r="V2199" s="124"/>
      <x:c r="W2199" s="124"/>
      <x:c r="X2199" s="124"/>
      <x:c r="AD2199"/>
      <x:c r="AE2199" s="145"/>
      <x:c r="AF2199" s="145"/>
      <x:c r="AG2199" s="145"/>
      <x:c r="AH2199" s="145"/>
      <x:c r="AI2199" s="145"/>
      <x:c r="AJ2199"/>
    </x:row>
    <x:row r="2200">
      <x:c r="F2200" s="124"/>
      <x:c r="G2200" s="124"/>
      <x:c r="H2200" s="124"/>
      <x:c r="I2200" s="124"/>
      <x:c r="J2200" s="124"/>
      <x:c r="M2200" s="126"/>
      <x:c r="P2200" s="126"/>
      <x:c r="Q2200" s="126"/>
      <x:c r="R2200" s="126"/>
      <x:c r="S2200" s="124"/>
      <x:c r="T2200" s="124"/>
      <x:c r="U2200" s="124"/>
      <x:c r="V2200" s="124"/>
      <x:c r="W2200" s="124"/>
      <x:c r="X2200" s="124"/>
      <x:c r="AD2200"/>
      <x:c r="AE2200" s="145"/>
      <x:c r="AF2200" s="145"/>
      <x:c r="AG2200" s="145"/>
      <x:c r="AH2200" s="145"/>
      <x:c r="AI2200" s="145"/>
      <x:c r="AJ2200"/>
    </x:row>
    <x:row r="2201">
      <x:c r="F2201" s="124"/>
      <x:c r="G2201" s="124"/>
      <x:c r="H2201" s="124"/>
      <x:c r="I2201" s="124"/>
      <x:c r="J2201" s="124"/>
      <x:c r="M2201" s="126"/>
      <x:c r="P2201" s="126"/>
      <x:c r="Q2201" s="126"/>
      <x:c r="R2201" s="126"/>
      <x:c r="S2201" s="124"/>
      <x:c r="T2201" s="124"/>
      <x:c r="U2201" s="124"/>
      <x:c r="V2201" s="124"/>
      <x:c r="W2201" s="124"/>
      <x:c r="X2201" s="124"/>
      <x:c r="AD2201"/>
      <x:c r="AE2201" s="145"/>
      <x:c r="AF2201" s="145"/>
      <x:c r="AG2201" s="145"/>
      <x:c r="AH2201" s="145"/>
      <x:c r="AI2201" s="145"/>
      <x:c r="AJ2201"/>
    </x:row>
    <x:row r="2202">
      <x:c r="F2202" s="124"/>
      <x:c r="G2202" s="124"/>
      <x:c r="H2202" s="124"/>
      <x:c r="I2202" s="124"/>
      <x:c r="J2202" s="124"/>
      <x:c r="M2202" s="126"/>
      <x:c r="P2202" s="126"/>
      <x:c r="Q2202" s="126"/>
      <x:c r="R2202" s="126"/>
      <x:c r="S2202" s="124"/>
      <x:c r="T2202" s="124"/>
      <x:c r="U2202" s="124"/>
      <x:c r="V2202" s="124"/>
      <x:c r="W2202" s="124"/>
      <x:c r="X2202" s="124"/>
      <x:c r="AD2202"/>
      <x:c r="AE2202" s="145"/>
      <x:c r="AF2202" s="145"/>
      <x:c r="AG2202" s="145"/>
      <x:c r="AH2202" s="145"/>
      <x:c r="AI2202" s="145"/>
      <x:c r="AJ2202"/>
    </x:row>
    <x:row r="2203">
      <x:c r="F2203" s="124"/>
      <x:c r="G2203" s="124"/>
      <x:c r="H2203" s="124"/>
      <x:c r="I2203" s="124"/>
      <x:c r="J2203" s="124"/>
      <x:c r="M2203" s="126"/>
      <x:c r="P2203" s="126"/>
      <x:c r="Q2203" s="126"/>
      <x:c r="R2203" s="126"/>
      <x:c r="S2203" s="124"/>
      <x:c r="T2203" s="124"/>
      <x:c r="U2203" s="124"/>
      <x:c r="V2203" s="124"/>
      <x:c r="W2203" s="124"/>
      <x:c r="X2203" s="124"/>
      <x:c r="AD2203"/>
      <x:c r="AE2203" s="145"/>
      <x:c r="AF2203" s="145"/>
      <x:c r="AG2203" s="145"/>
      <x:c r="AH2203" s="145"/>
      <x:c r="AI2203" s="145"/>
      <x:c r="AJ2203"/>
    </x:row>
    <x:row r="2204">
      <x:c r="F2204" s="124"/>
      <x:c r="G2204" s="124"/>
      <x:c r="H2204" s="124"/>
      <x:c r="I2204" s="124"/>
      <x:c r="J2204" s="124"/>
      <x:c r="M2204" s="126"/>
      <x:c r="P2204" s="126"/>
      <x:c r="Q2204" s="126"/>
      <x:c r="R2204" s="126"/>
      <x:c r="S2204" s="124"/>
      <x:c r="T2204" s="124"/>
      <x:c r="U2204" s="124"/>
      <x:c r="V2204" s="124"/>
      <x:c r="W2204" s="124"/>
      <x:c r="X2204" s="124"/>
      <x:c r="AD2204"/>
      <x:c r="AE2204" s="145"/>
      <x:c r="AF2204" s="145"/>
      <x:c r="AG2204" s="145"/>
      <x:c r="AH2204" s="145"/>
      <x:c r="AI2204" s="145"/>
      <x:c r="AJ2204"/>
    </x:row>
    <x:row r="2205">
      <x:c r="F2205" s="124"/>
      <x:c r="G2205" s="124"/>
      <x:c r="H2205" s="124"/>
      <x:c r="I2205" s="124"/>
      <x:c r="J2205" s="124"/>
      <x:c r="M2205" s="126"/>
      <x:c r="P2205" s="126"/>
      <x:c r="Q2205" s="126"/>
      <x:c r="R2205" s="126"/>
      <x:c r="S2205" s="124"/>
      <x:c r="T2205" s="124"/>
      <x:c r="U2205" s="124"/>
      <x:c r="V2205" s="124"/>
      <x:c r="W2205" s="124"/>
      <x:c r="X2205" s="124"/>
      <x:c r="AD2205"/>
      <x:c r="AE2205" s="145"/>
      <x:c r="AF2205" s="145"/>
      <x:c r="AG2205" s="145"/>
      <x:c r="AH2205" s="145"/>
      <x:c r="AI2205" s="145"/>
      <x:c r="AJ2205"/>
    </x:row>
    <x:row r="2206">
      <x:c r="F2206" s="124"/>
      <x:c r="G2206" s="124"/>
      <x:c r="H2206" s="124"/>
      <x:c r="I2206" s="124"/>
      <x:c r="J2206" s="124"/>
      <x:c r="M2206" s="126"/>
      <x:c r="P2206" s="126"/>
      <x:c r="Q2206" s="126"/>
      <x:c r="R2206" s="126"/>
      <x:c r="S2206" s="124"/>
      <x:c r="T2206" s="124"/>
      <x:c r="U2206" s="124"/>
      <x:c r="V2206" s="124"/>
      <x:c r="W2206" s="124"/>
      <x:c r="X2206" s="124"/>
      <x:c r="AD2206"/>
      <x:c r="AE2206" s="145"/>
      <x:c r="AF2206" s="145"/>
      <x:c r="AG2206" s="145"/>
      <x:c r="AH2206" s="145"/>
      <x:c r="AI2206" s="145"/>
      <x:c r="AJ2206"/>
    </x:row>
    <x:row r="2207">
      <x:c r="F2207" s="124"/>
      <x:c r="G2207" s="124"/>
      <x:c r="H2207" s="124"/>
      <x:c r="I2207" s="124"/>
      <x:c r="J2207" s="124"/>
      <x:c r="M2207" s="126"/>
      <x:c r="P2207" s="126"/>
      <x:c r="Q2207" s="126"/>
      <x:c r="R2207" s="126"/>
      <x:c r="S2207" s="124"/>
      <x:c r="T2207" s="124"/>
      <x:c r="U2207" s="124"/>
      <x:c r="V2207" s="124"/>
      <x:c r="W2207" s="124"/>
      <x:c r="X2207" s="124"/>
      <x:c r="AD2207"/>
      <x:c r="AE2207" s="145"/>
      <x:c r="AF2207" s="145"/>
      <x:c r="AG2207" s="145"/>
      <x:c r="AH2207" s="145"/>
      <x:c r="AI2207" s="145"/>
      <x:c r="AJ2207"/>
    </x:row>
    <x:row r="2208">
      <x:c r="F2208" s="124"/>
      <x:c r="G2208" s="124"/>
      <x:c r="H2208" s="124"/>
      <x:c r="I2208" s="124"/>
      <x:c r="J2208" s="124"/>
      <x:c r="M2208" s="126"/>
      <x:c r="P2208" s="126"/>
      <x:c r="Q2208" s="126"/>
      <x:c r="R2208" s="126"/>
      <x:c r="S2208" s="124"/>
      <x:c r="T2208" s="124"/>
      <x:c r="U2208" s="124"/>
      <x:c r="V2208" s="124"/>
      <x:c r="W2208" s="124"/>
      <x:c r="X2208" s="124"/>
      <x:c r="AD2208"/>
      <x:c r="AE2208" s="145"/>
      <x:c r="AF2208" s="145"/>
      <x:c r="AG2208" s="145"/>
      <x:c r="AH2208" s="145"/>
      <x:c r="AI2208" s="145"/>
      <x:c r="AJ2208"/>
    </x:row>
    <x:row r="2209">
      <x:c r="F2209" s="124"/>
      <x:c r="G2209" s="124"/>
      <x:c r="H2209" s="124"/>
      <x:c r="I2209" s="124"/>
      <x:c r="J2209" s="124"/>
      <x:c r="M2209" s="126"/>
      <x:c r="P2209" s="126"/>
      <x:c r="Q2209" s="126"/>
      <x:c r="R2209" s="126"/>
      <x:c r="S2209" s="124"/>
      <x:c r="T2209" s="124"/>
      <x:c r="U2209" s="124"/>
      <x:c r="V2209" s="124"/>
      <x:c r="W2209" s="124"/>
      <x:c r="X2209" s="124"/>
      <x:c r="AD2209"/>
      <x:c r="AE2209" s="145"/>
      <x:c r="AF2209" s="145"/>
      <x:c r="AG2209" s="145"/>
      <x:c r="AH2209" s="145"/>
      <x:c r="AI2209" s="145"/>
      <x:c r="AJ2209"/>
    </x:row>
    <x:row r="2210">
      <x:c r="F2210" s="124"/>
      <x:c r="G2210" s="124"/>
      <x:c r="H2210" s="124"/>
      <x:c r="I2210" s="124"/>
      <x:c r="J2210" s="124"/>
      <x:c r="M2210" s="126"/>
      <x:c r="P2210" s="126"/>
      <x:c r="Q2210" s="126"/>
      <x:c r="R2210" s="126"/>
      <x:c r="S2210" s="124"/>
      <x:c r="T2210" s="124"/>
      <x:c r="U2210" s="124"/>
      <x:c r="V2210" s="124"/>
      <x:c r="W2210" s="124"/>
      <x:c r="X2210" s="124"/>
      <x:c r="AD2210"/>
      <x:c r="AE2210" s="145"/>
      <x:c r="AF2210" s="145"/>
      <x:c r="AG2210" s="145"/>
      <x:c r="AH2210" s="145"/>
      <x:c r="AI2210" s="145"/>
      <x:c r="AJ2210"/>
    </x:row>
    <x:row r="2211">
      <x:c r="F2211" s="124"/>
      <x:c r="G2211" s="124"/>
      <x:c r="H2211" s="124"/>
      <x:c r="I2211" s="124"/>
      <x:c r="J2211" s="124"/>
      <x:c r="M2211" s="126"/>
      <x:c r="P2211" s="126"/>
      <x:c r="Q2211" s="126"/>
      <x:c r="R2211" s="126"/>
      <x:c r="S2211" s="124"/>
      <x:c r="T2211" s="124"/>
      <x:c r="U2211" s="124"/>
      <x:c r="V2211" s="124"/>
      <x:c r="W2211" s="124"/>
      <x:c r="X2211" s="124"/>
      <x:c r="AD2211"/>
      <x:c r="AE2211" s="145"/>
      <x:c r="AF2211" s="145"/>
      <x:c r="AG2211" s="145"/>
      <x:c r="AH2211" s="145"/>
      <x:c r="AI2211" s="145"/>
      <x:c r="AJ2211"/>
    </x:row>
    <x:row r="2212">
      <x:c r="F2212" s="124"/>
      <x:c r="G2212" s="124"/>
      <x:c r="H2212" s="124"/>
      <x:c r="I2212" s="124"/>
      <x:c r="J2212" s="124"/>
      <x:c r="M2212" s="126"/>
      <x:c r="P2212" s="126"/>
      <x:c r="Q2212" s="126"/>
      <x:c r="R2212" s="126"/>
      <x:c r="S2212" s="124"/>
      <x:c r="T2212" s="124"/>
      <x:c r="U2212" s="124"/>
      <x:c r="V2212" s="124"/>
      <x:c r="W2212" s="124"/>
      <x:c r="X2212" s="124"/>
      <x:c r="AD2212"/>
      <x:c r="AE2212" s="145"/>
      <x:c r="AF2212" s="145"/>
      <x:c r="AG2212" s="145"/>
      <x:c r="AH2212" s="145"/>
      <x:c r="AI2212" s="145"/>
      <x:c r="AJ2212"/>
    </x:row>
    <x:row r="2213">
      <x:c r="F2213" s="124"/>
      <x:c r="G2213" s="124"/>
      <x:c r="H2213" s="124"/>
      <x:c r="I2213" s="124"/>
      <x:c r="J2213" s="124"/>
      <x:c r="M2213" s="126"/>
      <x:c r="P2213" s="126"/>
      <x:c r="Q2213" s="126"/>
      <x:c r="R2213" s="126"/>
      <x:c r="S2213" s="124"/>
      <x:c r="T2213" s="124"/>
      <x:c r="U2213" s="124"/>
      <x:c r="V2213" s="124"/>
      <x:c r="W2213" s="124"/>
      <x:c r="X2213" s="124"/>
      <x:c r="AD2213"/>
      <x:c r="AE2213" s="145"/>
      <x:c r="AF2213" s="145"/>
      <x:c r="AG2213" s="145"/>
      <x:c r="AH2213" s="145"/>
      <x:c r="AI2213" s="145"/>
      <x:c r="AJ2213"/>
    </x:row>
    <x:row r="2214">
      <x:c r="F2214" s="124"/>
      <x:c r="G2214" s="124"/>
      <x:c r="H2214" s="124"/>
      <x:c r="I2214" s="124"/>
      <x:c r="J2214" s="124"/>
      <x:c r="M2214" s="126"/>
      <x:c r="P2214" s="126"/>
      <x:c r="Q2214" s="126"/>
      <x:c r="R2214" s="126"/>
      <x:c r="S2214" s="124"/>
      <x:c r="T2214" s="124"/>
      <x:c r="U2214" s="124"/>
      <x:c r="V2214" s="124"/>
      <x:c r="W2214" s="124"/>
      <x:c r="X2214" s="124"/>
      <x:c r="AD2214"/>
      <x:c r="AE2214" s="145"/>
      <x:c r="AF2214" s="145"/>
      <x:c r="AG2214" s="145"/>
      <x:c r="AH2214" s="145"/>
      <x:c r="AI2214" s="145"/>
      <x:c r="AJ2214"/>
    </x:row>
    <x:row r="2215">
      <x:c r="F2215" s="124"/>
      <x:c r="G2215" s="124"/>
      <x:c r="H2215" s="124"/>
      <x:c r="I2215" s="124"/>
      <x:c r="J2215" s="124"/>
      <x:c r="M2215" s="126"/>
      <x:c r="P2215" s="126"/>
      <x:c r="Q2215" s="126"/>
      <x:c r="R2215" s="126"/>
      <x:c r="S2215" s="124"/>
      <x:c r="T2215" s="124"/>
      <x:c r="U2215" s="124"/>
      <x:c r="V2215" s="124"/>
      <x:c r="W2215" s="124"/>
      <x:c r="X2215" s="124"/>
      <x:c r="AD2215"/>
      <x:c r="AE2215" s="145"/>
      <x:c r="AF2215" s="145"/>
      <x:c r="AG2215" s="145"/>
      <x:c r="AH2215" s="145"/>
      <x:c r="AI2215" s="145"/>
      <x:c r="AJ2215"/>
    </x:row>
    <x:row r="2216">
      <x:c r="F2216" s="124"/>
      <x:c r="G2216" s="124"/>
      <x:c r="H2216" s="124"/>
      <x:c r="I2216" s="124"/>
      <x:c r="J2216" s="124"/>
      <x:c r="M2216" s="126"/>
      <x:c r="P2216" s="126"/>
      <x:c r="Q2216" s="126"/>
      <x:c r="R2216" s="126"/>
      <x:c r="S2216" s="124"/>
      <x:c r="T2216" s="124"/>
      <x:c r="U2216" s="124"/>
      <x:c r="V2216" s="124"/>
      <x:c r="W2216" s="124"/>
      <x:c r="X2216" s="124"/>
      <x:c r="AD2216"/>
      <x:c r="AE2216" s="145"/>
      <x:c r="AF2216" s="145"/>
      <x:c r="AG2216" s="145"/>
      <x:c r="AH2216" s="145"/>
      <x:c r="AI2216" s="145"/>
      <x:c r="AJ2216"/>
    </x:row>
    <x:row r="2217">
      <x:c r="F2217" s="124"/>
      <x:c r="G2217" s="124"/>
      <x:c r="H2217" s="124"/>
      <x:c r="I2217" s="124"/>
      <x:c r="J2217" s="124"/>
      <x:c r="M2217" s="126"/>
      <x:c r="P2217" s="126"/>
      <x:c r="Q2217" s="126"/>
      <x:c r="R2217" s="126"/>
      <x:c r="S2217" s="124"/>
      <x:c r="T2217" s="124"/>
      <x:c r="U2217" s="124"/>
      <x:c r="V2217" s="124"/>
      <x:c r="W2217" s="124"/>
      <x:c r="X2217" s="124"/>
      <x:c r="AD2217"/>
      <x:c r="AE2217" s="145"/>
      <x:c r="AF2217" s="145"/>
      <x:c r="AG2217" s="145"/>
      <x:c r="AH2217" s="145"/>
      <x:c r="AI2217" s="145"/>
      <x:c r="AJ2217"/>
    </x:row>
    <x:row r="2218">
      <x:c r="F2218" s="124"/>
      <x:c r="G2218" s="124"/>
      <x:c r="H2218" s="124"/>
      <x:c r="I2218" s="124"/>
      <x:c r="J2218" s="124"/>
      <x:c r="M2218" s="126"/>
      <x:c r="P2218" s="126"/>
      <x:c r="Q2218" s="126"/>
      <x:c r="R2218" s="126"/>
      <x:c r="S2218" s="124"/>
      <x:c r="T2218" s="124"/>
      <x:c r="U2218" s="124"/>
      <x:c r="V2218" s="124"/>
      <x:c r="W2218" s="124"/>
      <x:c r="X2218" s="124"/>
      <x:c r="AD2218"/>
      <x:c r="AE2218" s="145"/>
      <x:c r="AF2218" s="145"/>
      <x:c r="AG2218" s="145"/>
      <x:c r="AH2218" s="145"/>
      <x:c r="AI2218" s="145"/>
      <x:c r="AJ2218"/>
    </x:row>
    <x:row r="2219">
      <x:c r="F2219" s="124"/>
      <x:c r="G2219" s="124"/>
      <x:c r="H2219" s="124"/>
      <x:c r="I2219" s="124"/>
      <x:c r="J2219" s="124"/>
      <x:c r="M2219" s="126"/>
      <x:c r="P2219" s="126"/>
      <x:c r="Q2219" s="126"/>
      <x:c r="R2219" s="126"/>
      <x:c r="S2219" s="124"/>
      <x:c r="T2219" s="124"/>
      <x:c r="U2219" s="124"/>
      <x:c r="V2219" s="124"/>
      <x:c r="W2219" s="124"/>
      <x:c r="X2219" s="124"/>
      <x:c r="AD2219"/>
      <x:c r="AE2219" s="145"/>
      <x:c r="AF2219" s="145"/>
      <x:c r="AG2219" s="145"/>
      <x:c r="AH2219" s="145"/>
      <x:c r="AI2219" s="145"/>
      <x:c r="AJ2219"/>
    </x:row>
    <x:row r="2220">
      <x:c r="F2220" s="124"/>
      <x:c r="G2220" s="124"/>
      <x:c r="H2220" s="124"/>
      <x:c r="I2220" s="124"/>
      <x:c r="J2220" s="124"/>
      <x:c r="M2220" s="126"/>
      <x:c r="P2220" s="126"/>
      <x:c r="Q2220" s="126"/>
      <x:c r="R2220" s="126"/>
      <x:c r="S2220" s="124"/>
      <x:c r="T2220" s="124"/>
      <x:c r="U2220" s="124"/>
      <x:c r="V2220" s="124"/>
      <x:c r="W2220" s="124"/>
      <x:c r="X2220" s="124"/>
      <x:c r="AD2220"/>
      <x:c r="AE2220" s="145"/>
      <x:c r="AF2220" s="145"/>
      <x:c r="AG2220" s="145"/>
      <x:c r="AH2220" s="145"/>
      <x:c r="AI2220" s="145"/>
      <x:c r="AJ2220"/>
    </x:row>
    <x:row r="2221">
      <x:c r="F2221" s="124"/>
      <x:c r="G2221" s="124"/>
      <x:c r="H2221" s="124"/>
      <x:c r="I2221" s="124"/>
      <x:c r="J2221" s="124"/>
      <x:c r="M2221" s="126"/>
      <x:c r="P2221" s="126"/>
      <x:c r="Q2221" s="126"/>
      <x:c r="R2221" s="126"/>
      <x:c r="S2221" s="124"/>
      <x:c r="T2221" s="124"/>
      <x:c r="U2221" s="124"/>
      <x:c r="V2221" s="124"/>
      <x:c r="W2221" s="124"/>
      <x:c r="X2221" s="124"/>
      <x:c r="AD2221"/>
      <x:c r="AE2221" s="145"/>
      <x:c r="AF2221" s="145"/>
      <x:c r="AG2221" s="145"/>
      <x:c r="AH2221" s="145"/>
      <x:c r="AI2221" s="145"/>
      <x:c r="AJ2221"/>
    </x:row>
    <x:row r="2222">
      <x:c r="F2222" s="124"/>
      <x:c r="G2222" s="124"/>
      <x:c r="H2222" s="124"/>
      <x:c r="I2222" s="124"/>
      <x:c r="J2222" s="124"/>
      <x:c r="M2222" s="126"/>
      <x:c r="P2222" s="126"/>
      <x:c r="Q2222" s="126"/>
      <x:c r="R2222" s="126"/>
      <x:c r="S2222" s="124"/>
      <x:c r="T2222" s="124"/>
      <x:c r="U2222" s="124"/>
      <x:c r="V2222" s="124"/>
      <x:c r="W2222" s="124"/>
      <x:c r="X2222" s="124"/>
      <x:c r="AD2222"/>
      <x:c r="AE2222" s="145"/>
      <x:c r="AF2222" s="145"/>
      <x:c r="AG2222" s="145"/>
      <x:c r="AH2222" s="145"/>
      <x:c r="AI2222" s="145"/>
      <x:c r="AJ2222"/>
    </x:row>
    <x:row r="2223">
      <x:c r="F2223" s="124"/>
      <x:c r="G2223" s="124"/>
      <x:c r="H2223" s="124"/>
      <x:c r="I2223" s="124"/>
      <x:c r="J2223" s="124"/>
      <x:c r="M2223" s="126"/>
      <x:c r="P2223" s="126"/>
      <x:c r="Q2223" s="126"/>
      <x:c r="R2223" s="126"/>
      <x:c r="S2223" s="124"/>
      <x:c r="T2223" s="124"/>
      <x:c r="U2223" s="124"/>
      <x:c r="V2223" s="124"/>
      <x:c r="W2223" s="124"/>
      <x:c r="X2223" s="124"/>
      <x:c r="AD2223"/>
      <x:c r="AE2223" s="145"/>
      <x:c r="AF2223" s="145"/>
      <x:c r="AG2223" s="145"/>
      <x:c r="AH2223" s="145"/>
      <x:c r="AI2223" s="145"/>
      <x:c r="AJ2223"/>
    </x:row>
    <x:row r="2224">
      <x:c r="F2224" s="124"/>
      <x:c r="G2224" s="124"/>
      <x:c r="H2224" s="124"/>
      <x:c r="I2224" s="124"/>
      <x:c r="J2224" s="124"/>
      <x:c r="M2224" s="126"/>
      <x:c r="P2224" s="126"/>
      <x:c r="Q2224" s="126"/>
      <x:c r="R2224" s="126"/>
      <x:c r="S2224" s="124"/>
      <x:c r="T2224" s="124"/>
      <x:c r="U2224" s="124"/>
      <x:c r="V2224" s="124"/>
      <x:c r="W2224" s="124"/>
      <x:c r="X2224" s="124"/>
      <x:c r="AD2224"/>
      <x:c r="AE2224" s="145"/>
      <x:c r="AF2224" s="145"/>
      <x:c r="AG2224" s="145"/>
      <x:c r="AH2224" s="145"/>
      <x:c r="AI2224" s="145"/>
      <x:c r="AJ2224"/>
    </x:row>
    <x:row r="2225">
      <x:c r="F2225" s="124"/>
      <x:c r="G2225" s="124"/>
      <x:c r="H2225" s="124"/>
      <x:c r="I2225" s="124"/>
      <x:c r="J2225" s="124"/>
      <x:c r="M2225" s="126"/>
      <x:c r="P2225" s="126"/>
      <x:c r="Q2225" s="126"/>
      <x:c r="R2225" s="126"/>
      <x:c r="S2225" s="124"/>
      <x:c r="T2225" s="124"/>
      <x:c r="U2225" s="124"/>
      <x:c r="V2225" s="124"/>
      <x:c r="W2225" s="124"/>
      <x:c r="X2225" s="124"/>
      <x:c r="AD2225"/>
      <x:c r="AE2225" s="145"/>
      <x:c r="AF2225" s="145"/>
      <x:c r="AG2225" s="145"/>
      <x:c r="AH2225" s="145"/>
      <x:c r="AI2225" s="145"/>
      <x:c r="AJ2225"/>
    </x:row>
    <x:row r="2226">
      <x:c r="F2226" s="124"/>
      <x:c r="G2226" s="124"/>
      <x:c r="H2226" s="124"/>
      <x:c r="I2226" s="124"/>
      <x:c r="J2226" s="124"/>
      <x:c r="M2226" s="126"/>
      <x:c r="P2226" s="126"/>
      <x:c r="Q2226" s="126"/>
      <x:c r="R2226" s="126"/>
      <x:c r="S2226" s="124"/>
      <x:c r="T2226" s="124"/>
      <x:c r="U2226" s="124"/>
      <x:c r="V2226" s="124"/>
      <x:c r="W2226" s="124"/>
      <x:c r="X2226" s="124"/>
      <x:c r="AD2226"/>
      <x:c r="AE2226" s="145"/>
      <x:c r="AF2226" s="145"/>
      <x:c r="AG2226" s="145"/>
      <x:c r="AH2226" s="145"/>
      <x:c r="AI2226" s="145"/>
      <x:c r="AJ2226"/>
    </x:row>
    <x:row r="2227">
      <x:c r="F2227" s="124"/>
      <x:c r="G2227" s="124"/>
      <x:c r="H2227" s="124"/>
      <x:c r="I2227" s="124"/>
      <x:c r="J2227" s="124"/>
      <x:c r="M2227" s="126"/>
      <x:c r="P2227" s="126"/>
      <x:c r="Q2227" s="126"/>
      <x:c r="R2227" s="126"/>
      <x:c r="S2227" s="124"/>
      <x:c r="T2227" s="124"/>
      <x:c r="U2227" s="124"/>
      <x:c r="V2227" s="124"/>
      <x:c r="W2227" s="124"/>
      <x:c r="X2227" s="124"/>
      <x:c r="AD2227"/>
      <x:c r="AE2227" s="145"/>
      <x:c r="AF2227" s="145"/>
      <x:c r="AG2227" s="145"/>
      <x:c r="AH2227" s="145"/>
      <x:c r="AI2227" s="145"/>
      <x:c r="AJ2227"/>
    </x:row>
    <x:row r="2228">
      <x:c r="F2228" s="124"/>
      <x:c r="G2228" s="124"/>
      <x:c r="H2228" s="124"/>
      <x:c r="I2228" s="124"/>
      <x:c r="J2228" s="124"/>
      <x:c r="M2228" s="126"/>
      <x:c r="P2228" s="126"/>
      <x:c r="Q2228" s="126"/>
      <x:c r="R2228" s="126"/>
      <x:c r="S2228" s="124"/>
      <x:c r="T2228" s="124"/>
      <x:c r="U2228" s="124"/>
      <x:c r="V2228" s="124"/>
      <x:c r="W2228" s="124"/>
      <x:c r="X2228" s="124"/>
      <x:c r="AD2228"/>
      <x:c r="AE2228" s="145"/>
      <x:c r="AF2228" s="145"/>
      <x:c r="AG2228" s="145"/>
      <x:c r="AH2228" s="145"/>
      <x:c r="AI2228" s="145"/>
      <x:c r="AJ2228"/>
    </x:row>
    <x:row r="2229">
      <x:c r="F2229" s="124"/>
      <x:c r="G2229" s="124"/>
      <x:c r="H2229" s="124"/>
      <x:c r="I2229" s="124"/>
      <x:c r="J2229" s="124"/>
      <x:c r="M2229" s="126"/>
      <x:c r="P2229" s="126"/>
      <x:c r="Q2229" s="126"/>
      <x:c r="R2229" s="126"/>
      <x:c r="S2229" s="124"/>
      <x:c r="T2229" s="124"/>
      <x:c r="U2229" s="124"/>
      <x:c r="V2229" s="124"/>
      <x:c r="W2229" s="124"/>
      <x:c r="X2229" s="124"/>
      <x:c r="AD2229"/>
      <x:c r="AE2229" s="145"/>
      <x:c r="AF2229" s="145"/>
      <x:c r="AG2229" s="145"/>
      <x:c r="AH2229" s="145"/>
      <x:c r="AI2229" s="145"/>
      <x:c r="AJ2229"/>
    </x:row>
    <x:row r="2230">
      <x:c r="F2230" s="124"/>
      <x:c r="G2230" s="124"/>
      <x:c r="H2230" s="124"/>
      <x:c r="I2230" s="124"/>
      <x:c r="J2230" s="124"/>
      <x:c r="M2230" s="126"/>
      <x:c r="P2230" s="126"/>
      <x:c r="Q2230" s="126"/>
      <x:c r="R2230" s="126"/>
      <x:c r="S2230" s="124"/>
      <x:c r="T2230" s="124"/>
      <x:c r="U2230" s="124"/>
      <x:c r="V2230" s="124"/>
      <x:c r="W2230" s="124"/>
      <x:c r="X2230" s="124"/>
      <x:c r="AD2230"/>
      <x:c r="AE2230" s="145"/>
      <x:c r="AF2230" s="145"/>
      <x:c r="AG2230" s="145"/>
      <x:c r="AH2230" s="145"/>
      <x:c r="AI2230" s="145"/>
      <x:c r="AJ2230"/>
    </x:row>
    <x:row r="2231">
      <x:c r="F2231" s="124"/>
      <x:c r="G2231" s="124"/>
      <x:c r="H2231" s="124"/>
      <x:c r="I2231" s="124"/>
      <x:c r="J2231" s="124"/>
      <x:c r="M2231" s="126"/>
      <x:c r="P2231" s="126"/>
      <x:c r="Q2231" s="126"/>
      <x:c r="R2231" s="126"/>
      <x:c r="S2231" s="124"/>
      <x:c r="T2231" s="124"/>
      <x:c r="U2231" s="124"/>
      <x:c r="V2231" s="124"/>
      <x:c r="W2231" s="124"/>
      <x:c r="X2231" s="124"/>
      <x:c r="AD2231"/>
      <x:c r="AE2231" s="145"/>
      <x:c r="AF2231" s="145"/>
      <x:c r="AG2231" s="145"/>
      <x:c r="AH2231" s="145"/>
      <x:c r="AI2231" s="145"/>
      <x:c r="AJ2231"/>
    </x:row>
    <x:row r="2232">
      <x:c r="F2232" s="124"/>
      <x:c r="G2232" s="124"/>
      <x:c r="H2232" s="124"/>
      <x:c r="I2232" s="124"/>
      <x:c r="J2232" s="124"/>
      <x:c r="M2232" s="126"/>
      <x:c r="P2232" s="126"/>
      <x:c r="Q2232" s="126"/>
      <x:c r="R2232" s="126"/>
      <x:c r="S2232" s="124"/>
      <x:c r="T2232" s="124"/>
      <x:c r="U2232" s="124"/>
      <x:c r="V2232" s="124"/>
      <x:c r="W2232" s="124"/>
      <x:c r="X2232" s="124"/>
      <x:c r="AD2232"/>
      <x:c r="AE2232" s="145"/>
      <x:c r="AF2232" s="145"/>
      <x:c r="AG2232" s="145"/>
      <x:c r="AH2232" s="145"/>
      <x:c r="AI2232" s="145"/>
      <x:c r="AJ2232"/>
    </x:row>
    <x:row r="2233">
      <x:c r="F2233" s="124"/>
      <x:c r="G2233" s="124"/>
      <x:c r="H2233" s="124"/>
      <x:c r="I2233" s="124"/>
      <x:c r="J2233" s="124"/>
      <x:c r="M2233" s="126"/>
      <x:c r="P2233" s="126"/>
      <x:c r="Q2233" s="126"/>
      <x:c r="R2233" s="126"/>
      <x:c r="S2233" s="124"/>
      <x:c r="T2233" s="124"/>
      <x:c r="U2233" s="124"/>
      <x:c r="V2233" s="124"/>
      <x:c r="W2233" s="124"/>
      <x:c r="X2233" s="124"/>
      <x:c r="AD2233"/>
      <x:c r="AE2233" s="145"/>
      <x:c r="AF2233" s="145"/>
      <x:c r="AG2233" s="145"/>
      <x:c r="AH2233" s="145"/>
      <x:c r="AI2233" s="145"/>
      <x:c r="AJ2233"/>
    </x:row>
    <x:row r="2234">
      <x:c r="F2234" s="124"/>
      <x:c r="G2234" s="124"/>
      <x:c r="H2234" s="124"/>
      <x:c r="I2234" s="124"/>
      <x:c r="J2234" s="124"/>
      <x:c r="M2234" s="126"/>
      <x:c r="P2234" s="126"/>
      <x:c r="Q2234" s="126"/>
      <x:c r="R2234" s="126"/>
      <x:c r="S2234" s="124"/>
      <x:c r="T2234" s="124"/>
      <x:c r="U2234" s="124"/>
      <x:c r="V2234" s="124"/>
      <x:c r="W2234" s="124"/>
      <x:c r="X2234" s="124"/>
      <x:c r="AD2234"/>
      <x:c r="AE2234" s="145"/>
      <x:c r="AF2234" s="145"/>
      <x:c r="AG2234" s="145"/>
      <x:c r="AH2234" s="145"/>
      <x:c r="AI2234" s="145"/>
      <x:c r="AJ2234"/>
    </x:row>
    <x:row r="2235">
      <x:c r="F2235" s="124"/>
      <x:c r="G2235" s="124"/>
      <x:c r="H2235" s="124"/>
      <x:c r="I2235" s="124"/>
      <x:c r="J2235" s="124"/>
      <x:c r="M2235" s="126"/>
      <x:c r="P2235" s="126"/>
      <x:c r="Q2235" s="126"/>
      <x:c r="R2235" s="126"/>
      <x:c r="S2235" s="124"/>
      <x:c r="T2235" s="124"/>
      <x:c r="U2235" s="124"/>
      <x:c r="V2235" s="124"/>
      <x:c r="W2235" s="124"/>
      <x:c r="X2235" s="124"/>
      <x:c r="AD2235"/>
      <x:c r="AE2235" s="145"/>
      <x:c r="AF2235" s="145"/>
      <x:c r="AG2235" s="145"/>
      <x:c r="AH2235" s="145"/>
      <x:c r="AI2235" s="145"/>
      <x:c r="AJ2235"/>
    </x:row>
    <x:row r="2236">
      <x:c r="F2236" s="124"/>
      <x:c r="G2236" s="124"/>
      <x:c r="H2236" s="124"/>
      <x:c r="I2236" s="124"/>
      <x:c r="J2236" s="124"/>
      <x:c r="M2236" s="126"/>
      <x:c r="P2236" s="126"/>
      <x:c r="Q2236" s="126"/>
      <x:c r="R2236" s="126"/>
      <x:c r="S2236" s="124"/>
      <x:c r="T2236" s="124"/>
      <x:c r="U2236" s="124"/>
      <x:c r="V2236" s="124"/>
      <x:c r="W2236" s="124"/>
      <x:c r="X2236" s="124"/>
      <x:c r="AD2236"/>
      <x:c r="AE2236" s="145"/>
      <x:c r="AF2236" s="145"/>
      <x:c r="AG2236" s="145"/>
      <x:c r="AH2236" s="145"/>
      <x:c r="AI2236" s="145"/>
      <x:c r="AJ2236"/>
    </x:row>
    <x:row r="2237">
      <x:c r="F2237" s="124"/>
      <x:c r="G2237" s="124"/>
      <x:c r="H2237" s="124"/>
      <x:c r="I2237" s="124"/>
      <x:c r="J2237" s="124"/>
      <x:c r="M2237" s="126"/>
      <x:c r="P2237" s="126"/>
      <x:c r="Q2237" s="126"/>
      <x:c r="R2237" s="126"/>
      <x:c r="S2237" s="124"/>
      <x:c r="T2237" s="124"/>
      <x:c r="U2237" s="124"/>
      <x:c r="V2237" s="124"/>
      <x:c r="W2237" s="124"/>
      <x:c r="X2237" s="124"/>
      <x:c r="AD2237"/>
      <x:c r="AE2237" s="145"/>
      <x:c r="AF2237" s="145"/>
      <x:c r="AG2237" s="145"/>
      <x:c r="AH2237" s="145"/>
      <x:c r="AI2237" s="145"/>
      <x:c r="AJ2237"/>
    </x:row>
    <x:row r="2238">
      <x:c r="F2238" s="124"/>
      <x:c r="G2238" s="124"/>
      <x:c r="H2238" s="124"/>
      <x:c r="I2238" s="124"/>
      <x:c r="J2238" s="124"/>
      <x:c r="M2238" s="126"/>
      <x:c r="P2238" s="126"/>
      <x:c r="Q2238" s="126"/>
      <x:c r="R2238" s="126"/>
      <x:c r="S2238" s="124"/>
      <x:c r="T2238" s="124"/>
      <x:c r="U2238" s="124"/>
      <x:c r="V2238" s="124"/>
      <x:c r="W2238" s="124"/>
      <x:c r="X2238" s="124"/>
      <x:c r="AD2238"/>
      <x:c r="AE2238" s="145"/>
      <x:c r="AF2238" s="145"/>
      <x:c r="AG2238" s="145"/>
      <x:c r="AH2238" s="145"/>
      <x:c r="AI2238" s="145"/>
      <x:c r="AJ2238"/>
    </x:row>
    <x:row r="2239">
      <x:c r="F2239" s="124"/>
      <x:c r="G2239" s="124"/>
      <x:c r="H2239" s="124"/>
      <x:c r="I2239" s="124"/>
      <x:c r="J2239" s="124"/>
      <x:c r="M2239" s="126"/>
      <x:c r="P2239" s="126"/>
      <x:c r="Q2239" s="126"/>
      <x:c r="R2239" s="126"/>
      <x:c r="S2239" s="124"/>
      <x:c r="T2239" s="124"/>
      <x:c r="U2239" s="124"/>
      <x:c r="V2239" s="124"/>
      <x:c r="W2239" s="124"/>
      <x:c r="X2239" s="124"/>
      <x:c r="AD2239"/>
      <x:c r="AE2239" s="145"/>
      <x:c r="AF2239" s="145"/>
      <x:c r="AG2239" s="145"/>
      <x:c r="AH2239" s="145"/>
      <x:c r="AI2239" s="145"/>
      <x:c r="AJ2239"/>
    </x:row>
    <x:row r="2240">
      <x:c r="F2240" s="124"/>
      <x:c r="G2240" s="124"/>
      <x:c r="H2240" s="124"/>
      <x:c r="I2240" s="124"/>
      <x:c r="J2240" s="124"/>
      <x:c r="M2240" s="126"/>
      <x:c r="P2240" s="126"/>
      <x:c r="Q2240" s="126"/>
      <x:c r="R2240" s="126"/>
      <x:c r="S2240" s="124"/>
      <x:c r="T2240" s="124"/>
      <x:c r="U2240" s="124"/>
      <x:c r="V2240" s="124"/>
      <x:c r="W2240" s="124"/>
      <x:c r="X2240" s="124"/>
      <x:c r="AD2240"/>
      <x:c r="AE2240" s="145"/>
      <x:c r="AF2240" s="145"/>
      <x:c r="AG2240" s="145"/>
      <x:c r="AH2240" s="145"/>
      <x:c r="AI2240" s="145"/>
      <x:c r="AJ2240"/>
    </x:row>
    <x:row r="2241">
      <x:c r="F2241" s="124"/>
      <x:c r="G2241" s="124"/>
      <x:c r="H2241" s="124"/>
      <x:c r="I2241" s="124"/>
      <x:c r="J2241" s="124"/>
      <x:c r="M2241" s="126"/>
      <x:c r="P2241" s="126"/>
      <x:c r="Q2241" s="126"/>
      <x:c r="R2241" s="126"/>
      <x:c r="S2241" s="124"/>
      <x:c r="T2241" s="124"/>
      <x:c r="U2241" s="124"/>
      <x:c r="V2241" s="124"/>
      <x:c r="W2241" s="124"/>
      <x:c r="X2241" s="124"/>
      <x:c r="AD2241"/>
      <x:c r="AE2241" s="145"/>
      <x:c r="AF2241" s="145"/>
      <x:c r="AG2241" s="145"/>
      <x:c r="AH2241" s="145"/>
      <x:c r="AI2241" s="145"/>
      <x:c r="AJ2241"/>
    </x:row>
    <x:row r="2242">
      <x:c r="F2242" s="124"/>
      <x:c r="G2242" s="124"/>
      <x:c r="H2242" s="124"/>
      <x:c r="I2242" s="124"/>
      <x:c r="J2242" s="124"/>
      <x:c r="M2242" s="126"/>
      <x:c r="P2242" s="126"/>
      <x:c r="Q2242" s="126"/>
      <x:c r="R2242" s="126"/>
      <x:c r="S2242" s="124"/>
      <x:c r="T2242" s="124"/>
      <x:c r="U2242" s="124"/>
      <x:c r="V2242" s="124"/>
      <x:c r="W2242" s="124"/>
      <x:c r="X2242" s="124"/>
      <x:c r="AD2242"/>
      <x:c r="AE2242" s="145"/>
      <x:c r="AF2242" s="145"/>
      <x:c r="AG2242" s="145"/>
      <x:c r="AH2242" s="145"/>
      <x:c r="AI2242" s="145"/>
      <x:c r="AJ2242"/>
    </x:row>
    <x:row r="2243">
      <x:c r="F2243" s="124"/>
      <x:c r="G2243" s="124"/>
      <x:c r="H2243" s="124"/>
      <x:c r="I2243" s="124"/>
      <x:c r="J2243" s="124"/>
      <x:c r="M2243" s="126"/>
      <x:c r="P2243" s="126"/>
      <x:c r="Q2243" s="126"/>
      <x:c r="R2243" s="126"/>
      <x:c r="S2243" s="124"/>
      <x:c r="T2243" s="124"/>
      <x:c r="U2243" s="124"/>
      <x:c r="V2243" s="124"/>
      <x:c r="W2243" s="124"/>
      <x:c r="X2243" s="124"/>
      <x:c r="AD2243"/>
      <x:c r="AE2243" s="145"/>
      <x:c r="AF2243" s="145"/>
      <x:c r="AG2243" s="145"/>
      <x:c r="AH2243" s="145"/>
      <x:c r="AI2243" s="145"/>
      <x:c r="AJ2243"/>
    </x:row>
    <x:row r="2244">
      <x:c r="F2244" s="124"/>
      <x:c r="G2244" s="124"/>
      <x:c r="H2244" s="124"/>
      <x:c r="I2244" s="124"/>
      <x:c r="J2244" s="124"/>
      <x:c r="M2244" s="126"/>
      <x:c r="P2244" s="126"/>
      <x:c r="Q2244" s="126"/>
      <x:c r="R2244" s="126"/>
      <x:c r="S2244" s="124"/>
      <x:c r="T2244" s="124"/>
      <x:c r="U2244" s="124"/>
      <x:c r="V2244" s="124"/>
      <x:c r="W2244" s="124"/>
      <x:c r="X2244" s="124"/>
      <x:c r="AD2244"/>
      <x:c r="AE2244" s="145"/>
      <x:c r="AF2244" s="145"/>
      <x:c r="AG2244" s="145"/>
      <x:c r="AH2244" s="145"/>
      <x:c r="AI2244" s="145"/>
      <x:c r="AJ2244"/>
    </x:row>
    <x:row r="2245">
      <x:c r="F2245" s="124"/>
      <x:c r="G2245" s="124"/>
      <x:c r="H2245" s="124"/>
      <x:c r="I2245" s="124"/>
      <x:c r="J2245" s="124"/>
      <x:c r="M2245" s="126"/>
      <x:c r="P2245" s="126"/>
      <x:c r="Q2245" s="126"/>
      <x:c r="R2245" s="126"/>
      <x:c r="S2245" s="124"/>
      <x:c r="T2245" s="124"/>
      <x:c r="U2245" s="124"/>
      <x:c r="V2245" s="124"/>
      <x:c r="W2245" s="124"/>
      <x:c r="X2245" s="124"/>
      <x:c r="AD2245"/>
      <x:c r="AE2245" s="145"/>
      <x:c r="AF2245" s="145"/>
      <x:c r="AG2245" s="145"/>
      <x:c r="AH2245" s="145"/>
      <x:c r="AI2245" s="145"/>
      <x:c r="AJ2245"/>
    </x:row>
    <x:row r="2246">
      <x:c r="F2246" s="124"/>
      <x:c r="G2246" s="124"/>
      <x:c r="H2246" s="124"/>
      <x:c r="I2246" s="124"/>
      <x:c r="J2246" s="124"/>
      <x:c r="M2246" s="126"/>
      <x:c r="P2246" s="126"/>
      <x:c r="Q2246" s="126"/>
      <x:c r="R2246" s="126"/>
      <x:c r="S2246" s="124"/>
      <x:c r="T2246" s="124"/>
      <x:c r="U2246" s="124"/>
      <x:c r="V2246" s="124"/>
      <x:c r="W2246" s="124"/>
      <x:c r="X2246" s="124"/>
      <x:c r="AD2246"/>
      <x:c r="AE2246" s="145"/>
      <x:c r="AF2246" s="145"/>
      <x:c r="AG2246" s="145"/>
      <x:c r="AH2246" s="145"/>
      <x:c r="AI2246" s="145"/>
      <x:c r="AJ2246"/>
    </x:row>
    <x:row r="2247">
      <x:c r="F2247" s="124"/>
      <x:c r="G2247" s="124"/>
      <x:c r="H2247" s="124"/>
      <x:c r="I2247" s="124"/>
      <x:c r="J2247" s="124"/>
      <x:c r="M2247" s="126"/>
      <x:c r="P2247" s="126"/>
      <x:c r="Q2247" s="126"/>
      <x:c r="R2247" s="126"/>
      <x:c r="S2247" s="124"/>
      <x:c r="T2247" s="124"/>
      <x:c r="U2247" s="124"/>
      <x:c r="V2247" s="124"/>
      <x:c r="W2247" s="124"/>
      <x:c r="X2247" s="124"/>
      <x:c r="AD2247"/>
      <x:c r="AE2247" s="145"/>
      <x:c r="AF2247" s="145"/>
      <x:c r="AG2247" s="145"/>
      <x:c r="AH2247" s="145"/>
      <x:c r="AI2247" s="145"/>
      <x:c r="AJ2247"/>
    </x:row>
    <x:row r="2248">
      <x:c r="F2248" s="124"/>
      <x:c r="G2248" s="124"/>
      <x:c r="H2248" s="124"/>
      <x:c r="I2248" s="124"/>
      <x:c r="J2248" s="124"/>
      <x:c r="M2248" s="126"/>
      <x:c r="P2248" s="126"/>
      <x:c r="Q2248" s="126"/>
      <x:c r="R2248" s="126"/>
      <x:c r="S2248" s="124"/>
      <x:c r="T2248" s="124"/>
      <x:c r="U2248" s="124"/>
      <x:c r="V2248" s="124"/>
      <x:c r="W2248" s="124"/>
      <x:c r="X2248" s="124"/>
      <x:c r="AD2248"/>
      <x:c r="AE2248" s="145"/>
      <x:c r="AF2248" s="145"/>
      <x:c r="AG2248" s="145"/>
      <x:c r="AH2248" s="145"/>
      <x:c r="AI2248" s="145"/>
      <x:c r="AJ2248"/>
    </x:row>
    <x:row r="2249">
      <x:c r="F2249" s="124"/>
      <x:c r="G2249" s="124"/>
      <x:c r="H2249" s="124"/>
      <x:c r="I2249" s="124"/>
      <x:c r="J2249" s="124"/>
      <x:c r="M2249" s="126"/>
      <x:c r="P2249" s="126"/>
      <x:c r="Q2249" s="126"/>
      <x:c r="R2249" s="126"/>
      <x:c r="S2249" s="124"/>
      <x:c r="T2249" s="124"/>
      <x:c r="U2249" s="124"/>
      <x:c r="V2249" s="124"/>
      <x:c r="W2249" s="124"/>
      <x:c r="X2249" s="124"/>
      <x:c r="AD2249"/>
      <x:c r="AE2249" s="145"/>
      <x:c r="AF2249" s="145"/>
      <x:c r="AG2249" s="145"/>
      <x:c r="AH2249" s="145"/>
      <x:c r="AI2249" s="145"/>
      <x:c r="AJ2249"/>
    </x:row>
    <x:row r="2250">
      <x:c r="F2250" s="124"/>
      <x:c r="G2250" s="124"/>
      <x:c r="H2250" s="124"/>
      <x:c r="I2250" s="124"/>
      <x:c r="J2250" s="124"/>
      <x:c r="M2250" s="126"/>
      <x:c r="P2250" s="126"/>
      <x:c r="Q2250" s="126"/>
      <x:c r="R2250" s="126"/>
      <x:c r="S2250" s="124"/>
      <x:c r="T2250" s="124"/>
      <x:c r="U2250" s="124"/>
      <x:c r="V2250" s="124"/>
      <x:c r="W2250" s="124"/>
      <x:c r="X2250" s="124"/>
      <x:c r="AD2250"/>
      <x:c r="AE2250" s="145"/>
      <x:c r="AF2250" s="145"/>
      <x:c r="AG2250" s="145"/>
      <x:c r="AH2250" s="145"/>
      <x:c r="AI2250" s="145"/>
      <x:c r="AJ2250"/>
    </x:row>
    <x:row r="2251">
      <x:c r="F2251" s="124"/>
      <x:c r="G2251" s="124"/>
      <x:c r="H2251" s="124"/>
      <x:c r="I2251" s="124"/>
      <x:c r="J2251" s="124"/>
      <x:c r="M2251" s="126"/>
      <x:c r="P2251" s="126"/>
      <x:c r="Q2251" s="126"/>
      <x:c r="R2251" s="126"/>
      <x:c r="S2251" s="124"/>
      <x:c r="T2251" s="124"/>
      <x:c r="U2251" s="124"/>
      <x:c r="V2251" s="124"/>
      <x:c r="W2251" s="124"/>
      <x:c r="X2251" s="124"/>
      <x:c r="AD2251"/>
      <x:c r="AE2251" s="145"/>
      <x:c r="AF2251" s="145"/>
      <x:c r="AG2251" s="145"/>
      <x:c r="AH2251" s="145"/>
      <x:c r="AI2251" s="145"/>
      <x:c r="AJ2251"/>
    </x:row>
    <x:row r="2252">
      <x:c r="F2252" s="124"/>
      <x:c r="G2252" s="124"/>
      <x:c r="H2252" s="124"/>
      <x:c r="I2252" s="124"/>
      <x:c r="J2252" s="124"/>
      <x:c r="M2252" s="126"/>
      <x:c r="P2252" s="126"/>
      <x:c r="Q2252" s="126"/>
      <x:c r="R2252" s="126"/>
      <x:c r="S2252" s="124"/>
      <x:c r="T2252" s="124"/>
      <x:c r="U2252" s="124"/>
      <x:c r="V2252" s="124"/>
      <x:c r="W2252" s="124"/>
      <x:c r="X2252" s="124"/>
      <x:c r="AD2252"/>
      <x:c r="AE2252" s="145"/>
      <x:c r="AF2252" s="145"/>
      <x:c r="AG2252" s="145"/>
      <x:c r="AH2252" s="145"/>
      <x:c r="AI2252" s="145"/>
      <x:c r="AJ2252"/>
    </x:row>
    <x:row r="2253">
      <x:c r="F2253" s="124"/>
      <x:c r="G2253" s="124"/>
      <x:c r="H2253" s="124"/>
      <x:c r="I2253" s="124"/>
      <x:c r="J2253" s="124"/>
      <x:c r="M2253" s="126"/>
      <x:c r="P2253" s="126"/>
      <x:c r="Q2253" s="126"/>
      <x:c r="R2253" s="126"/>
      <x:c r="S2253" s="124"/>
      <x:c r="T2253" s="124"/>
      <x:c r="U2253" s="124"/>
      <x:c r="V2253" s="124"/>
      <x:c r="W2253" s="124"/>
      <x:c r="X2253" s="124"/>
      <x:c r="AD2253"/>
      <x:c r="AE2253" s="145"/>
      <x:c r="AF2253" s="145"/>
      <x:c r="AG2253" s="145"/>
      <x:c r="AH2253" s="145"/>
      <x:c r="AI2253" s="145"/>
      <x:c r="AJ2253"/>
    </x:row>
    <x:row r="2254">
      <x:c r="F2254" s="124"/>
      <x:c r="G2254" s="124"/>
      <x:c r="H2254" s="124"/>
      <x:c r="I2254" s="124"/>
      <x:c r="J2254" s="124"/>
      <x:c r="M2254" s="126"/>
      <x:c r="P2254" s="126"/>
      <x:c r="Q2254" s="126"/>
      <x:c r="R2254" s="126"/>
      <x:c r="S2254" s="124"/>
      <x:c r="T2254" s="124"/>
      <x:c r="U2254" s="124"/>
      <x:c r="V2254" s="124"/>
      <x:c r="W2254" s="124"/>
      <x:c r="X2254" s="124"/>
      <x:c r="AD2254"/>
      <x:c r="AE2254" s="145"/>
      <x:c r="AF2254" s="145"/>
      <x:c r="AG2254" s="145"/>
      <x:c r="AH2254" s="145"/>
      <x:c r="AI2254" s="145"/>
      <x:c r="AJ2254"/>
    </x:row>
    <x:row r="2255">
      <x:c r="F2255" s="124"/>
      <x:c r="G2255" s="124"/>
      <x:c r="H2255" s="124"/>
      <x:c r="I2255" s="124"/>
      <x:c r="J2255" s="124"/>
      <x:c r="M2255" s="126"/>
      <x:c r="P2255" s="126"/>
      <x:c r="Q2255" s="126"/>
      <x:c r="R2255" s="126"/>
      <x:c r="S2255" s="124"/>
      <x:c r="T2255" s="124"/>
      <x:c r="U2255" s="124"/>
      <x:c r="V2255" s="124"/>
      <x:c r="W2255" s="124"/>
      <x:c r="X2255" s="124"/>
      <x:c r="AD2255"/>
      <x:c r="AE2255" s="145"/>
      <x:c r="AF2255" s="145"/>
      <x:c r="AG2255" s="145"/>
      <x:c r="AH2255" s="145"/>
      <x:c r="AI2255" s="145"/>
      <x:c r="AJ2255"/>
    </x:row>
    <x:row r="2256">
      <x:c r="F2256" s="124"/>
      <x:c r="G2256" s="124"/>
      <x:c r="H2256" s="124"/>
      <x:c r="I2256" s="124"/>
      <x:c r="J2256" s="124"/>
      <x:c r="M2256" s="126"/>
      <x:c r="P2256" s="126"/>
      <x:c r="Q2256" s="126"/>
      <x:c r="R2256" s="126"/>
      <x:c r="S2256" s="124"/>
      <x:c r="T2256" s="124"/>
      <x:c r="U2256" s="124"/>
      <x:c r="V2256" s="124"/>
      <x:c r="W2256" s="124"/>
      <x:c r="X2256" s="124"/>
      <x:c r="AD2256"/>
      <x:c r="AE2256" s="145"/>
      <x:c r="AF2256" s="145"/>
      <x:c r="AG2256" s="145"/>
      <x:c r="AH2256" s="145"/>
      <x:c r="AI2256" s="145"/>
      <x:c r="AJ2256"/>
    </x:row>
    <x:row r="2257">
      <x:c r="F2257" s="124"/>
      <x:c r="G2257" s="124"/>
      <x:c r="H2257" s="124"/>
      <x:c r="I2257" s="124"/>
      <x:c r="J2257" s="124"/>
      <x:c r="M2257" s="126"/>
      <x:c r="P2257" s="126"/>
      <x:c r="Q2257" s="126"/>
      <x:c r="R2257" s="126"/>
      <x:c r="S2257" s="124"/>
      <x:c r="T2257" s="124"/>
      <x:c r="U2257" s="124"/>
      <x:c r="V2257" s="124"/>
      <x:c r="W2257" s="124"/>
      <x:c r="X2257" s="124"/>
      <x:c r="AD2257"/>
      <x:c r="AE2257" s="145"/>
      <x:c r="AF2257" s="145"/>
      <x:c r="AG2257" s="145"/>
      <x:c r="AH2257" s="145"/>
      <x:c r="AI2257" s="145"/>
      <x:c r="AJ2257"/>
    </x:row>
    <x:row r="2258">
      <x:c r="F2258" s="124"/>
      <x:c r="G2258" s="124"/>
      <x:c r="H2258" s="124"/>
      <x:c r="I2258" s="124"/>
      <x:c r="J2258" s="124"/>
      <x:c r="M2258" s="126"/>
      <x:c r="P2258" s="126"/>
      <x:c r="Q2258" s="126"/>
      <x:c r="R2258" s="126"/>
      <x:c r="S2258" s="124"/>
      <x:c r="T2258" s="124"/>
      <x:c r="U2258" s="124"/>
      <x:c r="V2258" s="124"/>
      <x:c r="W2258" s="124"/>
      <x:c r="X2258" s="124"/>
      <x:c r="AD2258"/>
      <x:c r="AE2258" s="145"/>
      <x:c r="AF2258" s="145"/>
      <x:c r="AG2258" s="145"/>
      <x:c r="AH2258" s="145"/>
      <x:c r="AI2258" s="145"/>
      <x:c r="AJ2258"/>
    </x:row>
    <x:row r="2259">
      <x:c r="F2259" s="124"/>
      <x:c r="G2259" s="124"/>
      <x:c r="H2259" s="124"/>
      <x:c r="I2259" s="124"/>
      <x:c r="J2259" s="124"/>
      <x:c r="M2259" s="126"/>
      <x:c r="P2259" s="126"/>
      <x:c r="Q2259" s="126"/>
      <x:c r="R2259" s="126"/>
      <x:c r="S2259" s="124"/>
      <x:c r="T2259" s="124"/>
      <x:c r="U2259" s="124"/>
      <x:c r="V2259" s="124"/>
      <x:c r="W2259" s="124"/>
      <x:c r="X2259" s="124"/>
      <x:c r="AD2259"/>
      <x:c r="AE2259" s="145"/>
      <x:c r="AF2259" s="145"/>
      <x:c r="AG2259" s="145"/>
      <x:c r="AH2259" s="145"/>
      <x:c r="AI2259" s="145"/>
      <x:c r="AJ2259"/>
    </x:row>
    <x:row r="2260">
      <x:c r="F2260" s="124"/>
      <x:c r="G2260" s="124"/>
      <x:c r="H2260" s="124"/>
      <x:c r="I2260" s="124"/>
      <x:c r="J2260" s="124"/>
      <x:c r="M2260" s="126"/>
      <x:c r="P2260" s="126"/>
      <x:c r="Q2260" s="126"/>
      <x:c r="R2260" s="126"/>
      <x:c r="S2260" s="124"/>
      <x:c r="T2260" s="124"/>
      <x:c r="U2260" s="124"/>
      <x:c r="V2260" s="124"/>
      <x:c r="W2260" s="124"/>
      <x:c r="X2260" s="124"/>
      <x:c r="AD2260"/>
      <x:c r="AE2260" s="145"/>
      <x:c r="AF2260" s="145"/>
      <x:c r="AG2260" s="145"/>
      <x:c r="AH2260" s="145"/>
      <x:c r="AI2260" s="145"/>
      <x:c r="AJ2260"/>
    </x:row>
    <x:row r="2261">
      <x:c r="F2261" s="124"/>
      <x:c r="G2261" s="124"/>
      <x:c r="H2261" s="124"/>
      <x:c r="I2261" s="124"/>
      <x:c r="J2261" s="124"/>
      <x:c r="M2261" s="126"/>
      <x:c r="P2261" s="126"/>
      <x:c r="Q2261" s="126"/>
      <x:c r="R2261" s="126"/>
      <x:c r="S2261" s="124"/>
      <x:c r="T2261" s="124"/>
      <x:c r="U2261" s="124"/>
      <x:c r="V2261" s="124"/>
      <x:c r="W2261" s="124"/>
      <x:c r="X2261" s="124"/>
      <x:c r="AD2261"/>
      <x:c r="AE2261" s="145"/>
      <x:c r="AF2261" s="145"/>
      <x:c r="AG2261" s="145"/>
      <x:c r="AH2261" s="145"/>
      <x:c r="AI2261" s="145"/>
      <x:c r="AJ2261"/>
    </x:row>
    <x:row r="2262">
      <x:c r="F2262" s="124"/>
      <x:c r="G2262" s="124"/>
      <x:c r="H2262" s="124"/>
      <x:c r="I2262" s="124"/>
      <x:c r="J2262" s="124"/>
      <x:c r="M2262" s="126"/>
      <x:c r="P2262" s="126"/>
      <x:c r="Q2262" s="126"/>
      <x:c r="R2262" s="126"/>
      <x:c r="S2262" s="124"/>
      <x:c r="T2262" s="124"/>
      <x:c r="U2262" s="124"/>
      <x:c r="V2262" s="124"/>
      <x:c r="W2262" s="124"/>
      <x:c r="X2262" s="124"/>
      <x:c r="AD2262"/>
      <x:c r="AE2262" s="145"/>
      <x:c r="AF2262" s="145"/>
      <x:c r="AG2262" s="145"/>
      <x:c r="AH2262" s="145"/>
      <x:c r="AI2262" s="145"/>
      <x:c r="AJ2262"/>
    </x:row>
    <x:row r="2263">
      <x:c r="F2263" s="124"/>
      <x:c r="G2263" s="124"/>
      <x:c r="H2263" s="124"/>
      <x:c r="I2263" s="124"/>
      <x:c r="J2263" s="124"/>
      <x:c r="M2263" s="126"/>
      <x:c r="P2263" s="126"/>
      <x:c r="Q2263" s="126"/>
      <x:c r="R2263" s="126"/>
      <x:c r="S2263" s="124"/>
      <x:c r="T2263" s="124"/>
      <x:c r="U2263" s="124"/>
      <x:c r="V2263" s="124"/>
      <x:c r="W2263" s="124"/>
      <x:c r="X2263" s="124"/>
      <x:c r="AD2263"/>
      <x:c r="AE2263" s="145"/>
      <x:c r="AF2263" s="145"/>
      <x:c r="AG2263" s="145"/>
      <x:c r="AH2263" s="145"/>
      <x:c r="AI2263" s="145"/>
      <x:c r="AJ2263"/>
    </x:row>
    <x:row r="2264">
      <x:c r="F2264" s="124"/>
      <x:c r="G2264" s="124"/>
      <x:c r="H2264" s="124"/>
      <x:c r="I2264" s="124"/>
      <x:c r="J2264" s="124"/>
      <x:c r="M2264" s="126"/>
      <x:c r="P2264" s="126"/>
      <x:c r="Q2264" s="126"/>
      <x:c r="R2264" s="126"/>
      <x:c r="S2264" s="124"/>
      <x:c r="T2264" s="124"/>
      <x:c r="U2264" s="124"/>
      <x:c r="V2264" s="124"/>
      <x:c r="W2264" s="124"/>
      <x:c r="X2264" s="124"/>
      <x:c r="AD2264"/>
      <x:c r="AE2264" s="145"/>
      <x:c r="AF2264" s="145"/>
      <x:c r="AG2264" s="145"/>
      <x:c r="AH2264" s="145"/>
      <x:c r="AI2264" s="145"/>
      <x:c r="AJ2264"/>
    </x:row>
    <x:row r="2265">
      <x:c r="F2265" s="124"/>
      <x:c r="G2265" s="124"/>
      <x:c r="H2265" s="124"/>
      <x:c r="I2265" s="124"/>
      <x:c r="J2265" s="124"/>
      <x:c r="M2265" s="126"/>
      <x:c r="P2265" s="126"/>
      <x:c r="Q2265" s="126"/>
      <x:c r="R2265" s="126"/>
      <x:c r="S2265" s="124"/>
      <x:c r="T2265" s="124"/>
      <x:c r="U2265" s="124"/>
      <x:c r="V2265" s="124"/>
      <x:c r="W2265" s="124"/>
      <x:c r="X2265" s="124"/>
      <x:c r="AD2265"/>
      <x:c r="AE2265" s="145"/>
      <x:c r="AF2265" s="145"/>
      <x:c r="AG2265" s="145"/>
      <x:c r="AH2265" s="145"/>
      <x:c r="AI2265" s="145"/>
      <x:c r="AJ2265"/>
    </x:row>
    <x:row r="2266">
      <x:c r="F2266" s="124"/>
      <x:c r="G2266" s="124"/>
      <x:c r="H2266" s="124"/>
      <x:c r="I2266" s="124"/>
      <x:c r="J2266" s="124"/>
      <x:c r="M2266" s="126"/>
      <x:c r="P2266" s="126"/>
      <x:c r="Q2266" s="126"/>
      <x:c r="R2266" s="126"/>
      <x:c r="S2266" s="124"/>
      <x:c r="T2266" s="124"/>
      <x:c r="U2266" s="124"/>
      <x:c r="V2266" s="124"/>
      <x:c r="W2266" s="124"/>
      <x:c r="X2266" s="124"/>
      <x:c r="AD2266"/>
      <x:c r="AE2266" s="145"/>
      <x:c r="AF2266" s="145"/>
      <x:c r="AG2266" s="145"/>
      <x:c r="AH2266" s="145"/>
      <x:c r="AI2266" s="145"/>
      <x:c r="AJ2266"/>
    </x:row>
    <x:row r="2267">
      <x:c r="F2267" s="124"/>
      <x:c r="G2267" s="124"/>
      <x:c r="H2267" s="124"/>
      <x:c r="I2267" s="124"/>
      <x:c r="J2267" s="124"/>
      <x:c r="M2267" s="126"/>
      <x:c r="P2267" s="126"/>
      <x:c r="Q2267" s="126"/>
      <x:c r="R2267" s="126"/>
      <x:c r="S2267" s="124"/>
      <x:c r="T2267" s="124"/>
      <x:c r="U2267" s="124"/>
      <x:c r="V2267" s="124"/>
      <x:c r="W2267" s="124"/>
      <x:c r="X2267" s="124"/>
      <x:c r="AD2267"/>
      <x:c r="AE2267" s="145"/>
      <x:c r="AF2267" s="145"/>
      <x:c r="AG2267" s="145"/>
      <x:c r="AH2267" s="145"/>
      <x:c r="AI2267" s="145"/>
      <x:c r="AJ2267"/>
    </x:row>
    <x:row r="2268">
      <x:c r="F2268" s="124"/>
      <x:c r="G2268" s="124"/>
      <x:c r="H2268" s="124"/>
      <x:c r="I2268" s="124"/>
      <x:c r="J2268" s="124"/>
      <x:c r="M2268" s="126"/>
      <x:c r="P2268" s="126"/>
      <x:c r="Q2268" s="126"/>
      <x:c r="R2268" s="126"/>
      <x:c r="S2268" s="124"/>
      <x:c r="T2268" s="124"/>
      <x:c r="U2268" s="124"/>
      <x:c r="V2268" s="124"/>
      <x:c r="W2268" s="124"/>
      <x:c r="X2268" s="124"/>
      <x:c r="AD2268"/>
      <x:c r="AE2268" s="145"/>
      <x:c r="AF2268" s="145"/>
      <x:c r="AG2268" s="145"/>
      <x:c r="AH2268" s="145"/>
      <x:c r="AI2268" s="145"/>
      <x:c r="AJ2268"/>
    </x:row>
    <x:row r="2269">
      <x:c r="F2269" s="124"/>
      <x:c r="G2269" s="124"/>
      <x:c r="H2269" s="124"/>
      <x:c r="I2269" s="124"/>
      <x:c r="J2269" s="124"/>
      <x:c r="M2269" s="126"/>
      <x:c r="P2269" s="126"/>
      <x:c r="Q2269" s="126"/>
      <x:c r="R2269" s="126"/>
      <x:c r="S2269" s="124"/>
      <x:c r="T2269" s="124"/>
      <x:c r="U2269" s="124"/>
      <x:c r="V2269" s="124"/>
      <x:c r="W2269" s="124"/>
      <x:c r="X2269" s="124"/>
      <x:c r="AD2269"/>
      <x:c r="AE2269" s="145"/>
      <x:c r="AF2269" s="145"/>
      <x:c r="AG2269" s="145"/>
      <x:c r="AH2269" s="145"/>
      <x:c r="AI2269" s="145"/>
      <x:c r="AJ2269"/>
    </x:row>
    <x:row r="2270">
      <x:c r="F2270" s="124"/>
      <x:c r="G2270" s="124"/>
      <x:c r="H2270" s="124"/>
      <x:c r="I2270" s="124"/>
      <x:c r="J2270" s="124"/>
      <x:c r="M2270" s="126"/>
      <x:c r="P2270" s="126"/>
      <x:c r="Q2270" s="126"/>
      <x:c r="R2270" s="126"/>
      <x:c r="S2270" s="124"/>
      <x:c r="T2270" s="124"/>
      <x:c r="U2270" s="124"/>
      <x:c r="V2270" s="124"/>
      <x:c r="W2270" s="124"/>
      <x:c r="X2270" s="124"/>
      <x:c r="AD2270"/>
      <x:c r="AE2270" s="145"/>
      <x:c r="AF2270" s="145"/>
      <x:c r="AG2270" s="145"/>
      <x:c r="AH2270" s="145"/>
      <x:c r="AI2270" s="145"/>
      <x:c r="AJ2270"/>
    </x:row>
    <x:row r="2271">
      <x:c r="F2271" s="124"/>
      <x:c r="G2271" s="124"/>
      <x:c r="H2271" s="124"/>
      <x:c r="I2271" s="124"/>
      <x:c r="J2271" s="124"/>
      <x:c r="M2271" s="126"/>
      <x:c r="P2271" s="126"/>
      <x:c r="Q2271" s="126"/>
      <x:c r="R2271" s="126"/>
      <x:c r="S2271" s="124"/>
      <x:c r="T2271" s="124"/>
      <x:c r="U2271" s="124"/>
      <x:c r="V2271" s="124"/>
      <x:c r="W2271" s="124"/>
      <x:c r="X2271" s="124"/>
      <x:c r="AD2271"/>
      <x:c r="AE2271" s="145"/>
      <x:c r="AF2271" s="145"/>
      <x:c r="AG2271" s="145"/>
      <x:c r="AH2271" s="145"/>
      <x:c r="AI2271" s="145"/>
      <x:c r="AJ2271"/>
    </x:row>
    <x:row r="2272">
      <x:c r="F2272" s="124"/>
      <x:c r="G2272" s="124"/>
      <x:c r="H2272" s="124"/>
      <x:c r="I2272" s="124"/>
      <x:c r="J2272" s="124"/>
      <x:c r="M2272" s="126"/>
      <x:c r="P2272" s="126"/>
      <x:c r="Q2272" s="126"/>
      <x:c r="R2272" s="126"/>
      <x:c r="S2272" s="124"/>
      <x:c r="T2272" s="124"/>
      <x:c r="U2272" s="124"/>
      <x:c r="V2272" s="124"/>
      <x:c r="W2272" s="124"/>
      <x:c r="X2272" s="124"/>
      <x:c r="AD2272"/>
      <x:c r="AE2272" s="145"/>
      <x:c r="AF2272" s="145"/>
      <x:c r="AG2272" s="145"/>
      <x:c r="AH2272" s="145"/>
      <x:c r="AI2272" s="145"/>
      <x:c r="AJ2272"/>
    </x:row>
    <x:row r="2273">
      <x:c r="F2273" s="124"/>
      <x:c r="G2273" s="124"/>
      <x:c r="H2273" s="124"/>
      <x:c r="I2273" s="124"/>
      <x:c r="J2273" s="124"/>
      <x:c r="M2273" s="126"/>
      <x:c r="P2273" s="126"/>
      <x:c r="Q2273" s="126"/>
      <x:c r="R2273" s="126"/>
      <x:c r="S2273" s="124"/>
      <x:c r="T2273" s="124"/>
      <x:c r="U2273" s="124"/>
      <x:c r="V2273" s="124"/>
      <x:c r="W2273" s="124"/>
      <x:c r="X2273" s="124"/>
      <x:c r="AD2273"/>
      <x:c r="AE2273" s="145"/>
      <x:c r="AF2273" s="145"/>
      <x:c r="AG2273" s="145"/>
      <x:c r="AH2273" s="145"/>
      <x:c r="AI2273" s="145"/>
      <x:c r="AJ2273"/>
    </x:row>
    <x:row r="2274">
      <x:c r="F2274" s="124"/>
      <x:c r="G2274" s="124"/>
      <x:c r="H2274" s="124"/>
      <x:c r="I2274" s="124"/>
      <x:c r="J2274" s="124"/>
      <x:c r="M2274" s="126"/>
      <x:c r="P2274" s="126"/>
      <x:c r="Q2274" s="126"/>
      <x:c r="R2274" s="126"/>
      <x:c r="S2274" s="124"/>
      <x:c r="T2274" s="124"/>
      <x:c r="U2274" s="124"/>
      <x:c r="V2274" s="124"/>
      <x:c r="W2274" s="124"/>
      <x:c r="X2274" s="124"/>
      <x:c r="AD2274"/>
      <x:c r="AE2274" s="145"/>
      <x:c r="AF2274" s="145"/>
      <x:c r="AG2274" s="145"/>
      <x:c r="AH2274" s="145"/>
      <x:c r="AI2274" s="145"/>
      <x:c r="AJ2274"/>
    </x:row>
    <x:row r="2275">
      <x:c r="F2275" s="124"/>
      <x:c r="G2275" s="124"/>
      <x:c r="H2275" s="124"/>
      <x:c r="I2275" s="124"/>
      <x:c r="J2275" s="124"/>
      <x:c r="M2275" s="126"/>
      <x:c r="P2275" s="126"/>
      <x:c r="Q2275" s="126"/>
      <x:c r="R2275" s="126"/>
      <x:c r="S2275" s="124"/>
      <x:c r="T2275" s="124"/>
      <x:c r="U2275" s="124"/>
      <x:c r="V2275" s="124"/>
      <x:c r="W2275" s="124"/>
      <x:c r="X2275" s="124"/>
      <x:c r="AD2275"/>
      <x:c r="AE2275" s="145"/>
      <x:c r="AF2275" s="145"/>
      <x:c r="AG2275" s="145"/>
      <x:c r="AH2275" s="145"/>
      <x:c r="AI2275" s="145"/>
      <x:c r="AJ2275"/>
    </x:row>
    <x:row r="2276">
      <x:c r="F2276" s="124"/>
      <x:c r="G2276" s="124"/>
      <x:c r="H2276" s="124"/>
      <x:c r="I2276" s="124"/>
      <x:c r="J2276" s="124"/>
      <x:c r="M2276" s="126"/>
      <x:c r="P2276" s="126"/>
      <x:c r="Q2276" s="126"/>
      <x:c r="R2276" s="126"/>
      <x:c r="S2276" s="124"/>
      <x:c r="T2276" s="124"/>
      <x:c r="U2276" s="124"/>
      <x:c r="V2276" s="124"/>
      <x:c r="W2276" s="124"/>
      <x:c r="X2276" s="124"/>
      <x:c r="AD2276"/>
      <x:c r="AE2276" s="145"/>
      <x:c r="AF2276" s="145"/>
      <x:c r="AG2276" s="145"/>
      <x:c r="AH2276" s="145"/>
      <x:c r="AI2276" s="145"/>
      <x:c r="AJ2276"/>
    </x:row>
    <x:row r="2277">
      <x:c r="F2277" s="124"/>
      <x:c r="G2277" s="124"/>
      <x:c r="H2277" s="124"/>
      <x:c r="I2277" s="124"/>
      <x:c r="J2277" s="124"/>
      <x:c r="M2277" s="126"/>
      <x:c r="P2277" s="126"/>
      <x:c r="Q2277" s="126"/>
      <x:c r="R2277" s="126"/>
      <x:c r="S2277" s="124"/>
      <x:c r="T2277" s="124"/>
      <x:c r="U2277" s="124"/>
      <x:c r="V2277" s="124"/>
      <x:c r="W2277" s="124"/>
      <x:c r="X2277" s="124"/>
      <x:c r="AD2277"/>
      <x:c r="AE2277" s="145"/>
      <x:c r="AF2277" s="145"/>
      <x:c r="AG2277" s="145"/>
      <x:c r="AH2277" s="145"/>
      <x:c r="AI2277" s="145"/>
      <x:c r="AJ2277"/>
    </x:row>
    <x:row r="2278">
      <x:c r="F2278" s="124"/>
      <x:c r="G2278" s="124"/>
      <x:c r="H2278" s="124"/>
      <x:c r="I2278" s="124"/>
      <x:c r="J2278" s="124"/>
      <x:c r="M2278" s="126"/>
      <x:c r="P2278" s="126"/>
      <x:c r="Q2278" s="126"/>
      <x:c r="R2278" s="126"/>
      <x:c r="S2278" s="124"/>
      <x:c r="T2278" s="124"/>
      <x:c r="U2278" s="124"/>
      <x:c r="V2278" s="124"/>
      <x:c r="W2278" s="124"/>
      <x:c r="X2278" s="124"/>
      <x:c r="AD2278"/>
      <x:c r="AE2278" s="145"/>
      <x:c r="AF2278" s="145"/>
      <x:c r="AG2278" s="145"/>
      <x:c r="AH2278" s="145"/>
      <x:c r="AI2278" s="145"/>
      <x:c r="AJ2278"/>
    </x:row>
    <x:row r="2279">
      <x:c r="F2279" s="124"/>
      <x:c r="G2279" s="124"/>
      <x:c r="H2279" s="124"/>
      <x:c r="I2279" s="124"/>
      <x:c r="J2279" s="124"/>
      <x:c r="M2279" s="126"/>
      <x:c r="P2279" s="126"/>
      <x:c r="Q2279" s="126"/>
      <x:c r="R2279" s="126"/>
      <x:c r="S2279" s="124"/>
      <x:c r="T2279" s="124"/>
      <x:c r="U2279" s="124"/>
      <x:c r="V2279" s="124"/>
      <x:c r="W2279" s="124"/>
      <x:c r="X2279" s="124"/>
      <x:c r="AD2279"/>
      <x:c r="AE2279" s="145"/>
      <x:c r="AF2279" s="145"/>
      <x:c r="AG2279" s="145"/>
      <x:c r="AH2279" s="145"/>
      <x:c r="AI2279" s="145"/>
      <x:c r="AJ2279"/>
    </x:row>
    <x:row r="2280">
      <x:c r="F2280" s="124"/>
      <x:c r="G2280" s="124"/>
      <x:c r="H2280" s="124"/>
      <x:c r="I2280" s="124"/>
      <x:c r="J2280" s="124"/>
      <x:c r="M2280" s="126"/>
      <x:c r="P2280" s="126"/>
      <x:c r="Q2280" s="126"/>
      <x:c r="R2280" s="126"/>
      <x:c r="S2280" s="124"/>
      <x:c r="T2280" s="124"/>
      <x:c r="U2280" s="124"/>
      <x:c r="V2280" s="124"/>
      <x:c r="W2280" s="124"/>
      <x:c r="X2280" s="124"/>
      <x:c r="AD2280"/>
      <x:c r="AE2280" s="145"/>
      <x:c r="AF2280" s="145"/>
      <x:c r="AG2280" s="145"/>
      <x:c r="AH2280" s="145"/>
      <x:c r="AI2280" s="145"/>
      <x:c r="AJ2280"/>
    </x:row>
    <x:row r="2281">
      <x:c r="F2281" s="124"/>
      <x:c r="G2281" s="124"/>
      <x:c r="H2281" s="124"/>
      <x:c r="I2281" s="124"/>
      <x:c r="J2281" s="124"/>
      <x:c r="M2281" s="126"/>
      <x:c r="P2281" s="126"/>
      <x:c r="Q2281" s="126"/>
      <x:c r="R2281" s="126"/>
      <x:c r="S2281" s="124"/>
      <x:c r="T2281" s="124"/>
      <x:c r="U2281" s="124"/>
      <x:c r="V2281" s="124"/>
      <x:c r="W2281" s="124"/>
      <x:c r="X2281" s="124"/>
      <x:c r="AD2281"/>
      <x:c r="AE2281" s="145"/>
      <x:c r="AF2281" s="145"/>
      <x:c r="AG2281" s="145"/>
      <x:c r="AH2281" s="145"/>
      <x:c r="AI2281" s="145"/>
      <x:c r="AJ2281"/>
    </x:row>
    <x:row r="2282">
      <x:c r="F2282" s="124"/>
      <x:c r="G2282" s="124"/>
      <x:c r="H2282" s="124"/>
      <x:c r="I2282" s="124"/>
      <x:c r="J2282" s="124"/>
      <x:c r="M2282" s="126"/>
      <x:c r="P2282" s="126"/>
      <x:c r="Q2282" s="126"/>
      <x:c r="R2282" s="126"/>
      <x:c r="S2282" s="124"/>
      <x:c r="T2282" s="124"/>
      <x:c r="U2282" s="124"/>
      <x:c r="V2282" s="124"/>
      <x:c r="W2282" s="124"/>
      <x:c r="X2282" s="124"/>
      <x:c r="AD2282"/>
      <x:c r="AE2282" s="145"/>
      <x:c r="AF2282" s="145"/>
      <x:c r="AG2282" s="145"/>
      <x:c r="AH2282" s="145"/>
      <x:c r="AI2282" s="145"/>
      <x:c r="AJ2282"/>
    </x:row>
    <x:row r="2283">
      <x:c r="F2283" s="124"/>
      <x:c r="G2283" s="124"/>
      <x:c r="H2283" s="124"/>
      <x:c r="I2283" s="124"/>
      <x:c r="J2283" s="124"/>
      <x:c r="M2283" s="126"/>
      <x:c r="P2283" s="126"/>
      <x:c r="Q2283" s="126"/>
      <x:c r="R2283" s="126"/>
      <x:c r="S2283" s="124"/>
      <x:c r="T2283" s="124"/>
      <x:c r="U2283" s="124"/>
      <x:c r="V2283" s="124"/>
      <x:c r="W2283" s="124"/>
      <x:c r="X2283" s="124"/>
      <x:c r="AD2283"/>
      <x:c r="AE2283" s="145"/>
      <x:c r="AF2283" s="145"/>
      <x:c r="AG2283" s="145"/>
      <x:c r="AH2283" s="145"/>
      <x:c r="AI2283" s="145"/>
      <x:c r="AJ2283"/>
    </x:row>
    <x:row r="2284">
      <x:c r="F2284" s="124"/>
      <x:c r="G2284" s="124"/>
      <x:c r="H2284" s="124"/>
      <x:c r="I2284" s="124"/>
      <x:c r="J2284" s="124"/>
      <x:c r="M2284" s="126"/>
      <x:c r="P2284" s="126"/>
      <x:c r="Q2284" s="126"/>
      <x:c r="R2284" s="126"/>
      <x:c r="S2284" s="124"/>
      <x:c r="T2284" s="124"/>
      <x:c r="U2284" s="124"/>
      <x:c r="V2284" s="124"/>
      <x:c r="W2284" s="124"/>
      <x:c r="X2284" s="124"/>
      <x:c r="AD2284"/>
      <x:c r="AE2284" s="145"/>
      <x:c r="AF2284" s="145"/>
      <x:c r="AG2284" s="145"/>
      <x:c r="AH2284" s="145"/>
      <x:c r="AI2284" s="145"/>
      <x:c r="AJ2284"/>
    </x:row>
    <x:row r="2285">
      <x:c r="F2285" s="124"/>
      <x:c r="G2285" s="124"/>
      <x:c r="H2285" s="124"/>
      <x:c r="I2285" s="124"/>
      <x:c r="J2285" s="124"/>
      <x:c r="M2285" s="126"/>
      <x:c r="P2285" s="126"/>
      <x:c r="Q2285" s="126"/>
      <x:c r="R2285" s="126"/>
      <x:c r="S2285" s="124"/>
      <x:c r="T2285" s="124"/>
      <x:c r="U2285" s="124"/>
      <x:c r="V2285" s="124"/>
      <x:c r="W2285" s="124"/>
      <x:c r="X2285" s="124"/>
      <x:c r="AD2285"/>
      <x:c r="AE2285" s="145"/>
      <x:c r="AF2285" s="145"/>
      <x:c r="AG2285" s="145"/>
      <x:c r="AH2285" s="145"/>
      <x:c r="AI2285" s="145"/>
      <x:c r="AJ2285"/>
    </x:row>
    <x:row r="2286">
      <x:c r="F2286" s="124"/>
      <x:c r="G2286" s="124"/>
      <x:c r="H2286" s="124"/>
      <x:c r="I2286" s="124"/>
      <x:c r="J2286" s="124"/>
      <x:c r="M2286" s="126"/>
      <x:c r="P2286" s="126"/>
      <x:c r="Q2286" s="126"/>
      <x:c r="R2286" s="126"/>
      <x:c r="S2286" s="124"/>
      <x:c r="T2286" s="124"/>
      <x:c r="U2286" s="124"/>
      <x:c r="V2286" s="124"/>
      <x:c r="W2286" s="124"/>
      <x:c r="X2286" s="124"/>
      <x:c r="AD2286"/>
      <x:c r="AE2286" s="145"/>
      <x:c r="AF2286" s="145"/>
      <x:c r="AG2286" s="145"/>
      <x:c r="AH2286" s="145"/>
      <x:c r="AI2286" s="145"/>
      <x:c r="AJ2286"/>
    </x:row>
    <x:row r="2287">
      <x:c r="F2287" s="124"/>
      <x:c r="G2287" s="124"/>
      <x:c r="H2287" s="124"/>
      <x:c r="I2287" s="124"/>
      <x:c r="J2287" s="124"/>
      <x:c r="M2287" s="126"/>
      <x:c r="P2287" s="126"/>
      <x:c r="Q2287" s="126"/>
      <x:c r="R2287" s="126"/>
      <x:c r="S2287" s="124"/>
      <x:c r="T2287" s="124"/>
      <x:c r="U2287" s="124"/>
      <x:c r="V2287" s="124"/>
      <x:c r="W2287" s="124"/>
      <x:c r="X2287" s="124"/>
      <x:c r="AD2287"/>
      <x:c r="AE2287" s="145"/>
      <x:c r="AF2287" s="145"/>
      <x:c r="AG2287" s="145"/>
      <x:c r="AH2287" s="145"/>
      <x:c r="AI2287" s="145"/>
      <x:c r="AJ2287"/>
    </x:row>
    <x:row r="2288">
      <x:c r="F2288" s="124"/>
      <x:c r="G2288" s="124"/>
      <x:c r="H2288" s="124"/>
      <x:c r="I2288" s="124"/>
      <x:c r="J2288" s="124"/>
      <x:c r="M2288" s="126"/>
      <x:c r="P2288" s="126"/>
      <x:c r="Q2288" s="126"/>
      <x:c r="R2288" s="126"/>
      <x:c r="S2288" s="124"/>
      <x:c r="T2288" s="124"/>
      <x:c r="U2288" s="124"/>
      <x:c r="V2288" s="124"/>
      <x:c r="W2288" s="124"/>
      <x:c r="X2288" s="124"/>
      <x:c r="AD2288"/>
      <x:c r="AE2288" s="145"/>
      <x:c r="AF2288" s="145"/>
      <x:c r="AG2288" s="145"/>
      <x:c r="AH2288" s="145"/>
      <x:c r="AI2288" s="145"/>
      <x:c r="AJ2288"/>
    </x:row>
    <x:row r="2289">
      <x:c r="F2289" s="124"/>
      <x:c r="G2289" s="124"/>
      <x:c r="H2289" s="124"/>
      <x:c r="I2289" s="124"/>
      <x:c r="J2289" s="124"/>
      <x:c r="M2289" s="126"/>
      <x:c r="P2289" s="126"/>
      <x:c r="Q2289" s="126"/>
      <x:c r="R2289" s="126"/>
      <x:c r="S2289" s="124"/>
      <x:c r="T2289" s="124"/>
      <x:c r="U2289" s="124"/>
      <x:c r="V2289" s="124"/>
      <x:c r="W2289" s="124"/>
      <x:c r="X2289" s="124"/>
      <x:c r="AD2289"/>
      <x:c r="AE2289" s="145"/>
      <x:c r="AF2289" s="145"/>
      <x:c r="AG2289" s="145"/>
      <x:c r="AH2289" s="145"/>
      <x:c r="AI2289" s="145"/>
      <x:c r="AJ2289"/>
    </x:row>
    <x:row r="2290">
      <x:c r="F2290" s="124"/>
      <x:c r="G2290" s="124"/>
      <x:c r="H2290" s="124"/>
      <x:c r="I2290" s="124"/>
      <x:c r="J2290" s="124"/>
      <x:c r="M2290" s="126"/>
      <x:c r="P2290" s="126"/>
      <x:c r="Q2290" s="126"/>
      <x:c r="R2290" s="126"/>
      <x:c r="S2290" s="124"/>
      <x:c r="T2290" s="124"/>
      <x:c r="U2290" s="124"/>
      <x:c r="V2290" s="124"/>
      <x:c r="W2290" s="124"/>
      <x:c r="X2290" s="124"/>
      <x:c r="AD2290"/>
      <x:c r="AE2290" s="145"/>
      <x:c r="AF2290" s="145"/>
      <x:c r="AG2290" s="145"/>
      <x:c r="AH2290" s="145"/>
      <x:c r="AI2290" s="145"/>
      <x:c r="AJ2290"/>
    </x:row>
    <x:row r="2291">
      <x:c r="F2291" s="124"/>
      <x:c r="G2291" s="124"/>
      <x:c r="H2291" s="124"/>
      <x:c r="I2291" s="124"/>
      <x:c r="J2291" s="124"/>
      <x:c r="M2291" s="126"/>
      <x:c r="P2291" s="126"/>
      <x:c r="Q2291" s="126"/>
      <x:c r="R2291" s="126"/>
      <x:c r="S2291" s="124"/>
      <x:c r="T2291" s="124"/>
      <x:c r="U2291" s="124"/>
      <x:c r="V2291" s="124"/>
      <x:c r="W2291" s="124"/>
      <x:c r="X2291" s="124"/>
      <x:c r="AD2291"/>
      <x:c r="AE2291" s="145"/>
      <x:c r="AF2291" s="145"/>
      <x:c r="AG2291" s="145"/>
      <x:c r="AH2291" s="145"/>
      <x:c r="AI2291" s="145"/>
      <x:c r="AJ2291"/>
    </x:row>
    <x:row r="2292">
      <x:c r="F2292" s="124"/>
      <x:c r="G2292" s="124"/>
      <x:c r="H2292" s="124"/>
      <x:c r="I2292" s="124"/>
      <x:c r="J2292" s="124"/>
      <x:c r="M2292" s="126"/>
      <x:c r="P2292" s="126"/>
      <x:c r="Q2292" s="126"/>
      <x:c r="R2292" s="126"/>
      <x:c r="S2292" s="124"/>
      <x:c r="T2292" s="124"/>
      <x:c r="U2292" s="124"/>
      <x:c r="V2292" s="124"/>
      <x:c r="W2292" s="124"/>
      <x:c r="X2292" s="124"/>
      <x:c r="AD2292"/>
      <x:c r="AE2292" s="145"/>
      <x:c r="AF2292" s="145"/>
      <x:c r="AG2292" s="145"/>
      <x:c r="AH2292" s="145"/>
      <x:c r="AI2292" s="145"/>
      <x:c r="AJ2292"/>
    </x:row>
    <x:row r="2293">
      <x:c r="F2293" s="124"/>
      <x:c r="G2293" s="124"/>
      <x:c r="H2293" s="124"/>
      <x:c r="I2293" s="124"/>
      <x:c r="J2293" s="124"/>
      <x:c r="M2293" s="126"/>
      <x:c r="P2293" s="126"/>
      <x:c r="Q2293" s="126"/>
      <x:c r="R2293" s="126"/>
      <x:c r="S2293" s="124"/>
      <x:c r="T2293" s="124"/>
      <x:c r="U2293" s="124"/>
      <x:c r="V2293" s="124"/>
      <x:c r="W2293" s="124"/>
      <x:c r="X2293" s="124"/>
      <x:c r="AD2293"/>
      <x:c r="AE2293" s="145"/>
      <x:c r="AF2293" s="145"/>
      <x:c r="AG2293" s="145"/>
      <x:c r="AH2293" s="145"/>
      <x:c r="AI2293" s="145"/>
      <x:c r="AJ2293"/>
    </x:row>
    <x:row r="2294">
      <x:c r="F2294" s="124"/>
      <x:c r="G2294" s="124"/>
      <x:c r="H2294" s="124"/>
      <x:c r="I2294" s="124"/>
      <x:c r="J2294" s="124"/>
      <x:c r="M2294" s="126"/>
      <x:c r="P2294" s="126"/>
      <x:c r="Q2294" s="126"/>
      <x:c r="R2294" s="126"/>
      <x:c r="S2294" s="124"/>
      <x:c r="T2294" s="124"/>
      <x:c r="U2294" s="124"/>
      <x:c r="V2294" s="124"/>
      <x:c r="W2294" s="124"/>
      <x:c r="X2294" s="124"/>
      <x:c r="AD2294"/>
      <x:c r="AE2294" s="145"/>
      <x:c r="AF2294" s="145"/>
      <x:c r="AG2294" s="145"/>
      <x:c r="AH2294" s="145"/>
      <x:c r="AI2294" s="145"/>
      <x:c r="AJ2294"/>
    </x:row>
    <x:row r="2295">
      <x:c r="F2295" s="124"/>
      <x:c r="G2295" s="124"/>
      <x:c r="H2295" s="124"/>
      <x:c r="I2295" s="124"/>
      <x:c r="J2295" s="124"/>
      <x:c r="M2295" s="126"/>
      <x:c r="P2295" s="126"/>
      <x:c r="Q2295" s="126"/>
      <x:c r="R2295" s="126"/>
      <x:c r="S2295" s="124"/>
      <x:c r="T2295" s="124"/>
      <x:c r="U2295" s="124"/>
      <x:c r="V2295" s="124"/>
      <x:c r="W2295" s="124"/>
      <x:c r="X2295" s="124"/>
      <x:c r="AD2295"/>
      <x:c r="AE2295" s="145"/>
      <x:c r="AF2295" s="145"/>
      <x:c r="AG2295" s="145"/>
      <x:c r="AH2295" s="145"/>
      <x:c r="AI2295" s="145"/>
      <x:c r="AJ2295"/>
    </x:row>
    <x:row r="2296">
      <x:c r="F2296" s="124"/>
      <x:c r="G2296" s="124"/>
      <x:c r="H2296" s="124"/>
      <x:c r="I2296" s="124"/>
      <x:c r="J2296" s="124"/>
      <x:c r="M2296" s="126"/>
      <x:c r="P2296" s="126"/>
      <x:c r="Q2296" s="126"/>
      <x:c r="R2296" s="126"/>
      <x:c r="S2296" s="124"/>
      <x:c r="T2296" s="124"/>
      <x:c r="U2296" s="124"/>
      <x:c r="V2296" s="124"/>
      <x:c r="W2296" s="124"/>
      <x:c r="X2296" s="124"/>
      <x:c r="AD2296"/>
      <x:c r="AE2296" s="145"/>
      <x:c r="AF2296" s="145"/>
      <x:c r="AG2296" s="145"/>
      <x:c r="AH2296" s="145"/>
      <x:c r="AI2296" s="145"/>
      <x:c r="AJ2296"/>
    </x:row>
    <x:row r="2297">
      <x:c r="F2297" s="124"/>
      <x:c r="G2297" s="124"/>
      <x:c r="H2297" s="124"/>
      <x:c r="I2297" s="124"/>
      <x:c r="J2297" s="124"/>
      <x:c r="M2297" s="126"/>
      <x:c r="P2297" s="126"/>
      <x:c r="Q2297" s="126"/>
      <x:c r="R2297" s="126"/>
      <x:c r="S2297" s="124"/>
      <x:c r="T2297" s="124"/>
      <x:c r="U2297" s="124"/>
      <x:c r="V2297" s="124"/>
      <x:c r="W2297" s="124"/>
      <x:c r="X2297" s="124"/>
      <x:c r="AD2297"/>
      <x:c r="AE2297" s="145"/>
      <x:c r="AF2297" s="145"/>
      <x:c r="AG2297" s="145"/>
      <x:c r="AH2297" s="145"/>
      <x:c r="AI2297" s="145"/>
      <x:c r="AJ2297"/>
    </x:row>
    <x:row r="2298">
      <x:c r="F2298" s="124"/>
      <x:c r="G2298" s="124"/>
      <x:c r="H2298" s="124"/>
      <x:c r="I2298" s="124"/>
      <x:c r="J2298" s="124"/>
      <x:c r="M2298" s="126"/>
      <x:c r="P2298" s="126"/>
      <x:c r="Q2298" s="126"/>
      <x:c r="R2298" s="126"/>
      <x:c r="S2298" s="124"/>
      <x:c r="T2298" s="124"/>
      <x:c r="U2298" s="124"/>
      <x:c r="V2298" s="124"/>
      <x:c r="W2298" s="124"/>
      <x:c r="X2298" s="124"/>
      <x:c r="AD2298"/>
      <x:c r="AE2298" s="145"/>
      <x:c r="AF2298" s="145"/>
      <x:c r="AG2298" s="145"/>
      <x:c r="AH2298" s="145"/>
      <x:c r="AI2298" s="145"/>
      <x:c r="AJ2298"/>
    </x:row>
    <x:row r="2299">
      <x:c r="F2299" s="124"/>
      <x:c r="G2299" s="124"/>
      <x:c r="H2299" s="124"/>
      <x:c r="I2299" s="124"/>
      <x:c r="J2299" s="124"/>
      <x:c r="M2299" s="126"/>
      <x:c r="P2299" s="126"/>
      <x:c r="Q2299" s="126"/>
      <x:c r="R2299" s="126"/>
      <x:c r="S2299" s="124"/>
      <x:c r="T2299" s="124"/>
      <x:c r="U2299" s="124"/>
      <x:c r="V2299" s="124"/>
      <x:c r="W2299" s="124"/>
      <x:c r="X2299" s="124"/>
      <x:c r="AD2299"/>
      <x:c r="AE2299" s="145"/>
      <x:c r="AF2299" s="145"/>
      <x:c r="AG2299" s="145"/>
      <x:c r="AH2299" s="145"/>
      <x:c r="AI2299" s="145"/>
      <x:c r="AJ2299"/>
    </x:row>
    <x:row r="2300">
      <x:c r="F2300" s="124"/>
      <x:c r="G2300" s="124"/>
      <x:c r="H2300" s="124"/>
      <x:c r="I2300" s="124"/>
      <x:c r="J2300" s="124"/>
      <x:c r="M2300" s="126"/>
      <x:c r="P2300" s="126"/>
      <x:c r="Q2300" s="126"/>
      <x:c r="R2300" s="126"/>
      <x:c r="S2300" s="124"/>
      <x:c r="T2300" s="124"/>
      <x:c r="U2300" s="124"/>
      <x:c r="V2300" s="124"/>
      <x:c r="W2300" s="124"/>
      <x:c r="X2300" s="124"/>
      <x:c r="AD2300"/>
      <x:c r="AE2300" s="145"/>
      <x:c r="AF2300" s="145"/>
      <x:c r="AG2300" s="145"/>
      <x:c r="AH2300" s="145"/>
      <x:c r="AI2300" s="145"/>
      <x:c r="AJ2300"/>
    </x:row>
    <x:row r="2301">
      <x:c r="F2301" s="124"/>
      <x:c r="G2301" s="124"/>
      <x:c r="H2301" s="124"/>
      <x:c r="I2301" s="124"/>
      <x:c r="J2301" s="124"/>
      <x:c r="M2301" s="126"/>
      <x:c r="P2301" s="126"/>
      <x:c r="Q2301" s="126"/>
      <x:c r="R2301" s="126"/>
      <x:c r="S2301" s="124"/>
      <x:c r="T2301" s="124"/>
      <x:c r="U2301" s="124"/>
      <x:c r="V2301" s="124"/>
      <x:c r="W2301" s="124"/>
      <x:c r="X2301" s="124"/>
      <x:c r="AD2301"/>
      <x:c r="AE2301" s="145"/>
      <x:c r="AF2301" s="145"/>
      <x:c r="AG2301" s="145"/>
      <x:c r="AH2301" s="145"/>
      <x:c r="AI2301" s="145"/>
      <x:c r="AJ2301"/>
    </x:row>
    <x:row r="2302">
      <x:c r="F2302" s="124"/>
      <x:c r="G2302" s="124"/>
      <x:c r="H2302" s="124"/>
      <x:c r="I2302" s="124"/>
      <x:c r="J2302" s="124"/>
      <x:c r="M2302" s="126"/>
      <x:c r="P2302" s="126"/>
      <x:c r="Q2302" s="126"/>
      <x:c r="R2302" s="126"/>
      <x:c r="S2302" s="124"/>
      <x:c r="T2302" s="124"/>
      <x:c r="U2302" s="124"/>
      <x:c r="V2302" s="124"/>
      <x:c r="W2302" s="124"/>
      <x:c r="X2302" s="124"/>
      <x:c r="AD2302"/>
      <x:c r="AE2302" s="145"/>
      <x:c r="AF2302" s="145"/>
      <x:c r="AG2302" s="145"/>
      <x:c r="AH2302" s="145"/>
      <x:c r="AI2302" s="145"/>
      <x:c r="AJ2302"/>
    </x:row>
    <x:row r="2303">
      <x:c r="F2303" s="124"/>
      <x:c r="G2303" s="124"/>
      <x:c r="H2303" s="124"/>
      <x:c r="I2303" s="124"/>
      <x:c r="J2303" s="124"/>
      <x:c r="M2303" s="126"/>
      <x:c r="P2303" s="126"/>
      <x:c r="Q2303" s="126"/>
      <x:c r="R2303" s="126"/>
      <x:c r="S2303" s="124"/>
      <x:c r="T2303" s="124"/>
      <x:c r="U2303" s="124"/>
      <x:c r="V2303" s="124"/>
      <x:c r="W2303" s="124"/>
      <x:c r="X2303" s="124"/>
      <x:c r="AD2303"/>
      <x:c r="AE2303" s="145"/>
      <x:c r="AF2303" s="145"/>
      <x:c r="AG2303" s="145"/>
      <x:c r="AH2303" s="145"/>
      <x:c r="AI2303" s="145"/>
      <x:c r="AJ2303"/>
    </x:row>
    <x:row r="2304">
      <x:c r="F2304" s="124"/>
      <x:c r="G2304" s="124"/>
      <x:c r="H2304" s="124"/>
      <x:c r="I2304" s="124"/>
      <x:c r="J2304" s="124"/>
      <x:c r="M2304" s="126"/>
      <x:c r="P2304" s="126"/>
      <x:c r="Q2304" s="126"/>
      <x:c r="R2304" s="126"/>
      <x:c r="S2304" s="124"/>
      <x:c r="T2304" s="124"/>
      <x:c r="U2304" s="124"/>
      <x:c r="V2304" s="124"/>
      <x:c r="W2304" s="124"/>
      <x:c r="X2304" s="124"/>
      <x:c r="AD2304"/>
      <x:c r="AE2304" s="145"/>
      <x:c r="AF2304" s="145"/>
      <x:c r="AG2304" s="145"/>
      <x:c r="AH2304" s="145"/>
      <x:c r="AI2304" s="145"/>
      <x:c r="AJ2304"/>
    </x:row>
    <x:row r="2305">
      <x:c r="F2305" s="124"/>
      <x:c r="G2305" s="124"/>
      <x:c r="H2305" s="124"/>
      <x:c r="I2305" s="124"/>
      <x:c r="J2305" s="124"/>
      <x:c r="M2305" s="126"/>
      <x:c r="P2305" s="126"/>
      <x:c r="Q2305" s="126"/>
      <x:c r="R2305" s="126"/>
      <x:c r="S2305" s="124"/>
      <x:c r="T2305" s="124"/>
      <x:c r="U2305" s="124"/>
      <x:c r="V2305" s="124"/>
      <x:c r="W2305" s="124"/>
      <x:c r="X2305" s="124"/>
      <x:c r="AD2305"/>
      <x:c r="AE2305" s="145"/>
      <x:c r="AF2305" s="145"/>
      <x:c r="AG2305" s="145"/>
      <x:c r="AH2305" s="145"/>
      <x:c r="AI2305" s="145"/>
      <x:c r="AJ2305"/>
    </x:row>
    <x:row r="2306">
      <x:c r="F2306" s="124"/>
      <x:c r="G2306" s="124"/>
      <x:c r="H2306" s="124"/>
      <x:c r="I2306" s="124"/>
      <x:c r="J2306" s="124"/>
      <x:c r="M2306" s="126"/>
      <x:c r="P2306" s="126"/>
      <x:c r="Q2306" s="126"/>
      <x:c r="R2306" s="126"/>
      <x:c r="S2306" s="124"/>
      <x:c r="T2306" s="124"/>
      <x:c r="U2306" s="124"/>
      <x:c r="V2306" s="124"/>
      <x:c r="W2306" s="124"/>
      <x:c r="X2306" s="124"/>
      <x:c r="AD2306"/>
      <x:c r="AE2306" s="145"/>
      <x:c r="AF2306" s="145"/>
      <x:c r="AG2306" s="145"/>
      <x:c r="AH2306" s="145"/>
      <x:c r="AI2306" s="145"/>
      <x:c r="AJ2306"/>
    </x:row>
    <x:row r="2307">
      <x:c r="F2307" s="124"/>
      <x:c r="G2307" s="124"/>
      <x:c r="H2307" s="124"/>
      <x:c r="I2307" s="124"/>
      <x:c r="J2307" s="124"/>
      <x:c r="M2307" s="126"/>
      <x:c r="P2307" s="126"/>
      <x:c r="Q2307" s="126"/>
      <x:c r="R2307" s="126"/>
      <x:c r="S2307" s="124"/>
      <x:c r="T2307" s="124"/>
      <x:c r="U2307" s="124"/>
      <x:c r="V2307" s="124"/>
      <x:c r="W2307" s="124"/>
      <x:c r="X2307" s="124"/>
      <x:c r="AD2307"/>
      <x:c r="AE2307" s="145"/>
      <x:c r="AF2307" s="145"/>
      <x:c r="AG2307" s="145"/>
      <x:c r="AH2307" s="145"/>
      <x:c r="AI2307" s="145"/>
      <x:c r="AJ2307"/>
    </x:row>
    <x:row r="2308">
      <x:c r="F2308" s="124"/>
      <x:c r="G2308" s="124"/>
      <x:c r="H2308" s="124"/>
      <x:c r="I2308" s="124"/>
      <x:c r="J2308" s="124"/>
      <x:c r="M2308" s="126"/>
      <x:c r="P2308" s="126"/>
      <x:c r="Q2308" s="126"/>
      <x:c r="R2308" s="126"/>
      <x:c r="S2308" s="124"/>
      <x:c r="T2308" s="124"/>
      <x:c r="U2308" s="124"/>
      <x:c r="V2308" s="124"/>
      <x:c r="W2308" s="124"/>
      <x:c r="X2308" s="124"/>
      <x:c r="AD2308"/>
      <x:c r="AE2308" s="145"/>
      <x:c r="AF2308" s="145"/>
      <x:c r="AG2308" s="145"/>
      <x:c r="AH2308" s="145"/>
      <x:c r="AI2308" s="145"/>
      <x:c r="AJ2308"/>
    </x:row>
    <x:row r="2309">
      <x:c r="F2309" s="124"/>
      <x:c r="G2309" s="124"/>
      <x:c r="H2309" s="124"/>
      <x:c r="I2309" s="124"/>
      <x:c r="J2309" s="124"/>
      <x:c r="M2309" s="126"/>
      <x:c r="P2309" s="126"/>
      <x:c r="Q2309" s="126"/>
      <x:c r="R2309" s="126"/>
      <x:c r="S2309" s="124"/>
      <x:c r="T2309" s="124"/>
      <x:c r="U2309" s="124"/>
      <x:c r="V2309" s="124"/>
      <x:c r="W2309" s="124"/>
      <x:c r="X2309" s="124"/>
      <x:c r="AD2309"/>
      <x:c r="AE2309" s="145"/>
      <x:c r="AF2309" s="145"/>
      <x:c r="AG2309" s="145"/>
      <x:c r="AH2309" s="145"/>
      <x:c r="AI2309" s="145"/>
      <x:c r="AJ2309"/>
    </x:row>
    <x:row r="2310">
      <x:c r="F2310" s="124"/>
      <x:c r="G2310" s="124"/>
      <x:c r="H2310" s="124"/>
      <x:c r="I2310" s="124"/>
      <x:c r="J2310" s="124"/>
      <x:c r="M2310" s="126"/>
      <x:c r="P2310" s="126"/>
      <x:c r="Q2310" s="126"/>
      <x:c r="R2310" s="126"/>
      <x:c r="S2310" s="124"/>
      <x:c r="T2310" s="124"/>
      <x:c r="U2310" s="124"/>
      <x:c r="V2310" s="124"/>
      <x:c r="W2310" s="124"/>
      <x:c r="X2310" s="124"/>
      <x:c r="AD2310"/>
      <x:c r="AE2310" s="145"/>
      <x:c r="AF2310" s="145"/>
      <x:c r="AG2310" s="145"/>
      <x:c r="AH2310" s="145"/>
      <x:c r="AI2310" s="145"/>
      <x:c r="AJ2310"/>
    </x:row>
    <x:row r="2311">
      <x:c r="F2311" s="124"/>
      <x:c r="G2311" s="124"/>
      <x:c r="H2311" s="124"/>
      <x:c r="I2311" s="124"/>
      <x:c r="J2311" s="124"/>
      <x:c r="M2311" s="126"/>
      <x:c r="P2311" s="126"/>
      <x:c r="Q2311" s="126"/>
      <x:c r="R2311" s="126"/>
      <x:c r="S2311" s="124"/>
      <x:c r="T2311" s="124"/>
      <x:c r="U2311" s="124"/>
      <x:c r="V2311" s="124"/>
      <x:c r="W2311" s="124"/>
      <x:c r="X2311" s="124"/>
      <x:c r="AD2311"/>
      <x:c r="AE2311" s="145"/>
      <x:c r="AF2311" s="145"/>
      <x:c r="AG2311" s="145"/>
      <x:c r="AH2311" s="145"/>
      <x:c r="AI2311" s="145"/>
      <x:c r="AJ2311"/>
    </x:row>
    <x:row r="2312">
      <x:c r="F2312" s="124"/>
      <x:c r="G2312" s="124"/>
      <x:c r="H2312" s="124"/>
      <x:c r="I2312" s="124"/>
      <x:c r="J2312" s="124"/>
      <x:c r="M2312" s="126"/>
      <x:c r="P2312" s="126"/>
      <x:c r="Q2312" s="126"/>
      <x:c r="R2312" s="126"/>
      <x:c r="S2312" s="124"/>
      <x:c r="T2312" s="124"/>
      <x:c r="U2312" s="124"/>
      <x:c r="V2312" s="124"/>
      <x:c r="W2312" s="124"/>
      <x:c r="X2312" s="124"/>
      <x:c r="AD2312"/>
      <x:c r="AE2312" s="145"/>
      <x:c r="AF2312" s="145"/>
      <x:c r="AG2312" s="145"/>
      <x:c r="AH2312" s="145"/>
      <x:c r="AI2312" s="145"/>
      <x:c r="AJ2312"/>
    </x:row>
    <x:row r="2313">
      <x:c r="F2313" s="124"/>
      <x:c r="G2313" s="124"/>
      <x:c r="H2313" s="124"/>
      <x:c r="I2313" s="124"/>
      <x:c r="J2313" s="124"/>
      <x:c r="M2313" s="126"/>
      <x:c r="P2313" s="126"/>
      <x:c r="Q2313" s="126"/>
      <x:c r="R2313" s="126"/>
      <x:c r="S2313" s="124"/>
      <x:c r="T2313" s="124"/>
      <x:c r="U2313" s="124"/>
      <x:c r="V2313" s="124"/>
      <x:c r="W2313" s="124"/>
      <x:c r="X2313" s="124"/>
      <x:c r="AD2313"/>
      <x:c r="AE2313" s="145"/>
      <x:c r="AF2313" s="145"/>
      <x:c r="AG2313" s="145"/>
      <x:c r="AH2313" s="145"/>
      <x:c r="AI2313" s="145"/>
      <x:c r="AJ2313"/>
    </x:row>
    <x:row r="2314">
      <x:c r="F2314" s="124"/>
      <x:c r="G2314" s="124"/>
      <x:c r="H2314" s="124"/>
      <x:c r="I2314" s="124"/>
      <x:c r="J2314" s="124"/>
      <x:c r="M2314" s="126"/>
      <x:c r="P2314" s="126"/>
      <x:c r="Q2314" s="126"/>
      <x:c r="R2314" s="126"/>
      <x:c r="S2314" s="124"/>
      <x:c r="T2314" s="124"/>
      <x:c r="U2314" s="124"/>
      <x:c r="V2314" s="124"/>
      <x:c r="W2314" s="124"/>
      <x:c r="X2314" s="124"/>
      <x:c r="AD2314"/>
      <x:c r="AE2314" s="145"/>
      <x:c r="AF2314" s="145"/>
      <x:c r="AG2314" s="145"/>
      <x:c r="AH2314" s="145"/>
      <x:c r="AI2314" s="145"/>
      <x:c r="AJ2314"/>
    </x:row>
    <x:row r="2315">
      <x:c r="F2315" s="124"/>
      <x:c r="G2315" s="124"/>
      <x:c r="H2315" s="124"/>
      <x:c r="I2315" s="124"/>
      <x:c r="J2315" s="124"/>
      <x:c r="M2315" s="126"/>
      <x:c r="P2315" s="126"/>
      <x:c r="Q2315" s="126"/>
      <x:c r="R2315" s="126"/>
      <x:c r="S2315" s="124"/>
      <x:c r="T2315" s="124"/>
      <x:c r="U2315" s="124"/>
      <x:c r="V2315" s="124"/>
      <x:c r="W2315" s="124"/>
      <x:c r="X2315" s="124"/>
      <x:c r="AD2315"/>
      <x:c r="AE2315" s="145"/>
      <x:c r="AF2315" s="145"/>
      <x:c r="AG2315" s="145"/>
      <x:c r="AH2315" s="145"/>
      <x:c r="AI2315" s="145"/>
      <x:c r="AJ2315"/>
    </x:row>
    <x:row r="2316">
      <x:c r="F2316" s="124"/>
      <x:c r="G2316" s="124"/>
      <x:c r="H2316" s="124"/>
      <x:c r="I2316" s="124"/>
      <x:c r="J2316" s="124"/>
      <x:c r="M2316" s="126"/>
      <x:c r="P2316" s="126"/>
      <x:c r="Q2316" s="126"/>
      <x:c r="R2316" s="126"/>
      <x:c r="S2316" s="124"/>
      <x:c r="T2316" s="124"/>
      <x:c r="U2316" s="124"/>
      <x:c r="V2316" s="124"/>
      <x:c r="W2316" s="124"/>
      <x:c r="X2316" s="124"/>
      <x:c r="AD2316"/>
      <x:c r="AE2316" s="145"/>
      <x:c r="AF2316" s="145"/>
      <x:c r="AG2316" s="145"/>
      <x:c r="AH2316" s="145"/>
      <x:c r="AI2316" s="145"/>
      <x:c r="AJ2316"/>
    </x:row>
    <x:row r="2317">
      <x:c r="F2317" s="124"/>
      <x:c r="G2317" s="124"/>
      <x:c r="H2317" s="124"/>
      <x:c r="I2317" s="124"/>
      <x:c r="J2317" s="124"/>
      <x:c r="M2317" s="126"/>
      <x:c r="P2317" s="126"/>
      <x:c r="Q2317" s="126"/>
      <x:c r="R2317" s="126"/>
      <x:c r="S2317" s="124"/>
      <x:c r="T2317" s="124"/>
      <x:c r="U2317" s="124"/>
      <x:c r="V2317" s="124"/>
      <x:c r="W2317" s="124"/>
      <x:c r="X2317" s="124"/>
      <x:c r="AD2317"/>
      <x:c r="AE2317" s="145"/>
      <x:c r="AF2317" s="145"/>
      <x:c r="AG2317" s="145"/>
      <x:c r="AH2317" s="145"/>
      <x:c r="AI2317" s="145"/>
      <x:c r="AJ2317"/>
    </x:row>
    <x:row r="2318">
      <x:c r="F2318" s="124"/>
      <x:c r="G2318" s="124"/>
      <x:c r="H2318" s="124"/>
      <x:c r="I2318" s="124"/>
      <x:c r="J2318" s="124"/>
      <x:c r="M2318" s="126"/>
      <x:c r="P2318" s="126"/>
      <x:c r="Q2318" s="126"/>
      <x:c r="R2318" s="126"/>
      <x:c r="S2318" s="124"/>
      <x:c r="T2318" s="124"/>
      <x:c r="U2318" s="124"/>
      <x:c r="V2318" s="124"/>
      <x:c r="W2318" s="124"/>
      <x:c r="X2318" s="124"/>
      <x:c r="AD2318"/>
      <x:c r="AE2318" s="145"/>
      <x:c r="AF2318" s="145"/>
      <x:c r="AG2318" s="145"/>
      <x:c r="AH2318" s="145"/>
      <x:c r="AI2318" s="145"/>
      <x:c r="AJ2318"/>
    </x:row>
    <x:row r="2319">
      <x:c r="F2319" s="124"/>
      <x:c r="G2319" s="124"/>
      <x:c r="H2319" s="124"/>
      <x:c r="I2319" s="124"/>
      <x:c r="J2319" s="124"/>
      <x:c r="M2319" s="126"/>
      <x:c r="P2319" s="126"/>
      <x:c r="Q2319" s="126"/>
      <x:c r="R2319" s="126"/>
      <x:c r="S2319" s="124"/>
      <x:c r="T2319" s="124"/>
      <x:c r="U2319" s="124"/>
      <x:c r="V2319" s="124"/>
      <x:c r="W2319" s="124"/>
      <x:c r="X2319" s="124"/>
      <x:c r="AD2319"/>
      <x:c r="AE2319" s="145"/>
      <x:c r="AF2319" s="145"/>
      <x:c r="AG2319" s="145"/>
      <x:c r="AH2319" s="145"/>
      <x:c r="AI2319" s="145"/>
      <x:c r="AJ2319"/>
    </x:row>
    <x:row r="2320">
      <x:c r="F2320" s="124"/>
      <x:c r="G2320" s="124"/>
      <x:c r="H2320" s="124"/>
      <x:c r="I2320" s="124"/>
      <x:c r="J2320" s="124"/>
      <x:c r="M2320" s="126"/>
      <x:c r="P2320" s="126"/>
      <x:c r="Q2320" s="126"/>
      <x:c r="R2320" s="126"/>
      <x:c r="S2320" s="124"/>
      <x:c r="T2320" s="124"/>
      <x:c r="U2320" s="124"/>
      <x:c r="V2320" s="124"/>
      <x:c r="W2320" s="124"/>
      <x:c r="X2320" s="124"/>
      <x:c r="AD2320"/>
      <x:c r="AE2320" s="145"/>
      <x:c r="AF2320" s="145"/>
      <x:c r="AG2320" s="145"/>
      <x:c r="AH2320" s="145"/>
      <x:c r="AI2320" s="145"/>
      <x:c r="AJ2320"/>
    </x:row>
    <x:row r="2321">
      <x:c r="F2321" s="124"/>
      <x:c r="G2321" s="124"/>
      <x:c r="H2321" s="124"/>
      <x:c r="I2321" s="124"/>
      <x:c r="J2321" s="124"/>
      <x:c r="M2321" s="126"/>
      <x:c r="P2321" s="126"/>
      <x:c r="Q2321" s="126"/>
      <x:c r="R2321" s="126"/>
      <x:c r="S2321" s="124"/>
      <x:c r="T2321" s="124"/>
      <x:c r="U2321" s="124"/>
      <x:c r="V2321" s="124"/>
      <x:c r="W2321" s="124"/>
      <x:c r="X2321" s="124"/>
      <x:c r="AD2321"/>
      <x:c r="AE2321" s="145"/>
      <x:c r="AF2321" s="145"/>
      <x:c r="AG2321" s="145"/>
      <x:c r="AH2321" s="145"/>
      <x:c r="AI2321" s="145"/>
      <x:c r="AJ2321"/>
    </x:row>
    <x:row r="2322">
      <x:c r="F2322" s="124"/>
      <x:c r="G2322" s="124"/>
      <x:c r="H2322" s="124"/>
      <x:c r="I2322" s="124"/>
      <x:c r="J2322" s="124"/>
      <x:c r="M2322" s="126"/>
      <x:c r="P2322" s="126"/>
      <x:c r="Q2322" s="126"/>
      <x:c r="R2322" s="126"/>
      <x:c r="S2322" s="124"/>
      <x:c r="T2322" s="124"/>
      <x:c r="U2322" s="124"/>
      <x:c r="V2322" s="124"/>
      <x:c r="W2322" s="124"/>
      <x:c r="X2322" s="124"/>
      <x:c r="AD2322"/>
      <x:c r="AE2322" s="145"/>
      <x:c r="AF2322" s="145"/>
      <x:c r="AG2322" s="145"/>
      <x:c r="AH2322" s="145"/>
      <x:c r="AI2322" s="145"/>
      <x:c r="AJ2322"/>
    </x:row>
    <x:row r="2323">
      <x:c r="F2323" s="124"/>
      <x:c r="G2323" s="124"/>
      <x:c r="H2323" s="124"/>
      <x:c r="I2323" s="124"/>
      <x:c r="J2323" s="124"/>
      <x:c r="M2323" s="126"/>
      <x:c r="P2323" s="126"/>
      <x:c r="Q2323" s="126"/>
      <x:c r="R2323" s="126"/>
      <x:c r="S2323" s="124"/>
      <x:c r="T2323" s="124"/>
      <x:c r="U2323" s="124"/>
      <x:c r="V2323" s="124"/>
      <x:c r="W2323" s="124"/>
      <x:c r="X2323" s="124"/>
      <x:c r="AD2323"/>
      <x:c r="AE2323" s="145"/>
      <x:c r="AF2323" s="145"/>
      <x:c r="AG2323" s="145"/>
      <x:c r="AH2323" s="145"/>
      <x:c r="AI2323" s="145"/>
      <x:c r="AJ2323"/>
    </x:row>
    <x:row r="2324">
      <x:c r="F2324" s="124"/>
      <x:c r="G2324" s="124"/>
      <x:c r="H2324" s="124"/>
      <x:c r="I2324" s="124"/>
      <x:c r="J2324" s="124"/>
      <x:c r="M2324" s="126"/>
      <x:c r="P2324" s="126"/>
      <x:c r="Q2324" s="126"/>
      <x:c r="R2324" s="126"/>
      <x:c r="S2324" s="124"/>
      <x:c r="T2324" s="124"/>
      <x:c r="U2324" s="124"/>
      <x:c r="V2324" s="124"/>
      <x:c r="W2324" s="124"/>
      <x:c r="X2324" s="124"/>
      <x:c r="AD2324"/>
      <x:c r="AE2324" s="145"/>
      <x:c r="AF2324" s="145"/>
      <x:c r="AG2324" s="145"/>
      <x:c r="AH2324" s="145"/>
      <x:c r="AI2324" s="145"/>
      <x:c r="AJ2324"/>
    </x:row>
    <x:row r="2325">
      <x:c r="F2325" s="124"/>
      <x:c r="G2325" s="124"/>
      <x:c r="H2325" s="124"/>
      <x:c r="I2325" s="124"/>
      <x:c r="J2325" s="124"/>
      <x:c r="M2325" s="126"/>
      <x:c r="P2325" s="126"/>
      <x:c r="Q2325" s="126"/>
      <x:c r="R2325" s="126"/>
      <x:c r="S2325" s="124"/>
      <x:c r="T2325" s="124"/>
      <x:c r="U2325" s="124"/>
      <x:c r="V2325" s="124"/>
      <x:c r="W2325" s="124"/>
      <x:c r="X2325" s="124"/>
      <x:c r="AD2325"/>
      <x:c r="AE2325" s="145"/>
      <x:c r="AF2325" s="145"/>
      <x:c r="AG2325" s="145"/>
      <x:c r="AH2325" s="145"/>
      <x:c r="AI2325" s="145"/>
      <x:c r="AJ2325"/>
    </x:row>
    <x:row r="2326">
      <x:c r="F2326" s="124"/>
      <x:c r="G2326" s="124"/>
      <x:c r="H2326" s="124"/>
      <x:c r="I2326" s="124"/>
      <x:c r="J2326" s="124"/>
      <x:c r="M2326" s="126"/>
      <x:c r="P2326" s="126"/>
      <x:c r="Q2326" s="126"/>
      <x:c r="R2326" s="126"/>
      <x:c r="S2326" s="124"/>
      <x:c r="T2326" s="124"/>
      <x:c r="U2326" s="124"/>
      <x:c r="V2326" s="124"/>
      <x:c r="W2326" s="124"/>
      <x:c r="X2326" s="124"/>
      <x:c r="AD2326"/>
      <x:c r="AE2326" s="145"/>
      <x:c r="AF2326" s="145"/>
      <x:c r="AG2326" s="145"/>
      <x:c r="AH2326" s="145"/>
      <x:c r="AI2326" s="145"/>
      <x:c r="AJ2326"/>
    </x:row>
    <x:row r="2327">
      <x:c r="F2327" s="124"/>
      <x:c r="G2327" s="124"/>
      <x:c r="H2327" s="124"/>
      <x:c r="I2327" s="124"/>
      <x:c r="J2327" s="124"/>
      <x:c r="M2327" s="126"/>
      <x:c r="P2327" s="126"/>
      <x:c r="Q2327" s="126"/>
      <x:c r="R2327" s="126"/>
      <x:c r="S2327" s="124"/>
      <x:c r="T2327" s="124"/>
      <x:c r="U2327" s="124"/>
      <x:c r="V2327" s="124"/>
      <x:c r="W2327" s="124"/>
      <x:c r="X2327" s="124"/>
      <x:c r="AD2327"/>
      <x:c r="AE2327" s="145"/>
      <x:c r="AF2327" s="145"/>
      <x:c r="AG2327" s="145"/>
      <x:c r="AH2327" s="145"/>
      <x:c r="AI2327" s="145"/>
      <x:c r="AJ2327"/>
    </x:row>
    <x:row r="2328">
      <x:c r="F2328" s="124"/>
      <x:c r="G2328" s="124"/>
      <x:c r="H2328" s="124"/>
      <x:c r="I2328" s="124"/>
      <x:c r="J2328" s="124"/>
      <x:c r="M2328" s="126"/>
      <x:c r="P2328" s="126"/>
      <x:c r="Q2328" s="126"/>
      <x:c r="R2328" s="126"/>
      <x:c r="S2328" s="124"/>
      <x:c r="T2328" s="124"/>
      <x:c r="U2328" s="124"/>
      <x:c r="V2328" s="124"/>
      <x:c r="W2328" s="124"/>
      <x:c r="X2328" s="124"/>
      <x:c r="AD2328"/>
      <x:c r="AE2328" s="145"/>
      <x:c r="AF2328" s="145"/>
      <x:c r="AG2328" s="145"/>
      <x:c r="AH2328" s="145"/>
      <x:c r="AI2328" s="145"/>
      <x:c r="AJ2328"/>
    </x:row>
    <x:row r="2329">
      <x:c r="F2329" s="124"/>
      <x:c r="G2329" s="124"/>
      <x:c r="H2329" s="124"/>
      <x:c r="I2329" s="124"/>
      <x:c r="J2329" s="124"/>
      <x:c r="M2329" s="126"/>
      <x:c r="P2329" s="126"/>
      <x:c r="Q2329" s="126"/>
      <x:c r="R2329" s="126"/>
      <x:c r="S2329" s="124"/>
      <x:c r="T2329" s="124"/>
      <x:c r="U2329" s="124"/>
      <x:c r="V2329" s="124"/>
      <x:c r="W2329" s="124"/>
      <x:c r="X2329" s="124"/>
      <x:c r="AD2329"/>
      <x:c r="AE2329" s="145"/>
      <x:c r="AF2329" s="145"/>
      <x:c r="AG2329" s="145"/>
      <x:c r="AH2329" s="145"/>
      <x:c r="AI2329" s="145"/>
      <x:c r="AJ2329"/>
    </x:row>
    <x:row r="2330">
      <x:c r="F2330" s="124"/>
      <x:c r="G2330" s="124"/>
      <x:c r="H2330" s="124"/>
      <x:c r="I2330" s="124"/>
      <x:c r="J2330" s="124"/>
      <x:c r="M2330" s="126"/>
      <x:c r="P2330" s="126"/>
      <x:c r="Q2330" s="126"/>
      <x:c r="R2330" s="126"/>
      <x:c r="S2330" s="124"/>
      <x:c r="T2330" s="124"/>
      <x:c r="U2330" s="124"/>
      <x:c r="V2330" s="124"/>
      <x:c r="W2330" s="124"/>
      <x:c r="X2330" s="124"/>
      <x:c r="AD2330"/>
      <x:c r="AE2330" s="145"/>
      <x:c r="AF2330" s="145"/>
      <x:c r="AG2330" s="145"/>
      <x:c r="AH2330" s="145"/>
      <x:c r="AI2330" s="145"/>
      <x:c r="AJ2330"/>
    </x:row>
    <x:row r="2331">
      <x:c r="F2331" s="124"/>
      <x:c r="G2331" s="124"/>
      <x:c r="H2331" s="124"/>
      <x:c r="I2331" s="124"/>
      <x:c r="J2331" s="124"/>
      <x:c r="M2331" s="126"/>
      <x:c r="P2331" s="126"/>
      <x:c r="Q2331" s="126"/>
      <x:c r="R2331" s="126"/>
      <x:c r="S2331" s="124"/>
      <x:c r="T2331" s="124"/>
      <x:c r="U2331" s="124"/>
      <x:c r="V2331" s="124"/>
      <x:c r="W2331" s="124"/>
      <x:c r="X2331" s="124"/>
      <x:c r="AD2331"/>
      <x:c r="AE2331" s="145"/>
      <x:c r="AF2331" s="145"/>
      <x:c r="AG2331" s="145"/>
      <x:c r="AH2331" s="145"/>
      <x:c r="AI2331" s="145"/>
      <x:c r="AJ2331"/>
    </x:row>
    <x:row r="2332">
      <x:c r="F2332" s="124"/>
      <x:c r="G2332" s="124"/>
      <x:c r="H2332" s="124"/>
      <x:c r="I2332" s="124"/>
      <x:c r="J2332" s="124"/>
      <x:c r="M2332" s="126"/>
      <x:c r="P2332" s="126"/>
      <x:c r="Q2332" s="126"/>
      <x:c r="R2332" s="126"/>
      <x:c r="S2332" s="124"/>
      <x:c r="T2332" s="124"/>
      <x:c r="U2332" s="124"/>
      <x:c r="V2332" s="124"/>
      <x:c r="W2332" s="124"/>
      <x:c r="X2332" s="124"/>
      <x:c r="AD2332"/>
      <x:c r="AE2332" s="145"/>
      <x:c r="AF2332" s="145"/>
      <x:c r="AG2332" s="145"/>
      <x:c r="AH2332" s="145"/>
      <x:c r="AI2332" s="145"/>
      <x:c r="AJ2332"/>
    </x:row>
    <x:row r="2333">
      <x:c r="F2333" s="124"/>
      <x:c r="G2333" s="124"/>
      <x:c r="H2333" s="124"/>
      <x:c r="I2333" s="124"/>
      <x:c r="J2333" s="124"/>
      <x:c r="M2333" s="126"/>
      <x:c r="P2333" s="126"/>
      <x:c r="Q2333" s="126"/>
      <x:c r="R2333" s="126"/>
      <x:c r="S2333" s="124"/>
      <x:c r="T2333" s="124"/>
      <x:c r="U2333" s="124"/>
      <x:c r="V2333" s="124"/>
      <x:c r="W2333" s="124"/>
      <x:c r="X2333" s="124"/>
      <x:c r="AD2333"/>
      <x:c r="AE2333" s="145"/>
      <x:c r="AF2333" s="145"/>
      <x:c r="AG2333" s="145"/>
      <x:c r="AH2333" s="145"/>
      <x:c r="AI2333" s="145"/>
      <x:c r="AJ2333"/>
    </x:row>
    <x:row r="2334">
      <x:c r="F2334" s="124"/>
      <x:c r="G2334" s="124"/>
      <x:c r="H2334" s="124"/>
      <x:c r="I2334" s="124"/>
      <x:c r="J2334" s="124"/>
      <x:c r="M2334" s="126"/>
      <x:c r="P2334" s="126"/>
      <x:c r="Q2334" s="126"/>
      <x:c r="R2334" s="126"/>
      <x:c r="S2334" s="124"/>
      <x:c r="T2334" s="124"/>
      <x:c r="U2334" s="124"/>
      <x:c r="V2334" s="124"/>
      <x:c r="W2334" s="124"/>
      <x:c r="X2334" s="124"/>
      <x:c r="AD2334"/>
      <x:c r="AE2334" s="145"/>
      <x:c r="AF2334" s="145"/>
      <x:c r="AG2334" s="145"/>
      <x:c r="AH2334" s="145"/>
      <x:c r="AI2334" s="145"/>
      <x:c r="AJ2334"/>
    </x:row>
    <x:row r="2335">
      <x:c r="F2335" s="124"/>
      <x:c r="G2335" s="124"/>
      <x:c r="H2335" s="124"/>
      <x:c r="I2335" s="124"/>
      <x:c r="J2335" s="124"/>
      <x:c r="M2335" s="126"/>
      <x:c r="P2335" s="126"/>
      <x:c r="Q2335" s="126"/>
      <x:c r="R2335" s="126"/>
      <x:c r="S2335" s="124"/>
      <x:c r="T2335" s="124"/>
      <x:c r="U2335" s="124"/>
      <x:c r="V2335" s="124"/>
      <x:c r="W2335" s="124"/>
      <x:c r="X2335" s="124"/>
      <x:c r="AD2335"/>
      <x:c r="AE2335" s="145"/>
      <x:c r="AF2335" s="145"/>
      <x:c r="AG2335" s="145"/>
      <x:c r="AH2335" s="145"/>
      <x:c r="AI2335" s="145"/>
      <x:c r="AJ2335"/>
    </x:row>
    <x:row r="2336">
      <x:c r="F2336" s="124"/>
      <x:c r="G2336" s="124"/>
      <x:c r="H2336" s="124"/>
      <x:c r="I2336" s="124"/>
      <x:c r="J2336" s="124"/>
      <x:c r="M2336" s="126"/>
      <x:c r="P2336" s="126"/>
      <x:c r="Q2336" s="126"/>
      <x:c r="R2336" s="126"/>
      <x:c r="S2336" s="124"/>
      <x:c r="T2336" s="124"/>
      <x:c r="U2336" s="124"/>
      <x:c r="V2336" s="124"/>
      <x:c r="W2336" s="124"/>
      <x:c r="X2336" s="124"/>
      <x:c r="AD2336"/>
      <x:c r="AE2336" s="145"/>
      <x:c r="AF2336" s="145"/>
      <x:c r="AG2336" s="145"/>
      <x:c r="AH2336" s="145"/>
      <x:c r="AI2336" s="145"/>
      <x:c r="AJ2336"/>
    </x:row>
    <x:row r="2337">
      <x:c r="F2337" s="124"/>
      <x:c r="G2337" s="124"/>
      <x:c r="H2337" s="124"/>
      <x:c r="I2337" s="124"/>
      <x:c r="J2337" s="124"/>
      <x:c r="M2337" s="126"/>
      <x:c r="P2337" s="126"/>
      <x:c r="Q2337" s="126"/>
      <x:c r="R2337" s="126"/>
      <x:c r="S2337" s="124"/>
      <x:c r="T2337" s="124"/>
      <x:c r="U2337" s="124"/>
      <x:c r="V2337" s="124"/>
      <x:c r="W2337" s="124"/>
      <x:c r="X2337" s="124"/>
      <x:c r="AD2337"/>
      <x:c r="AE2337" s="145"/>
      <x:c r="AF2337" s="145"/>
      <x:c r="AG2337" s="145"/>
      <x:c r="AH2337" s="145"/>
      <x:c r="AI2337" s="145"/>
      <x:c r="AJ2337"/>
    </x:row>
    <x:row r="2338">
      <x:c r="F2338" s="124"/>
      <x:c r="G2338" s="124"/>
      <x:c r="H2338" s="124"/>
      <x:c r="I2338" s="124"/>
      <x:c r="J2338" s="124"/>
      <x:c r="M2338" s="126"/>
      <x:c r="P2338" s="126"/>
      <x:c r="Q2338" s="126"/>
      <x:c r="R2338" s="126"/>
      <x:c r="S2338" s="124"/>
      <x:c r="T2338" s="124"/>
      <x:c r="U2338" s="124"/>
      <x:c r="V2338" s="124"/>
      <x:c r="W2338" s="124"/>
      <x:c r="X2338" s="124"/>
      <x:c r="AD2338"/>
      <x:c r="AE2338" s="145"/>
      <x:c r="AF2338" s="145"/>
      <x:c r="AG2338" s="145"/>
      <x:c r="AH2338" s="145"/>
      <x:c r="AI2338" s="145"/>
      <x:c r="AJ2338"/>
    </x:row>
    <x:row r="2339">
      <x:c r="F2339" s="124"/>
      <x:c r="G2339" s="124"/>
      <x:c r="H2339" s="124"/>
      <x:c r="I2339" s="124"/>
      <x:c r="J2339" s="124"/>
      <x:c r="M2339" s="126"/>
      <x:c r="P2339" s="126"/>
      <x:c r="Q2339" s="126"/>
      <x:c r="R2339" s="126"/>
      <x:c r="S2339" s="124"/>
      <x:c r="T2339" s="124"/>
      <x:c r="U2339" s="124"/>
      <x:c r="V2339" s="124"/>
      <x:c r="W2339" s="124"/>
      <x:c r="X2339" s="124"/>
      <x:c r="AD2339"/>
      <x:c r="AE2339" s="145"/>
      <x:c r="AF2339" s="145"/>
      <x:c r="AG2339" s="145"/>
      <x:c r="AH2339" s="145"/>
      <x:c r="AI2339" s="145"/>
      <x:c r="AJ2339"/>
    </x:row>
    <x:row r="2340">
      <x:c r="F2340" s="124"/>
      <x:c r="G2340" s="124"/>
      <x:c r="H2340" s="124"/>
      <x:c r="I2340" s="124"/>
      <x:c r="J2340" s="124"/>
      <x:c r="M2340" s="126"/>
      <x:c r="P2340" s="126"/>
      <x:c r="Q2340" s="126"/>
      <x:c r="R2340" s="126"/>
      <x:c r="S2340" s="124"/>
      <x:c r="T2340" s="124"/>
      <x:c r="U2340" s="124"/>
      <x:c r="V2340" s="124"/>
      <x:c r="W2340" s="124"/>
      <x:c r="X2340" s="124"/>
      <x:c r="AD2340"/>
      <x:c r="AE2340" s="145"/>
      <x:c r="AF2340" s="145"/>
      <x:c r="AG2340" s="145"/>
      <x:c r="AH2340" s="145"/>
      <x:c r="AI2340" s="145"/>
      <x:c r="AJ2340"/>
    </x:row>
    <x:row r="2341">
      <x:c r="F2341" s="124"/>
      <x:c r="G2341" s="124"/>
      <x:c r="H2341" s="124"/>
      <x:c r="I2341" s="124"/>
      <x:c r="J2341" s="124"/>
      <x:c r="M2341" s="126"/>
      <x:c r="P2341" s="126"/>
      <x:c r="Q2341" s="126"/>
      <x:c r="R2341" s="126"/>
      <x:c r="S2341" s="124"/>
      <x:c r="T2341" s="124"/>
      <x:c r="U2341" s="124"/>
      <x:c r="V2341" s="124"/>
      <x:c r="W2341" s="124"/>
      <x:c r="X2341" s="124"/>
      <x:c r="AD2341"/>
      <x:c r="AE2341" s="145"/>
      <x:c r="AF2341" s="145"/>
      <x:c r="AG2341" s="145"/>
      <x:c r="AH2341" s="145"/>
      <x:c r="AI2341" s="145"/>
      <x:c r="AJ2341"/>
    </x:row>
    <x:row r="2342">
      <x:c r="F2342" s="124"/>
      <x:c r="G2342" s="124"/>
      <x:c r="H2342" s="124"/>
      <x:c r="I2342" s="124"/>
      <x:c r="J2342" s="124"/>
      <x:c r="M2342" s="126"/>
      <x:c r="P2342" s="126"/>
      <x:c r="Q2342" s="126"/>
      <x:c r="R2342" s="126"/>
      <x:c r="S2342" s="124"/>
      <x:c r="T2342" s="124"/>
      <x:c r="U2342" s="124"/>
      <x:c r="V2342" s="124"/>
      <x:c r="W2342" s="124"/>
      <x:c r="X2342" s="124"/>
      <x:c r="AD2342"/>
      <x:c r="AE2342" s="145"/>
      <x:c r="AF2342" s="145"/>
      <x:c r="AG2342" s="145"/>
      <x:c r="AH2342" s="145"/>
      <x:c r="AI2342" s="145"/>
      <x:c r="AJ2342"/>
    </x:row>
    <x:row r="2343">
      <x:c r="F2343" s="124"/>
      <x:c r="G2343" s="124"/>
      <x:c r="H2343" s="124"/>
      <x:c r="I2343" s="124"/>
      <x:c r="J2343" s="124"/>
      <x:c r="M2343" s="126"/>
      <x:c r="P2343" s="126"/>
      <x:c r="Q2343" s="126"/>
      <x:c r="R2343" s="126"/>
      <x:c r="S2343" s="124"/>
      <x:c r="T2343" s="124"/>
      <x:c r="U2343" s="124"/>
      <x:c r="V2343" s="124"/>
      <x:c r="W2343" s="124"/>
      <x:c r="X2343" s="124"/>
      <x:c r="AD2343"/>
      <x:c r="AE2343" s="145"/>
      <x:c r="AF2343" s="145"/>
      <x:c r="AG2343" s="145"/>
      <x:c r="AH2343" s="145"/>
      <x:c r="AI2343" s="145"/>
      <x:c r="AJ2343"/>
    </x:row>
    <x:row r="2344">
      <x:c r="F2344" s="124"/>
      <x:c r="G2344" s="124"/>
      <x:c r="H2344" s="124"/>
      <x:c r="I2344" s="124"/>
      <x:c r="J2344" s="124"/>
      <x:c r="M2344" s="126"/>
      <x:c r="P2344" s="126"/>
      <x:c r="Q2344" s="126"/>
      <x:c r="R2344" s="126"/>
      <x:c r="S2344" s="124"/>
      <x:c r="T2344" s="124"/>
      <x:c r="U2344" s="124"/>
      <x:c r="V2344" s="124"/>
      <x:c r="W2344" s="124"/>
      <x:c r="X2344" s="124"/>
      <x:c r="AD2344"/>
      <x:c r="AE2344" s="145"/>
      <x:c r="AF2344" s="145"/>
      <x:c r="AG2344" s="145"/>
      <x:c r="AH2344" s="145"/>
      <x:c r="AI2344" s="145"/>
      <x:c r="AJ2344"/>
    </x:row>
    <x:row r="2345">
      <x:c r="F2345" s="124"/>
      <x:c r="G2345" s="124"/>
      <x:c r="H2345" s="124"/>
      <x:c r="I2345" s="124"/>
      <x:c r="J2345" s="124"/>
      <x:c r="M2345" s="126"/>
      <x:c r="P2345" s="126"/>
      <x:c r="Q2345" s="126"/>
      <x:c r="R2345" s="126"/>
      <x:c r="S2345" s="124"/>
      <x:c r="T2345" s="124"/>
      <x:c r="U2345" s="124"/>
      <x:c r="V2345" s="124"/>
      <x:c r="W2345" s="124"/>
      <x:c r="X2345" s="124"/>
      <x:c r="AD2345"/>
      <x:c r="AE2345" s="145"/>
      <x:c r="AF2345" s="145"/>
      <x:c r="AG2345" s="145"/>
      <x:c r="AH2345" s="145"/>
      <x:c r="AI2345" s="145"/>
      <x:c r="AJ2345"/>
    </x:row>
    <x:row r="2346">
      <x:c r="F2346" s="124"/>
      <x:c r="G2346" s="124"/>
      <x:c r="H2346" s="124"/>
      <x:c r="I2346" s="124"/>
      <x:c r="J2346" s="124"/>
      <x:c r="M2346" s="126"/>
      <x:c r="P2346" s="126"/>
      <x:c r="Q2346" s="126"/>
      <x:c r="R2346" s="126"/>
      <x:c r="S2346" s="124"/>
      <x:c r="T2346" s="124"/>
      <x:c r="U2346" s="124"/>
      <x:c r="V2346" s="124"/>
      <x:c r="W2346" s="124"/>
      <x:c r="X2346" s="124"/>
      <x:c r="AD2346"/>
      <x:c r="AE2346" s="145"/>
      <x:c r="AF2346" s="145"/>
      <x:c r="AG2346" s="145"/>
      <x:c r="AH2346" s="145"/>
      <x:c r="AI2346" s="145"/>
      <x:c r="AJ2346"/>
    </x:row>
    <x:row r="2347">
      <x:c r="F2347" s="124"/>
      <x:c r="G2347" s="124"/>
      <x:c r="H2347" s="124"/>
      <x:c r="I2347" s="124"/>
      <x:c r="J2347" s="124"/>
      <x:c r="M2347" s="126"/>
      <x:c r="P2347" s="126"/>
      <x:c r="Q2347" s="126"/>
      <x:c r="R2347" s="126"/>
      <x:c r="S2347" s="124"/>
      <x:c r="T2347" s="124"/>
      <x:c r="U2347" s="124"/>
      <x:c r="V2347" s="124"/>
      <x:c r="W2347" s="124"/>
      <x:c r="X2347" s="124"/>
      <x:c r="AD2347"/>
      <x:c r="AE2347" s="145"/>
      <x:c r="AF2347" s="145"/>
      <x:c r="AG2347" s="145"/>
      <x:c r="AH2347" s="145"/>
      <x:c r="AI2347" s="145"/>
      <x:c r="AJ2347"/>
    </x:row>
    <x:row r="2348">
      <x:c r="F2348" s="124"/>
      <x:c r="G2348" s="124"/>
      <x:c r="H2348" s="124"/>
      <x:c r="I2348" s="124"/>
      <x:c r="J2348" s="124"/>
      <x:c r="M2348" s="126"/>
      <x:c r="P2348" s="126"/>
      <x:c r="Q2348" s="126"/>
      <x:c r="R2348" s="126"/>
      <x:c r="S2348" s="124"/>
      <x:c r="T2348" s="124"/>
      <x:c r="U2348" s="124"/>
      <x:c r="V2348" s="124"/>
      <x:c r="W2348" s="124"/>
      <x:c r="X2348" s="124"/>
      <x:c r="AD2348"/>
      <x:c r="AE2348" s="145"/>
      <x:c r="AF2348" s="145"/>
      <x:c r="AG2348" s="145"/>
      <x:c r="AH2348" s="145"/>
      <x:c r="AI2348" s="145"/>
      <x:c r="AJ2348"/>
    </x:row>
    <x:row r="2349">
      <x:c r="F2349" s="124"/>
      <x:c r="G2349" s="124"/>
      <x:c r="H2349" s="124"/>
      <x:c r="I2349" s="124"/>
      <x:c r="J2349" s="124"/>
      <x:c r="M2349" s="126"/>
      <x:c r="P2349" s="126"/>
      <x:c r="Q2349" s="126"/>
      <x:c r="R2349" s="126"/>
      <x:c r="S2349" s="124"/>
      <x:c r="T2349" s="124"/>
      <x:c r="U2349" s="124"/>
      <x:c r="V2349" s="124"/>
      <x:c r="W2349" s="124"/>
      <x:c r="X2349" s="124"/>
      <x:c r="AD2349"/>
      <x:c r="AE2349" s="145"/>
      <x:c r="AF2349" s="145"/>
      <x:c r="AG2349" s="145"/>
      <x:c r="AH2349" s="145"/>
      <x:c r="AI2349" s="145"/>
      <x:c r="AJ2349"/>
    </x:row>
    <x:row r="2350">
      <x:c r="F2350" s="124"/>
      <x:c r="G2350" s="124"/>
      <x:c r="H2350" s="124"/>
      <x:c r="I2350" s="124"/>
      <x:c r="J2350" s="124"/>
      <x:c r="M2350" s="126"/>
      <x:c r="P2350" s="126"/>
      <x:c r="Q2350" s="126"/>
      <x:c r="R2350" s="126"/>
      <x:c r="S2350" s="124"/>
      <x:c r="T2350" s="124"/>
      <x:c r="U2350" s="124"/>
      <x:c r="V2350" s="124"/>
      <x:c r="W2350" s="124"/>
      <x:c r="X2350" s="124"/>
      <x:c r="AD2350"/>
      <x:c r="AE2350" s="145"/>
      <x:c r="AF2350" s="145"/>
      <x:c r="AG2350" s="145"/>
      <x:c r="AH2350" s="145"/>
      <x:c r="AI2350" s="145"/>
      <x:c r="AJ2350"/>
    </x:row>
    <x:row r="2351">
      <x:c r="F2351" s="124"/>
      <x:c r="G2351" s="124"/>
      <x:c r="H2351" s="124"/>
      <x:c r="I2351" s="124"/>
      <x:c r="J2351" s="124"/>
      <x:c r="M2351" s="126"/>
      <x:c r="P2351" s="126"/>
      <x:c r="Q2351" s="126"/>
      <x:c r="R2351" s="126"/>
      <x:c r="S2351" s="124"/>
      <x:c r="T2351" s="124"/>
      <x:c r="U2351" s="124"/>
      <x:c r="V2351" s="124"/>
      <x:c r="W2351" s="124"/>
      <x:c r="X2351" s="124"/>
      <x:c r="AD2351"/>
      <x:c r="AE2351" s="145"/>
      <x:c r="AF2351" s="145"/>
      <x:c r="AG2351" s="145"/>
      <x:c r="AH2351" s="145"/>
      <x:c r="AI2351" s="145"/>
      <x:c r="AJ2351"/>
    </x:row>
    <x:row r="2352">
      <x:c r="F2352" s="124"/>
      <x:c r="G2352" s="124"/>
      <x:c r="H2352" s="124"/>
      <x:c r="I2352" s="124"/>
      <x:c r="J2352" s="124"/>
      <x:c r="M2352" s="126"/>
      <x:c r="P2352" s="126"/>
      <x:c r="Q2352" s="126"/>
      <x:c r="R2352" s="126"/>
      <x:c r="S2352" s="124"/>
      <x:c r="T2352" s="124"/>
      <x:c r="U2352" s="124"/>
      <x:c r="V2352" s="124"/>
      <x:c r="W2352" s="124"/>
      <x:c r="X2352" s="124"/>
      <x:c r="AD2352"/>
      <x:c r="AE2352" s="145"/>
      <x:c r="AF2352" s="145"/>
      <x:c r="AG2352" s="145"/>
      <x:c r="AH2352" s="145"/>
      <x:c r="AI2352" s="145"/>
      <x:c r="AJ2352"/>
    </x:row>
    <x:row r="2353">
      <x:c r="F2353" s="124"/>
      <x:c r="G2353" s="124"/>
      <x:c r="H2353" s="124"/>
      <x:c r="I2353" s="124"/>
      <x:c r="J2353" s="124"/>
      <x:c r="M2353" s="126"/>
      <x:c r="P2353" s="126"/>
      <x:c r="Q2353" s="126"/>
      <x:c r="R2353" s="126"/>
      <x:c r="S2353" s="124"/>
      <x:c r="T2353" s="124"/>
      <x:c r="U2353" s="124"/>
      <x:c r="V2353" s="124"/>
      <x:c r="W2353" s="124"/>
      <x:c r="X2353" s="124"/>
      <x:c r="AD2353"/>
      <x:c r="AE2353" s="145"/>
      <x:c r="AF2353" s="145"/>
      <x:c r="AG2353" s="145"/>
      <x:c r="AH2353" s="145"/>
      <x:c r="AI2353" s="145"/>
      <x:c r="AJ2353"/>
    </x:row>
    <x:row r="2354">
      <x:c r="F2354" s="124"/>
      <x:c r="G2354" s="124"/>
      <x:c r="H2354" s="124"/>
      <x:c r="I2354" s="124"/>
      <x:c r="J2354" s="124"/>
      <x:c r="M2354" s="126"/>
      <x:c r="P2354" s="126"/>
      <x:c r="Q2354" s="126"/>
      <x:c r="R2354" s="126"/>
      <x:c r="S2354" s="124"/>
      <x:c r="T2354" s="124"/>
      <x:c r="U2354" s="124"/>
      <x:c r="V2354" s="124"/>
      <x:c r="W2354" s="124"/>
      <x:c r="X2354" s="124"/>
      <x:c r="AD2354"/>
      <x:c r="AE2354" s="145"/>
      <x:c r="AF2354" s="145"/>
      <x:c r="AG2354" s="145"/>
      <x:c r="AH2354" s="145"/>
      <x:c r="AI2354" s="145"/>
      <x:c r="AJ2354"/>
    </x:row>
    <x:row r="2355">
      <x:c r="F2355" s="124"/>
      <x:c r="G2355" s="124"/>
      <x:c r="H2355" s="124"/>
      <x:c r="I2355" s="124"/>
      <x:c r="J2355" s="124"/>
      <x:c r="M2355" s="126"/>
      <x:c r="P2355" s="126"/>
      <x:c r="Q2355" s="126"/>
      <x:c r="R2355" s="126"/>
      <x:c r="S2355" s="124"/>
      <x:c r="T2355" s="124"/>
      <x:c r="U2355" s="124"/>
      <x:c r="V2355" s="124"/>
      <x:c r="W2355" s="124"/>
      <x:c r="X2355" s="124"/>
      <x:c r="AD2355"/>
      <x:c r="AE2355" s="145"/>
      <x:c r="AF2355" s="145"/>
      <x:c r="AG2355" s="145"/>
      <x:c r="AH2355" s="145"/>
      <x:c r="AI2355" s="145"/>
      <x:c r="AJ2355"/>
    </x:row>
    <x:row r="2356">
      <x:c r="F2356" s="124"/>
      <x:c r="G2356" s="124"/>
      <x:c r="H2356" s="124"/>
      <x:c r="I2356" s="124"/>
      <x:c r="J2356" s="124"/>
      <x:c r="M2356" s="126"/>
      <x:c r="P2356" s="126"/>
      <x:c r="Q2356" s="126"/>
      <x:c r="R2356" s="126"/>
      <x:c r="S2356" s="124"/>
      <x:c r="T2356" s="124"/>
      <x:c r="U2356" s="124"/>
      <x:c r="V2356" s="124"/>
      <x:c r="W2356" s="124"/>
      <x:c r="X2356" s="124"/>
      <x:c r="AD2356"/>
      <x:c r="AE2356" s="145"/>
      <x:c r="AF2356" s="145"/>
      <x:c r="AG2356" s="145"/>
      <x:c r="AH2356" s="145"/>
      <x:c r="AI2356" s="145"/>
      <x:c r="AJ2356"/>
    </x:row>
    <x:row r="2357">
      <x:c r="F2357" s="124"/>
      <x:c r="G2357" s="124"/>
      <x:c r="H2357" s="124"/>
      <x:c r="I2357" s="124"/>
      <x:c r="J2357" s="124"/>
      <x:c r="M2357" s="126"/>
      <x:c r="P2357" s="126"/>
      <x:c r="Q2357" s="126"/>
      <x:c r="R2357" s="126"/>
      <x:c r="S2357" s="124"/>
      <x:c r="T2357" s="124"/>
      <x:c r="U2357" s="124"/>
      <x:c r="V2357" s="124"/>
      <x:c r="W2357" s="124"/>
      <x:c r="X2357" s="124"/>
      <x:c r="AD2357"/>
      <x:c r="AE2357" s="145"/>
      <x:c r="AF2357" s="145"/>
      <x:c r="AG2357" s="145"/>
      <x:c r="AH2357" s="145"/>
      <x:c r="AI2357" s="145"/>
      <x:c r="AJ2357"/>
    </x:row>
    <x:row r="2358">
      <x:c r="F2358" s="124"/>
      <x:c r="G2358" s="124"/>
      <x:c r="H2358" s="124"/>
      <x:c r="I2358" s="124"/>
      <x:c r="J2358" s="124"/>
      <x:c r="M2358" s="126"/>
      <x:c r="P2358" s="126"/>
      <x:c r="Q2358" s="126"/>
      <x:c r="R2358" s="126"/>
      <x:c r="S2358" s="124"/>
      <x:c r="T2358" s="124"/>
      <x:c r="U2358" s="124"/>
      <x:c r="V2358" s="124"/>
      <x:c r="W2358" s="124"/>
      <x:c r="X2358" s="124"/>
      <x:c r="AD2358"/>
      <x:c r="AE2358" s="145"/>
      <x:c r="AF2358" s="145"/>
      <x:c r="AG2358" s="145"/>
      <x:c r="AH2358" s="145"/>
      <x:c r="AI2358" s="145"/>
      <x:c r="AJ2358"/>
    </x:row>
    <x:row r="2359">
      <x:c r="F2359" s="124"/>
      <x:c r="G2359" s="124"/>
      <x:c r="H2359" s="124"/>
      <x:c r="I2359" s="124"/>
      <x:c r="J2359" s="124"/>
      <x:c r="M2359" s="126"/>
      <x:c r="P2359" s="126"/>
      <x:c r="Q2359" s="126"/>
      <x:c r="R2359" s="126"/>
      <x:c r="S2359" s="124"/>
      <x:c r="T2359" s="124"/>
      <x:c r="U2359" s="124"/>
      <x:c r="V2359" s="124"/>
      <x:c r="W2359" s="124"/>
      <x:c r="X2359" s="124"/>
      <x:c r="AD2359"/>
      <x:c r="AE2359" s="145"/>
      <x:c r="AF2359" s="145"/>
      <x:c r="AG2359" s="145"/>
      <x:c r="AH2359" s="145"/>
      <x:c r="AI2359" s="145"/>
      <x:c r="AJ2359"/>
    </x:row>
    <x:row r="2360">
      <x:c r="F2360" s="124"/>
      <x:c r="G2360" s="124"/>
      <x:c r="H2360" s="124"/>
      <x:c r="I2360" s="124"/>
      <x:c r="J2360" s="124"/>
      <x:c r="M2360" s="126"/>
      <x:c r="P2360" s="126"/>
      <x:c r="Q2360" s="126"/>
      <x:c r="R2360" s="126"/>
      <x:c r="S2360" s="124"/>
      <x:c r="T2360" s="124"/>
      <x:c r="U2360" s="124"/>
      <x:c r="V2360" s="124"/>
      <x:c r="W2360" s="124"/>
      <x:c r="X2360" s="124"/>
      <x:c r="AD2360"/>
      <x:c r="AE2360" s="145"/>
      <x:c r="AF2360" s="145"/>
      <x:c r="AG2360" s="145"/>
      <x:c r="AH2360" s="145"/>
      <x:c r="AI2360" s="145"/>
      <x:c r="AJ2360"/>
    </x:row>
    <x:row r="2361">
      <x:c r="F2361" s="124"/>
      <x:c r="G2361" s="124"/>
      <x:c r="H2361" s="124"/>
      <x:c r="I2361" s="124"/>
      <x:c r="J2361" s="124"/>
      <x:c r="M2361" s="126"/>
      <x:c r="P2361" s="126"/>
      <x:c r="Q2361" s="126"/>
      <x:c r="R2361" s="126"/>
      <x:c r="S2361" s="124"/>
      <x:c r="T2361" s="124"/>
      <x:c r="U2361" s="124"/>
      <x:c r="V2361" s="124"/>
      <x:c r="W2361" s="124"/>
      <x:c r="X2361" s="124"/>
      <x:c r="AD2361"/>
      <x:c r="AE2361" s="145"/>
      <x:c r="AF2361" s="145"/>
      <x:c r="AG2361" s="145"/>
      <x:c r="AH2361" s="145"/>
      <x:c r="AI2361" s="145"/>
      <x:c r="AJ2361"/>
    </x:row>
    <x:row r="2362">
      <x:c r="F2362" s="124"/>
      <x:c r="G2362" s="124"/>
      <x:c r="H2362" s="124"/>
      <x:c r="I2362" s="124"/>
      <x:c r="J2362" s="124"/>
      <x:c r="M2362" s="126"/>
      <x:c r="P2362" s="126"/>
      <x:c r="Q2362" s="126"/>
      <x:c r="R2362" s="126"/>
      <x:c r="S2362" s="124"/>
      <x:c r="T2362" s="124"/>
      <x:c r="U2362" s="124"/>
      <x:c r="V2362" s="124"/>
      <x:c r="W2362" s="124"/>
      <x:c r="X2362" s="124"/>
      <x:c r="AD2362"/>
      <x:c r="AE2362" s="145"/>
      <x:c r="AF2362" s="145"/>
      <x:c r="AG2362" s="145"/>
      <x:c r="AH2362" s="145"/>
      <x:c r="AI2362" s="145"/>
      <x:c r="AJ2362"/>
    </x:row>
    <x:row r="2363">
      <x:c r="F2363" s="124"/>
      <x:c r="G2363" s="124"/>
      <x:c r="H2363" s="124"/>
      <x:c r="I2363" s="124"/>
      <x:c r="J2363" s="124"/>
      <x:c r="M2363" s="126"/>
      <x:c r="P2363" s="126"/>
      <x:c r="Q2363" s="126"/>
      <x:c r="R2363" s="126"/>
      <x:c r="S2363" s="124"/>
      <x:c r="T2363" s="124"/>
      <x:c r="U2363" s="124"/>
      <x:c r="V2363" s="124"/>
      <x:c r="W2363" s="124"/>
      <x:c r="X2363" s="124"/>
      <x:c r="AD2363"/>
      <x:c r="AE2363" s="145"/>
      <x:c r="AF2363" s="145"/>
      <x:c r="AG2363" s="145"/>
      <x:c r="AH2363" s="145"/>
      <x:c r="AI2363" s="145"/>
      <x:c r="AJ2363"/>
    </x:row>
    <x:row r="2364">
      <x:c r="F2364" s="124"/>
      <x:c r="G2364" s="124"/>
      <x:c r="H2364" s="124"/>
      <x:c r="I2364" s="124"/>
      <x:c r="J2364" s="124"/>
      <x:c r="M2364" s="126"/>
      <x:c r="P2364" s="126"/>
      <x:c r="Q2364" s="126"/>
      <x:c r="R2364" s="126"/>
      <x:c r="S2364" s="124"/>
      <x:c r="T2364" s="124"/>
      <x:c r="U2364" s="124"/>
      <x:c r="V2364" s="124"/>
      <x:c r="W2364" s="124"/>
      <x:c r="X2364" s="124"/>
      <x:c r="AD2364"/>
      <x:c r="AE2364" s="145"/>
      <x:c r="AF2364" s="145"/>
      <x:c r="AG2364" s="145"/>
      <x:c r="AH2364" s="145"/>
      <x:c r="AI2364" s="145"/>
      <x:c r="AJ2364"/>
    </x:row>
    <x:row r="2365">
      <x:c r="F2365" s="124"/>
      <x:c r="G2365" s="124"/>
      <x:c r="H2365" s="124"/>
      <x:c r="I2365" s="124"/>
      <x:c r="J2365" s="124"/>
      <x:c r="M2365" s="126"/>
      <x:c r="P2365" s="126"/>
      <x:c r="Q2365" s="126"/>
      <x:c r="R2365" s="126"/>
      <x:c r="S2365" s="124"/>
      <x:c r="T2365" s="124"/>
      <x:c r="U2365" s="124"/>
      <x:c r="V2365" s="124"/>
      <x:c r="W2365" s="124"/>
      <x:c r="X2365" s="124"/>
      <x:c r="AD2365"/>
      <x:c r="AE2365" s="145"/>
      <x:c r="AF2365" s="145"/>
      <x:c r="AG2365" s="145"/>
      <x:c r="AH2365" s="145"/>
      <x:c r="AI2365" s="145"/>
      <x:c r="AJ2365"/>
    </x:row>
    <x:row r="2366">
      <x:c r="F2366" s="124"/>
      <x:c r="G2366" s="124"/>
      <x:c r="H2366" s="124"/>
      <x:c r="I2366" s="124"/>
      <x:c r="J2366" s="124"/>
      <x:c r="M2366" s="126"/>
      <x:c r="P2366" s="126"/>
      <x:c r="Q2366" s="126"/>
      <x:c r="R2366" s="126"/>
      <x:c r="S2366" s="124"/>
      <x:c r="T2366" s="124"/>
      <x:c r="U2366" s="124"/>
      <x:c r="V2366" s="124"/>
      <x:c r="W2366" s="124"/>
      <x:c r="X2366" s="124"/>
      <x:c r="AD2366"/>
      <x:c r="AE2366" s="145"/>
      <x:c r="AF2366" s="145"/>
      <x:c r="AG2366" s="145"/>
      <x:c r="AH2366" s="145"/>
      <x:c r="AI2366" s="145"/>
      <x:c r="AJ2366"/>
    </x:row>
    <x:row r="2367">
      <x:c r="F2367" s="124"/>
      <x:c r="G2367" s="124"/>
      <x:c r="H2367" s="124"/>
      <x:c r="I2367" s="124"/>
      <x:c r="J2367" s="124"/>
      <x:c r="M2367" s="126"/>
      <x:c r="P2367" s="126"/>
      <x:c r="Q2367" s="126"/>
      <x:c r="R2367" s="126"/>
      <x:c r="S2367" s="124"/>
      <x:c r="T2367" s="124"/>
      <x:c r="U2367" s="124"/>
      <x:c r="V2367" s="124"/>
      <x:c r="W2367" s="124"/>
      <x:c r="X2367" s="124"/>
      <x:c r="AD2367"/>
      <x:c r="AE2367" s="145"/>
      <x:c r="AF2367" s="145"/>
      <x:c r="AG2367" s="145"/>
      <x:c r="AH2367" s="145"/>
      <x:c r="AI2367" s="145"/>
      <x:c r="AJ2367"/>
    </x:row>
    <x:row r="2368">
      <x:c r="F2368" s="124"/>
      <x:c r="G2368" s="124"/>
      <x:c r="H2368" s="124"/>
      <x:c r="I2368" s="124"/>
      <x:c r="J2368" s="124"/>
      <x:c r="M2368" s="126"/>
      <x:c r="P2368" s="126"/>
      <x:c r="Q2368" s="126"/>
      <x:c r="R2368" s="126"/>
      <x:c r="S2368" s="124"/>
      <x:c r="T2368" s="124"/>
      <x:c r="U2368" s="124"/>
      <x:c r="V2368" s="124"/>
      <x:c r="W2368" s="124"/>
      <x:c r="X2368" s="124"/>
      <x:c r="AD2368"/>
      <x:c r="AE2368" s="145"/>
      <x:c r="AF2368" s="145"/>
      <x:c r="AG2368" s="145"/>
      <x:c r="AH2368" s="145"/>
      <x:c r="AI2368" s="145"/>
      <x:c r="AJ2368"/>
    </x:row>
    <x:row r="2369">
      <x:c r="F2369" s="124"/>
      <x:c r="G2369" s="124"/>
      <x:c r="H2369" s="124"/>
      <x:c r="I2369" s="124"/>
      <x:c r="J2369" s="124"/>
      <x:c r="M2369" s="126"/>
      <x:c r="P2369" s="126"/>
      <x:c r="Q2369" s="126"/>
      <x:c r="R2369" s="126"/>
      <x:c r="S2369" s="124"/>
      <x:c r="T2369" s="124"/>
      <x:c r="U2369" s="124"/>
      <x:c r="V2369" s="124"/>
      <x:c r="W2369" s="124"/>
      <x:c r="X2369" s="124"/>
      <x:c r="AD2369"/>
      <x:c r="AE2369" s="145"/>
      <x:c r="AF2369" s="145"/>
      <x:c r="AG2369" s="145"/>
      <x:c r="AH2369" s="145"/>
      <x:c r="AI2369" s="145"/>
      <x:c r="AJ2369"/>
    </x:row>
    <x:row r="2370">
      <x:c r="F2370" s="124"/>
      <x:c r="G2370" s="124"/>
      <x:c r="H2370" s="124"/>
      <x:c r="I2370" s="124"/>
      <x:c r="J2370" s="124"/>
      <x:c r="M2370" s="126"/>
      <x:c r="P2370" s="126"/>
      <x:c r="Q2370" s="126"/>
      <x:c r="R2370" s="126"/>
      <x:c r="S2370" s="124"/>
      <x:c r="T2370" s="124"/>
      <x:c r="U2370" s="124"/>
      <x:c r="V2370" s="124"/>
      <x:c r="W2370" s="124"/>
      <x:c r="X2370" s="124"/>
      <x:c r="AD2370"/>
      <x:c r="AE2370" s="145"/>
      <x:c r="AF2370" s="145"/>
      <x:c r="AG2370" s="145"/>
      <x:c r="AH2370" s="145"/>
      <x:c r="AI2370" s="145"/>
      <x:c r="AJ2370"/>
    </x:row>
    <x:row r="2371">
      <x:c r="F2371" s="124"/>
      <x:c r="G2371" s="124"/>
      <x:c r="H2371" s="124"/>
      <x:c r="I2371" s="124"/>
      <x:c r="J2371" s="124"/>
      <x:c r="M2371" s="126"/>
      <x:c r="P2371" s="126"/>
      <x:c r="Q2371" s="126"/>
      <x:c r="R2371" s="126"/>
      <x:c r="S2371" s="124"/>
      <x:c r="T2371" s="124"/>
      <x:c r="U2371" s="124"/>
      <x:c r="V2371" s="124"/>
      <x:c r="W2371" s="124"/>
      <x:c r="X2371" s="124"/>
      <x:c r="AD2371"/>
      <x:c r="AE2371" s="145"/>
      <x:c r="AF2371" s="145"/>
      <x:c r="AG2371" s="145"/>
      <x:c r="AH2371" s="145"/>
      <x:c r="AI2371" s="145"/>
      <x:c r="AJ2371"/>
    </x:row>
    <x:row r="2372">
      <x:c r="F2372" s="124"/>
      <x:c r="G2372" s="124"/>
      <x:c r="H2372" s="124"/>
      <x:c r="I2372" s="124"/>
      <x:c r="J2372" s="124"/>
      <x:c r="M2372" s="126"/>
      <x:c r="P2372" s="126"/>
      <x:c r="Q2372" s="126"/>
      <x:c r="R2372" s="126"/>
      <x:c r="S2372" s="124"/>
      <x:c r="T2372" s="124"/>
      <x:c r="U2372" s="124"/>
      <x:c r="V2372" s="124"/>
      <x:c r="W2372" s="124"/>
      <x:c r="X2372" s="124"/>
      <x:c r="AD2372"/>
      <x:c r="AE2372" s="145"/>
      <x:c r="AF2372" s="145"/>
      <x:c r="AG2372" s="145"/>
      <x:c r="AH2372" s="145"/>
      <x:c r="AI2372" s="145"/>
      <x:c r="AJ2372"/>
    </x:row>
    <x:row r="2373">
      <x:c r="F2373" s="124"/>
      <x:c r="G2373" s="124"/>
      <x:c r="H2373" s="124"/>
      <x:c r="I2373" s="124"/>
      <x:c r="J2373" s="124"/>
      <x:c r="M2373" s="126"/>
      <x:c r="P2373" s="126"/>
      <x:c r="Q2373" s="126"/>
      <x:c r="R2373" s="126"/>
      <x:c r="S2373" s="124"/>
      <x:c r="T2373" s="124"/>
      <x:c r="U2373" s="124"/>
      <x:c r="V2373" s="124"/>
      <x:c r="W2373" s="124"/>
      <x:c r="X2373" s="124"/>
      <x:c r="AD2373"/>
      <x:c r="AE2373" s="145"/>
      <x:c r="AF2373" s="145"/>
      <x:c r="AG2373" s="145"/>
      <x:c r="AH2373" s="145"/>
      <x:c r="AI2373" s="145"/>
      <x:c r="AJ2373"/>
    </x:row>
    <x:row r="2374">
      <x:c r="F2374" s="124"/>
      <x:c r="G2374" s="124"/>
      <x:c r="H2374" s="124"/>
      <x:c r="I2374" s="124"/>
      <x:c r="J2374" s="124"/>
      <x:c r="M2374" s="126"/>
      <x:c r="P2374" s="126"/>
      <x:c r="Q2374" s="126"/>
      <x:c r="R2374" s="126"/>
      <x:c r="S2374" s="124"/>
      <x:c r="T2374" s="124"/>
      <x:c r="U2374" s="124"/>
      <x:c r="V2374" s="124"/>
      <x:c r="W2374" s="124"/>
      <x:c r="X2374" s="124"/>
      <x:c r="AD2374"/>
      <x:c r="AE2374" s="145"/>
      <x:c r="AF2374" s="145"/>
      <x:c r="AG2374" s="145"/>
      <x:c r="AH2374" s="145"/>
      <x:c r="AI2374" s="145"/>
      <x:c r="AJ2374"/>
    </x:row>
    <x:row r="2375">
      <x:c r="F2375" s="124"/>
      <x:c r="G2375" s="124"/>
      <x:c r="H2375" s="124"/>
      <x:c r="I2375" s="124"/>
      <x:c r="J2375" s="124"/>
      <x:c r="M2375" s="126"/>
      <x:c r="P2375" s="126"/>
      <x:c r="Q2375" s="126"/>
      <x:c r="R2375" s="126"/>
      <x:c r="S2375" s="124"/>
      <x:c r="T2375" s="124"/>
      <x:c r="U2375" s="124"/>
      <x:c r="V2375" s="124"/>
      <x:c r="W2375" s="124"/>
      <x:c r="X2375" s="124"/>
      <x:c r="AD2375"/>
      <x:c r="AE2375" s="145"/>
      <x:c r="AF2375" s="145"/>
      <x:c r="AG2375" s="145"/>
      <x:c r="AH2375" s="145"/>
      <x:c r="AI2375" s="145"/>
      <x:c r="AJ2375"/>
    </x:row>
    <x:row r="2376">
      <x:c r="F2376" s="124"/>
      <x:c r="G2376" s="124"/>
      <x:c r="H2376" s="124"/>
      <x:c r="I2376" s="124"/>
      <x:c r="J2376" s="124"/>
      <x:c r="M2376" s="126"/>
      <x:c r="P2376" s="126"/>
      <x:c r="Q2376" s="126"/>
      <x:c r="R2376" s="126"/>
      <x:c r="S2376" s="124"/>
      <x:c r="T2376" s="124"/>
      <x:c r="U2376" s="124"/>
      <x:c r="V2376" s="124"/>
      <x:c r="W2376" s="124"/>
      <x:c r="X2376" s="124"/>
      <x:c r="AD2376"/>
      <x:c r="AE2376" s="145"/>
      <x:c r="AF2376" s="145"/>
      <x:c r="AG2376" s="145"/>
      <x:c r="AH2376" s="145"/>
      <x:c r="AI2376" s="145"/>
      <x:c r="AJ2376"/>
    </x:row>
    <x:row r="2377">
      <x:c r="F2377" s="124"/>
      <x:c r="G2377" s="124"/>
      <x:c r="H2377" s="124"/>
      <x:c r="I2377" s="124"/>
      <x:c r="J2377" s="124"/>
      <x:c r="M2377" s="126"/>
      <x:c r="P2377" s="126"/>
      <x:c r="Q2377" s="126"/>
      <x:c r="R2377" s="126"/>
      <x:c r="S2377" s="124"/>
      <x:c r="T2377" s="124"/>
      <x:c r="U2377" s="124"/>
      <x:c r="V2377" s="124"/>
      <x:c r="W2377" s="124"/>
      <x:c r="X2377" s="124"/>
      <x:c r="AD2377"/>
      <x:c r="AE2377" s="145"/>
      <x:c r="AF2377" s="145"/>
      <x:c r="AG2377" s="145"/>
      <x:c r="AH2377" s="145"/>
      <x:c r="AI2377" s="145"/>
      <x:c r="AJ2377"/>
    </x:row>
    <x:row r="2378">
      <x:c r="F2378" s="124"/>
      <x:c r="G2378" s="124"/>
      <x:c r="H2378" s="124"/>
      <x:c r="I2378" s="124"/>
      <x:c r="J2378" s="124"/>
      <x:c r="M2378" s="126"/>
      <x:c r="P2378" s="126"/>
      <x:c r="Q2378" s="126"/>
      <x:c r="R2378" s="126"/>
      <x:c r="S2378" s="124"/>
      <x:c r="T2378" s="124"/>
      <x:c r="U2378" s="124"/>
      <x:c r="V2378" s="124"/>
      <x:c r="W2378" s="124"/>
      <x:c r="X2378" s="124"/>
      <x:c r="AD2378"/>
      <x:c r="AE2378" s="145"/>
      <x:c r="AF2378" s="145"/>
      <x:c r="AG2378" s="145"/>
      <x:c r="AH2378" s="145"/>
      <x:c r="AI2378" s="145"/>
      <x:c r="AJ2378"/>
    </x:row>
    <x:row r="2379">
      <x:c r="F2379" s="124"/>
      <x:c r="G2379" s="124"/>
      <x:c r="H2379" s="124"/>
      <x:c r="I2379" s="124"/>
      <x:c r="J2379" s="124"/>
      <x:c r="M2379" s="126"/>
      <x:c r="P2379" s="126"/>
      <x:c r="Q2379" s="126"/>
      <x:c r="R2379" s="126"/>
      <x:c r="S2379" s="124"/>
      <x:c r="T2379" s="124"/>
      <x:c r="U2379" s="124"/>
      <x:c r="V2379" s="124"/>
      <x:c r="W2379" s="124"/>
      <x:c r="X2379" s="124"/>
      <x:c r="AD2379"/>
      <x:c r="AE2379" s="145"/>
      <x:c r="AF2379" s="145"/>
      <x:c r="AG2379" s="145"/>
      <x:c r="AH2379" s="145"/>
      <x:c r="AI2379" s="145"/>
      <x:c r="AJ2379"/>
    </x:row>
    <x:row r="2380">
      <x:c r="F2380" s="124"/>
      <x:c r="G2380" s="124"/>
      <x:c r="H2380" s="124"/>
      <x:c r="I2380" s="124"/>
      <x:c r="J2380" s="124"/>
      <x:c r="M2380" s="126"/>
      <x:c r="P2380" s="126"/>
      <x:c r="Q2380" s="126"/>
      <x:c r="R2380" s="126"/>
      <x:c r="S2380" s="124"/>
      <x:c r="T2380" s="124"/>
      <x:c r="U2380" s="124"/>
      <x:c r="V2380" s="124"/>
      <x:c r="W2380" s="124"/>
      <x:c r="X2380" s="124"/>
      <x:c r="AD2380"/>
      <x:c r="AE2380" s="145"/>
      <x:c r="AF2380" s="145"/>
      <x:c r="AG2380" s="145"/>
      <x:c r="AH2380" s="145"/>
      <x:c r="AI2380" s="145"/>
      <x:c r="AJ2380"/>
    </x:row>
    <x:row r="2381">
      <x:c r="F2381" s="124"/>
      <x:c r="G2381" s="124"/>
      <x:c r="H2381" s="124"/>
      <x:c r="I2381" s="124"/>
      <x:c r="J2381" s="124"/>
      <x:c r="M2381" s="126"/>
      <x:c r="P2381" s="126"/>
      <x:c r="Q2381" s="126"/>
      <x:c r="R2381" s="126"/>
      <x:c r="S2381" s="124"/>
      <x:c r="T2381" s="124"/>
      <x:c r="U2381" s="124"/>
      <x:c r="V2381" s="124"/>
      <x:c r="W2381" s="124"/>
      <x:c r="X2381" s="124"/>
      <x:c r="AD2381"/>
      <x:c r="AE2381" s="145"/>
      <x:c r="AF2381" s="145"/>
      <x:c r="AG2381" s="145"/>
      <x:c r="AH2381" s="145"/>
      <x:c r="AI2381" s="145"/>
      <x:c r="AJ2381"/>
    </x:row>
    <x:row r="2382">
      <x:c r="F2382" s="124"/>
      <x:c r="G2382" s="124"/>
      <x:c r="H2382" s="124"/>
      <x:c r="I2382" s="124"/>
      <x:c r="J2382" s="124"/>
      <x:c r="M2382" s="126"/>
      <x:c r="P2382" s="126"/>
      <x:c r="Q2382" s="126"/>
      <x:c r="R2382" s="126"/>
      <x:c r="S2382" s="124"/>
      <x:c r="T2382" s="124"/>
      <x:c r="U2382" s="124"/>
      <x:c r="V2382" s="124"/>
      <x:c r="W2382" s="124"/>
      <x:c r="X2382" s="124"/>
      <x:c r="AD2382"/>
      <x:c r="AE2382" s="145"/>
      <x:c r="AF2382" s="145"/>
      <x:c r="AG2382" s="145"/>
      <x:c r="AH2382" s="145"/>
      <x:c r="AI2382" s="145"/>
      <x:c r="AJ2382"/>
    </x:row>
    <x:row r="2383">
      <x:c r="F2383" s="124"/>
      <x:c r="G2383" s="124"/>
      <x:c r="H2383" s="124"/>
      <x:c r="I2383" s="124"/>
      <x:c r="J2383" s="124"/>
      <x:c r="M2383" s="126"/>
      <x:c r="P2383" s="126"/>
      <x:c r="Q2383" s="126"/>
      <x:c r="R2383" s="126"/>
      <x:c r="S2383" s="124"/>
      <x:c r="T2383" s="124"/>
      <x:c r="U2383" s="124"/>
      <x:c r="V2383" s="124"/>
      <x:c r="W2383" s="124"/>
      <x:c r="X2383" s="124"/>
      <x:c r="AD2383"/>
      <x:c r="AE2383" s="145"/>
      <x:c r="AF2383" s="145"/>
      <x:c r="AG2383" s="145"/>
      <x:c r="AH2383" s="145"/>
      <x:c r="AI2383" s="145"/>
      <x:c r="AJ2383"/>
    </x:row>
    <x:row r="2384">
      <x:c r="F2384" s="124"/>
      <x:c r="G2384" s="124"/>
      <x:c r="H2384" s="124"/>
      <x:c r="I2384" s="124"/>
      <x:c r="J2384" s="124"/>
      <x:c r="M2384" s="126"/>
      <x:c r="P2384" s="126"/>
      <x:c r="Q2384" s="126"/>
      <x:c r="R2384" s="126"/>
      <x:c r="S2384" s="124"/>
      <x:c r="T2384" s="124"/>
      <x:c r="U2384" s="124"/>
      <x:c r="V2384" s="124"/>
      <x:c r="W2384" s="124"/>
      <x:c r="X2384" s="124"/>
      <x:c r="AD2384"/>
      <x:c r="AE2384" s="145"/>
      <x:c r="AF2384" s="145"/>
      <x:c r="AG2384" s="145"/>
      <x:c r="AH2384" s="145"/>
      <x:c r="AI2384" s="145"/>
      <x:c r="AJ2384"/>
    </x:row>
    <x:row r="2385">
      <x:c r="F2385" s="124"/>
      <x:c r="G2385" s="124"/>
      <x:c r="H2385" s="124"/>
      <x:c r="I2385" s="124"/>
      <x:c r="J2385" s="124"/>
      <x:c r="M2385" s="126"/>
      <x:c r="P2385" s="126"/>
      <x:c r="Q2385" s="126"/>
      <x:c r="R2385" s="126"/>
      <x:c r="S2385" s="124"/>
      <x:c r="T2385" s="124"/>
      <x:c r="U2385" s="124"/>
      <x:c r="V2385" s="124"/>
      <x:c r="W2385" s="124"/>
      <x:c r="X2385" s="124"/>
      <x:c r="AD2385"/>
      <x:c r="AE2385" s="145"/>
      <x:c r="AF2385" s="145"/>
      <x:c r="AG2385" s="145"/>
      <x:c r="AH2385" s="145"/>
      <x:c r="AI2385" s="145"/>
      <x:c r="AJ2385"/>
    </x:row>
    <x:row r="2386">
      <x:c r="F2386" s="124"/>
      <x:c r="G2386" s="124"/>
      <x:c r="H2386" s="124"/>
      <x:c r="I2386" s="124"/>
      <x:c r="J2386" s="124"/>
      <x:c r="M2386" s="126"/>
      <x:c r="P2386" s="126"/>
      <x:c r="Q2386" s="126"/>
      <x:c r="R2386" s="126"/>
      <x:c r="S2386" s="124"/>
      <x:c r="T2386" s="124"/>
      <x:c r="U2386" s="124"/>
      <x:c r="V2386" s="124"/>
      <x:c r="W2386" s="124"/>
      <x:c r="X2386" s="124"/>
      <x:c r="AD2386"/>
      <x:c r="AE2386" s="145"/>
      <x:c r="AF2386" s="145"/>
      <x:c r="AG2386" s="145"/>
      <x:c r="AH2386" s="145"/>
      <x:c r="AI2386" s="145"/>
      <x:c r="AJ2386"/>
    </x:row>
    <x:row r="2387">
      <x:c r="F2387" s="124"/>
      <x:c r="G2387" s="124"/>
      <x:c r="H2387" s="124"/>
      <x:c r="I2387" s="124"/>
      <x:c r="J2387" s="124"/>
      <x:c r="M2387" s="126"/>
      <x:c r="P2387" s="126"/>
      <x:c r="Q2387" s="126"/>
      <x:c r="R2387" s="126"/>
      <x:c r="S2387" s="124"/>
      <x:c r="T2387" s="124"/>
      <x:c r="U2387" s="124"/>
      <x:c r="V2387" s="124"/>
      <x:c r="W2387" s="124"/>
      <x:c r="X2387" s="124"/>
      <x:c r="AD2387"/>
      <x:c r="AE2387" s="145"/>
      <x:c r="AF2387" s="145"/>
      <x:c r="AG2387" s="145"/>
      <x:c r="AH2387" s="145"/>
      <x:c r="AI2387" s="145"/>
      <x:c r="AJ2387"/>
    </x:row>
    <x:row r="2388">
      <x:c r="F2388" s="124"/>
      <x:c r="G2388" s="124"/>
      <x:c r="H2388" s="124"/>
      <x:c r="I2388" s="124"/>
      <x:c r="J2388" s="124"/>
      <x:c r="M2388" s="126"/>
      <x:c r="P2388" s="126"/>
      <x:c r="Q2388" s="126"/>
      <x:c r="R2388" s="126"/>
      <x:c r="S2388" s="124"/>
      <x:c r="T2388" s="124"/>
      <x:c r="U2388" s="124"/>
      <x:c r="V2388" s="124"/>
      <x:c r="W2388" s="124"/>
      <x:c r="X2388" s="124"/>
      <x:c r="AD2388"/>
      <x:c r="AE2388" s="145"/>
      <x:c r="AF2388" s="145"/>
      <x:c r="AG2388" s="145"/>
      <x:c r="AH2388" s="145"/>
      <x:c r="AI2388" s="145"/>
      <x:c r="AJ2388"/>
    </x:row>
    <x:row r="2389">
      <x:c r="F2389" s="124"/>
      <x:c r="G2389" s="124"/>
      <x:c r="H2389" s="124"/>
      <x:c r="I2389" s="124"/>
      <x:c r="J2389" s="124"/>
      <x:c r="M2389" s="126"/>
      <x:c r="P2389" s="126"/>
      <x:c r="Q2389" s="126"/>
      <x:c r="R2389" s="126"/>
      <x:c r="S2389" s="124"/>
      <x:c r="T2389" s="124"/>
      <x:c r="U2389" s="124"/>
      <x:c r="V2389" s="124"/>
      <x:c r="W2389" s="124"/>
      <x:c r="X2389" s="124"/>
      <x:c r="AD2389"/>
      <x:c r="AE2389" s="145"/>
      <x:c r="AF2389" s="145"/>
      <x:c r="AG2389" s="145"/>
      <x:c r="AH2389" s="145"/>
      <x:c r="AI2389" s="145"/>
      <x:c r="AJ2389"/>
    </x:row>
    <x:row r="2390">
      <x:c r="F2390" s="124"/>
      <x:c r="G2390" s="124"/>
      <x:c r="H2390" s="124"/>
      <x:c r="I2390" s="124"/>
      <x:c r="J2390" s="124"/>
      <x:c r="M2390" s="126"/>
      <x:c r="P2390" s="126"/>
      <x:c r="Q2390" s="126"/>
      <x:c r="R2390" s="126"/>
      <x:c r="S2390" s="124"/>
      <x:c r="T2390" s="124"/>
      <x:c r="U2390" s="124"/>
      <x:c r="V2390" s="124"/>
      <x:c r="W2390" s="124"/>
      <x:c r="X2390" s="124"/>
      <x:c r="AD2390"/>
      <x:c r="AE2390" s="145"/>
      <x:c r="AF2390" s="145"/>
      <x:c r="AG2390" s="145"/>
      <x:c r="AH2390" s="145"/>
      <x:c r="AI2390" s="145"/>
      <x:c r="AJ2390"/>
    </x:row>
    <x:row r="2391">
      <x:c r="F2391" s="124"/>
      <x:c r="G2391" s="124"/>
      <x:c r="H2391" s="124"/>
      <x:c r="I2391" s="124"/>
      <x:c r="J2391" s="124"/>
      <x:c r="M2391" s="126"/>
      <x:c r="P2391" s="126"/>
      <x:c r="Q2391" s="126"/>
      <x:c r="R2391" s="126"/>
      <x:c r="S2391" s="124"/>
      <x:c r="T2391" s="124"/>
      <x:c r="U2391" s="124"/>
      <x:c r="V2391" s="124"/>
      <x:c r="W2391" s="124"/>
      <x:c r="X2391" s="124"/>
      <x:c r="AD2391"/>
      <x:c r="AE2391" s="145"/>
      <x:c r="AF2391" s="145"/>
      <x:c r="AG2391" s="145"/>
      <x:c r="AH2391" s="145"/>
      <x:c r="AI2391" s="145"/>
      <x:c r="AJ2391"/>
    </x:row>
    <x:row r="2392">
      <x:c r="F2392" s="124"/>
      <x:c r="G2392" s="124"/>
      <x:c r="H2392" s="124"/>
      <x:c r="I2392" s="124"/>
      <x:c r="J2392" s="124"/>
      <x:c r="M2392" s="126"/>
      <x:c r="P2392" s="126"/>
      <x:c r="Q2392" s="126"/>
      <x:c r="R2392" s="126"/>
      <x:c r="S2392" s="124"/>
      <x:c r="T2392" s="124"/>
      <x:c r="U2392" s="124"/>
      <x:c r="V2392" s="124"/>
      <x:c r="W2392" s="124"/>
      <x:c r="X2392" s="124"/>
      <x:c r="AD2392"/>
      <x:c r="AE2392" s="145"/>
      <x:c r="AF2392" s="145"/>
      <x:c r="AG2392" s="145"/>
      <x:c r="AH2392" s="145"/>
      <x:c r="AI2392" s="145"/>
      <x:c r="AJ2392"/>
    </x:row>
    <x:row r="2393">
      <x:c r="F2393" s="124"/>
      <x:c r="G2393" s="124"/>
      <x:c r="H2393" s="124"/>
      <x:c r="I2393" s="124"/>
      <x:c r="J2393" s="124"/>
      <x:c r="M2393" s="126"/>
      <x:c r="P2393" s="126"/>
      <x:c r="Q2393" s="126"/>
      <x:c r="R2393" s="126"/>
      <x:c r="S2393" s="124"/>
      <x:c r="T2393" s="124"/>
      <x:c r="U2393" s="124"/>
      <x:c r="V2393" s="124"/>
      <x:c r="W2393" s="124"/>
      <x:c r="X2393" s="124"/>
      <x:c r="AD2393"/>
      <x:c r="AE2393" s="145"/>
      <x:c r="AF2393" s="145"/>
      <x:c r="AG2393" s="145"/>
      <x:c r="AH2393" s="145"/>
      <x:c r="AI2393" s="145"/>
      <x:c r="AJ2393"/>
    </x:row>
    <x:row r="2394">
      <x:c r="F2394" s="124"/>
      <x:c r="G2394" s="124"/>
      <x:c r="H2394" s="124"/>
      <x:c r="I2394" s="124"/>
      <x:c r="J2394" s="124"/>
      <x:c r="M2394" s="126"/>
      <x:c r="P2394" s="126"/>
      <x:c r="Q2394" s="126"/>
      <x:c r="R2394" s="126"/>
      <x:c r="S2394" s="124"/>
      <x:c r="T2394" s="124"/>
      <x:c r="U2394" s="124"/>
      <x:c r="V2394" s="124"/>
      <x:c r="W2394" s="124"/>
      <x:c r="X2394" s="124"/>
      <x:c r="AD2394"/>
      <x:c r="AE2394" s="145"/>
      <x:c r="AF2394" s="145"/>
      <x:c r="AG2394" s="145"/>
      <x:c r="AH2394" s="145"/>
      <x:c r="AI2394" s="145"/>
      <x:c r="AJ2394"/>
    </x:row>
    <x:row r="2395">
      <x:c r="F2395" s="124"/>
      <x:c r="G2395" s="124"/>
      <x:c r="H2395" s="124"/>
      <x:c r="I2395" s="124"/>
      <x:c r="J2395" s="124"/>
      <x:c r="M2395" s="126"/>
      <x:c r="P2395" s="126"/>
      <x:c r="Q2395" s="126"/>
      <x:c r="R2395" s="126"/>
      <x:c r="S2395" s="124"/>
      <x:c r="T2395" s="124"/>
      <x:c r="U2395" s="124"/>
      <x:c r="V2395" s="124"/>
      <x:c r="W2395" s="124"/>
      <x:c r="X2395" s="124"/>
      <x:c r="AD2395"/>
      <x:c r="AE2395" s="145"/>
      <x:c r="AF2395" s="145"/>
      <x:c r="AG2395" s="145"/>
      <x:c r="AH2395" s="145"/>
      <x:c r="AI2395" s="145"/>
      <x:c r="AJ2395"/>
    </x:row>
    <x:row r="2396">
      <x:c r="F2396" s="124"/>
      <x:c r="G2396" s="124"/>
      <x:c r="H2396" s="124"/>
      <x:c r="I2396" s="124"/>
      <x:c r="J2396" s="124"/>
      <x:c r="M2396" s="126"/>
      <x:c r="P2396" s="126"/>
      <x:c r="Q2396" s="126"/>
      <x:c r="R2396" s="126"/>
      <x:c r="S2396" s="124"/>
      <x:c r="T2396" s="124"/>
      <x:c r="U2396" s="124"/>
      <x:c r="V2396" s="124"/>
      <x:c r="W2396" s="124"/>
      <x:c r="X2396" s="124"/>
      <x:c r="AD2396"/>
      <x:c r="AE2396" s="145"/>
      <x:c r="AF2396" s="145"/>
      <x:c r="AG2396" s="145"/>
      <x:c r="AH2396" s="145"/>
      <x:c r="AI2396" s="145"/>
      <x:c r="AJ2396"/>
    </x:row>
    <x:row r="2397">
      <x:c r="F2397" s="124"/>
      <x:c r="G2397" s="124"/>
      <x:c r="H2397" s="124"/>
      <x:c r="I2397" s="124"/>
      <x:c r="J2397" s="124"/>
      <x:c r="M2397" s="126"/>
      <x:c r="P2397" s="126"/>
      <x:c r="Q2397" s="126"/>
      <x:c r="R2397" s="126"/>
      <x:c r="S2397" s="124"/>
      <x:c r="T2397" s="124"/>
      <x:c r="U2397" s="124"/>
      <x:c r="V2397" s="124"/>
      <x:c r="W2397" s="124"/>
      <x:c r="X2397" s="124"/>
      <x:c r="AD2397"/>
      <x:c r="AE2397" s="145"/>
      <x:c r="AF2397" s="145"/>
      <x:c r="AG2397" s="145"/>
      <x:c r="AH2397" s="145"/>
      <x:c r="AI2397" s="145"/>
      <x:c r="AJ2397"/>
    </x:row>
    <x:row r="2398">
      <x:c r="F2398" s="124"/>
      <x:c r="G2398" s="124"/>
      <x:c r="H2398" s="124"/>
      <x:c r="I2398" s="124"/>
      <x:c r="J2398" s="124"/>
      <x:c r="M2398" s="126"/>
      <x:c r="P2398" s="126"/>
      <x:c r="Q2398" s="126"/>
      <x:c r="R2398" s="126"/>
      <x:c r="S2398" s="124"/>
      <x:c r="T2398" s="124"/>
      <x:c r="U2398" s="124"/>
      <x:c r="V2398" s="124"/>
      <x:c r="W2398" s="124"/>
      <x:c r="X2398" s="124"/>
      <x:c r="AD2398"/>
      <x:c r="AE2398" s="145"/>
      <x:c r="AF2398" s="145"/>
      <x:c r="AG2398" s="145"/>
      <x:c r="AH2398" s="145"/>
      <x:c r="AI2398" s="145"/>
      <x:c r="AJ2398"/>
    </x:row>
    <x:row r="2399">
      <x:c r="F2399" s="124"/>
      <x:c r="G2399" s="124"/>
      <x:c r="H2399" s="124"/>
      <x:c r="I2399" s="124"/>
      <x:c r="J2399" s="124"/>
      <x:c r="M2399" s="126"/>
      <x:c r="P2399" s="126"/>
      <x:c r="Q2399" s="126"/>
      <x:c r="R2399" s="126"/>
      <x:c r="S2399" s="124"/>
      <x:c r="T2399" s="124"/>
      <x:c r="U2399" s="124"/>
      <x:c r="V2399" s="124"/>
      <x:c r="W2399" s="124"/>
      <x:c r="X2399" s="124"/>
      <x:c r="AD2399"/>
      <x:c r="AE2399" s="145"/>
      <x:c r="AF2399" s="145"/>
      <x:c r="AG2399" s="145"/>
      <x:c r="AH2399" s="145"/>
      <x:c r="AI2399" s="145"/>
      <x:c r="AJ2399"/>
    </x:row>
    <x:row r="2400">
      <x:c r="F2400" s="124"/>
      <x:c r="G2400" s="124"/>
      <x:c r="H2400" s="124"/>
      <x:c r="I2400" s="124"/>
      <x:c r="J2400" s="124"/>
      <x:c r="M2400" s="126"/>
      <x:c r="P2400" s="126"/>
      <x:c r="Q2400" s="126"/>
      <x:c r="R2400" s="126"/>
      <x:c r="S2400" s="124"/>
      <x:c r="T2400" s="124"/>
      <x:c r="U2400" s="124"/>
      <x:c r="V2400" s="124"/>
      <x:c r="W2400" s="124"/>
      <x:c r="X2400" s="124"/>
      <x:c r="AD2400"/>
      <x:c r="AE2400" s="145"/>
      <x:c r="AF2400" s="145"/>
      <x:c r="AG2400" s="145"/>
      <x:c r="AH2400" s="145"/>
      <x:c r="AI2400" s="145"/>
      <x:c r="AJ2400"/>
    </x:row>
    <x:row r="2401">
      <x:c r="F2401" s="124"/>
      <x:c r="G2401" s="124"/>
      <x:c r="H2401" s="124"/>
      <x:c r="I2401" s="124"/>
      <x:c r="J2401" s="124"/>
      <x:c r="M2401" s="126"/>
      <x:c r="P2401" s="126"/>
      <x:c r="Q2401" s="126"/>
      <x:c r="R2401" s="126"/>
      <x:c r="S2401" s="124"/>
      <x:c r="T2401" s="124"/>
      <x:c r="U2401" s="124"/>
      <x:c r="V2401" s="124"/>
      <x:c r="W2401" s="124"/>
      <x:c r="X2401" s="124"/>
      <x:c r="AD2401"/>
      <x:c r="AE2401" s="145"/>
      <x:c r="AF2401" s="145"/>
      <x:c r="AG2401" s="145"/>
      <x:c r="AH2401" s="145"/>
      <x:c r="AI2401" s="145"/>
      <x:c r="AJ2401"/>
    </x:row>
    <x:row r="2402">
      <x:c r="F2402" s="124"/>
      <x:c r="G2402" s="124"/>
      <x:c r="H2402" s="124"/>
      <x:c r="I2402" s="124"/>
      <x:c r="J2402" s="124"/>
      <x:c r="M2402" s="126"/>
      <x:c r="P2402" s="126"/>
      <x:c r="Q2402" s="126"/>
      <x:c r="R2402" s="126"/>
      <x:c r="S2402" s="124"/>
      <x:c r="T2402" s="124"/>
      <x:c r="U2402" s="124"/>
      <x:c r="V2402" s="124"/>
      <x:c r="W2402" s="124"/>
      <x:c r="X2402" s="124"/>
      <x:c r="AD2402"/>
      <x:c r="AE2402" s="145"/>
      <x:c r="AF2402" s="145"/>
      <x:c r="AG2402" s="145"/>
      <x:c r="AH2402" s="145"/>
      <x:c r="AI2402" s="145"/>
      <x:c r="AJ2402"/>
    </x:row>
    <x:row r="2403">
      <x:c r="F2403" s="124"/>
      <x:c r="G2403" s="124"/>
      <x:c r="H2403" s="124"/>
      <x:c r="I2403" s="124"/>
      <x:c r="J2403" s="124"/>
      <x:c r="M2403" s="126"/>
      <x:c r="P2403" s="126"/>
      <x:c r="Q2403" s="126"/>
      <x:c r="R2403" s="126"/>
      <x:c r="S2403" s="124"/>
      <x:c r="T2403" s="124"/>
      <x:c r="U2403" s="124"/>
      <x:c r="V2403" s="124"/>
      <x:c r="W2403" s="124"/>
      <x:c r="X2403" s="124"/>
      <x:c r="AD2403"/>
      <x:c r="AE2403" s="145"/>
      <x:c r="AF2403" s="145"/>
      <x:c r="AG2403" s="145"/>
      <x:c r="AH2403" s="145"/>
      <x:c r="AI2403" s="145"/>
      <x:c r="AJ2403"/>
    </x:row>
    <x:row r="2404">
      <x:c r="F2404" s="124"/>
      <x:c r="G2404" s="124"/>
      <x:c r="H2404" s="124"/>
      <x:c r="I2404" s="124"/>
      <x:c r="J2404" s="124"/>
      <x:c r="M2404" s="126"/>
      <x:c r="P2404" s="126"/>
      <x:c r="Q2404" s="126"/>
      <x:c r="R2404" s="126"/>
      <x:c r="S2404" s="124"/>
      <x:c r="T2404" s="124"/>
      <x:c r="U2404" s="124"/>
      <x:c r="V2404" s="124"/>
      <x:c r="W2404" s="124"/>
      <x:c r="X2404" s="124"/>
      <x:c r="AD2404"/>
      <x:c r="AE2404" s="145"/>
      <x:c r="AF2404" s="145"/>
      <x:c r="AG2404" s="145"/>
      <x:c r="AH2404" s="145"/>
      <x:c r="AI2404" s="145"/>
      <x:c r="AJ2404"/>
    </x:row>
    <x:row r="2405">
      <x:c r="F2405" s="124"/>
      <x:c r="G2405" s="124"/>
      <x:c r="H2405" s="124"/>
      <x:c r="I2405" s="124"/>
      <x:c r="J2405" s="124"/>
      <x:c r="M2405" s="126"/>
      <x:c r="P2405" s="126"/>
      <x:c r="Q2405" s="126"/>
      <x:c r="R2405" s="126"/>
      <x:c r="S2405" s="124"/>
      <x:c r="T2405" s="124"/>
      <x:c r="U2405" s="124"/>
      <x:c r="V2405" s="124"/>
      <x:c r="W2405" s="124"/>
      <x:c r="X2405" s="124"/>
      <x:c r="AD2405"/>
      <x:c r="AE2405" s="145"/>
      <x:c r="AF2405" s="145"/>
      <x:c r="AG2405" s="145"/>
      <x:c r="AH2405" s="145"/>
      <x:c r="AI2405" s="145"/>
      <x:c r="AJ2405"/>
    </x:row>
    <x:row r="2406">
      <x:c r="F2406" s="124"/>
      <x:c r="G2406" s="124"/>
      <x:c r="H2406" s="124"/>
      <x:c r="I2406" s="124"/>
      <x:c r="J2406" s="124"/>
      <x:c r="M2406" s="126"/>
      <x:c r="P2406" s="126"/>
      <x:c r="Q2406" s="126"/>
      <x:c r="R2406" s="126"/>
      <x:c r="S2406" s="124"/>
      <x:c r="T2406" s="124"/>
      <x:c r="U2406" s="124"/>
      <x:c r="V2406" s="124"/>
      <x:c r="W2406" s="124"/>
      <x:c r="X2406" s="124"/>
      <x:c r="AD2406"/>
      <x:c r="AE2406" s="145"/>
      <x:c r="AF2406" s="145"/>
      <x:c r="AG2406" s="145"/>
      <x:c r="AH2406" s="145"/>
      <x:c r="AI2406" s="145"/>
      <x:c r="AJ2406"/>
    </x:row>
    <x:row r="2407">
      <x:c r="F2407" s="124"/>
      <x:c r="G2407" s="124"/>
      <x:c r="H2407" s="124"/>
      <x:c r="I2407" s="124"/>
      <x:c r="J2407" s="124"/>
      <x:c r="M2407" s="126"/>
      <x:c r="P2407" s="126"/>
      <x:c r="Q2407" s="126"/>
      <x:c r="R2407" s="126"/>
      <x:c r="S2407" s="124"/>
      <x:c r="T2407" s="124"/>
      <x:c r="U2407" s="124"/>
      <x:c r="V2407" s="124"/>
      <x:c r="W2407" s="124"/>
      <x:c r="X2407" s="124"/>
      <x:c r="AD2407"/>
      <x:c r="AE2407" s="145"/>
      <x:c r="AF2407" s="145"/>
      <x:c r="AG2407" s="145"/>
      <x:c r="AH2407" s="145"/>
      <x:c r="AI2407" s="145"/>
      <x:c r="AJ2407"/>
    </x:row>
    <x:row r="2408">
      <x:c r="F2408" s="124"/>
      <x:c r="G2408" s="124"/>
      <x:c r="H2408" s="124"/>
      <x:c r="I2408" s="124"/>
      <x:c r="J2408" s="124"/>
      <x:c r="M2408" s="126"/>
      <x:c r="P2408" s="126"/>
      <x:c r="Q2408" s="126"/>
      <x:c r="R2408" s="126"/>
      <x:c r="S2408" s="124"/>
      <x:c r="T2408" s="124"/>
      <x:c r="U2408" s="124"/>
      <x:c r="V2408" s="124"/>
      <x:c r="W2408" s="124"/>
      <x:c r="X2408" s="124"/>
      <x:c r="AD2408"/>
      <x:c r="AE2408" s="145"/>
      <x:c r="AF2408" s="145"/>
      <x:c r="AG2408" s="145"/>
      <x:c r="AH2408" s="145"/>
      <x:c r="AI2408" s="145"/>
      <x:c r="AJ2408"/>
    </x:row>
    <x:row r="2409">
      <x:c r="F2409" s="124"/>
      <x:c r="G2409" s="124"/>
      <x:c r="H2409" s="124"/>
      <x:c r="I2409" s="124"/>
      <x:c r="J2409" s="124"/>
      <x:c r="M2409" s="126"/>
      <x:c r="P2409" s="126"/>
      <x:c r="Q2409" s="126"/>
      <x:c r="R2409" s="126"/>
      <x:c r="S2409" s="124"/>
      <x:c r="T2409" s="124"/>
      <x:c r="U2409" s="124"/>
      <x:c r="V2409" s="124"/>
      <x:c r="W2409" s="124"/>
      <x:c r="X2409" s="124"/>
      <x:c r="AD2409"/>
      <x:c r="AE2409" s="145"/>
      <x:c r="AF2409" s="145"/>
      <x:c r="AG2409" s="145"/>
      <x:c r="AH2409" s="145"/>
      <x:c r="AI2409" s="145"/>
      <x:c r="AJ2409"/>
    </x:row>
    <x:row r="2410">
      <x:c r="F2410" s="124"/>
      <x:c r="G2410" s="124"/>
      <x:c r="H2410" s="124"/>
      <x:c r="I2410" s="124"/>
      <x:c r="J2410" s="124"/>
      <x:c r="M2410" s="126"/>
      <x:c r="P2410" s="126"/>
      <x:c r="Q2410" s="126"/>
      <x:c r="R2410" s="126"/>
      <x:c r="S2410" s="124"/>
      <x:c r="T2410" s="124"/>
      <x:c r="U2410" s="124"/>
      <x:c r="V2410" s="124"/>
      <x:c r="W2410" s="124"/>
      <x:c r="X2410" s="124"/>
      <x:c r="AD2410"/>
      <x:c r="AE2410" s="145"/>
      <x:c r="AF2410" s="145"/>
      <x:c r="AG2410" s="145"/>
      <x:c r="AH2410" s="145"/>
      <x:c r="AI2410" s="145"/>
      <x:c r="AJ2410"/>
    </x:row>
    <x:row r="2411">
      <x:c r="F2411" s="124"/>
      <x:c r="G2411" s="124"/>
      <x:c r="H2411" s="124"/>
      <x:c r="I2411" s="124"/>
      <x:c r="J2411" s="124"/>
      <x:c r="M2411" s="126"/>
      <x:c r="P2411" s="126"/>
      <x:c r="Q2411" s="126"/>
      <x:c r="R2411" s="126"/>
      <x:c r="S2411" s="124"/>
      <x:c r="T2411" s="124"/>
      <x:c r="U2411" s="124"/>
      <x:c r="V2411" s="124"/>
      <x:c r="W2411" s="124"/>
      <x:c r="X2411" s="124"/>
      <x:c r="AD2411"/>
      <x:c r="AE2411" s="145"/>
      <x:c r="AF2411" s="145"/>
      <x:c r="AG2411" s="145"/>
      <x:c r="AH2411" s="145"/>
      <x:c r="AI2411" s="145"/>
      <x:c r="AJ2411"/>
    </x:row>
    <x:row r="2412">
      <x:c r="F2412" s="124"/>
      <x:c r="G2412" s="124"/>
      <x:c r="H2412" s="124"/>
      <x:c r="I2412" s="124"/>
      <x:c r="J2412" s="124"/>
      <x:c r="M2412" s="126"/>
      <x:c r="P2412" s="126"/>
      <x:c r="Q2412" s="126"/>
      <x:c r="R2412" s="126"/>
      <x:c r="S2412" s="124"/>
      <x:c r="T2412" s="124"/>
      <x:c r="U2412" s="124"/>
      <x:c r="V2412" s="124"/>
      <x:c r="W2412" s="124"/>
      <x:c r="X2412" s="124"/>
      <x:c r="AD2412"/>
      <x:c r="AE2412" s="145"/>
      <x:c r="AF2412" s="145"/>
      <x:c r="AG2412" s="145"/>
      <x:c r="AH2412" s="145"/>
      <x:c r="AI2412" s="145"/>
      <x:c r="AJ2412"/>
    </x:row>
    <x:row r="2413">
      <x:c r="F2413" s="124"/>
      <x:c r="G2413" s="124"/>
      <x:c r="H2413" s="124"/>
      <x:c r="I2413" s="124"/>
      <x:c r="J2413" s="124"/>
      <x:c r="M2413" s="126"/>
      <x:c r="P2413" s="126"/>
      <x:c r="Q2413" s="126"/>
      <x:c r="R2413" s="126"/>
      <x:c r="S2413" s="124"/>
      <x:c r="T2413" s="124"/>
      <x:c r="U2413" s="124"/>
      <x:c r="V2413" s="124"/>
      <x:c r="W2413" s="124"/>
      <x:c r="X2413" s="124"/>
      <x:c r="AD2413"/>
      <x:c r="AE2413" s="145"/>
      <x:c r="AF2413" s="145"/>
      <x:c r="AG2413" s="145"/>
      <x:c r="AH2413" s="145"/>
      <x:c r="AI2413" s="145"/>
      <x:c r="AJ2413"/>
    </x:row>
    <x:row r="2414">
      <x:c r="F2414" s="124"/>
      <x:c r="G2414" s="124"/>
      <x:c r="H2414" s="124"/>
      <x:c r="I2414" s="124"/>
      <x:c r="J2414" s="124"/>
      <x:c r="M2414" s="126"/>
      <x:c r="P2414" s="126"/>
      <x:c r="Q2414" s="126"/>
      <x:c r="R2414" s="126"/>
      <x:c r="S2414" s="124"/>
      <x:c r="T2414" s="124"/>
      <x:c r="U2414" s="124"/>
      <x:c r="V2414" s="124"/>
      <x:c r="W2414" s="124"/>
      <x:c r="X2414" s="124"/>
      <x:c r="AD2414"/>
      <x:c r="AE2414" s="145"/>
      <x:c r="AF2414" s="145"/>
      <x:c r="AG2414" s="145"/>
      <x:c r="AH2414" s="145"/>
      <x:c r="AI2414" s="145"/>
      <x:c r="AJ2414"/>
    </x:row>
    <x:row r="2415">
      <x:c r="F2415" s="124"/>
      <x:c r="G2415" s="124"/>
      <x:c r="H2415" s="124"/>
      <x:c r="I2415" s="124"/>
      <x:c r="J2415" s="124"/>
      <x:c r="M2415" s="126"/>
      <x:c r="P2415" s="126"/>
      <x:c r="Q2415" s="126"/>
      <x:c r="R2415" s="126"/>
      <x:c r="S2415" s="124"/>
      <x:c r="T2415" s="124"/>
      <x:c r="U2415" s="124"/>
      <x:c r="V2415" s="124"/>
      <x:c r="W2415" s="124"/>
      <x:c r="X2415" s="124"/>
      <x:c r="AD2415"/>
      <x:c r="AE2415" s="145"/>
      <x:c r="AF2415" s="145"/>
      <x:c r="AG2415" s="145"/>
      <x:c r="AH2415" s="145"/>
      <x:c r="AI2415" s="145"/>
      <x:c r="AJ2415"/>
    </x:row>
    <x:row r="2416">
      <x:c r="F2416" s="124"/>
      <x:c r="G2416" s="124"/>
      <x:c r="H2416" s="124"/>
      <x:c r="I2416" s="124"/>
      <x:c r="J2416" s="124"/>
      <x:c r="M2416" s="126"/>
      <x:c r="P2416" s="126"/>
      <x:c r="Q2416" s="126"/>
      <x:c r="R2416" s="126"/>
      <x:c r="S2416" s="124"/>
      <x:c r="T2416" s="124"/>
      <x:c r="U2416" s="124"/>
      <x:c r="V2416" s="124"/>
      <x:c r="W2416" s="124"/>
      <x:c r="X2416" s="124"/>
      <x:c r="AD2416"/>
      <x:c r="AE2416" s="145"/>
      <x:c r="AF2416" s="145"/>
      <x:c r="AG2416" s="145"/>
      <x:c r="AH2416" s="145"/>
      <x:c r="AI2416" s="145"/>
      <x:c r="AJ2416"/>
    </x:row>
    <x:row r="2417">
      <x:c r="F2417" s="124"/>
      <x:c r="G2417" s="124"/>
      <x:c r="H2417" s="124"/>
      <x:c r="I2417" s="124"/>
      <x:c r="J2417" s="124"/>
      <x:c r="M2417" s="126"/>
      <x:c r="P2417" s="126"/>
      <x:c r="Q2417" s="126"/>
      <x:c r="R2417" s="126"/>
      <x:c r="S2417" s="124"/>
      <x:c r="T2417" s="124"/>
      <x:c r="U2417" s="124"/>
      <x:c r="V2417" s="124"/>
      <x:c r="W2417" s="124"/>
      <x:c r="X2417" s="124"/>
      <x:c r="AD2417"/>
      <x:c r="AE2417" s="145"/>
      <x:c r="AF2417" s="145"/>
      <x:c r="AG2417" s="145"/>
      <x:c r="AH2417" s="145"/>
      <x:c r="AI2417" s="145"/>
      <x:c r="AJ2417"/>
    </x:row>
    <x:row r="2418">
      <x:c r="F2418" s="124"/>
      <x:c r="G2418" s="124"/>
      <x:c r="H2418" s="124"/>
      <x:c r="I2418" s="124"/>
      <x:c r="J2418" s="124"/>
      <x:c r="M2418" s="126"/>
      <x:c r="P2418" s="126"/>
      <x:c r="Q2418" s="126"/>
      <x:c r="R2418" s="126"/>
      <x:c r="S2418" s="124"/>
      <x:c r="T2418" s="124"/>
      <x:c r="U2418" s="124"/>
      <x:c r="V2418" s="124"/>
      <x:c r="W2418" s="124"/>
      <x:c r="X2418" s="124"/>
      <x:c r="AD2418"/>
      <x:c r="AE2418" s="145"/>
      <x:c r="AF2418" s="145"/>
      <x:c r="AG2418" s="145"/>
      <x:c r="AH2418" s="145"/>
      <x:c r="AI2418" s="145"/>
      <x:c r="AJ2418"/>
    </x:row>
    <x:row r="2419">
      <x:c r="F2419" s="124"/>
      <x:c r="G2419" s="124"/>
      <x:c r="H2419" s="124"/>
      <x:c r="I2419" s="124"/>
      <x:c r="J2419" s="124"/>
      <x:c r="M2419" s="126"/>
      <x:c r="P2419" s="126"/>
      <x:c r="Q2419" s="126"/>
      <x:c r="R2419" s="126"/>
      <x:c r="S2419" s="124"/>
      <x:c r="T2419" s="124"/>
      <x:c r="U2419" s="124"/>
      <x:c r="V2419" s="124"/>
      <x:c r="W2419" s="124"/>
      <x:c r="X2419" s="124"/>
      <x:c r="AD2419"/>
      <x:c r="AE2419" s="145"/>
      <x:c r="AF2419" s="145"/>
      <x:c r="AG2419" s="145"/>
      <x:c r="AH2419" s="145"/>
      <x:c r="AI2419" s="145"/>
      <x:c r="AJ2419"/>
    </x:row>
    <x:row r="2420">
      <x:c r="F2420" s="124"/>
      <x:c r="G2420" s="124"/>
      <x:c r="H2420" s="124"/>
      <x:c r="I2420" s="124"/>
      <x:c r="J2420" s="124"/>
      <x:c r="M2420" s="126"/>
      <x:c r="P2420" s="126"/>
      <x:c r="Q2420" s="126"/>
      <x:c r="R2420" s="126"/>
      <x:c r="S2420" s="124"/>
      <x:c r="T2420" s="124"/>
      <x:c r="U2420" s="124"/>
      <x:c r="V2420" s="124"/>
      <x:c r="W2420" s="124"/>
      <x:c r="X2420" s="124"/>
      <x:c r="AD2420"/>
      <x:c r="AE2420" s="145"/>
      <x:c r="AF2420" s="145"/>
      <x:c r="AG2420" s="145"/>
      <x:c r="AH2420" s="145"/>
      <x:c r="AI2420" s="145"/>
      <x:c r="AJ2420"/>
    </x:row>
    <x:row r="2421">
      <x:c r="F2421" s="124"/>
      <x:c r="G2421" s="124"/>
      <x:c r="H2421" s="124"/>
      <x:c r="I2421" s="124"/>
      <x:c r="J2421" s="124"/>
      <x:c r="M2421" s="126"/>
      <x:c r="P2421" s="126"/>
      <x:c r="Q2421" s="126"/>
      <x:c r="R2421" s="126"/>
      <x:c r="S2421" s="124"/>
      <x:c r="T2421" s="124"/>
      <x:c r="U2421" s="124"/>
      <x:c r="V2421" s="124"/>
      <x:c r="W2421" s="124"/>
      <x:c r="X2421" s="124"/>
      <x:c r="AD2421"/>
      <x:c r="AE2421" s="145"/>
      <x:c r="AF2421" s="145"/>
      <x:c r="AG2421" s="145"/>
      <x:c r="AH2421" s="145"/>
      <x:c r="AI2421" s="145"/>
      <x:c r="AJ2421"/>
    </x:row>
    <x:row r="2422">
      <x:c r="F2422" s="124"/>
      <x:c r="G2422" s="124"/>
      <x:c r="H2422" s="124"/>
      <x:c r="I2422" s="124"/>
      <x:c r="J2422" s="124"/>
      <x:c r="M2422" s="126"/>
      <x:c r="P2422" s="126"/>
      <x:c r="Q2422" s="126"/>
      <x:c r="R2422" s="126"/>
      <x:c r="S2422" s="124"/>
      <x:c r="T2422" s="124"/>
      <x:c r="U2422" s="124"/>
      <x:c r="V2422" s="124"/>
      <x:c r="W2422" s="124"/>
      <x:c r="X2422" s="124"/>
      <x:c r="AD2422"/>
      <x:c r="AE2422" s="145"/>
      <x:c r="AF2422" s="145"/>
      <x:c r="AG2422" s="145"/>
      <x:c r="AH2422" s="145"/>
      <x:c r="AI2422" s="145"/>
      <x:c r="AJ2422"/>
    </x:row>
    <x:row r="2423">
      <x:c r="F2423" s="124"/>
      <x:c r="G2423" s="124"/>
      <x:c r="H2423" s="124"/>
      <x:c r="I2423" s="124"/>
      <x:c r="J2423" s="124"/>
      <x:c r="M2423" s="126"/>
      <x:c r="P2423" s="126"/>
      <x:c r="Q2423" s="126"/>
      <x:c r="R2423" s="126"/>
      <x:c r="S2423" s="124"/>
      <x:c r="T2423" s="124"/>
      <x:c r="U2423" s="124"/>
      <x:c r="V2423" s="124"/>
      <x:c r="W2423" s="124"/>
      <x:c r="X2423" s="124"/>
      <x:c r="AD2423"/>
      <x:c r="AE2423" s="145"/>
      <x:c r="AF2423" s="145"/>
      <x:c r="AG2423" s="145"/>
      <x:c r="AH2423" s="145"/>
      <x:c r="AI2423" s="145"/>
      <x:c r="AJ2423"/>
    </x:row>
    <x:row r="2424">
      <x:c r="F2424" s="124"/>
      <x:c r="G2424" s="124"/>
      <x:c r="H2424" s="124"/>
      <x:c r="I2424" s="124"/>
      <x:c r="J2424" s="124"/>
      <x:c r="M2424" s="126"/>
      <x:c r="P2424" s="126"/>
      <x:c r="Q2424" s="126"/>
      <x:c r="R2424" s="126"/>
      <x:c r="S2424" s="124"/>
      <x:c r="T2424" s="124"/>
      <x:c r="U2424" s="124"/>
      <x:c r="V2424" s="124"/>
      <x:c r="W2424" s="124"/>
      <x:c r="X2424" s="124"/>
      <x:c r="AD2424"/>
      <x:c r="AE2424" s="145"/>
      <x:c r="AF2424" s="145"/>
      <x:c r="AG2424" s="145"/>
      <x:c r="AH2424" s="145"/>
      <x:c r="AI2424" s="145"/>
      <x:c r="AJ2424"/>
    </x:row>
    <x:row r="2425">
      <x:c r="F2425" s="124"/>
      <x:c r="G2425" s="124"/>
      <x:c r="H2425" s="124"/>
      <x:c r="I2425" s="124"/>
      <x:c r="J2425" s="124"/>
      <x:c r="M2425" s="126"/>
      <x:c r="P2425" s="126"/>
      <x:c r="Q2425" s="126"/>
      <x:c r="R2425" s="126"/>
      <x:c r="S2425" s="124"/>
      <x:c r="T2425" s="124"/>
      <x:c r="U2425" s="124"/>
      <x:c r="V2425" s="124"/>
      <x:c r="W2425" s="124"/>
      <x:c r="X2425" s="124"/>
      <x:c r="AD2425"/>
      <x:c r="AE2425" s="145"/>
      <x:c r="AF2425" s="145"/>
      <x:c r="AG2425" s="145"/>
      <x:c r="AH2425" s="145"/>
      <x:c r="AI2425" s="145"/>
      <x:c r="AJ2425"/>
    </x:row>
    <x:row r="2426">
      <x:c r="F2426" s="124"/>
      <x:c r="G2426" s="124"/>
      <x:c r="H2426" s="124"/>
      <x:c r="I2426" s="124"/>
      <x:c r="J2426" s="124"/>
      <x:c r="M2426" s="126"/>
      <x:c r="P2426" s="126"/>
      <x:c r="Q2426" s="126"/>
      <x:c r="R2426" s="126"/>
      <x:c r="S2426" s="124"/>
      <x:c r="T2426" s="124"/>
      <x:c r="U2426" s="124"/>
      <x:c r="V2426" s="124"/>
      <x:c r="W2426" s="124"/>
      <x:c r="X2426" s="124"/>
      <x:c r="AD2426"/>
      <x:c r="AE2426" s="145"/>
      <x:c r="AF2426" s="145"/>
      <x:c r="AG2426" s="145"/>
      <x:c r="AH2426" s="145"/>
      <x:c r="AI2426" s="145"/>
      <x:c r="AJ2426"/>
    </x:row>
    <x:row r="2427">
      <x:c r="F2427" s="124"/>
      <x:c r="G2427" s="124"/>
      <x:c r="H2427" s="124"/>
      <x:c r="I2427" s="124"/>
      <x:c r="J2427" s="124"/>
      <x:c r="M2427" s="126"/>
      <x:c r="P2427" s="126"/>
      <x:c r="Q2427" s="126"/>
      <x:c r="R2427" s="126"/>
      <x:c r="S2427" s="124"/>
      <x:c r="T2427" s="124"/>
      <x:c r="U2427" s="124"/>
      <x:c r="V2427" s="124"/>
      <x:c r="W2427" s="124"/>
      <x:c r="X2427" s="124"/>
      <x:c r="AD2427"/>
      <x:c r="AE2427" s="145"/>
      <x:c r="AF2427" s="145"/>
      <x:c r="AG2427" s="145"/>
      <x:c r="AH2427" s="145"/>
      <x:c r="AI2427" s="145"/>
      <x:c r="AJ2427"/>
    </x:row>
    <x:row r="2428">
      <x:c r="F2428" s="124"/>
      <x:c r="G2428" s="124"/>
      <x:c r="H2428" s="124"/>
      <x:c r="I2428" s="124"/>
      <x:c r="J2428" s="124"/>
      <x:c r="M2428" s="126"/>
      <x:c r="P2428" s="126"/>
      <x:c r="Q2428" s="126"/>
      <x:c r="R2428" s="126"/>
      <x:c r="S2428" s="124"/>
      <x:c r="T2428" s="124"/>
      <x:c r="U2428" s="124"/>
      <x:c r="V2428" s="124"/>
      <x:c r="W2428" s="124"/>
      <x:c r="X2428" s="124"/>
      <x:c r="AD2428"/>
      <x:c r="AE2428" s="145"/>
      <x:c r="AF2428" s="145"/>
      <x:c r="AG2428" s="145"/>
      <x:c r="AH2428" s="145"/>
      <x:c r="AI2428" s="145"/>
      <x:c r="AJ2428"/>
    </x:row>
    <x:row r="2429">
      <x:c r="F2429" s="124"/>
      <x:c r="G2429" s="124"/>
      <x:c r="H2429" s="124"/>
      <x:c r="I2429" s="124"/>
      <x:c r="J2429" s="124"/>
      <x:c r="M2429" s="126"/>
      <x:c r="P2429" s="126"/>
      <x:c r="Q2429" s="126"/>
      <x:c r="R2429" s="126"/>
      <x:c r="S2429" s="124"/>
      <x:c r="T2429" s="124"/>
      <x:c r="U2429" s="124"/>
      <x:c r="V2429" s="124"/>
      <x:c r="W2429" s="124"/>
      <x:c r="X2429" s="124"/>
      <x:c r="AD2429"/>
      <x:c r="AE2429" s="145"/>
      <x:c r="AF2429" s="145"/>
      <x:c r="AG2429" s="145"/>
      <x:c r="AH2429" s="145"/>
      <x:c r="AI2429" s="145"/>
      <x:c r="AJ2429"/>
    </x:row>
    <x:row r="2430">
      <x:c r="F2430" s="124"/>
      <x:c r="G2430" s="124"/>
      <x:c r="H2430" s="124"/>
      <x:c r="I2430" s="124"/>
      <x:c r="J2430" s="124"/>
      <x:c r="M2430" s="126"/>
      <x:c r="P2430" s="126"/>
      <x:c r="Q2430" s="126"/>
      <x:c r="R2430" s="126"/>
      <x:c r="S2430" s="124"/>
      <x:c r="T2430" s="124"/>
      <x:c r="U2430" s="124"/>
      <x:c r="V2430" s="124"/>
      <x:c r="W2430" s="124"/>
      <x:c r="X2430" s="124"/>
      <x:c r="AD2430"/>
      <x:c r="AE2430" s="145"/>
      <x:c r="AF2430" s="145"/>
      <x:c r="AG2430" s="145"/>
      <x:c r="AH2430" s="145"/>
      <x:c r="AI2430" s="145"/>
      <x:c r="AJ2430"/>
    </x:row>
    <x:row r="2431">
      <x:c r="F2431" s="124"/>
      <x:c r="G2431" s="124"/>
      <x:c r="H2431" s="124"/>
      <x:c r="I2431" s="124"/>
      <x:c r="J2431" s="124"/>
      <x:c r="M2431" s="126"/>
      <x:c r="P2431" s="126"/>
      <x:c r="Q2431" s="126"/>
      <x:c r="R2431" s="126"/>
      <x:c r="S2431" s="124"/>
      <x:c r="T2431" s="124"/>
      <x:c r="U2431" s="124"/>
      <x:c r="V2431" s="124"/>
      <x:c r="W2431" s="124"/>
      <x:c r="X2431" s="124"/>
      <x:c r="AD2431"/>
      <x:c r="AE2431" s="145"/>
      <x:c r="AF2431" s="145"/>
      <x:c r="AG2431" s="145"/>
      <x:c r="AH2431" s="145"/>
      <x:c r="AI2431" s="145"/>
      <x:c r="AJ2431"/>
    </x:row>
    <x:row r="2432">
      <x:c r="F2432" s="124"/>
      <x:c r="G2432" s="124"/>
      <x:c r="H2432" s="124"/>
      <x:c r="I2432" s="124"/>
      <x:c r="J2432" s="124"/>
      <x:c r="M2432" s="126"/>
      <x:c r="P2432" s="126"/>
      <x:c r="Q2432" s="126"/>
      <x:c r="R2432" s="126"/>
      <x:c r="S2432" s="124"/>
      <x:c r="T2432" s="124"/>
      <x:c r="U2432" s="124"/>
      <x:c r="V2432" s="124"/>
      <x:c r="W2432" s="124"/>
      <x:c r="X2432" s="124"/>
      <x:c r="AD2432"/>
      <x:c r="AE2432" s="145"/>
      <x:c r="AF2432" s="145"/>
      <x:c r="AG2432" s="145"/>
      <x:c r="AH2432" s="145"/>
      <x:c r="AI2432" s="145"/>
      <x:c r="AJ2432"/>
    </x:row>
    <x:row r="2433">
      <x:c r="F2433" s="124"/>
      <x:c r="G2433" s="124"/>
      <x:c r="H2433" s="124"/>
      <x:c r="I2433" s="124"/>
      <x:c r="J2433" s="124"/>
      <x:c r="M2433" s="126"/>
      <x:c r="P2433" s="126"/>
      <x:c r="Q2433" s="126"/>
      <x:c r="R2433" s="126"/>
      <x:c r="S2433" s="124"/>
      <x:c r="T2433" s="124"/>
      <x:c r="U2433" s="124"/>
      <x:c r="V2433" s="124"/>
      <x:c r="W2433" s="124"/>
      <x:c r="X2433" s="124"/>
      <x:c r="AD2433"/>
      <x:c r="AE2433" s="145"/>
      <x:c r="AF2433" s="145"/>
      <x:c r="AG2433" s="145"/>
      <x:c r="AH2433" s="145"/>
      <x:c r="AI2433" s="145"/>
      <x:c r="AJ2433"/>
    </x:row>
    <x:row r="2434">
      <x:c r="F2434" s="124"/>
      <x:c r="G2434" s="124"/>
      <x:c r="H2434" s="124"/>
      <x:c r="I2434" s="124"/>
      <x:c r="J2434" s="124"/>
      <x:c r="M2434" s="126"/>
      <x:c r="P2434" s="126"/>
      <x:c r="Q2434" s="126"/>
      <x:c r="R2434" s="126"/>
      <x:c r="S2434" s="124"/>
      <x:c r="T2434" s="124"/>
      <x:c r="U2434" s="124"/>
      <x:c r="V2434" s="124"/>
      <x:c r="W2434" s="124"/>
      <x:c r="X2434" s="124"/>
      <x:c r="AD2434"/>
      <x:c r="AE2434" s="145"/>
      <x:c r="AF2434" s="145"/>
      <x:c r="AG2434" s="145"/>
      <x:c r="AH2434" s="145"/>
      <x:c r="AI2434" s="145"/>
      <x:c r="AJ2434"/>
    </x:row>
    <x:row r="2435">
      <x:c r="F2435" s="124"/>
      <x:c r="G2435" s="124"/>
      <x:c r="H2435" s="124"/>
      <x:c r="I2435" s="124"/>
      <x:c r="J2435" s="124"/>
      <x:c r="M2435" s="126"/>
      <x:c r="P2435" s="126"/>
      <x:c r="Q2435" s="126"/>
      <x:c r="R2435" s="126"/>
      <x:c r="S2435" s="124"/>
      <x:c r="T2435" s="124"/>
      <x:c r="U2435" s="124"/>
      <x:c r="V2435" s="124"/>
      <x:c r="W2435" s="124"/>
      <x:c r="X2435" s="124"/>
      <x:c r="AD2435"/>
      <x:c r="AE2435" s="145"/>
      <x:c r="AF2435" s="145"/>
      <x:c r="AG2435" s="145"/>
      <x:c r="AH2435" s="145"/>
      <x:c r="AI2435" s="145"/>
      <x:c r="AJ2435"/>
    </x:row>
    <x:row r="2436">
      <x:c r="F2436" s="124"/>
      <x:c r="G2436" s="124"/>
      <x:c r="H2436" s="124"/>
      <x:c r="I2436" s="124"/>
      <x:c r="J2436" s="124"/>
      <x:c r="M2436" s="126"/>
      <x:c r="P2436" s="126"/>
      <x:c r="Q2436" s="126"/>
      <x:c r="R2436" s="126"/>
      <x:c r="S2436" s="124"/>
      <x:c r="T2436" s="124"/>
      <x:c r="U2436" s="124"/>
      <x:c r="V2436" s="124"/>
      <x:c r="W2436" s="124"/>
      <x:c r="X2436" s="124"/>
      <x:c r="AD2436"/>
      <x:c r="AE2436" s="145"/>
      <x:c r="AF2436" s="145"/>
      <x:c r="AG2436" s="145"/>
      <x:c r="AH2436" s="145"/>
      <x:c r="AI2436" s="145"/>
      <x:c r="AJ2436"/>
    </x:row>
    <x:row r="2437">
      <x:c r="F2437" s="124"/>
      <x:c r="G2437" s="124"/>
      <x:c r="H2437" s="124"/>
      <x:c r="I2437" s="124"/>
      <x:c r="J2437" s="124"/>
      <x:c r="M2437" s="126"/>
      <x:c r="P2437" s="126"/>
      <x:c r="Q2437" s="126"/>
      <x:c r="R2437" s="126"/>
      <x:c r="S2437" s="124"/>
      <x:c r="T2437" s="124"/>
      <x:c r="U2437" s="124"/>
      <x:c r="V2437" s="124"/>
      <x:c r="W2437" s="124"/>
      <x:c r="X2437" s="124"/>
      <x:c r="AD2437"/>
      <x:c r="AE2437" s="145"/>
      <x:c r="AF2437" s="145"/>
      <x:c r="AG2437" s="145"/>
      <x:c r="AH2437" s="145"/>
      <x:c r="AI2437" s="145"/>
      <x:c r="AJ2437"/>
    </x:row>
    <x:row r="2438">
      <x:c r="F2438" s="124"/>
      <x:c r="G2438" s="124"/>
      <x:c r="H2438" s="124"/>
      <x:c r="I2438" s="124"/>
      <x:c r="J2438" s="124"/>
      <x:c r="M2438" s="126"/>
      <x:c r="P2438" s="126"/>
      <x:c r="Q2438" s="126"/>
      <x:c r="R2438" s="126"/>
      <x:c r="S2438" s="124"/>
      <x:c r="T2438" s="124"/>
      <x:c r="U2438" s="124"/>
      <x:c r="V2438" s="124"/>
      <x:c r="W2438" s="124"/>
      <x:c r="X2438" s="124"/>
      <x:c r="AD2438"/>
      <x:c r="AE2438" s="145"/>
      <x:c r="AF2438" s="145"/>
      <x:c r="AG2438" s="145"/>
      <x:c r="AH2438" s="145"/>
      <x:c r="AI2438" s="145"/>
      <x:c r="AJ2438"/>
    </x:row>
    <x:row r="2439">
      <x:c r="F2439" s="124"/>
      <x:c r="G2439" s="124"/>
      <x:c r="H2439" s="124"/>
      <x:c r="I2439" s="124"/>
      <x:c r="J2439" s="124"/>
      <x:c r="M2439" s="126"/>
      <x:c r="P2439" s="126"/>
      <x:c r="Q2439" s="126"/>
      <x:c r="R2439" s="126"/>
      <x:c r="S2439" s="124"/>
      <x:c r="T2439" s="124"/>
      <x:c r="U2439" s="124"/>
      <x:c r="V2439" s="124"/>
      <x:c r="W2439" s="124"/>
      <x:c r="X2439" s="124"/>
      <x:c r="AD2439"/>
      <x:c r="AE2439" s="145"/>
      <x:c r="AF2439" s="145"/>
      <x:c r="AG2439" s="145"/>
      <x:c r="AH2439" s="145"/>
      <x:c r="AI2439" s="145"/>
      <x:c r="AJ2439"/>
    </x:row>
    <x:row r="2440">
      <x:c r="F2440" s="124"/>
      <x:c r="G2440" s="124"/>
      <x:c r="H2440" s="124"/>
      <x:c r="I2440" s="124"/>
      <x:c r="J2440" s="124"/>
      <x:c r="M2440" s="126"/>
      <x:c r="P2440" s="126"/>
      <x:c r="Q2440" s="126"/>
      <x:c r="R2440" s="126"/>
      <x:c r="S2440" s="124"/>
      <x:c r="T2440" s="124"/>
      <x:c r="U2440" s="124"/>
      <x:c r="V2440" s="124"/>
      <x:c r="W2440" s="124"/>
      <x:c r="X2440" s="124"/>
      <x:c r="AD2440"/>
      <x:c r="AE2440" s="145"/>
      <x:c r="AF2440" s="145"/>
      <x:c r="AG2440" s="145"/>
      <x:c r="AH2440" s="145"/>
      <x:c r="AI2440" s="145"/>
      <x:c r="AJ2440"/>
    </x:row>
    <x:row r="2441">
      <x:c r="F2441" s="124"/>
      <x:c r="G2441" s="124"/>
      <x:c r="H2441" s="124"/>
      <x:c r="I2441" s="124"/>
      <x:c r="J2441" s="124"/>
      <x:c r="M2441" s="126"/>
      <x:c r="P2441" s="126"/>
      <x:c r="Q2441" s="126"/>
      <x:c r="R2441" s="126"/>
      <x:c r="S2441" s="124"/>
      <x:c r="T2441" s="124"/>
      <x:c r="U2441" s="124"/>
      <x:c r="V2441" s="124"/>
      <x:c r="W2441" s="124"/>
      <x:c r="X2441" s="124"/>
      <x:c r="AD2441"/>
      <x:c r="AE2441" s="145"/>
      <x:c r="AF2441" s="145"/>
      <x:c r="AG2441" s="145"/>
      <x:c r="AH2441" s="145"/>
      <x:c r="AI2441" s="145"/>
      <x:c r="AJ2441"/>
    </x:row>
    <x:row r="2442">
      <x:c r="F2442" s="124"/>
      <x:c r="G2442" s="124"/>
      <x:c r="H2442" s="124"/>
      <x:c r="I2442" s="124"/>
      <x:c r="J2442" s="124"/>
      <x:c r="M2442" s="126"/>
      <x:c r="P2442" s="126"/>
      <x:c r="Q2442" s="126"/>
      <x:c r="R2442" s="126"/>
      <x:c r="S2442" s="124"/>
      <x:c r="T2442" s="124"/>
      <x:c r="U2442" s="124"/>
      <x:c r="V2442" s="124"/>
      <x:c r="W2442" s="124"/>
      <x:c r="X2442" s="124"/>
      <x:c r="AD2442"/>
      <x:c r="AE2442" s="145"/>
      <x:c r="AF2442" s="145"/>
      <x:c r="AG2442" s="145"/>
      <x:c r="AH2442" s="145"/>
      <x:c r="AI2442" s="145"/>
      <x:c r="AJ2442"/>
    </x:row>
    <x:row r="2443">
      <x:c r="F2443" s="124"/>
      <x:c r="G2443" s="124"/>
      <x:c r="H2443" s="124"/>
      <x:c r="I2443" s="124"/>
      <x:c r="J2443" s="124"/>
      <x:c r="M2443" s="126"/>
      <x:c r="P2443" s="126"/>
      <x:c r="Q2443" s="126"/>
      <x:c r="R2443" s="126"/>
      <x:c r="S2443" s="124"/>
      <x:c r="T2443" s="124"/>
      <x:c r="U2443" s="124"/>
      <x:c r="V2443" s="124"/>
      <x:c r="W2443" s="124"/>
      <x:c r="X2443" s="124"/>
      <x:c r="AD2443"/>
      <x:c r="AE2443" s="145"/>
      <x:c r="AF2443" s="145"/>
      <x:c r="AG2443" s="145"/>
      <x:c r="AH2443" s="145"/>
      <x:c r="AI2443" s="145"/>
      <x:c r="AJ2443"/>
    </x:row>
    <x:row r="2444">
      <x:c r="F2444" s="124"/>
      <x:c r="G2444" s="124"/>
      <x:c r="H2444" s="124"/>
      <x:c r="I2444" s="124"/>
      <x:c r="J2444" s="124"/>
      <x:c r="M2444" s="126"/>
      <x:c r="P2444" s="126"/>
      <x:c r="Q2444" s="126"/>
      <x:c r="R2444" s="126"/>
      <x:c r="S2444" s="124"/>
      <x:c r="T2444" s="124"/>
      <x:c r="U2444" s="124"/>
      <x:c r="V2444" s="124"/>
      <x:c r="W2444" s="124"/>
      <x:c r="X2444" s="124"/>
      <x:c r="AD2444"/>
      <x:c r="AE2444" s="145"/>
      <x:c r="AF2444" s="145"/>
      <x:c r="AG2444" s="145"/>
      <x:c r="AH2444" s="145"/>
      <x:c r="AI2444" s="145"/>
      <x:c r="AJ2444"/>
    </x:row>
    <x:row r="2445">
      <x:c r="F2445" s="124"/>
      <x:c r="G2445" s="124"/>
      <x:c r="H2445" s="124"/>
      <x:c r="I2445" s="124"/>
      <x:c r="J2445" s="124"/>
      <x:c r="M2445" s="126"/>
      <x:c r="P2445" s="126"/>
      <x:c r="Q2445" s="126"/>
      <x:c r="R2445" s="126"/>
      <x:c r="S2445" s="124"/>
      <x:c r="T2445" s="124"/>
      <x:c r="U2445" s="124"/>
      <x:c r="V2445" s="124"/>
      <x:c r="W2445" s="124"/>
      <x:c r="X2445" s="124"/>
      <x:c r="AD2445"/>
      <x:c r="AE2445" s="145"/>
      <x:c r="AF2445" s="145"/>
      <x:c r="AG2445" s="145"/>
      <x:c r="AH2445" s="145"/>
      <x:c r="AI2445" s="145"/>
      <x:c r="AJ2445"/>
    </x:row>
    <x:row r="2446">
      <x:c r="F2446" s="124"/>
      <x:c r="G2446" s="124"/>
      <x:c r="H2446" s="124"/>
      <x:c r="I2446" s="124"/>
      <x:c r="J2446" s="124"/>
      <x:c r="M2446" s="126"/>
      <x:c r="P2446" s="126"/>
      <x:c r="Q2446" s="126"/>
      <x:c r="R2446" s="126"/>
      <x:c r="S2446" s="124"/>
      <x:c r="T2446" s="124"/>
      <x:c r="U2446" s="124"/>
      <x:c r="V2446" s="124"/>
      <x:c r="W2446" s="124"/>
      <x:c r="X2446" s="124"/>
      <x:c r="AD2446"/>
      <x:c r="AE2446" s="145"/>
      <x:c r="AF2446" s="145"/>
      <x:c r="AG2446" s="145"/>
      <x:c r="AH2446" s="145"/>
      <x:c r="AI2446" s="145"/>
      <x:c r="AJ2446"/>
    </x:row>
    <x:row r="2447">
      <x:c r="F2447" s="124"/>
      <x:c r="G2447" s="124"/>
      <x:c r="H2447" s="124"/>
      <x:c r="I2447" s="124"/>
      <x:c r="J2447" s="124"/>
      <x:c r="M2447" s="126"/>
      <x:c r="P2447" s="126"/>
      <x:c r="Q2447" s="126"/>
      <x:c r="R2447" s="126"/>
      <x:c r="S2447" s="124"/>
      <x:c r="T2447" s="124"/>
      <x:c r="U2447" s="124"/>
      <x:c r="V2447" s="124"/>
      <x:c r="W2447" s="124"/>
      <x:c r="X2447" s="124"/>
      <x:c r="AD2447"/>
      <x:c r="AE2447" s="145"/>
      <x:c r="AF2447" s="145"/>
      <x:c r="AG2447" s="145"/>
      <x:c r="AH2447" s="145"/>
      <x:c r="AI2447" s="145"/>
      <x:c r="AJ2447"/>
    </x:row>
    <x:row r="2448">
      <x:c r="F2448" s="124"/>
      <x:c r="G2448" s="124"/>
      <x:c r="H2448" s="124"/>
      <x:c r="I2448" s="124"/>
      <x:c r="J2448" s="124"/>
      <x:c r="M2448" s="126"/>
      <x:c r="P2448" s="126"/>
      <x:c r="Q2448" s="126"/>
      <x:c r="R2448" s="126"/>
      <x:c r="S2448" s="124"/>
      <x:c r="T2448" s="124"/>
      <x:c r="U2448" s="124"/>
      <x:c r="V2448" s="124"/>
      <x:c r="W2448" s="124"/>
      <x:c r="X2448" s="124"/>
      <x:c r="AD2448"/>
      <x:c r="AE2448" s="145"/>
      <x:c r="AF2448" s="145"/>
      <x:c r="AG2448" s="145"/>
      <x:c r="AH2448" s="145"/>
      <x:c r="AI2448" s="145"/>
      <x:c r="AJ2448"/>
    </x:row>
    <x:row r="2449">
      <x:c r="F2449" s="124"/>
      <x:c r="G2449" s="124"/>
      <x:c r="H2449" s="124"/>
      <x:c r="I2449" s="124"/>
      <x:c r="J2449" s="124"/>
      <x:c r="M2449" s="126"/>
      <x:c r="P2449" s="126"/>
      <x:c r="Q2449" s="126"/>
      <x:c r="R2449" s="126"/>
      <x:c r="S2449" s="124"/>
      <x:c r="T2449" s="124"/>
      <x:c r="U2449" s="124"/>
      <x:c r="V2449" s="124"/>
      <x:c r="W2449" s="124"/>
      <x:c r="X2449" s="124"/>
      <x:c r="AD2449"/>
      <x:c r="AE2449" s="145"/>
      <x:c r="AF2449" s="145"/>
      <x:c r="AG2449" s="145"/>
      <x:c r="AH2449" s="145"/>
      <x:c r="AI2449" s="145"/>
      <x:c r="AJ2449"/>
    </x:row>
    <x:row r="2450">
      <x:c r="F2450" s="124"/>
      <x:c r="G2450" s="124"/>
      <x:c r="H2450" s="124"/>
      <x:c r="I2450" s="124"/>
      <x:c r="J2450" s="124"/>
      <x:c r="M2450" s="126"/>
      <x:c r="P2450" s="126"/>
      <x:c r="Q2450" s="126"/>
      <x:c r="R2450" s="126"/>
      <x:c r="S2450" s="124"/>
      <x:c r="T2450" s="124"/>
      <x:c r="U2450" s="124"/>
      <x:c r="V2450" s="124"/>
      <x:c r="W2450" s="124"/>
      <x:c r="X2450" s="124"/>
      <x:c r="AD2450"/>
      <x:c r="AE2450" s="145"/>
      <x:c r="AF2450" s="145"/>
      <x:c r="AG2450" s="145"/>
      <x:c r="AH2450" s="145"/>
      <x:c r="AI2450" s="145"/>
      <x:c r="AJ2450"/>
    </x:row>
    <x:row r="2451">
      <x:c r="F2451" s="124"/>
      <x:c r="G2451" s="124"/>
      <x:c r="H2451" s="124"/>
      <x:c r="I2451" s="124"/>
      <x:c r="J2451" s="124"/>
      <x:c r="M2451" s="126"/>
      <x:c r="P2451" s="126"/>
      <x:c r="Q2451" s="126"/>
      <x:c r="R2451" s="126"/>
      <x:c r="S2451" s="124"/>
      <x:c r="T2451" s="124"/>
      <x:c r="U2451" s="124"/>
      <x:c r="V2451" s="124"/>
      <x:c r="W2451" s="124"/>
      <x:c r="X2451" s="124"/>
      <x:c r="AD2451"/>
      <x:c r="AE2451" s="145"/>
      <x:c r="AF2451" s="145"/>
      <x:c r="AG2451" s="145"/>
      <x:c r="AH2451" s="145"/>
      <x:c r="AI2451" s="145"/>
      <x:c r="AJ2451"/>
    </x:row>
    <x:row r="2452">
      <x:c r="F2452" s="124"/>
      <x:c r="G2452" s="124"/>
      <x:c r="H2452" s="124"/>
      <x:c r="I2452" s="124"/>
      <x:c r="J2452" s="124"/>
      <x:c r="M2452" s="126"/>
      <x:c r="P2452" s="126"/>
      <x:c r="Q2452" s="126"/>
      <x:c r="R2452" s="126"/>
      <x:c r="S2452" s="124"/>
      <x:c r="T2452" s="124"/>
      <x:c r="U2452" s="124"/>
      <x:c r="V2452" s="124"/>
      <x:c r="W2452" s="124"/>
      <x:c r="X2452" s="124"/>
      <x:c r="AD2452"/>
      <x:c r="AE2452" s="145"/>
      <x:c r="AF2452" s="145"/>
      <x:c r="AG2452" s="145"/>
      <x:c r="AH2452" s="145"/>
      <x:c r="AI2452" s="145"/>
      <x:c r="AJ2452"/>
    </x:row>
    <x:row r="2453">
      <x:c r="F2453" s="124"/>
      <x:c r="G2453" s="124"/>
      <x:c r="H2453" s="124"/>
      <x:c r="I2453" s="124"/>
      <x:c r="J2453" s="124"/>
      <x:c r="M2453" s="126"/>
      <x:c r="P2453" s="126"/>
      <x:c r="Q2453" s="126"/>
      <x:c r="R2453" s="126"/>
      <x:c r="S2453" s="124"/>
      <x:c r="T2453" s="124"/>
      <x:c r="U2453" s="124"/>
      <x:c r="V2453" s="124"/>
      <x:c r="W2453" s="124"/>
      <x:c r="X2453" s="124"/>
      <x:c r="AD2453"/>
      <x:c r="AE2453" s="145"/>
      <x:c r="AF2453" s="145"/>
      <x:c r="AG2453" s="145"/>
      <x:c r="AH2453" s="145"/>
      <x:c r="AI2453" s="145"/>
      <x:c r="AJ2453"/>
    </x:row>
    <x:row r="2454">
      <x:c r="F2454" s="124"/>
      <x:c r="G2454" s="124"/>
      <x:c r="H2454" s="124"/>
      <x:c r="I2454" s="124"/>
      <x:c r="J2454" s="124"/>
      <x:c r="M2454" s="126"/>
      <x:c r="P2454" s="126"/>
      <x:c r="Q2454" s="126"/>
      <x:c r="R2454" s="126"/>
      <x:c r="S2454" s="124"/>
      <x:c r="T2454" s="124"/>
      <x:c r="U2454" s="124"/>
      <x:c r="V2454" s="124"/>
      <x:c r="W2454" s="124"/>
      <x:c r="X2454" s="124"/>
      <x:c r="AD2454"/>
      <x:c r="AE2454" s="145"/>
      <x:c r="AF2454" s="145"/>
      <x:c r="AG2454" s="145"/>
      <x:c r="AH2454" s="145"/>
      <x:c r="AI2454" s="145"/>
      <x:c r="AJ2454"/>
    </x:row>
    <x:row r="2455">
      <x:c r="F2455" s="124"/>
      <x:c r="G2455" s="124"/>
      <x:c r="H2455" s="124"/>
      <x:c r="I2455" s="124"/>
      <x:c r="J2455" s="124"/>
      <x:c r="M2455" s="126"/>
      <x:c r="P2455" s="126"/>
      <x:c r="Q2455" s="126"/>
      <x:c r="R2455" s="126"/>
      <x:c r="S2455" s="124"/>
      <x:c r="T2455" s="124"/>
      <x:c r="U2455" s="124"/>
      <x:c r="V2455" s="124"/>
      <x:c r="W2455" s="124"/>
      <x:c r="X2455" s="124"/>
      <x:c r="AD2455"/>
      <x:c r="AE2455" s="145"/>
      <x:c r="AF2455" s="145"/>
      <x:c r="AG2455" s="145"/>
      <x:c r="AH2455" s="145"/>
      <x:c r="AI2455" s="145"/>
      <x:c r="AJ2455"/>
    </x:row>
    <x:row r="2456">
      <x:c r="F2456" s="124"/>
      <x:c r="G2456" s="124"/>
      <x:c r="H2456" s="124"/>
      <x:c r="I2456" s="124"/>
      <x:c r="J2456" s="124"/>
      <x:c r="M2456" s="126"/>
      <x:c r="P2456" s="126"/>
      <x:c r="Q2456" s="126"/>
      <x:c r="R2456" s="126"/>
      <x:c r="S2456" s="124"/>
      <x:c r="T2456" s="124"/>
      <x:c r="U2456" s="124"/>
      <x:c r="V2456" s="124"/>
      <x:c r="W2456" s="124"/>
      <x:c r="X2456" s="124"/>
      <x:c r="AD2456"/>
      <x:c r="AE2456" s="145"/>
      <x:c r="AF2456" s="145"/>
      <x:c r="AG2456" s="145"/>
      <x:c r="AH2456" s="145"/>
      <x:c r="AI2456" s="145"/>
      <x:c r="AJ2456"/>
    </x:row>
    <x:row r="2457">
      <x:c r="F2457" s="124"/>
      <x:c r="G2457" s="124"/>
      <x:c r="H2457" s="124"/>
      <x:c r="I2457" s="124"/>
      <x:c r="J2457" s="124"/>
      <x:c r="M2457" s="126"/>
      <x:c r="P2457" s="126"/>
      <x:c r="Q2457" s="126"/>
      <x:c r="R2457" s="126"/>
      <x:c r="S2457" s="124"/>
      <x:c r="T2457" s="124"/>
      <x:c r="U2457" s="124"/>
      <x:c r="V2457" s="124"/>
      <x:c r="W2457" s="124"/>
      <x:c r="X2457" s="124"/>
      <x:c r="AD2457"/>
      <x:c r="AE2457" s="145"/>
      <x:c r="AF2457" s="145"/>
      <x:c r="AG2457" s="145"/>
      <x:c r="AH2457" s="145"/>
      <x:c r="AI2457" s="145"/>
      <x:c r="AJ2457"/>
    </x:row>
    <x:row r="2458">
      <x:c r="F2458" s="124"/>
      <x:c r="G2458" s="124"/>
      <x:c r="H2458" s="124"/>
      <x:c r="I2458" s="124"/>
      <x:c r="J2458" s="124"/>
      <x:c r="M2458" s="126"/>
      <x:c r="P2458" s="126"/>
      <x:c r="Q2458" s="126"/>
      <x:c r="R2458" s="126"/>
      <x:c r="S2458" s="124"/>
      <x:c r="T2458" s="124"/>
      <x:c r="U2458" s="124"/>
      <x:c r="V2458" s="124"/>
      <x:c r="W2458" s="124"/>
      <x:c r="X2458" s="124"/>
      <x:c r="AD2458"/>
      <x:c r="AE2458" s="145"/>
      <x:c r="AF2458" s="145"/>
      <x:c r="AG2458" s="145"/>
      <x:c r="AH2458" s="145"/>
      <x:c r="AI2458" s="145"/>
      <x:c r="AJ2458"/>
    </x:row>
    <x:row r="2459">
      <x:c r="F2459" s="124"/>
      <x:c r="G2459" s="124"/>
      <x:c r="H2459" s="124"/>
      <x:c r="I2459" s="124"/>
      <x:c r="J2459" s="124"/>
      <x:c r="M2459" s="126"/>
      <x:c r="P2459" s="126"/>
      <x:c r="Q2459" s="126"/>
      <x:c r="R2459" s="126"/>
      <x:c r="S2459" s="124"/>
      <x:c r="T2459" s="124"/>
      <x:c r="U2459" s="124"/>
      <x:c r="V2459" s="124"/>
      <x:c r="W2459" s="124"/>
      <x:c r="X2459" s="124"/>
      <x:c r="AD2459"/>
      <x:c r="AE2459" s="145"/>
      <x:c r="AF2459" s="145"/>
      <x:c r="AG2459" s="145"/>
      <x:c r="AH2459" s="145"/>
      <x:c r="AI2459" s="145"/>
      <x:c r="AJ2459"/>
    </x:row>
    <x:row r="2460">
      <x:c r="F2460" s="124"/>
      <x:c r="G2460" s="124"/>
      <x:c r="H2460" s="124"/>
      <x:c r="I2460" s="124"/>
      <x:c r="J2460" s="124"/>
      <x:c r="M2460" s="126"/>
      <x:c r="P2460" s="126"/>
      <x:c r="Q2460" s="126"/>
      <x:c r="R2460" s="126"/>
      <x:c r="S2460" s="124"/>
      <x:c r="T2460" s="124"/>
      <x:c r="U2460" s="124"/>
      <x:c r="V2460" s="124"/>
      <x:c r="W2460" s="124"/>
      <x:c r="X2460" s="124"/>
      <x:c r="AD2460"/>
      <x:c r="AE2460" s="145"/>
      <x:c r="AF2460" s="145"/>
      <x:c r="AG2460" s="145"/>
      <x:c r="AH2460" s="145"/>
      <x:c r="AI2460" s="145"/>
      <x:c r="AJ2460"/>
    </x:row>
    <x:row r="2461">
      <x:c r="F2461" s="124"/>
      <x:c r="G2461" s="124"/>
      <x:c r="H2461" s="124"/>
      <x:c r="I2461" s="124"/>
      <x:c r="J2461" s="124"/>
      <x:c r="M2461" s="126"/>
      <x:c r="P2461" s="126"/>
      <x:c r="Q2461" s="126"/>
      <x:c r="R2461" s="126"/>
      <x:c r="S2461" s="124"/>
      <x:c r="T2461" s="124"/>
      <x:c r="U2461" s="124"/>
      <x:c r="V2461" s="124"/>
      <x:c r="W2461" s="124"/>
      <x:c r="X2461" s="124"/>
      <x:c r="AD2461"/>
      <x:c r="AE2461" s="145"/>
      <x:c r="AF2461" s="145"/>
      <x:c r="AG2461" s="145"/>
      <x:c r="AH2461" s="145"/>
      <x:c r="AI2461" s="145"/>
      <x:c r="AJ2461"/>
    </x:row>
    <x:row r="2462">
      <x:c r="F2462" s="124"/>
      <x:c r="G2462" s="124"/>
      <x:c r="H2462" s="124"/>
      <x:c r="I2462" s="124"/>
      <x:c r="J2462" s="124"/>
      <x:c r="M2462" s="126"/>
      <x:c r="P2462" s="126"/>
      <x:c r="Q2462" s="126"/>
      <x:c r="R2462" s="126"/>
      <x:c r="S2462" s="124"/>
      <x:c r="T2462" s="124"/>
      <x:c r="U2462" s="124"/>
      <x:c r="V2462" s="124"/>
      <x:c r="W2462" s="124"/>
      <x:c r="X2462" s="124"/>
      <x:c r="AD2462"/>
      <x:c r="AE2462" s="145"/>
      <x:c r="AF2462" s="145"/>
      <x:c r="AG2462" s="145"/>
      <x:c r="AH2462" s="145"/>
      <x:c r="AI2462" s="145"/>
      <x:c r="AJ2462"/>
    </x:row>
    <x:row r="2463">
      <x:c r="F2463" s="124"/>
      <x:c r="G2463" s="124"/>
      <x:c r="H2463" s="124"/>
      <x:c r="I2463" s="124"/>
      <x:c r="J2463" s="124"/>
      <x:c r="M2463" s="126"/>
      <x:c r="P2463" s="126"/>
      <x:c r="Q2463" s="126"/>
      <x:c r="R2463" s="126"/>
      <x:c r="S2463" s="124"/>
      <x:c r="T2463" s="124"/>
      <x:c r="U2463" s="124"/>
      <x:c r="V2463" s="124"/>
      <x:c r="W2463" s="124"/>
      <x:c r="X2463" s="124"/>
      <x:c r="AD2463"/>
      <x:c r="AE2463" s="145"/>
      <x:c r="AF2463" s="145"/>
      <x:c r="AG2463" s="145"/>
      <x:c r="AH2463" s="145"/>
      <x:c r="AI2463" s="145"/>
      <x:c r="AJ2463"/>
    </x:row>
    <x:row r="2464">
      <x:c r="F2464" s="124"/>
      <x:c r="G2464" s="124"/>
      <x:c r="H2464" s="124"/>
      <x:c r="I2464" s="124"/>
      <x:c r="J2464" s="124"/>
      <x:c r="M2464" s="126"/>
      <x:c r="P2464" s="126"/>
      <x:c r="Q2464" s="126"/>
      <x:c r="R2464" s="126"/>
      <x:c r="S2464" s="124"/>
      <x:c r="T2464" s="124"/>
      <x:c r="U2464" s="124"/>
      <x:c r="V2464" s="124"/>
      <x:c r="W2464" s="124"/>
      <x:c r="X2464" s="124"/>
      <x:c r="AD2464"/>
      <x:c r="AE2464" s="145"/>
      <x:c r="AF2464" s="145"/>
      <x:c r="AG2464" s="145"/>
      <x:c r="AH2464" s="145"/>
      <x:c r="AI2464" s="145"/>
      <x:c r="AJ2464"/>
    </x:row>
    <x:row r="2465">
      <x:c r="F2465" s="124"/>
      <x:c r="G2465" s="124"/>
      <x:c r="H2465" s="124"/>
      <x:c r="I2465" s="124"/>
      <x:c r="J2465" s="124"/>
      <x:c r="M2465" s="126"/>
      <x:c r="P2465" s="126"/>
      <x:c r="Q2465" s="126"/>
      <x:c r="R2465" s="126"/>
      <x:c r="S2465" s="124"/>
      <x:c r="T2465" s="124"/>
      <x:c r="U2465" s="124"/>
      <x:c r="V2465" s="124"/>
      <x:c r="W2465" s="124"/>
      <x:c r="X2465" s="124"/>
      <x:c r="AD2465"/>
      <x:c r="AE2465" s="145"/>
      <x:c r="AF2465" s="145"/>
      <x:c r="AG2465" s="145"/>
      <x:c r="AH2465" s="145"/>
      <x:c r="AI2465" s="145"/>
      <x:c r="AJ2465"/>
    </x:row>
    <x:row r="2466">
      <x:c r="F2466" s="124"/>
      <x:c r="G2466" s="124"/>
      <x:c r="H2466" s="124"/>
      <x:c r="I2466" s="124"/>
      <x:c r="J2466" s="124"/>
      <x:c r="M2466" s="126"/>
      <x:c r="P2466" s="126"/>
      <x:c r="Q2466" s="126"/>
      <x:c r="R2466" s="126"/>
      <x:c r="S2466" s="124"/>
      <x:c r="T2466" s="124"/>
      <x:c r="U2466" s="124"/>
      <x:c r="V2466" s="124"/>
      <x:c r="W2466" s="124"/>
      <x:c r="X2466" s="124"/>
      <x:c r="AD2466"/>
      <x:c r="AE2466" s="145"/>
      <x:c r="AF2466" s="145"/>
      <x:c r="AG2466" s="145"/>
      <x:c r="AH2466" s="145"/>
      <x:c r="AI2466" s="145"/>
      <x:c r="AJ2466"/>
    </x:row>
    <x:row r="2467">
      <x:c r="F2467" s="124"/>
      <x:c r="G2467" s="124"/>
      <x:c r="H2467" s="124"/>
      <x:c r="I2467" s="124"/>
      <x:c r="J2467" s="124"/>
      <x:c r="M2467" s="126"/>
      <x:c r="P2467" s="126"/>
      <x:c r="Q2467" s="126"/>
      <x:c r="R2467" s="126"/>
      <x:c r="S2467" s="124"/>
      <x:c r="T2467" s="124"/>
      <x:c r="U2467" s="124"/>
      <x:c r="V2467" s="124"/>
      <x:c r="W2467" s="124"/>
      <x:c r="X2467" s="124"/>
      <x:c r="AD2467"/>
      <x:c r="AE2467" s="145"/>
      <x:c r="AF2467" s="145"/>
      <x:c r="AG2467" s="145"/>
      <x:c r="AH2467" s="145"/>
      <x:c r="AI2467" s="145"/>
      <x:c r="AJ2467"/>
    </x:row>
    <x:row r="2468">
      <x:c r="F2468" s="124"/>
      <x:c r="G2468" s="124"/>
      <x:c r="H2468" s="124"/>
      <x:c r="I2468" s="124"/>
      <x:c r="J2468" s="124"/>
      <x:c r="M2468" s="126"/>
      <x:c r="P2468" s="126"/>
      <x:c r="Q2468" s="126"/>
      <x:c r="R2468" s="126"/>
      <x:c r="S2468" s="124"/>
      <x:c r="T2468" s="124"/>
      <x:c r="U2468" s="124"/>
      <x:c r="V2468" s="124"/>
      <x:c r="W2468" s="124"/>
      <x:c r="X2468" s="124"/>
      <x:c r="AD2468"/>
      <x:c r="AE2468" s="145"/>
      <x:c r="AF2468" s="145"/>
      <x:c r="AG2468" s="145"/>
      <x:c r="AH2468" s="145"/>
      <x:c r="AI2468" s="145"/>
      <x:c r="AJ2468"/>
    </x:row>
    <x:row r="2469">
      <x:c r="F2469" s="124"/>
      <x:c r="G2469" s="124"/>
      <x:c r="H2469" s="124"/>
      <x:c r="I2469" s="124"/>
      <x:c r="J2469" s="124"/>
      <x:c r="M2469" s="126"/>
      <x:c r="P2469" s="126"/>
      <x:c r="Q2469" s="126"/>
      <x:c r="R2469" s="126"/>
      <x:c r="S2469" s="124"/>
      <x:c r="T2469" s="124"/>
      <x:c r="U2469" s="124"/>
      <x:c r="V2469" s="124"/>
      <x:c r="W2469" s="124"/>
      <x:c r="X2469" s="124"/>
      <x:c r="AD2469"/>
      <x:c r="AE2469" s="145"/>
      <x:c r="AF2469" s="145"/>
      <x:c r="AG2469" s="145"/>
      <x:c r="AH2469" s="145"/>
      <x:c r="AI2469" s="145"/>
      <x:c r="AJ2469"/>
    </x:row>
    <x:row r="2470">
      <x:c r="F2470" s="124"/>
      <x:c r="G2470" s="124"/>
      <x:c r="H2470" s="124"/>
      <x:c r="I2470" s="124"/>
      <x:c r="J2470" s="124"/>
      <x:c r="M2470" s="126"/>
      <x:c r="P2470" s="126"/>
      <x:c r="Q2470" s="126"/>
      <x:c r="R2470" s="126"/>
      <x:c r="S2470" s="124"/>
      <x:c r="T2470" s="124"/>
      <x:c r="U2470" s="124"/>
      <x:c r="V2470" s="124"/>
      <x:c r="W2470" s="124"/>
      <x:c r="X2470" s="124"/>
      <x:c r="AD2470"/>
      <x:c r="AE2470" s="145"/>
      <x:c r="AF2470" s="145"/>
      <x:c r="AG2470" s="145"/>
      <x:c r="AH2470" s="145"/>
      <x:c r="AI2470" s="145"/>
      <x:c r="AJ2470"/>
    </x:row>
    <x:row r="2471">
      <x:c r="F2471" s="124"/>
      <x:c r="G2471" s="124"/>
      <x:c r="H2471" s="124"/>
      <x:c r="I2471" s="124"/>
      <x:c r="J2471" s="124"/>
      <x:c r="M2471" s="126"/>
      <x:c r="P2471" s="126"/>
      <x:c r="Q2471" s="126"/>
      <x:c r="R2471" s="126"/>
      <x:c r="S2471" s="124"/>
      <x:c r="T2471" s="124"/>
      <x:c r="U2471" s="124"/>
      <x:c r="V2471" s="124"/>
      <x:c r="W2471" s="124"/>
      <x:c r="X2471" s="124"/>
      <x:c r="AD2471"/>
      <x:c r="AE2471" s="145"/>
      <x:c r="AF2471" s="145"/>
      <x:c r="AG2471" s="145"/>
      <x:c r="AH2471" s="145"/>
      <x:c r="AI2471" s="145"/>
      <x:c r="AJ2471"/>
    </x:row>
    <x:row r="2472">
      <x:c r="F2472" s="124"/>
      <x:c r="G2472" s="124"/>
      <x:c r="H2472" s="124"/>
      <x:c r="I2472" s="124"/>
      <x:c r="J2472" s="124"/>
      <x:c r="M2472" s="126"/>
      <x:c r="P2472" s="126"/>
      <x:c r="Q2472" s="126"/>
      <x:c r="R2472" s="126"/>
      <x:c r="S2472" s="124"/>
      <x:c r="T2472" s="124"/>
      <x:c r="U2472" s="124"/>
      <x:c r="V2472" s="124"/>
      <x:c r="W2472" s="124"/>
      <x:c r="X2472" s="124"/>
      <x:c r="AD2472"/>
      <x:c r="AE2472" s="145"/>
      <x:c r="AF2472" s="145"/>
      <x:c r="AG2472" s="145"/>
      <x:c r="AH2472" s="145"/>
      <x:c r="AI2472" s="145"/>
      <x:c r="AJ2472"/>
    </x:row>
    <x:row r="2473">
      <x:c r="F2473" s="124"/>
      <x:c r="G2473" s="124"/>
      <x:c r="H2473" s="124"/>
      <x:c r="I2473" s="124"/>
      <x:c r="J2473" s="124"/>
      <x:c r="M2473" s="126"/>
      <x:c r="P2473" s="126"/>
      <x:c r="Q2473" s="126"/>
      <x:c r="R2473" s="126"/>
      <x:c r="S2473" s="124"/>
      <x:c r="T2473" s="124"/>
      <x:c r="U2473" s="124"/>
      <x:c r="V2473" s="124"/>
      <x:c r="W2473" s="124"/>
      <x:c r="X2473" s="124"/>
      <x:c r="AD2473"/>
      <x:c r="AE2473" s="145"/>
      <x:c r="AF2473" s="145"/>
      <x:c r="AG2473" s="145"/>
      <x:c r="AH2473" s="145"/>
      <x:c r="AI2473" s="145"/>
      <x:c r="AJ2473"/>
    </x:row>
    <x:row r="2474">
      <x:c r="F2474" s="124"/>
      <x:c r="G2474" s="124"/>
      <x:c r="H2474" s="124"/>
      <x:c r="I2474" s="124"/>
      <x:c r="J2474" s="124"/>
      <x:c r="M2474" s="126"/>
      <x:c r="P2474" s="126"/>
      <x:c r="Q2474" s="126"/>
      <x:c r="R2474" s="126"/>
      <x:c r="S2474" s="124"/>
      <x:c r="T2474" s="124"/>
      <x:c r="U2474" s="124"/>
      <x:c r="V2474" s="124"/>
      <x:c r="W2474" s="124"/>
      <x:c r="X2474" s="124"/>
      <x:c r="AD2474"/>
      <x:c r="AE2474" s="145"/>
      <x:c r="AF2474" s="145"/>
      <x:c r="AG2474" s="145"/>
      <x:c r="AH2474" s="145"/>
      <x:c r="AI2474" s="145"/>
      <x:c r="AJ2474"/>
    </x:row>
    <x:row r="2475">
      <x:c r="F2475" s="124"/>
      <x:c r="G2475" s="124"/>
      <x:c r="H2475" s="124"/>
      <x:c r="I2475" s="124"/>
      <x:c r="J2475" s="124"/>
      <x:c r="M2475" s="126"/>
      <x:c r="P2475" s="126"/>
      <x:c r="Q2475" s="126"/>
      <x:c r="R2475" s="126"/>
      <x:c r="S2475" s="124"/>
      <x:c r="T2475" s="124"/>
      <x:c r="U2475" s="124"/>
      <x:c r="V2475" s="124"/>
      <x:c r="W2475" s="124"/>
      <x:c r="X2475" s="124"/>
      <x:c r="AD2475"/>
      <x:c r="AE2475" s="145"/>
      <x:c r="AF2475" s="145"/>
      <x:c r="AG2475" s="145"/>
      <x:c r="AH2475" s="145"/>
      <x:c r="AI2475" s="145"/>
      <x:c r="AJ2475"/>
    </x:row>
    <x:row r="2476">
      <x:c r="F2476" s="124"/>
      <x:c r="G2476" s="124"/>
      <x:c r="H2476" s="124"/>
      <x:c r="I2476" s="124"/>
      <x:c r="J2476" s="124"/>
      <x:c r="M2476" s="126"/>
      <x:c r="P2476" s="126"/>
      <x:c r="Q2476" s="126"/>
      <x:c r="R2476" s="126"/>
      <x:c r="S2476" s="124"/>
      <x:c r="T2476" s="124"/>
      <x:c r="U2476" s="124"/>
      <x:c r="V2476" s="124"/>
      <x:c r="W2476" s="124"/>
      <x:c r="X2476" s="124"/>
      <x:c r="AD2476"/>
      <x:c r="AE2476" s="145"/>
      <x:c r="AF2476" s="145"/>
      <x:c r="AG2476" s="145"/>
      <x:c r="AH2476" s="145"/>
      <x:c r="AI2476" s="145"/>
      <x:c r="AJ2476"/>
    </x:row>
    <x:row r="2477">
      <x:c r="F2477" s="124"/>
      <x:c r="G2477" s="124"/>
      <x:c r="H2477" s="124"/>
      <x:c r="I2477" s="124"/>
      <x:c r="J2477" s="124"/>
      <x:c r="M2477" s="126"/>
      <x:c r="P2477" s="126"/>
      <x:c r="Q2477" s="126"/>
      <x:c r="R2477" s="126"/>
      <x:c r="S2477" s="124"/>
      <x:c r="T2477" s="124"/>
      <x:c r="U2477" s="124"/>
      <x:c r="V2477" s="124"/>
      <x:c r="W2477" s="124"/>
      <x:c r="X2477" s="124"/>
      <x:c r="AD2477"/>
      <x:c r="AE2477" s="145"/>
      <x:c r="AF2477" s="145"/>
      <x:c r="AG2477" s="145"/>
      <x:c r="AH2477" s="145"/>
      <x:c r="AI2477" s="145"/>
      <x:c r="AJ2477"/>
    </x:row>
    <x:row r="2478">
      <x:c r="F2478" s="124"/>
      <x:c r="G2478" s="124"/>
      <x:c r="H2478" s="124"/>
      <x:c r="I2478" s="124"/>
      <x:c r="J2478" s="124"/>
      <x:c r="M2478" s="126"/>
      <x:c r="P2478" s="126"/>
      <x:c r="Q2478" s="126"/>
      <x:c r="R2478" s="126"/>
      <x:c r="S2478" s="124"/>
      <x:c r="T2478" s="124"/>
      <x:c r="U2478" s="124"/>
      <x:c r="V2478" s="124"/>
      <x:c r="W2478" s="124"/>
      <x:c r="X2478" s="124"/>
      <x:c r="AD2478"/>
      <x:c r="AE2478" s="145"/>
      <x:c r="AF2478" s="145"/>
      <x:c r="AG2478" s="145"/>
      <x:c r="AH2478" s="145"/>
      <x:c r="AI2478" s="145"/>
      <x:c r="AJ2478"/>
    </x:row>
    <x:row r="2479">
      <x:c r="F2479" s="124"/>
      <x:c r="G2479" s="124"/>
      <x:c r="H2479" s="124"/>
      <x:c r="I2479" s="124"/>
      <x:c r="J2479" s="124"/>
      <x:c r="M2479" s="126"/>
      <x:c r="P2479" s="126"/>
      <x:c r="Q2479" s="126"/>
      <x:c r="R2479" s="126"/>
      <x:c r="S2479" s="124"/>
      <x:c r="T2479" s="124"/>
      <x:c r="U2479" s="124"/>
      <x:c r="V2479" s="124"/>
      <x:c r="W2479" s="124"/>
      <x:c r="X2479" s="124"/>
      <x:c r="AD2479"/>
      <x:c r="AE2479" s="145"/>
      <x:c r="AF2479" s="145"/>
      <x:c r="AG2479" s="145"/>
      <x:c r="AH2479" s="145"/>
      <x:c r="AI2479" s="145"/>
      <x:c r="AJ2479"/>
    </x:row>
    <x:row r="2480">
      <x:c r="F2480" s="124"/>
      <x:c r="G2480" s="124"/>
      <x:c r="H2480" s="124"/>
      <x:c r="I2480" s="124"/>
      <x:c r="J2480" s="124"/>
      <x:c r="M2480" s="126"/>
      <x:c r="P2480" s="126"/>
      <x:c r="Q2480" s="126"/>
      <x:c r="R2480" s="126"/>
      <x:c r="S2480" s="124"/>
      <x:c r="T2480" s="124"/>
      <x:c r="U2480" s="124"/>
      <x:c r="V2480" s="124"/>
      <x:c r="W2480" s="124"/>
      <x:c r="X2480" s="124"/>
      <x:c r="AD2480"/>
      <x:c r="AE2480" s="145"/>
      <x:c r="AF2480" s="145"/>
      <x:c r="AG2480" s="145"/>
      <x:c r="AH2480" s="145"/>
      <x:c r="AI2480" s="145"/>
      <x:c r="AJ2480"/>
    </x:row>
    <x:row r="2481">
      <x:c r="F2481" s="124"/>
      <x:c r="G2481" s="124"/>
      <x:c r="H2481" s="124"/>
      <x:c r="I2481" s="124"/>
      <x:c r="J2481" s="124"/>
      <x:c r="M2481" s="126"/>
      <x:c r="P2481" s="126"/>
      <x:c r="Q2481" s="126"/>
      <x:c r="R2481" s="126"/>
      <x:c r="S2481" s="124"/>
      <x:c r="T2481" s="124"/>
      <x:c r="U2481" s="124"/>
      <x:c r="V2481" s="124"/>
      <x:c r="W2481" s="124"/>
      <x:c r="X2481" s="124"/>
      <x:c r="AD2481"/>
      <x:c r="AE2481" s="145"/>
      <x:c r="AF2481" s="145"/>
      <x:c r="AG2481" s="145"/>
      <x:c r="AH2481" s="145"/>
      <x:c r="AI2481" s="145"/>
      <x:c r="AJ2481"/>
    </x:row>
    <x:row r="2482">
      <x:c r="F2482" s="124"/>
      <x:c r="G2482" s="124"/>
      <x:c r="H2482" s="124"/>
      <x:c r="I2482" s="124"/>
      <x:c r="J2482" s="124"/>
      <x:c r="M2482" s="126"/>
      <x:c r="P2482" s="126"/>
      <x:c r="Q2482" s="126"/>
      <x:c r="R2482" s="126"/>
      <x:c r="S2482" s="124"/>
      <x:c r="T2482" s="124"/>
      <x:c r="U2482" s="124"/>
      <x:c r="V2482" s="124"/>
      <x:c r="W2482" s="124"/>
      <x:c r="X2482" s="124"/>
      <x:c r="AD2482"/>
      <x:c r="AE2482" s="145"/>
      <x:c r="AF2482" s="145"/>
      <x:c r="AG2482" s="145"/>
      <x:c r="AH2482" s="145"/>
      <x:c r="AI2482" s="145"/>
      <x:c r="AJ2482"/>
    </x:row>
    <x:row r="2483">
      <x:c r="F2483" s="124"/>
      <x:c r="G2483" s="124"/>
      <x:c r="H2483" s="124"/>
      <x:c r="I2483" s="124"/>
      <x:c r="J2483" s="124"/>
      <x:c r="M2483" s="126"/>
      <x:c r="P2483" s="126"/>
      <x:c r="Q2483" s="126"/>
      <x:c r="R2483" s="126"/>
      <x:c r="S2483" s="124"/>
      <x:c r="T2483" s="124"/>
      <x:c r="U2483" s="124"/>
      <x:c r="V2483" s="124"/>
      <x:c r="W2483" s="124"/>
      <x:c r="X2483" s="124"/>
      <x:c r="AD2483"/>
      <x:c r="AE2483" s="145"/>
      <x:c r="AF2483" s="145"/>
      <x:c r="AG2483" s="145"/>
      <x:c r="AH2483" s="145"/>
      <x:c r="AI2483" s="145"/>
      <x:c r="AJ2483"/>
    </x:row>
    <x:row r="2484">
      <x:c r="F2484" s="124"/>
      <x:c r="G2484" s="124"/>
      <x:c r="H2484" s="124"/>
      <x:c r="I2484" s="124"/>
      <x:c r="J2484" s="124"/>
      <x:c r="M2484" s="126"/>
      <x:c r="P2484" s="126"/>
      <x:c r="Q2484" s="126"/>
      <x:c r="R2484" s="126"/>
      <x:c r="S2484" s="124"/>
      <x:c r="T2484" s="124"/>
      <x:c r="U2484" s="124"/>
      <x:c r="V2484" s="124"/>
      <x:c r="W2484" s="124"/>
      <x:c r="X2484" s="124"/>
      <x:c r="AD2484"/>
      <x:c r="AE2484" s="145"/>
      <x:c r="AF2484" s="145"/>
      <x:c r="AG2484" s="145"/>
      <x:c r="AH2484" s="145"/>
      <x:c r="AI2484" s="145"/>
      <x:c r="AJ2484"/>
    </x:row>
    <x:row r="2485">
      <x:c r="F2485" s="124"/>
      <x:c r="G2485" s="124"/>
      <x:c r="H2485" s="124"/>
      <x:c r="I2485" s="124"/>
      <x:c r="J2485" s="124"/>
      <x:c r="M2485" s="126"/>
      <x:c r="P2485" s="126"/>
      <x:c r="Q2485" s="126"/>
      <x:c r="R2485" s="126"/>
      <x:c r="S2485" s="124"/>
      <x:c r="T2485" s="124"/>
      <x:c r="U2485" s="124"/>
      <x:c r="V2485" s="124"/>
      <x:c r="W2485" s="124"/>
      <x:c r="X2485" s="124"/>
      <x:c r="AD2485"/>
      <x:c r="AE2485" s="145"/>
      <x:c r="AF2485" s="145"/>
      <x:c r="AG2485" s="145"/>
      <x:c r="AH2485" s="145"/>
      <x:c r="AI2485" s="145"/>
      <x:c r="AJ2485"/>
    </x:row>
    <x:row r="2486">
      <x:c r="F2486" s="124"/>
      <x:c r="G2486" s="124"/>
      <x:c r="H2486" s="124"/>
      <x:c r="I2486" s="124"/>
      <x:c r="J2486" s="124"/>
      <x:c r="M2486" s="126"/>
      <x:c r="P2486" s="126"/>
      <x:c r="Q2486" s="126"/>
      <x:c r="R2486" s="126"/>
      <x:c r="S2486" s="124"/>
      <x:c r="T2486" s="124"/>
      <x:c r="U2486" s="124"/>
      <x:c r="V2486" s="124"/>
      <x:c r="W2486" s="124"/>
      <x:c r="X2486" s="124"/>
      <x:c r="AD2486"/>
      <x:c r="AE2486" s="145"/>
      <x:c r="AF2486" s="145"/>
      <x:c r="AG2486" s="145"/>
      <x:c r="AH2486" s="145"/>
      <x:c r="AI2486" s="145"/>
      <x:c r="AJ2486"/>
    </x:row>
    <x:row r="2487">
      <x:c r="F2487" s="124"/>
      <x:c r="G2487" s="124"/>
      <x:c r="H2487" s="124"/>
      <x:c r="I2487" s="124"/>
      <x:c r="J2487" s="124"/>
      <x:c r="M2487" s="126"/>
      <x:c r="P2487" s="126"/>
      <x:c r="Q2487" s="126"/>
      <x:c r="R2487" s="126"/>
      <x:c r="S2487" s="124"/>
      <x:c r="T2487" s="124"/>
      <x:c r="U2487" s="124"/>
      <x:c r="V2487" s="124"/>
      <x:c r="W2487" s="124"/>
      <x:c r="X2487" s="124"/>
      <x:c r="AD2487"/>
      <x:c r="AE2487" s="145"/>
      <x:c r="AF2487" s="145"/>
      <x:c r="AG2487" s="145"/>
      <x:c r="AH2487" s="145"/>
      <x:c r="AI2487" s="145"/>
      <x:c r="AJ2487"/>
    </x:row>
    <x:row r="2488">
      <x:c r="F2488" s="124"/>
      <x:c r="G2488" s="124"/>
      <x:c r="H2488" s="124"/>
      <x:c r="I2488" s="124"/>
      <x:c r="J2488" s="124"/>
      <x:c r="M2488" s="126"/>
      <x:c r="P2488" s="126"/>
      <x:c r="Q2488" s="126"/>
      <x:c r="R2488" s="126"/>
      <x:c r="S2488" s="124"/>
      <x:c r="T2488" s="124"/>
      <x:c r="U2488" s="124"/>
      <x:c r="V2488" s="124"/>
      <x:c r="W2488" s="124"/>
      <x:c r="X2488" s="124"/>
      <x:c r="AD2488"/>
      <x:c r="AE2488" s="145"/>
      <x:c r="AF2488" s="145"/>
      <x:c r="AG2488" s="145"/>
      <x:c r="AH2488" s="145"/>
      <x:c r="AI2488" s="145"/>
      <x:c r="AJ2488"/>
    </x:row>
    <x:row r="2489">
      <x:c r="F2489" s="124"/>
      <x:c r="G2489" s="124"/>
      <x:c r="H2489" s="124"/>
      <x:c r="I2489" s="124"/>
      <x:c r="J2489" s="124"/>
      <x:c r="M2489" s="126"/>
      <x:c r="P2489" s="126"/>
      <x:c r="Q2489" s="126"/>
      <x:c r="R2489" s="126"/>
      <x:c r="S2489" s="124"/>
      <x:c r="T2489" s="124"/>
      <x:c r="U2489" s="124"/>
      <x:c r="V2489" s="124"/>
      <x:c r="W2489" s="124"/>
      <x:c r="X2489" s="124"/>
      <x:c r="AD2489"/>
      <x:c r="AE2489" s="145"/>
      <x:c r="AF2489" s="145"/>
      <x:c r="AG2489" s="145"/>
      <x:c r="AH2489" s="145"/>
      <x:c r="AI2489" s="145"/>
      <x:c r="AJ2489"/>
    </x:row>
    <x:row r="2490">
      <x:c r="F2490" s="124"/>
      <x:c r="G2490" s="124"/>
      <x:c r="H2490" s="124"/>
      <x:c r="I2490" s="124"/>
      <x:c r="J2490" s="124"/>
      <x:c r="M2490" s="126"/>
      <x:c r="P2490" s="126"/>
      <x:c r="Q2490" s="126"/>
      <x:c r="R2490" s="126"/>
      <x:c r="S2490" s="124"/>
      <x:c r="T2490" s="124"/>
      <x:c r="U2490" s="124"/>
      <x:c r="V2490" s="124"/>
      <x:c r="W2490" s="124"/>
      <x:c r="X2490" s="124"/>
      <x:c r="AD2490"/>
      <x:c r="AE2490" s="145"/>
      <x:c r="AF2490" s="145"/>
      <x:c r="AG2490" s="145"/>
      <x:c r="AH2490" s="145"/>
      <x:c r="AI2490" s="145"/>
      <x:c r="AJ2490"/>
    </x:row>
    <x:row r="2491">
      <x:c r="F2491" s="124"/>
      <x:c r="G2491" s="124"/>
      <x:c r="H2491" s="124"/>
      <x:c r="I2491" s="124"/>
      <x:c r="J2491" s="124"/>
      <x:c r="M2491" s="126"/>
      <x:c r="P2491" s="126"/>
      <x:c r="Q2491" s="126"/>
      <x:c r="R2491" s="126"/>
      <x:c r="S2491" s="124"/>
      <x:c r="T2491" s="124"/>
      <x:c r="U2491" s="124"/>
      <x:c r="V2491" s="124"/>
      <x:c r="W2491" s="124"/>
      <x:c r="X2491" s="124"/>
      <x:c r="AD2491"/>
      <x:c r="AE2491" s="145"/>
      <x:c r="AF2491" s="145"/>
      <x:c r="AG2491" s="145"/>
      <x:c r="AH2491" s="145"/>
      <x:c r="AI2491" s="145"/>
      <x:c r="AJ2491"/>
    </x:row>
    <x:row r="2492">
      <x:c r="F2492" s="124"/>
      <x:c r="G2492" s="124"/>
      <x:c r="H2492" s="124"/>
      <x:c r="I2492" s="124"/>
      <x:c r="J2492" s="124"/>
      <x:c r="M2492" s="126"/>
      <x:c r="P2492" s="126"/>
      <x:c r="Q2492" s="126"/>
      <x:c r="R2492" s="126"/>
      <x:c r="S2492" s="124"/>
      <x:c r="T2492" s="124"/>
      <x:c r="U2492" s="124"/>
      <x:c r="V2492" s="124"/>
      <x:c r="W2492" s="124"/>
      <x:c r="X2492" s="124"/>
      <x:c r="AD2492"/>
      <x:c r="AE2492" s="145"/>
      <x:c r="AF2492" s="145"/>
      <x:c r="AG2492" s="145"/>
      <x:c r="AH2492" s="145"/>
      <x:c r="AI2492" s="145"/>
      <x:c r="AJ2492"/>
    </x:row>
    <x:row r="2493">
      <x:c r="F2493" s="124"/>
      <x:c r="G2493" s="124"/>
      <x:c r="H2493" s="124"/>
      <x:c r="I2493" s="124"/>
      <x:c r="J2493" s="124"/>
      <x:c r="M2493" s="126"/>
      <x:c r="P2493" s="126"/>
      <x:c r="Q2493" s="126"/>
      <x:c r="R2493" s="126"/>
      <x:c r="S2493" s="124"/>
      <x:c r="T2493" s="124"/>
      <x:c r="U2493" s="124"/>
      <x:c r="V2493" s="124"/>
      <x:c r="W2493" s="124"/>
      <x:c r="X2493" s="124"/>
      <x:c r="AD2493"/>
      <x:c r="AE2493" s="145"/>
      <x:c r="AF2493" s="145"/>
      <x:c r="AG2493" s="145"/>
      <x:c r="AH2493" s="145"/>
      <x:c r="AI2493" s="145"/>
      <x:c r="AJ2493"/>
    </x:row>
    <x:row r="2494">
      <x:c r="F2494" s="124"/>
      <x:c r="G2494" s="124"/>
      <x:c r="H2494" s="124"/>
      <x:c r="I2494" s="124"/>
      <x:c r="J2494" s="124"/>
      <x:c r="M2494" s="126"/>
      <x:c r="P2494" s="126"/>
      <x:c r="Q2494" s="126"/>
      <x:c r="R2494" s="126"/>
      <x:c r="S2494" s="124"/>
      <x:c r="T2494" s="124"/>
      <x:c r="U2494" s="124"/>
      <x:c r="V2494" s="124"/>
      <x:c r="W2494" s="124"/>
      <x:c r="X2494" s="124"/>
      <x:c r="AD2494"/>
      <x:c r="AE2494" s="145"/>
      <x:c r="AF2494" s="145"/>
      <x:c r="AG2494" s="145"/>
      <x:c r="AH2494" s="145"/>
      <x:c r="AI2494" s="145"/>
      <x:c r="AJ2494"/>
    </x:row>
    <x:row r="2495">
      <x:c r="F2495" s="124"/>
      <x:c r="G2495" s="124"/>
      <x:c r="H2495" s="124"/>
      <x:c r="I2495" s="124"/>
      <x:c r="J2495" s="124"/>
      <x:c r="M2495" s="126"/>
      <x:c r="P2495" s="126"/>
      <x:c r="Q2495" s="126"/>
      <x:c r="R2495" s="126"/>
      <x:c r="S2495" s="124"/>
      <x:c r="T2495" s="124"/>
      <x:c r="U2495" s="124"/>
      <x:c r="V2495" s="124"/>
      <x:c r="W2495" s="124"/>
      <x:c r="X2495" s="124"/>
      <x:c r="AD2495"/>
      <x:c r="AE2495" s="145"/>
      <x:c r="AF2495" s="145"/>
      <x:c r="AG2495" s="145"/>
      <x:c r="AH2495" s="145"/>
      <x:c r="AI2495" s="145"/>
      <x:c r="AJ2495"/>
    </x:row>
    <x:row r="2496">
      <x:c r="F2496" s="124"/>
      <x:c r="G2496" s="124"/>
      <x:c r="H2496" s="124"/>
      <x:c r="I2496" s="124"/>
      <x:c r="J2496" s="124"/>
      <x:c r="M2496" s="126"/>
      <x:c r="P2496" s="126"/>
      <x:c r="Q2496" s="126"/>
      <x:c r="R2496" s="126"/>
      <x:c r="S2496" s="124"/>
      <x:c r="T2496" s="124"/>
      <x:c r="U2496" s="124"/>
      <x:c r="V2496" s="124"/>
      <x:c r="W2496" s="124"/>
      <x:c r="X2496" s="124"/>
      <x:c r="AD2496"/>
      <x:c r="AE2496" s="145"/>
      <x:c r="AF2496" s="145"/>
      <x:c r="AG2496" s="145"/>
      <x:c r="AH2496" s="145"/>
      <x:c r="AI2496" s="145"/>
      <x:c r="AJ2496"/>
    </x:row>
    <x:row r="2497">
      <x:c r="F2497" s="124"/>
      <x:c r="G2497" s="124"/>
      <x:c r="H2497" s="124"/>
      <x:c r="I2497" s="124"/>
      <x:c r="J2497" s="124"/>
      <x:c r="M2497" s="126"/>
      <x:c r="P2497" s="126"/>
      <x:c r="Q2497" s="126"/>
      <x:c r="R2497" s="126"/>
      <x:c r="S2497" s="124"/>
      <x:c r="T2497" s="124"/>
      <x:c r="U2497" s="124"/>
      <x:c r="V2497" s="124"/>
      <x:c r="W2497" s="124"/>
      <x:c r="X2497" s="124"/>
      <x:c r="AD2497"/>
      <x:c r="AE2497" s="145"/>
      <x:c r="AF2497" s="145"/>
      <x:c r="AG2497" s="145"/>
      <x:c r="AH2497" s="145"/>
      <x:c r="AI2497" s="145"/>
      <x:c r="AJ2497"/>
    </x:row>
    <x:row r="2498">
      <x:c r="F2498" s="124"/>
      <x:c r="G2498" s="124"/>
      <x:c r="H2498" s="124"/>
      <x:c r="I2498" s="124"/>
      <x:c r="J2498" s="124"/>
      <x:c r="M2498" s="126"/>
      <x:c r="P2498" s="126"/>
      <x:c r="Q2498" s="126"/>
      <x:c r="R2498" s="126"/>
      <x:c r="S2498" s="124"/>
      <x:c r="T2498" s="124"/>
      <x:c r="U2498" s="124"/>
      <x:c r="V2498" s="124"/>
      <x:c r="W2498" s="124"/>
      <x:c r="X2498" s="124"/>
      <x:c r="AD2498"/>
      <x:c r="AE2498" s="145"/>
      <x:c r="AF2498" s="145"/>
      <x:c r="AG2498" s="145"/>
      <x:c r="AH2498" s="145"/>
      <x:c r="AI2498" s="145"/>
      <x:c r="AJ2498"/>
    </x:row>
    <x:row r="2499">
      <x:c r="F2499" s="124"/>
      <x:c r="G2499" s="124"/>
      <x:c r="H2499" s="124"/>
      <x:c r="I2499" s="124"/>
      <x:c r="J2499" s="124"/>
      <x:c r="M2499" s="126"/>
      <x:c r="P2499" s="126"/>
      <x:c r="Q2499" s="126"/>
      <x:c r="R2499" s="126"/>
      <x:c r="S2499" s="124"/>
      <x:c r="T2499" s="124"/>
      <x:c r="U2499" s="124"/>
      <x:c r="V2499" s="124"/>
      <x:c r="W2499" s="124"/>
      <x:c r="X2499" s="124"/>
      <x:c r="AD2499"/>
      <x:c r="AE2499" s="145"/>
      <x:c r="AF2499" s="145"/>
      <x:c r="AG2499" s="145"/>
      <x:c r="AH2499" s="145"/>
      <x:c r="AI2499" s="145"/>
      <x:c r="AJ2499"/>
    </x:row>
    <x:row r="2500">
      <x:c r="F2500" s="124"/>
      <x:c r="G2500" s="124"/>
      <x:c r="H2500" s="124"/>
      <x:c r="I2500" s="124"/>
      <x:c r="J2500" s="124"/>
      <x:c r="M2500" s="126"/>
      <x:c r="P2500" s="126"/>
      <x:c r="Q2500" s="126"/>
      <x:c r="R2500" s="126"/>
      <x:c r="S2500" s="124"/>
      <x:c r="T2500" s="124"/>
      <x:c r="U2500" s="124"/>
      <x:c r="V2500" s="124"/>
      <x:c r="W2500" s="124"/>
      <x:c r="X2500" s="124"/>
      <x:c r="AD2500"/>
      <x:c r="AE2500" s="145"/>
      <x:c r="AF2500" s="145"/>
      <x:c r="AG2500" s="145"/>
      <x:c r="AH2500" s="145"/>
      <x:c r="AI2500" s="145"/>
      <x:c r="AJ2500"/>
    </x:row>
    <x:row r="2501">
      <x:c r="F2501" s="124"/>
      <x:c r="G2501" s="124"/>
      <x:c r="H2501" s="124"/>
      <x:c r="I2501" s="124"/>
      <x:c r="J2501" s="124"/>
      <x:c r="M2501" s="126"/>
      <x:c r="P2501" s="126"/>
      <x:c r="Q2501" s="126"/>
      <x:c r="R2501" s="126"/>
      <x:c r="S2501" s="124"/>
      <x:c r="T2501" s="124"/>
      <x:c r="U2501" s="124"/>
      <x:c r="V2501" s="124"/>
      <x:c r="W2501" s="124"/>
      <x:c r="X2501" s="124"/>
      <x:c r="AD2501"/>
      <x:c r="AE2501" s="145"/>
      <x:c r="AF2501" s="145"/>
      <x:c r="AG2501" s="145"/>
      <x:c r="AH2501" s="145"/>
      <x:c r="AI2501" s="145"/>
      <x:c r="AJ2501"/>
    </x:row>
    <x:row r="2502">
      <x:c r="F2502" s="124"/>
      <x:c r="G2502" s="124"/>
      <x:c r="H2502" s="124"/>
      <x:c r="I2502" s="124"/>
      <x:c r="J2502" s="124"/>
      <x:c r="M2502" s="126"/>
      <x:c r="P2502" s="126"/>
      <x:c r="Q2502" s="126"/>
      <x:c r="R2502" s="126"/>
      <x:c r="S2502" s="124"/>
      <x:c r="T2502" s="124"/>
      <x:c r="U2502" s="124"/>
      <x:c r="V2502" s="124"/>
      <x:c r="W2502" s="124"/>
      <x:c r="X2502" s="124"/>
      <x:c r="AD2502"/>
      <x:c r="AE2502" s="145"/>
      <x:c r="AF2502" s="145"/>
      <x:c r="AG2502" s="145"/>
      <x:c r="AH2502" s="145"/>
      <x:c r="AI2502" s="145"/>
      <x:c r="AJ2502"/>
    </x:row>
    <x:row r="2503">
      <x:c r="F2503" s="124"/>
      <x:c r="G2503" s="124"/>
      <x:c r="H2503" s="124"/>
      <x:c r="I2503" s="124"/>
      <x:c r="J2503" s="124"/>
      <x:c r="M2503" s="126"/>
      <x:c r="P2503" s="126"/>
      <x:c r="Q2503" s="126"/>
      <x:c r="R2503" s="126"/>
      <x:c r="S2503" s="124"/>
      <x:c r="T2503" s="124"/>
      <x:c r="U2503" s="124"/>
      <x:c r="V2503" s="124"/>
      <x:c r="W2503" s="124"/>
      <x:c r="X2503" s="124"/>
      <x:c r="AD2503"/>
      <x:c r="AE2503" s="145"/>
      <x:c r="AF2503" s="145"/>
      <x:c r="AG2503" s="145"/>
      <x:c r="AH2503" s="145"/>
      <x:c r="AI2503" s="145"/>
      <x:c r="AJ2503"/>
    </x:row>
    <x:row r="2504">
      <x:c r="F2504" s="124"/>
      <x:c r="G2504" s="124"/>
      <x:c r="H2504" s="124"/>
      <x:c r="I2504" s="124"/>
      <x:c r="J2504" s="124"/>
      <x:c r="M2504" s="126"/>
      <x:c r="P2504" s="126"/>
      <x:c r="Q2504" s="126"/>
      <x:c r="R2504" s="126"/>
      <x:c r="S2504" s="124"/>
      <x:c r="T2504" s="124"/>
      <x:c r="U2504" s="124"/>
      <x:c r="V2504" s="124"/>
      <x:c r="W2504" s="124"/>
      <x:c r="X2504" s="124"/>
      <x:c r="AD2504"/>
      <x:c r="AE2504" s="145"/>
      <x:c r="AF2504" s="145"/>
      <x:c r="AG2504" s="145"/>
      <x:c r="AH2504" s="145"/>
      <x:c r="AI2504" s="145"/>
      <x:c r="AJ2504"/>
    </x:row>
    <x:row r="2505">
      <x:c r="F2505" s="124"/>
      <x:c r="G2505" s="124"/>
      <x:c r="H2505" s="124"/>
      <x:c r="I2505" s="124"/>
      <x:c r="J2505" s="124"/>
      <x:c r="M2505" s="126"/>
      <x:c r="P2505" s="126"/>
      <x:c r="Q2505" s="126"/>
      <x:c r="R2505" s="126"/>
      <x:c r="S2505" s="124"/>
      <x:c r="T2505" s="124"/>
      <x:c r="U2505" s="124"/>
      <x:c r="V2505" s="124"/>
      <x:c r="W2505" s="124"/>
      <x:c r="X2505" s="124"/>
      <x:c r="AD2505"/>
      <x:c r="AE2505" s="145"/>
      <x:c r="AF2505" s="145"/>
      <x:c r="AG2505" s="145"/>
      <x:c r="AH2505" s="145"/>
      <x:c r="AI2505" s="145"/>
      <x:c r="AJ2505"/>
    </x:row>
    <x:row r="2506">
      <x:c r="F2506" s="124"/>
      <x:c r="G2506" s="124"/>
      <x:c r="H2506" s="124"/>
      <x:c r="I2506" s="124"/>
      <x:c r="J2506" s="124"/>
      <x:c r="M2506" s="126"/>
      <x:c r="P2506" s="126"/>
      <x:c r="Q2506" s="126"/>
      <x:c r="R2506" s="126"/>
      <x:c r="S2506" s="124"/>
      <x:c r="T2506" s="124"/>
      <x:c r="U2506" s="124"/>
      <x:c r="V2506" s="124"/>
      <x:c r="W2506" s="124"/>
      <x:c r="X2506" s="124"/>
      <x:c r="AD2506"/>
      <x:c r="AE2506" s="145"/>
      <x:c r="AF2506" s="145"/>
      <x:c r="AG2506" s="145"/>
      <x:c r="AH2506" s="145"/>
      <x:c r="AI2506" s="145"/>
      <x:c r="AJ2506"/>
    </x:row>
    <x:row r="2507">
      <x:c r="F2507" s="124"/>
      <x:c r="G2507" s="124"/>
      <x:c r="H2507" s="124"/>
      <x:c r="I2507" s="124"/>
      <x:c r="J2507" s="124"/>
      <x:c r="M2507" s="126"/>
      <x:c r="P2507" s="126"/>
      <x:c r="Q2507" s="126"/>
      <x:c r="R2507" s="126"/>
      <x:c r="S2507" s="124"/>
      <x:c r="T2507" s="124"/>
      <x:c r="U2507" s="124"/>
      <x:c r="V2507" s="124"/>
      <x:c r="W2507" s="124"/>
      <x:c r="X2507" s="124"/>
      <x:c r="AD2507"/>
      <x:c r="AE2507" s="145"/>
      <x:c r="AF2507" s="145"/>
      <x:c r="AG2507" s="145"/>
      <x:c r="AH2507" s="145"/>
      <x:c r="AI2507" s="145"/>
      <x:c r="AJ2507"/>
    </x:row>
    <x:row r="2508">
      <x:c r="F2508" s="124"/>
      <x:c r="G2508" s="124"/>
      <x:c r="H2508" s="124"/>
      <x:c r="I2508" s="124"/>
      <x:c r="J2508" s="124"/>
      <x:c r="M2508" s="126"/>
      <x:c r="P2508" s="126"/>
      <x:c r="Q2508" s="126"/>
      <x:c r="R2508" s="126"/>
      <x:c r="S2508" s="124"/>
      <x:c r="T2508" s="124"/>
      <x:c r="U2508" s="124"/>
      <x:c r="V2508" s="124"/>
      <x:c r="W2508" s="124"/>
      <x:c r="X2508" s="124"/>
      <x:c r="AD2508"/>
      <x:c r="AE2508" s="145"/>
      <x:c r="AF2508" s="145"/>
      <x:c r="AG2508" s="145"/>
      <x:c r="AH2508" s="145"/>
      <x:c r="AI2508" s="145"/>
      <x:c r="AJ2508"/>
    </x:row>
    <x:row r="2509">
      <x:c r="F2509" s="124"/>
      <x:c r="G2509" s="124"/>
      <x:c r="H2509" s="124"/>
      <x:c r="I2509" s="124"/>
      <x:c r="J2509" s="124"/>
      <x:c r="M2509" s="126"/>
      <x:c r="P2509" s="126"/>
      <x:c r="Q2509" s="126"/>
      <x:c r="R2509" s="126"/>
      <x:c r="S2509" s="124"/>
      <x:c r="T2509" s="124"/>
      <x:c r="U2509" s="124"/>
      <x:c r="V2509" s="124"/>
      <x:c r="W2509" s="124"/>
      <x:c r="X2509" s="124"/>
      <x:c r="AD2509"/>
      <x:c r="AE2509" s="145"/>
      <x:c r="AF2509" s="145"/>
      <x:c r="AG2509" s="145"/>
      <x:c r="AH2509" s="145"/>
      <x:c r="AI2509" s="145"/>
      <x:c r="AJ2509"/>
    </x:row>
    <x:row r="2510">
      <x:c r="F2510" s="124"/>
      <x:c r="G2510" s="124"/>
      <x:c r="H2510" s="124"/>
      <x:c r="I2510" s="124"/>
      <x:c r="J2510" s="124"/>
      <x:c r="M2510" s="126"/>
      <x:c r="P2510" s="126"/>
      <x:c r="Q2510" s="126"/>
      <x:c r="R2510" s="126"/>
      <x:c r="S2510" s="124"/>
      <x:c r="T2510" s="124"/>
      <x:c r="U2510" s="124"/>
      <x:c r="V2510" s="124"/>
      <x:c r="W2510" s="124"/>
      <x:c r="X2510" s="124"/>
      <x:c r="AD2510"/>
      <x:c r="AE2510" s="145"/>
      <x:c r="AF2510" s="145"/>
      <x:c r="AG2510" s="145"/>
      <x:c r="AH2510" s="145"/>
      <x:c r="AI2510" s="145"/>
      <x:c r="AJ2510"/>
    </x:row>
    <x:row r="2511">
      <x:c r="F2511" s="124"/>
      <x:c r="G2511" s="124"/>
      <x:c r="H2511" s="124"/>
      <x:c r="I2511" s="124"/>
      <x:c r="J2511" s="124"/>
      <x:c r="M2511" s="126"/>
      <x:c r="P2511" s="126"/>
      <x:c r="Q2511" s="126"/>
      <x:c r="R2511" s="126"/>
      <x:c r="S2511" s="124"/>
      <x:c r="T2511" s="124"/>
      <x:c r="U2511" s="124"/>
      <x:c r="V2511" s="124"/>
      <x:c r="W2511" s="124"/>
      <x:c r="X2511" s="124"/>
      <x:c r="AD2511"/>
      <x:c r="AE2511" s="145"/>
      <x:c r="AF2511" s="145"/>
      <x:c r="AG2511" s="145"/>
      <x:c r="AH2511" s="145"/>
      <x:c r="AI2511" s="145"/>
      <x:c r="AJ2511"/>
    </x:row>
    <x:row r="2512">
      <x:c r="F2512" s="124"/>
      <x:c r="G2512" s="124"/>
      <x:c r="H2512" s="124"/>
      <x:c r="I2512" s="124"/>
      <x:c r="J2512" s="124"/>
      <x:c r="M2512" s="126"/>
      <x:c r="P2512" s="126"/>
      <x:c r="Q2512" s="126"/>
      <x:c r="R2512" s="126"/>
      <x:c r="S2512" s="124"/>
      <x:c r="T2512" s="124"/>
      <x:c r="U2512" s="124"/>
      <x:c r="V2512" s="124"/>
      <x:c r="W2512" s="124"/>
      <x:c r="X2512" s="124"/>
      <x:c r="AD2512"/>
      <x:c r="AE2512" s="145"/>
      <x:c r="AF2512" s="145"/>
      <x:c r="AG2512" s="145"/>
      <x:c r="AH2512" s="145"/>
      <x:c r="AI2512" s="145"/>
      <x:c r="AJ2512"/>
    </x:row>
    <x:row r="2513">
      <x:c r="F2513" s="124"/>
      <x:c r="G2513" s="124"/>
      <x:c r="H2513" s="124"/>
      <x:c r="I2513" s="124"/>
      <x:c r="J2513" s="124"/>
      <x:c r="M2513" s="126"/>
      <x:c r="P2513" s="126"/>
      <x:c r="Q2513" s="126"/>
      <x:c r="R2513" s="126"/>
      <x:c r="S2513" s="124"/>
      <x:c r="T2513" s="124"/>
      <x:c r="U2513" s="124"/>
      <x:c r="V2513" s="124"/>
      <x:c r="W2513" s="124"/>
      <x:c r="X2513" s="124"/>
      <x:c r="AD2513"/>
      <x:c r="AE2513" s="145"/>
      <x:c r="AF2513" s="145"/>
      <x:c r="AG2513" s="145"/>
      <x:c r="AH2513" s="145"/>
      <x:c r="AI2513" s="145"/>
      <x:c r="AJ2513"/>
    </x:row>
    <x:row r="2514">
      <x:c r="F2514" s="124"/>
      <x:c r="G2514" s="124"/>
      <x:c r="H2514" s="124"/>
      <x:c r="I2514" s="124"/>
      <x:c r="J2514" s="124"/>
      <x:c r="M2514" s="126"/>
      <x:c r="P2514" s="126"/>
      <x:c r="Q2514" s="126"/>
      <x:c r="R2514" s="126"/>
      <x:c r="S2514" s="124"/>
      <x:c r="T2514" s="124"/>
      <x:c r="U2514" s="124"/>
      <x:c r="V2514" s="124"/>
      <x:c r="W2514" s="124"/>
      <x:c r="X2514" s="124"/>
      <x:c r="AD2514"/>
      <x:c r="AE2514" s="145"/>
      <x:c r="AF2514" s="145"/>
      <x:c r="AG2514" s="145"/>
      <x:c r="AH2514" s="145"/>
      <x:c r="AI2514" s="145"/>
      <x:c r="AJ2514"/>
    </x:row>
    <x:row r="2515">
      <x:c r="F2515" s="124"/>
      <x:c r="G2515" s="124"/>
      <x:c r="H2515" s="124"/>
      <x:c r="I2515" s="124"/>
      <x:c r="J2515" s="124"/>
      <x:c r="M2515" s="126"/>
      <x:c r="P2515" s="126"/>
      <x:c r="Q2515" s="126"/>
      <x:c r="R2515" s="126"/>
      <x:c r="S2515" s="124"/>
      <x:c r="T2515" s="124"/>
      <x:c r="U2515" s="124"/>
      <x:c r="V2515" s="124"/>
      <x:c r="W2515" s="124"/>
      <x:c r="X2515" s="124"/>
      <x:c r="AD2515"/>
      <x:c r="AE2515" s="145"/>
      <x:c r="AF2515" s="145"/>
      <x:c r="AG2515" s="145"/>
      <x:c r="AH2515" s="145"/>
      <x:c r="AI2515" s="145"/>
      <x:c r="AJ2515"/>
    </x:row>
    <x:row r="2516">
      <x:c r="F2516" s="124"/>
      <x:c r="G2516" s="124"/>
      <x:c r="H2516" s="124"/>
      <x:c r="I2516" s="124"/>
      <x:c r="J2516" s="124"/>
      <x:c r="M2516" s="126"/>
      <x:c r="P2516" s="126"/>
      <x:c r="Q2516" s="126"/>
      <x:c r="R2516" s="126"/>
      <x:c r="S2516" s="124"/>
      <x:c r="T2516" s="124"/>
      <x:c r="U2516" s="124"/>
      <x:c r="V2516" s="124"/>
      <x:c r="W2516" s="124"/>
      <x:c r="X2516" s="124"/>
      <x:c r="AD2516"/>
      <x:c r="AE2516" s="145"/>
      <x:c r="AF2516" s="145"/>
      <x:c r="AG2516" s="145"/>
      <x:c r="AH2516" s="145"/>
      <x:c r="AI2516" s="145"/>
      <x:c r="AJ2516"/>
    </x:row>
    <x:row r="2517">
      <x:c r="F2517" s="124"/>
      <x:c r="G2517" s="124"/>
      <x:c r="H2517" s="124"/>
      <x:c r="I2517" s="124"/>
      <x:c r="J2517" s="124"/>
      <x:c r="M2517" s="126"/>
      <x:c r="P2517" s="126"/>
      <x:c r="Q2517" s="126"/>
      <x:c r="R2517" s="126"/>
      <x:c r="S2517" s="124"/>
      <x:c r="T2517" s="124"/>
      <x:c r="U2517" s="124"/>
      <x:c r="V2517" s="124"/>
      <x:c r="W2517" s="124"/>
      <x:c r="X2517" s="124"/>
      <x:c r="AD2517"/>
      <x:c r="AE2517" s="145"/>
      <x:c r="AF2517" s="145"/>
      <x:c r="AG2517" s="145"/>
      <x:c r="AH2517" s="145"/>
      <x:c r="AI2517" s="145"/>
      <x:c r="AJ2517"/>
    </x:row>
    <x:row r="2518">
      <x:c r="F2518" s="124"/>
      <x:c r="G2518" s="124"/>
      <x:c r="H2518" s="124"/>
      <x:c r="I2518" s="124"/>
      <x:c r="J2518" s="124"/>
      <x:c r="M2518" s="126"/>
      <x:c r="P2518" s="126"/>
      <x:c r="Q2518" s="126"/>
      <x:c r="R2518" s="126"/>
      <x:c r="S2518" s="124"/>
      <x:c r="T2518" s="124"/>
      <x:c r="U2518" s="124"/>
      <x:c r="V2518" s="124"/>
      <x:c r="W2518" s="124"/>
      <x:c r="X2518" s="124"/>
      <x:c r="AD2518"/>
      <x:c r="AE2518" s="145"/>
      <x:c r="AF2518" s="145"/>
      <x:c r="AG2518" s="145"/>
      <x:c r="AH2518" s="145"/>
      <x:c r="AI2518" s="145"/>
      <x:c r="AJ2518"/>
    </x:row>
    <x:row r="2519">
      <x:c r="F2519" s="124"/>
      <x:c r="G2519" s="124"/>
      <x:c r="H2519" s="124"/>
      <x:c r="I2519" s="124"/>
      <x:c r="J2519" s="124"/>
      <x:c r="M2519" s="126"/>
      <x:c r="P2519" s="126"/>
      <x:c r="Q2519" s="126"/>
      <x:c r="R2519" s="126"/>
      <x:c r="S2519" s="124"/>
      <x:c r="T2519" s="124"/>
      <x:c r="U2519" s="124"/>
      <x:c r="V2519" s="124"/>
      <x:c r="W2519" s="124"/>
      <x:c r="X2519" s="124"/>
      <x:c r="AD2519"/>
      <x:c r="AE2519" s="145"/>
      <x:c r="AF2519" s="145"/>
      <x:c r="AG2519" s="145"/>
      <x:c r="AH2519" s="145"/>
      <x:c r="AI2519" s="145"/>
      <x:c r="AJ2519"/>
    </x:row>
    <x:row r="2520">
      <x:c r="F2520" s="124"/>
      <x:c r="G2520" s="124"/>
      <x:c r="H2520" s="124"/>
      <x:c r="I2520" s="124"/>
      <x:c r="J2520" s="124"/>
      <x:c r="M2520" s="126"/>
      <x:c r="P2520" s="126"/>
      <x:c r="Q2520" s="126"/>
      <x:c r="R2520" s="126"/>
      <x:c r="S2520" s="124"/>
      <x:c r="T2520" s="124"/>
      <x:c r="U2520" s="124"/>
      <x:c r="V2520" s="124"/>
      <x:c r="W2520" s="124"/>
      <x:c r="X2520" s="124"/>
      <x:c r="AD2520"/>
      <x:c r="AE2520" s="145"/>
      <x:c r="AF2520" s="145"/>
      <x:c r="AG2520" s="145"/>
      <x:c r="AH2520" s="145"/>
      <x:c r="AI2520" s="145"/>
      <x:c r="AJ2520"/>
    </x:row>
    <x:row r="2521">
      <x:c r="F2521" s="124"/>
      <x:c r="G2521" s="124"/>
      <x:c r="H2521" s="124"/>
      <x:c r="I2521" s="124"/>
      <x:c r="J2521" s="124"/>
      <x:c r="M2521" s="126"/>
      <x:c r="P2521" s="126"/>
      <x:c r="Q2521" s="126"/>
      <x:c r="R2521" s="126"/>
      <x:c r="S2521" s="124"/>
      <x:c r="T2521" s="124"/>
      <x:c r="U2521" s="124"/>
      <x:c r="V2521" s="124"/>
      <x:c r="W2521" s="124"/>
      <x:c r="X2521" s="124"/>
      <x:c r="AD2521"/>
      <x:c r="AE2521" s="145"/>
      <x:c r="AF2521" s="145"/>
      <x:c r="AG2521" s="145"/>
      <x:c r="AH2521" s="145"/>
      <x:c r="AI2521" s="145"/>
      <x:c r="AJ2521"/>
    </x:row>
    <x:row r="2522">
      <x:c r="F2522" s="124"/>
      <x:c r="G2522" s="124"/>
      <x:c r="H2522" s="124"/>
      <x:c r="I2522" s="124"/>
      <x:c r="J2522" s="124"/>
      <x:c r="M2522" s="126"/>
      <x:c r="P2522" s="126"/>
      <x:c r="Q2522" s="126"/>
      <x:c r="R2522" s="126"/>
      <x:c r="S2522" s="124"/>
      <x:c r="T2522" s="124"/>
      <x:c r="U2522" s="124"/>
      <x:c r="V2522" s="124"/>
      <x:c r="W2522" s="124"/>
      <x:c r="X2522" s="124"/>
      <x:c r="AD2522"/>
      <x:c r="AE2522" s="145"/>
      <x:c r="AF2522" s="145"/>
      <x:c r="AG2522" s="145"/>
      <x:c r="AH2522" s="145"/>
      <x:c r="AI2522" s="145"/>
      <x:c r="AJ2522"/>
    </x:row>
    <x:row r="2523">
      <x:c r="F2523" s="124"/>
      <x:c r="G2523" s="124"/>
      <x:c r="H2523" s="124"/>
      <x:c r="I2523" s="124"/>
      <x:c r="J2523" s="124"/>
      <x:c r="M2523" s="126"/>
      <x:c r="P2523" s="126"/>
      <x:c r="Q2523" s="126"/>
      <x:c r="R2523" s="126"/>
      <x:c r="S2523" s="124"/>
      <x:c r="T2523" s="124"/>
      <x:c r="U2523" s="124"/>
      <x:c r="V2523" s="124"/>
      <x:c r="W2523" s="124"/>
      <x:c r="X2523" s="124"/>
      <x:c r="AD2523"/>
      <x:c r="AE2523" s="145"/>
      <x:c r="AF2523" s="145"/>
      <x:c r="AG2523" s="145"/>
      <x:c r="AH2523" s="145"/>
      <x:c r="AI2523" s="145"/>
      <x:c r="AJ2523"/>
    </x:row>
    <x:row r="2524">
      <x:c r="F2524" s="124"/>
      <x:c r="G2524" s="124"/>
      <x:c r="H2524" s="124"/>
      <x:c r="I2524" s="124"/>
      <x:c r="J2524" s="124"/>
      <x:c r="M2524" s="126"/>
      <x:c r="P2524" s="126"/>
      <x:c r="Q2524" s="126"/>
      <x:c r="R2524" s="126"/>
      <x:c r="S2524" s="124"/>
      <x:c r="T2524" s="124"/>
      <x:c r="U2524" s="124"/>
      <x:c r="V2524" s="124"/>
      <x:c r="W2524" s="124"/>
      <x:c r="X2524" s="124"/>
      <x:c r="AD2524"/>
      <x:c r="AE2524" s="145"/>
      <x:c r="AF2524" s="145"/>
      <x:c r="AG2524" s="145"/>
      <x:c r="AH2524" s="145"/>
      <x:c r="AI2524" s="145"/>
      <x:c r="AJ2524"/>
    </x:row>
    <x:row r="2525">
      <x:c r="F2525" s="124"/>
      <x:c r="G2525" s="124"/>
      <x:c r="H2525" s="124"/>
      <x:c r="I2525" s="124"/>
      <x:c r="J2525" s="124"/>
      <x:c r="M2525" s="126"/>
      <x:c r="P2525" s="126"/>
      <x:c r="Q2525" s="126"/>
      <x:c r="R2525" s="126"/>
      <x:c r="S2525" s="124"/>
      <x:c r="T2525" s="124"/>
      <x:c r="U2525" s="124"/>
      <x:c r="V2525" s="124"/>
      <x:c r="W2525" s="124"/>
      <x:c r="X2525" s="124"/>
      <x:c r="AD2525"/>
      <x:c r="AE2525" s="145"/>
      <x:c r="AF2525" s="145"/>
      <x:c r="AG2525" s="145"/>
      <x:c r="AH2525" s="145"/>
      <x:c r="AI2525" s="145"/>
      <x:c r="AJ2525"/>
    </x:row>
    <x:row r="2526">
      <x:c r="F2526" s="124"/>
      <x:c r="G2526" s="124"/>
      <x:c r="H2526" s="124"/>
      <x:c r="I2526" s="124"/>
      <x:c r="J2526" s="124"/>
      <x:c r="M2526" s="126"/>
      <x:c r="P2526" s="126"/>
      <x:c r="Q2526" s="126"/>
      <x:c r="R2526" s="126"/>
      <x:c r="S2526" s="124"/>
      <x:c r="T2526" s="124"/>
      <x:c r="U2526" s="124"/>
      <x:c r="V2526" s="124"/>
      <x:c r="W2526" s="124"/>
      <x:c r="X2526" s="124"/>
      <x:c r="AD2526"/>
      <x:c r="AE2526" s="145"/>
      <x:c r="AF2526" s="145"/>
      <x:c r="AG2526" s="145"/>
      <x:c r="AH2526" s="145"/>
      <x:c r="AI2526" s="145"/>
      <x:c r="AJ2526"/>
    </x:row>
    <x:row r="2527">
      <x:c r="F2527" s="124"/>
      <x:c r="G2527" s="124"/>
      <x:c r="H2527" s="124"/>
      <x:c r="I2527" s="124"/>
      <x:c r="J2527" s="124"/>
      <x:c r="M2527" s="126"/>
      <x:c r="P2527" s="126"/>
      <x:c r="Q2527" s="126"/>
      <x:c r="R2527" s="126"/>
      <x:c r="S2527" s="124"/>
      <x:c r="T2527" s="124"/>
      <x:c r="U2527" s="124"/>
      <x:c r="V2527" s="124"/>
      <x:c r="W2527" s="124"/>
      <x:c r="X2527" s="124"/>
      <x:c r="AD2527"/>
      <x:c r="AE2527" s="145"/>
      <x:c r="AF2527" s="145"/>
      <x:c r="AG2527" s="145"/>
      <x:c r="AH2527" s="145"/>
      <x:c r="AI2527" s="145"/>
      <x:c r="AJ2527"/>
    </x:row>
    <x:row r="2528">
      <x:c r="F2528" s="124"/>
      <x:c r="G2528" s="124"/>
      <x:c r="H2528" s="124"/>
      <x:c r="I2528" s="124"/>
      <x:c r="J2528" s="124"/>
      <x:c r="M2528" s="126"/>
      <x:c r="P2528" s="126"/>
      <x:c r="Q2528" s="126"/>
      <x:c r="R2528" s="126"/>
      <x:c r="S2528" s="124"/>
      <x:c r="T2528" s="124"/>
      <x:c r="U2528" s="124"/>
      <x:c r="V2528" s="124"/>
      <x:c r="W2528" s="124"/>
      <x:c r="X2528" s="124"/>
      <x:c r="AD2528"/>
      <x:c r="AE2528" s="145"/>
      <x:c r="AF2528" s="145"/>
      <x:c r="AG2528" s="145"/>
      <x:c r="AH2528" s="145"/>
      <x:c r="AI2528" s="145"/>
      <x:c r="AJ2528"/>
    </x:row>
    <x:row r="2529">
      <x:c r="F2529" s="124"/>
      <x:c r="G2529" s="124"/>
      <x:c r="H2529" s="124"/>
      <x:c r="I2529" s="124"/>
      <x:c r="J2529" s="124"/>
      <x:c r="M2529" s="126"/>
      <x:c r="P2529" s="126"/>
      <x:c r="Q2529" s="126"/>
      <x:c r="R2529" s="126"/>
      <x:c r="S2529" s="124"/>
      <x:c r="T2529" s="124"/>
      <x:c r="U2529" s="124"/>
      <x:c r="V2529" s="124"/>
      <x:c r="W2529" s="124"/>
      <x:c r="X2529" s="124"/>
      <x:c r="AD2529"/>
      <x:c r="AE2529" s="145"/>
      <x:c r="AF2529" s="145"/>
      <x:c r="AG2529" s="145"/>
      <x:c r="AH2529" s="145"/>
      <x:c r="AI2529" s="145"/>
      <x:c r="AJ2529"/>
    </x:row>
    <x:row r="2530">
      <x:c r="F2530" s="124"/>
      <x:c r="G2530" s="124"/>
      <x:c r="H2530" s="124"/>
      <x:c r="I2530" s="124"/>
      <x:c r="J2530" s="124"/>
      <x:c r="M2530" s="126"/>
      <x:c r="P2530" s="126"/>
      <x:c r="Q2530" s="126"/>
      <x:c r="R2530" s="126"/>
      <x:c r="S2530" s="124"/>
      <x:c r="T2530" s="124"/>
      <x:c r="U2530" s="124"/>
      <x:c r="V2530" s="124"/>
      <x:c r="W2530" s="124"/>
      <x:c r="X2530" s="124"/>
      <x:c r="AD2530"/>
      <x:c r="AE2530" s="145"/>
      <x:c r="AF2530" s="145"/>
      <x:c r="AG2530" s="145"/>
      <x:c r="AH2530" s="145"/>
      <x:c r="AI2530" s="145"/>
      <x:c r="AJ2530"/>
    </x:row>
    <x:row r="2531">
      <x:c r="F2531" s="124"/>
      <x:c r="G2531" s="124"/>
      <x:c r="H2531" s="124"/>
      <x:c r="I2531" s="124"/>
      <x:c r="J2531" s="124"/>
      <x:c r="M2531" s="126"/>
      <x:c r="P2531" s="126"/>
      <x:c r="Q2531" s="126"/>
      <x:c r="R2531" s="126"/>
      <x:c r="S2531" s="124"/>
      <x:c r="T2531" s="124"/>
      <x:c r="U2531" s="124"/>
      <x:c r="V2531" s="124"/>
      <x:c r="W2531" s="124"/>
      <x:c r="X2531" s="124"/>
      <x:c r="AD2531"/>
      <x:c r="AE2531" s="145"/>
      <x:c r="AF2531" s="145"/>
      <x:c r="AG2531" s="145"/>
      <x:c r="AH2531" s="145"/>
      <x:c r="AI2531" s="145"/>
      <x:c r="AJ2531"/>
    </x:row>
    <x:row r="2532">
      <x:c r="F2532" s="124"/>
      <x:c r="G2532" s="124"/>
      <x:c r="H2532" s="124"/>
      <x:c r="I2532" s="124"/>
      <x:c r="J2532" s="124"/>
      <x:c r="M2532" s="126"/>
      <x:c r="P2532" s="126"/>
      <x:c r="Q2532" s="126"/>
      <x:c r="R2532" s="126"/>
      <x:c r="S2532" s="124"/>
      <x:c r="T2532" s="124"/>
      <x:c r="U2532" s="124"/>
      <x:c r="V2532" s="124"/>
      <x:c r="W2532" s="124"/>
      <x:c r="X2532" s="124"/>
      <x:c r="AD2532"/>
      <x:c r="AE2532" s="145"/>
      <x:c r="AF2532" s="145"/>
      <x:c r="AG2532" s="145"/>
      <x:c r="AH2532" s="145"/>
      <x:c r="AI2532" s="145"/>
      <x:c r="AJ2532"/>
    </x:row>
    <x:row r="2533">
      <x:c r="F2533" s="124"/>
      <x:c r="G2533" s="124"/>
      <x:c r="H2533" s="124"/>
      <x:c r="I2533" s="124"/>
      <x:c r="J2533" s="124"/>
      <x:c r="M2533" s="126"/>
      <x:c r="P2533" s="126"/>
      <x:c r="Q2533" s="126"/>
      <x:c r="R2533" s="126"/>
      <x:c r="S2533" s="124"/>
      <x:c r="T2533" s="124"/>
      <x:c r="U2533" s="124"/>
      <x:c r="V2533" s="124"/>
      <x:c r="W2533" s="124"/>
      <x:c r="X2533" s="124"/>
      <x:c r="AD2533"/>
      <x:c r="AE2533" s="145"/>
      <x:c r="AF2533" s="145"/>
      <x:c r="AG2533" s="145"/>
      <x:c r="AH2533" s="145"/>
      <x:c r="AI2533" s="145"/>
      <x:c r="AJ2533"/>
    </x:row>
    <x:row r="2534">
      <x:c r="F2534" s="124"/>
      <x:c r="G2534" s="124"/>
      <x:c r="H2534" s="124"/>
      <x:c r="I2534" s="124"/>
      <x:c r="J2534" s="124"/>
      <x:c r="M2534" s="126"/>
      <x:c r="P2534" s="126"/>
      <x:c r="Q2534" s="126"/>
      <x:c r="R2534" s="126"/>
      <x:c r="S2534" s="124"/>
      <x:c r="T2534" s="124"/>
      <x:c r="U2534" s="124"/>
      <x:c r="V2534" s="124"/>
      <x:c r="W2534" s="124"/>
      <x:c r="X2534" s="124"/>
      <x:c r="AD2534"/>
      <x:c r="AE2534" s="145"/>
      <x:c r="AF2534" s="145"/>
      <x:c r="AG2534" s="145"/>
      <x:c r="AH2534" s="145"/>
      <x:c r="AI2534" s="145"/>
      <x:c r="AJ2534"/>
    </x:row>
    <x:row r="2535">
      <x:c r="F2535" s="124"/>
      <x:c r="G2535" s="124"/>
      <x:c r="H2535" s="124"/>
      <x:c r="I2535" s="124"/>
      <x:c r="J2535" s="124"/>
      <x:c r="M2535" s="126"/>
      <x:c r="P2535" s="126"/>
      <x:c r="Q2535" s="126"/>
      <x:c r="R2535" s="126"/>
      <x:c r="S2535" s="124"/>
      <x:c r="T2535" s="124"/>
      <x:c r="U2535" s="124"/>
      <x:c r="V2535" s="124"/>
      <x:c r="W2535" s="124"/>
      <x:c r="X2535" s="124"/>
      <x:c r="AD2535"/>
      <x:c r="AE2535" s="145"/>
      <x:c r="AF2535" s="145"/>
      <x:c r="AG2535" s="145"/>
      <x:c r="AH2535" s="145"/>
      <x:c r="AI2535" s="145"/>
      <x:c r="AJ2535"/>
    </x:row>
    <x:row r="2536">
      <x:c r="F2536" s="124"/>
      <x:c r="G2536" s="124"/>
      <x:c r="H2536" s="124"/>
      <x:c r="I2536" s="124"/>
      <x:c r="J2536" s="124"/>
      <x:c r="M2536" s="126"/>
      <x:c r="P2536" s="126"/>
      <x:c r="Q2536" s="126"/>
      <x:c r="R2536" s="126"/>
      <x:c r="S2536" s="124"/>
      <x:c r="T2536" s="124"/>
      <x:c r="U2536" s="124"/>
      <x:c r="V2536" s="124"/>
      <x:c r="W2536" s="124"/>
      <x:c r="X2536" s="124"/>
      <x:c r="AD2536"/>
      <x:c r="AE2536" s="145"/>
      <x:c r="AF2536" s="145"/>
      <x:c r="AG2536" s="145"/>
      <x:c r="AH2536" s="145"/>
      <x:c r="AI2536" s="145"/>
      <x:c r="AJ2536"/>
    </x:row>
    <x:row r="2537">
      <x:c r="F2537" s="124"/>
      <x:c r="G2537" s="124"/>
      <x:c r="H2537" s="124"/>
      <x:c r="I2537" s="124"/>
      <x:c r="J2537" s="124"/>
      <x:c r="M2537" s="126"/>
      <x:c r="P2537" s="126"/>
      <x:c r="Q2537" s="126"/>
      <x:c r="R2537" s="126"/>
      <x:c r="S2537" s="124"/>
      <x:c r="T2537" s="124"/>
      <x:c r="U2537" s="124"/>
      <x:c r="V2537" s="124"/>
      <x:c r="W2537" s="124"/>
      <x:c r="X2537" s="124"/>
      <x:c r="AD2537"/>
      <x:c r="AE2537" s="145"/>
      <x:c r="AF2537" s="145"/>
      <x:c r="AG2537" s="145"/>
      <x:c r="AH2537" s="145"/>
      <x:c r="AI2537" s="145"/>
      <x:c r="AJ2537"/>
    </x:row>
    <x:row r="2538">
      <x:c r="F2538" s="124"/>
      <x:c r="G2538" s="124"/>
      <x:c r="H2538" s="124"/>
      <x:c r="I2538" s="124"/>
      <x:c r="J2538" s="124"/>
      <x:c r="M2538" s="126"/>
      <x:c r="P2538" s="126"/>
      <x:c r="Q2538" s="126"/>
      <x:c r="R2538" s="126"/>
      <x:c r="S2538" s="124"/>
      <x:c r="T2538" s="124"/>
      <x:c r="U2538" s="124"/>
      <x:c r="V2538" s="124"/>
      <x:c r="W2538" s="124"/>
      <x:c r="X2538" s="124"/>
      <x:c r="AD2538"/>
      <x:c r="AE2538" s="145"/>
      <x:c r="AF2538" s="145"/>
      <x:c r="AG2538" s="145"/>
      <x:c r="AH2538" s="145"/>
      <x:c r="AI2538" s="145"/>
      <x:c r="AJ2538"/>
    </x:row>
    <x:row r="2539">
      <x:c r="F2539" s="124"/>
      <x:c r="G2539" s="124"/>
      <x:c r="H2539" s="124"/>
      <x:c r="I2539" s="124"/>
      <x:c r="J2539" s="124"/>
      <x:c r="M2539" s="126"/>
      <x:c r="P2539" s="126"/>
      <x:c r="Q2539" s="126"/>
      <x:c r="R2539" s="126"/>
      <x:c r="S2539" s="124"/>
      <x:c r="T2539" s="124"/>
      <x:c r="U2539" s="124"/>
      <x:c r="V2539" s="124"/>
      <x:c r="W2539" s="124"/>
      <x:c r="X2539" s="124"/>
      <x:c r="AD2539"/>
      <x:c r="AE2539" s="145"/>
      <x:c r="AF2539" s="145"/>
      <x:c r="AG2539" s="145"/>
      <x:c r="AH2539" s="145"/>
      <x:c r="AI2539" s="145"/>
      <x:c r="AJ2539"/>
    </x:row>
    <x:row r="2540">
      <x:c r="F2540" s="124"/>
      <x:c r="G2540" s="124"/>
      <x:c r="H2540" s="124"/>
      <x:c r="I2540" s="124"/>
      <x:c r="J2540" s="124"/>
      <x:c r="M2540" s="126"/>
      <x:c r="P2540" s="126"/>
      <x:c r="Q2540" s="126"/>
      <x:c r="R2540" s="126"/>
      <x:c r="S2540" s="124"/>
      <x:c r="T2540" s="124"/>
      <x:c r="U2540" s="124"/>
      <x:c r="V2540" s="124"/>
      <x:c r="W2540" s="124"/>
      <x:c r="X2540" s="124"/>
      <x:c r="AD2540"/>
      <x:c r="AE2540" s="145"/>
      <x:c r="AF2540" s="145"/>
      <x:c r="AG2540" s="145"/>
      <x:c r="AH2540" s="145"/>
      <x:c r="AI2540" s="145"/>
      <x:c r="AJ2540"/>
    </x:row>
    <x:row r="2541">
      <x:c r="F2541" s="124"/>
      <x:c r="G2541" s="124"/>
      <x:c r="H2541" s="124"/>
      <x:c r="I2541" s="124"/>
      <x:c r="J2541" s="124"/>
      <x:c r="M2541" s="126"/>
      <x:c r="P2541" s="126"/>
      <x:c r="Q2541" s="126"/>
      <x:c r="R2541" s="126"/>
      <x:c r="S2541" s="124"/>
      <x:c r="T2541" s="124"/>
      <x:c r="U2541" s="124"/>
      <x:c r="V2541" s="124"/>
      <x:c r="W2541" s="124"/>
      <x:c r="X2541" s="124"/>
      <x:c r="AD2541"/>
      <x:c r="AE2541" s="145"/>
      <x:c r="AF2541" s="145"/>
      <x:c r="AG2541" s="145"/>
      <x:c r="AH2541" s="145"/>
      <x:c r="AI2541" s="145"/>
      <x:c r="AJ2541"/>
    </x:row>
    <x:row r="2542">
      <x:c r="F2542" s="124"/>
      <x:c r="G2542" s="124"/>
      <x:c r="H2542" s="124"/>
      <x:c r="I2542" s="124"/>
      <x:c r="J2542" s="124"/>
      <x:c r="M2542" s="126"/>
      <x:c r="P2542" s="126"/>
      <x:c r="Q2542" s="126"/>
      <x:c r="R2542" s="126"/>
      <x:c r="S2542" s="124"/>
      <x:c r="T2542" s="124"/>
      <x:c r="U2542" s="124"/>
      <x:c r="V2542" s="124"/>
      <x:c r="W2542" s="124"/>
      <x:c r="X2542" s="124"/>
      <x:c r="AD2542"/>
      <x:c r="AE2542" s="145"/>
      <x:c r="AF2542" s="145"/>
      <x:c r="AG2542" s="145"/>
      <x:c r="AH2542" s="145"/>
      <x:c r="AI2542" s="145"/>
      <x:c r="AJ2542"/>
    </x:row>
    <x:row r="2543">
      <x:c r="F2543" s="124"/>
      <x:c r="G2543" s="124"/>
      <x:c r="H2543" s="124"/>
      <x:c r="I2543" s="124"/>
      <x:c r="J2543" s="124"/>
      <x:c r="M2543" s="126"/>
      <x:c r="P2543" s="126"/>
      <x:c r="Q2543" s="126"/>
      <x:c r="R2543" s="126"/>
      <x:c r="S2543" s="124"/>
      <x:c r="T2543" s="124"/>
      <x:c r="U2543" s="124"/>
      <x:c r="V2543" s="124"/>
      <x:c r="W2543" s="124"/>
      <x:c r="X2543" s="124"/>
      <x:c r="AD2543"/>
      <x:c r="AE2543" s="145"/>
      <x:c r="AF2543" s="145"/>
      <x:c r="AG2543" s="145"/>
      <x:c r="AH2543" s="145"/>
      <x:c r="AI2543" s="145"/>
      <x:c r="AJ2543"/>
    </x:row>
    <x:row r="2544">
      <x:c r="F2544" s="124"/>
      <x:c r="G2544" s="124"/>
      <x:c r="H2544" s="124"/>
      <x:c r="I2544" s="124"/>
      <x:c r="J2544" s="124"/>
      <x:c r="M2544" s="126"/>
      <x:c r="P2544" s="126"/>
      <x:c r="Q2544" s="126"/>
      <x:c r="R2544" s="126"/>
      <x:c r="S2544" s="124"/>
      <x:c r="T2544" s="124"/>
      <x:c r="U2544" s="124"/>
      <x:c r="V2544" s="124"/>
      <x:c r="W2544" s="124"/>
      <x:c r="X2544" s="124"/>
      <x:c r="AD2544"/>
      <x:c r="AE2544" s="145"/>
      <x:c r="AF2544" s="145"/>
      <x:c r="AG2544" s="145"/>
      <x:c r="AH2544" s="145"/>
      <x:c r="AI2544" s="145"/>
      <x:c r="AJ2544"/>
    </x:row>
    <x:row r="2545">
      <x:c r="F2545" s="124"/>
      <x:c r="G2545" s="124"/>
      <x:c r="H2545" s="124"/>
      <x:c r="I2545" s="124"/>
      <x:c r="J2545" s="124"/>
      <x:c r="M2545" s="126"/>
      <x:c r="P2545" s="126"/>
      <x:c r="Q2545" s="126"/>
      <x:c r="R2545" s="126"/>
      <x:c r="S2545" s="124"/>
      <x:c r="T2545" s="124"/>
      <x:c r="U2545" s="124"/>
      <x:c r="V2545" s="124"/>
      <x:c r="W2545" s="124"/>
      <x:c r="X2545" s="124"/>
      <x:c r="AD2545"/>
      <x:c r="AE2545" s="145"/>
      <x:c r="AF2545" s="145"/>
      <x:c r="AG2545" s="145"/>
      <x:c r="AH2545" s="145"/>
      <x:c r="AI2545" s="145"/>
      <x:c r="AJ2545"/>
    </x:row>
    <x:row r="2546">
      <x:c r="F2546" s="124"/>
      <x:c r="G2546" s="124"/>
      <x:c r="H2546" s="124"/>
      <x:c r="I2546" s="124"/>
      <x:c r="J2546" s="124"/>
      <x:c r="M2546" s="126"/>
      <x:c r="P2546" s="126"/>
      <x:c r="Q2546" s="126"/>
      <x:c r="R2546" s="126"/>
      <x:c r="S2546" s="124"/>
      <x:c r="T2546" s="124"/>
      <x:c r="U2546" s="124"/>
      <x:c r="V2546" s="124"/>
      <x:c r="W2546" s="124"/>
      <x:c r="X2546" s="124"/>
      <x:c r="AD2546"/>
      <x:c r="AE2546" s="145"/>
      <x:c r="AF2546" s="145"/>
      <x:c r="AG2546" s="145"/>
      <x:c r="AH2546" s="145"/>
      <x:c r="AI2546" s="145"/>
      <x:c r="AJ2546"/>
    </x:row>
    <x:row r="2547">
      <x:c r="F2547" s="124"/>
      <x:c r="G2547" s="124"/>
      <x:c r="H2547" s="124"/>
      <x:c r="I2547" s="124"/>
      <x:c r="J2547" s="124"/>
      <x:c r="M2547" s="126"/>
      <x:c r="P2547" s="126"/>
      <x:c r="Q2547" s="126"/>
      <x:c r="R2547" s="126"/>
      <x:c r="S2547" s="124"/>
      <x:c r="T2547" s="124"/>
      <x:c r="U2547" s="124"/>
      <x:c r="V2547" s="124"/>
      <x:c r="W2547" s="124"/>
      <x:c r="X2547" s="124"/>
      <x:c r="AD2547"/>
      <x:c r="AE2547" s="145"/>
      <x:c r="AF2547" s="145"/>
      <x:c r="AG2547" s="145"/>
      <x:c r="AH2547" s="145"/>
      <x:c r="AI2547" s="145"/>
      <x:c r="AJ2547"/>
    </x:row>
    <x:row r="2548">
      <x:c r="F2548" s="124"/>
      <x:c r="G2548" s="124"/>
      <x:c r="H2548" s="124"/>
      <x:c r="I2548" s="124"/>
      <x:c r="J2548" s="124"/>
      <x:c r="M2548" s="126"/>
      <x:c r="P2548" s="126"/>
      <x:c r="Q2548" s="126"/>
      <x:c r="R2548" s="126"/>
      <x:c r="S2548" s="124"/>
      <x:c r="T2548" s="124"/>
      <x:c r="U2548" s="124"/>
      <x:c r="V2548" s="124"/>
      <x:c r="W2548" s="124"/>
      <x:c r="X2548" s="124"/>
      <x:c r="AD2548"/>
      <x:c r="AE2548" s="145"/>
      <x:c r="AF2548" s="145"/>
      <x:c r="AG2548" s="145"/>
      <x:c r="AH2548" s="145"/>
      <x:c r="AI2548" s="145"/>
      <x:c r="AJ2548"/>
    </x:row>
    <x:row r="2549">
      <x:c r="F2549" s="124"/>
      <x:c r="G2549" s="124"/>
      <x:c r="H2549" s="124"/>
      <x:c r="I2549" s="124"/>
      <x:c r="J2549" s="124"/>
      <x:c r="M2549" s="126"/>
      <x:c r="P2549" s="126"/>
      <x:c r="Q2549" s="126"/>
      <x:c r="R2549" s="126"/>
      <x:c r="S2549" s="124"/>
      <x:c r="T2549" s="124"/>
      <x:c r="U2549" s="124"/>
      <x:c r="V2549" s="124"/>
      <x:c r="W2549" s="124"/>
      <x:c r="X2549" s="124"/>
      <x:c r="AD2549"/>
      <x:c r="AE2549" s="145"/>
      <x:c r="AF2549" s="145"/>
      <x:c r="AG2549" s="145"/>
      <x:c r="AH2549" s="145"/>
      <x:c r="AI2549" s="145"/>
      <x:c r="AJ2549"/>
    </x:row>
    <x:row r="2550">
      <x:c r="F2550" s="124"/>
      <x:c r="G2550" s="124"/>
      <x:c r="H2550" s="124"/>
      <x:c r="I2550" s="124"/>
      <x:c r="J2550" s="124"/>
      <x:c r="M2550" s="126"/>
      <x:c r="P2550" s="126"/>
      <x:c r="Q2550" s="126"/>
      <x:c r="R2550" s="126"/>
      <x:c r="S2550" s="124"/>
      <x:c r="T2550" s="124"/>
      <x:c r="U2550" s="124"/>
      <x:c r="V2550" s="124"/>
      <x:c r="W2550" s="124"/>
      <x:c r="X2550" s="124"/>
      <x:c r="AD2550"/>
      <x:c r="AE2550" s="145"/>
      <x:c r="AF2550" s="145"/>
      <x:c r="AG2550" s="145"/>
      <x:c r="AH2550" s="145"/>
      <x:c r="AI2550" s="145"/>
      <x:c r="AJ2550"/>
    </x:row>
    <x:row r="2551">
      <x:c r="F2551" s="124"/>
      <x:c r="G2551" s="124"/>
      <x:c r="H2551" s="124"/>
      <x:c r="I2551" s="124"/>
      <x:c r="J2551" s="124"/>
      <x:c r="M2551" s="126"/>
      <x:c r="P2551" s="126"/>
      <x:c r="Q2551" s="126"/>
      <x:c r="R2551" s="126"/>
      <x:c r="S2551" s="124"/>
      <x:c r="T2551" s="124"/>
      <x:c r="U2551" s="124"/>
      <x:c r="V2551" s="124"/>
      <x:c r="W2551" s="124"/>
      <x:c r="X2551" s="124"/>
      <x:c r="AD2551"/>
      <x:c r="AE2551" s="145"/>
      <x:c r="AF2551" s="145"/>
      <x:c r="AG2551" s="145"/>
      <x:c r="AH2551" s="145"/>
      <x:c r="AI2551" s="145"/>
      <x:c r="AJ2551"/>
    </x:row>
    <x:row r="2552">
      <x:c r="F2552" s="124"/>
      <x:c r="G2552" s="124"/>
      <x:c r="H2552" s="124"/>
      <x:c r="I2552" s="124"/>
      <x:c r="J2552" s="124"/>
      <x:c r="M2552" s="126"/>
      <x:c r="P2552" s="126"/>
      <x:c r="Q2552" s="126"/>
      <x:c r="R2552" s="126"/>
      <x:c r="S2552" s="124"/>
      <x:c r="T2552" s="124"/>
      <x:c r="U2552" s="124"/>
      <x:c r="V2552" s="124"/>
      <x:c r="W2552" s="124"/>
      <x:c r="X2552" s="124"/>
      <x:c r="AD2552"/>
      <x:c r="AE2552" s="145"/>
      <x:c r="AF2552" s="145"/>
      <x:c r="AG2552" s="145"/>
      <x:c r="AH2552" s="145"/>
      <x:c r="AI2552" s="145"/>
      <x:c r="AJ2552"/>
    </x:row>
    <x:row r="2553">
      <x:c r="F2553" s="124"/>
      <x:c r="G2553" s="124"/>
      <x:c r="H2553" s="124"/>
      <x:c r="I2553" s="124"/>
      <x:c r="J2553" s="124"/>
      <x:c r="M2553" s="126"/>
      <x:c r="P2553" s="126"/>
      <x:c r="Q2553" s="126"/>
      <x:c r="R2553" s="126"/>
      <x:c r="S2553" s="124"/>
      <x:c r="T2553" s="124"/>
      <x:c r="U2553" s="124"/>
      <x:c r="V2553" s="124"/>
      <x:c r="W2553" s="124"/>
      <x:c r="X2553" s="124"/>
      <x:c r="AD2553"/>
      <x:c r="AE2553" s="145"/>
      <x:c r="AF2553" s="145"/>
      <x:c r="AG2553" s="145"/>
      <x:c r="AH2553" s="145"/>
      <x:c r="AI2553" s="145"/>
      <x:c r="AJ2553"/>
    </x:row>
    <x:row r="2554">
      <x:c r="F2554" s="124"/>
      <x:c r="G2554" s="124"/>
      <x:c r="H2554" s="124"/>
      <x:c r="I2554" s="124"/>
      <x:c r="J2554" s="124"/>
      <x:c r="M2554" s="126"/>
      <x:c r="P2554" s="126"/>
      <x:c r="Q2554" s="126"/>
      <x:c r="R2554" s="126"/>
      <x:c r="S2554" s="124"/>
      <x:c r="T2554" s="124"/>
      <x:c r="U2554" s="124"/>
      <x:c r="V2554" s="124"/>
      <x:c r="W2554" s="124"/>
      <x:c r="X2554" s="124"/>
      <x:c r="AD2554"/>
      <x:c r="AE2554" s="145"/>
      <x:c r="AF2554" s="145"/>
      <x:c r="AG2554" s="145"/>
      <x:c r="AH2554" s="145"/>
      <x:c r="AI2554" s="145"/>
      <x:c r="AJ2554"/>
    </x:row>
    <x:row r="2555">
      <x:c r="F2555" s="124"/>
      <x:c r="G2555" s="124"/>
      <x:c r="H2555" s="124"/>
      <x:c r="I2555" s="124"/>
      <x:c r="J2555" s="124"/>
      <x:c r="M2555" s="126"/>
      <x:c r="P2555" s="126"/>
      <x:c r="Q2555" s="126"/>
      <x:c r="R2555" s="126"/>
      <x:c r="S2555" s="124"/>
      <x:c r="T2555" s="124"/>
      <x:c r="U2555" s="124"/>
      <x:c r="V2555" s="124"/>
      <x:c r="W2555" s="124"/>
      <x:c r="X2555" s="124"/>
      <x:c r="AD2555"/>
      <x:c r="AE2555" s="145"/>
      <x:c r="AF2555" s="145"/>
      <x:c r="AG2555" s="145"/>
      <x:c r="AH2555" s="145"/>
      <x:c r="AI2555" s="145"/>
      <x:c r="AJ2555"/>
    </x:row>
    <x:row r="2556">
      <x:c r="F2556" s="124"/>
      <x:c r="G2556" s="124"/>
      <x:c r="H2556" s="124"/>
      <x:c r="I2556" s="124"/>
      <x:c r="J2556" s="124"/>
      <x:c r="M2556" s="126"/>
      <x:c r="P2556" s="126"/>
      <x:c r="Q2556" s="126"/>
      <x:c r="R2556" s="126"/>
      <x:c r="S2556" s="124"/>
      <x:c r="T2556" s="124"/>
      <x:c r="U2556" s="124"/>
      <x:c r="V2556" s="124"/>
      <x:c r="W2556" s="124"/>
      <x:c r="X2556" s="124"/>
      <x:c r="AD2556"/>
      <x:c r="AE2556" s="145"/>
      <x:c r="AF2556" s="145"/>
      <x:c r="AG2556" s="145"/>
      <x:c r="AH2556" s="145"/>
      <x:c r="AI2556" s="145"/>
      <x:c r="AJ2556"/>
    </x:row>
    <x:row r="2557">
      <x:c r="F2557" s="124"/>
      <x:c r="G2557" s="124"/>
      <x:c r="H2557" s="124"/>
      <x:c r="I2557" s="124"/>
      <x:c r="J2557" s="124"/>
      <x:c r="M2557" s="126"/>
      <x:c r="P2557" s="126"/>
      <x:c r="Q2557" s="126"/>
      <x:c r="R2557" s="126"/>
      <x:c r="S2557" s="124"/>
      <x:c r="T2557" s="124"/>
      <x:c r="U2557" s="124"/>
      <x:c r="V2557" s="124"/>
      <x:c r="W2557" s="124"/>
      <x:c r="X2557" s="124"/>
      <x:c r="AD2557"/>
      <x:c r="AE2557" s="145"/>
      <x:c r="AF2557" s="145"/>
      <x:c r="AG2557" s="145"/>
      <x:c r="AH2557" s="145"/>
      <x:c r="AI2557" s="145"/>
      <x:c r="AJ2557"/>
    </x:row>
    <x:row r="2558">
      <x:c r="F2558" s="124"/>
      <x:c r="G2558" s="124"/>
      <x:c r="H2558" s="124"/>
      <x:c r="I2558" s="124"/>
      <x:c r="J2558" s="124"/>
      <x:c r="M2558" s="126"/>
      <x:c r="P2558" s="126"/>
      <x:c r="Q2558" s="126"/>
      <x:c r="R2558" s="126"/>
      <x:c r="S2558" s="124"/>
      <x:c r="T2558" s="124"/>
      <x:c r="U2558" s="124"/>
      <x:c r="V2558" s="124"/>
      <x:c r="W2558" s="124"/>
      <x:c r="X2558" s="124"/>
      <x:c r="AD2558"/>
      <x:c r="AE2558" s="145"/>
      <x:c r="AF2558" s="145"/>
      <x:c r="AG2558" s="145"/>
      <x:c r="AH2558" s="145"/>
      <x:c r="AI2558" s="145"/>
      <x:c r="AJ2558"/>
    </x:row>
    <x:row r="2559">
      <x:c r="F2559" s="124"/>
      <x:c r="G2559" s="124"/>
      <x:c r="H2559" s="124"/>
      <x:c r="I2559" s="124"/>
      <x:c r="J2559" s="124"/>
      <x:c r="M2559" s="126"/>
      <x:c r="P2559" s="126"/>
      <x:c r="Q2559" s="126"/>
      <x:c r="R2559" s="126"/>
      <x:c r="S2559" s="124"/>
      <x:c r="T2559" s="124"/>
      <x:c r="U2559" s="124"/>
      <x:c r="V2559" s="124"/>
      <x:c r="W2559" s="124"/>
      <x:c r="X2559" s="124"/>
      <x:c r="AD2559"/>
      <x:c r="AE2559" s="145"/>
      <x:c r="AF2559" s="145"/>
      <x:c r="AG2559" s="145"/>
      <x:c r="AH2559" s="145"/>
      <x:c r="AI2559" s="145"/>
      <x:c r="AJ2559"/>
    </x:row>
    <x:row r="2560">
      <x:c r="F2560" s="124"/>
      <x:c r="G2560" s="124"/>
      <x:c r="H2560" s="124"/>
      <x:c r="I2560" s="124"/>
      <x:c r="J2560" s="124"/>
      <x:c r="M2560" s="126"/>
      <x:c r="P2560" s="126"/>
      <x:c r="Q2560" s="126"/>
      <x:c r="R2560" s="126"/>
      <x:c r="S2560" s="124"/>
      <x:c r="T2560" s="124"/>
      <x:c r="U2560" s="124"/>
      <x:c r="V2560" s="124"/>
      <x:c r="W2560" s="124"/>
      <x:c r="X2560" s="124"/>
      <x:c r="AD2560"/>
      <x:c r="AE2560" s="145"/>
      <x:c r="AF2560" s="145"/>
      <x:c r="AG2560" s="145"/>
      <x:c r="AH2560" s="145"/>
      <x:c r="AI2560" s="145"/>
      <x:c r="AJ2560"/>
    </x:row>
    <x:row r="2561">
      <x:c r="F2561" s="124"/>
      <x:c r="G2561" s="124"/>
      <x:c r="H2561" s="124"/>
      <x:c r="I2561" s="124"/>
      <x:c r="J2561" s="124"/>
      <x:c r="M2561" s="126"/>
      <x:c r="P2561" s="126"/>
      <x:c r="Q2561" s="126"/>
      <x:c r="R2561" s="126"/>
      <x:c r="S2561" s="124"/>
      <x:c r="T2561" s="124"/>
      <x:c r="U2561" s="124"/>
      <x:c r="V2561" s="124"/>
      <x:c r="W2561" s="124"/>
      <x:c r="X2561" s="124"/>
      <x:c r="AD2561"/>
      <x:c r="AE2561" s="145"/>
      <x:c r="AF2561" s="145"/>
      <x:c r="AG2561" s="145"/>
      <x:c r="AH2561" s="145"/>
      <x:c r="AI2561" s="145"/>
      <x:c r="AJ2561"/>
    </x:row>
    <x:row r="2562">
      <x:c r="F2562" s="124"/>
      <x:c r="G2562" s="124"/>
      <x:c r="H2562" s="124"/>
      <x:c r="I2562" s="124"/>
      <x:c r="J2562" s="124"/>
      <x:c r="M2562" s="126"/>
      <x:c r="P2562" s="126"/>
      <x:c r="Q2562" s="126"/>
      <x:c r="R2562" s="126"/>
      <x:c r="S2562" s="124"/>
      <x:c r="T2562" s="124"/>
      <x:c r="U2562" s="124"/>
      <x:c r="V2562" s="124"/>
      <x:c r="W2562" s="124"/>
      <x:c r="X2562" s="124"/>
      <x:c r="AD2562"/>
      <x:c r="AE2562" s="145"/>
      <x:c r="AF2562" s="145"/>
      <x:c r="AG2562" s="145"/>
      <x:c r="AH2562" s="145"/>
      <x:c r="AI2562" s="145"/>
      <x:c r="AJ2562"/>
    </x:row>
    <x:row r="2563">
      <x:c r="F2563" s="124"/>
      <x:c r="G2563" s="124"/>
      <x:c r="H2563" s="124"/>
      <x:c r="I2563" s="124"/>
      <x:c r="J2563" s="124"/>
      <x:c r="M2563" s="126"/>
      <x:c r="P2563" s="126"/>
      <x:c r="Q2563" s="126"/>
      <x:c r="R2563" s="126"/>
      <x:c r="S2563" s="124"/>
      <x:c r="T2563" s="124"/>
      <x:c r="U2563" s="124"/>
      <x:c r="V2563" s="124"/>
      <x:c r="W2563" s="124"/>
      <x:c r="X2563" s="124"/>
      <x:c r="AD2563"/>
      <x:c r="AE2563" s="145"/>
      <x:c r="AF2563" s="145"/>
      <x:c r="AG2563" s="145"/>
      <x:c r="AH2563" s="145"/>
      <x:c r="AI2563" s="145"/>
      <x:c r="AJ2563"/>
    </x:row>
    <x:row r="2564">
      <x:c r="F2564" s="124"/>
      <x:c r="G2564" s="124"/>
      <x:c r="H2564" s="124"/>
      <x:c r="I2564" s="124"/>
      <x:c r="J2564" s="124"/>
      <x:c r="M2564" s="126"/>
      <x:c r="P2564" s="126"/>
      <x:c r="Q2564" s="126"/>
      <x:c r="R2564" s="126"/>
      <x:c r="S2564" s="124"/>
      <x:c r="T2564" s="124"/>
      <x:c r="U2564" s="124"/>
      <x:c r="V2564" s="124"/>
      <x:c r="W2564" s="124"/>
      <x:c r="X2564" s="124"/>
      <x:c r="AD2564"/>
      <x:c r="AE2564" s="145"/>
      <x:c r="AF2564" s="145"/>
      <x:c r="AG2564" s="145"/>
      <x:c r="AH2564" s="145"/>
      <x:c r="AI2564" s="145"/>
      <x:c r="AJ2564"/>
    </x:row>
    <x:row r="2565">
      <x:c r="F2565" s="124"/>
      <x:c r="G2565" s="124"/>
      <x:c r="H2565" s="124"/>
      <x:c r="I2565" s="124"/>
      <x:c r="J2565" s="124"/>
      <x:c r="M2565" s="126"/>
      <x:c r="P2565" s="126"/>
      <x:c r="Q2565" s="126"/>
      <x:c r="R2565" s="126"/>
      <x:c r="S2565" s="124"/>
      <x:c r="T2565" s="124"/>
      <x:c r="U2565" s="124"/>
      <x:c r="V2565" s="124"/>
      <x:c r="W2565" s="124"/>
      <x:c r="X2565" s="124"/>
      <x:c r="AD2565"/>
      <x:c r="AE2565" s="145"/>
      <x:c r="AF2565" s="145"/>
      <x:c r="AG2565" s="145"/>
      <x:c r="AH2565" s="145"/>
      <x:c r="AI2565" s="145"/>
      <x:c r="AJ2565"/>
    </x:row>
    <x:row r="2566">
      <x:c r="F2566" s="124"/>
      <x:c r="G2566" s="124"/>
      <x:c r="H2566" s="124"/>
      <x:c r="I2566" s="124"/>
      <x:c r="J2566" s="124"/>
      <x:c r="M2566" s="126"/>
      <x:c r="P2566" s="126"/>
      <x:c r="Q2566" s="126"/>
      <x:c r="R2566" s="126"/>
      <x:c r="S2566" s="124"/>
      <x:c r="T2566" s="124"/>
      <x:c r="U2566" s="124"/>
      <x:c r="V2566" s="124"/>
      <x:c r="W2566" s="124"/>
      <x:c r="X2566" s="124"/>
      <x:c r="AD2566"/>
      <x:c r="AE2566" s="145"/>
      <x:c r="AF2566" s="145"/>
      <x:c r="AG2566" s="145"/>
      <x:c r="AH2566" s="145"/>
      <x:c r="AI2566" s="145"/>
      <x:c r="AJ2566"/>
    </x:row>
    <x:row r="2567">
      <x:c r="F2567" s="124"/>
      <x:c r="G2567" s="124"/>
      <x:c r="H2567" s="124"/>
      <x:c r="I2567" s="124"/>
      <x:c r="J2567" s="124"/>
      <x:c r="M2567" s="126"/>
      <x:c r="P2567" s="126"/>
      <x:c r="Q2567" s="126"/>
      <x:c r="R2567" s="126"/>
      <x:c r="S2567" s="124"/>
      <x:c r="T2567" s="124"/>
      <x:c r="U2567" s="124"/>
      <x:c r="V2567" s="124"/>
      <x:c r="W2567" s="124"/>
      <x:c r="X2567" s="124"/>
      <x:c r="AD2567"/>
      <x:c r="AE2567" s="145"/>
      <x:c r="AF2567" s="145"/>
      <x:c r="AG2567" s="145"/>
      <x:c r="AH2567" s="145"/>
      <x:c r="AI2567" s="145"/>
      <x:c r="AJ2567"/>
    </x:row>
    <x:row r="2568">
      <x:c r="F2568" s="124"/>
      <x:c r="G2568" s="124"/>
      <x:c r="H2568" s="124"/>
      <x:c r="I2568" s="124"/>
      <x:c r="J2568" s="124"/>
      <x:c r="M2568" s="126"/>
      <x:c r="P2568" s="126"/>
      <x:c r="Q2568" s="126"/>
      <x:c r="R2568" s="126"/>
      <x:c r="S2568" s="124"/>
      <x:c r="T2568" s="124"/>
      <x:c r="U2568" s="124"/>
      <x:c r="V2568" s="124"/>
      <x:c r="W2568" s="124"/>
      <x:c r="X2568" s="124"/>
      <x:c r="AD2568"/>
      <x:c r="AE2568" s="145"/>
      <x:c r="AF2568" s="145"/>
      <x:c r="AG2568" s="145"/>
      <x:c r="AH2568" s="145"/>
      <x:c r="AI2568" s="145"/>
      <x:c r="AJ2568"/>
    </x:row>
    <x:row r="2569">
      <x:c r="F2569" s="124"/>
      <x:c r="G2569" s="124"/>
      <x:c r="H2569" s="124"/>
      <x:c r="I2569" s="124"/>
      <x:c r="J2569" s="124"/>
      <x:c r="M2569" s="126"/>
      <x:c r="P2569" s="126"/>
      <x:c r="Q2569" s="126"/>
      <x:c r="R2569" s="126"/>
      <x:c r="S2569" s="124"/>
      <x:c r="T2569" s="124"/>
      <x:c r="U2569" s="124"/>
      <x:c r="V2569" s="124"/>
      <x:c r="W2569" s="124"/>
      <x:c r="X2569" s="124"/>
      <x:c r="AD2569"/>
      <x:c r="AE2569" s="145"/>
      <x:c r="AF2569" s="145"/>
      <x:c r="AG2569" s="145"/>
      <x:c r="AH2569" s="145"/>
      <x:c r="AI2569" s="145"/>
      <x:c r="AJ2569"/>
    </x:row>
    <x:row r="2570">
      <x:c r="F2570" s="124"/>
      <x:c r="G2570" s="124"/>
      <x:c r="H2570" s="124"/>
      <x:c r="I2570" s="124"/>
      <x:c r="J2570" s="124"/>
      <x:c r="M2570" s="126"/>
      <x:c r="P2570" s="126"/>
      <x:c r="Q2570" s="126"/>
      <x:c r="R2570" s="126"/>
      <x:c r="S2570" s="124"/>
      <x:c r="T2570" s="124"/>
      <x:c r="U2570" s="124"/>
      <x:c r="V2570" s="124"/>
      <x:c r="W2570" s="124"/>
      <x:c r="X2570" s="124"/>
      <x:c r="AD2570"/>
      <x:c r="AE2570" s="145"/>
      <x:c r="AF2570" s="145"/>
      <x:c r="AG2570" s="145"/>
      <x:c r="AH2570" s="145"/>
      <x:c r="AI2570" s="145"/>
      <x:c r="AJ2570"/>
    </x:row>
    <x:row r="2571">
      <x:c r="F2571" s="124"/>
      <x:c r="G2571" s="124"/>
      <x:c r="H2571" s="124"/>
      <x:c r="I2571" s="124"/>
      <x:c r="J2571" s="124"/>
      <x:c r="M2571" s="126"/>
      <x:c r="P2571" s="126"/>
      <x:c r="Q2571" s="126"/>
      <x:c r="R2571" s="126"/>
      <x:c r="S2571" s="124"/>
      <x:c r="T2571" s="124"/>
      <x:c r="U2571" s="124"/>
      <x:c r="V2571" s="124"/>
      <x:c r="W2571" s="124"/>
      <x:c r="X2571" s="124"/>
      <x:c r="AD2571"/>
      <x:c r="AE2571" s="145"/>
      <x:c r="AF2571" s="145"/>
      <x:c r="AG2571" s="145"/>
      <x:c r="AH2571" s="145"/>
      <x:c r="AI2571" s="145"/>
      <x:c r="AJ2571"/>
    </x:row>
    <x:row r="2572">
      <x:c r="F2572" s="124"/>
      <x:c r="G2572" s="124"/>
      <x:c r="H2572" s="124"/>
      <x:c r="I2572" s="124"/>
      <x:c r="J2572" s="124"/>
      <x:c r="M2572" s="126"/>
      <x:c r="P2572" s="126"/>
      <x:c r="Q2572" s="126"/>
      <x:c r="R2572" s="126"/>
      <x:c r="S2572" s="124"/>
      <x:c r="T2572" s="124"/>
      <x:c r="U2572" s="124"/>
      <x:c r="V2572" s="124"/>
      <x:c r="W2572" s="124"/>
      <x:c r="X2572" s="124"/>
      <x:c r="AD2572"/>
      <x:c r="AE2572" s="145"/>
      <x:c r="AF2572" s="145"/>
      <x:c r="AG2572" s="145"/>
      <x:c r="AH2572" s="145"/>
      <x:c r="AI2572" s="145"/>
      <x:c r="AJ2572"/>
    </x:row>
    <x:row r="2573">
      <x:c r="F2573" s="124"/>
      <x:c r="G2573" s="124"/>
      <x:c r="H2573" s="124"/>
      <x:c r="I2573" s="124"/>
      <x:c r="J2573" s="124"/>
      <x:c r="M2573" s="126"/>
      <x:c r="P2573" s="126"/>
      <x:c r="Q2573" s="126"/>
      <x:c r="R2573" s="126"/>
      <x:c r="S2573" s="124"/>
      <x:c r="T2573" s="124"/>
      <x:c r="U2573" s="124"/>
      <x:c r="V2573" s="124"/>
      <x:c r="W2573" s="124"/>
      <x:c r="X2573" s="124"/>
      <x:c r="AD2573"/>
      <x:c r="AE2573" s="145"/>
      <x:c r="AF2573" s="145"/>
      <x:c r="AG2573" s="145"/>
      <x:c r="AH2573" s="145"/>
      <x:c r="AI2573" s="145"/>
      <x:c r="AJ2573"/>
    </x:row>
    <x:row r="2574">
      <x:c r="F2574" s="124"/>
      <x:c r="G2574" s="124"/>
      <x:c r="H2574" s="124"/>
      <x:c r="I2574" s="124"/>
      <x:c r="J2574" s="124"/>
      <x:c r="M2574" s="126"/>
      <x:c r="P2574" s="126"/>
      <x:c r="Q2574" s="126"/>
      <x:c r="R2574" s="126"/>
      <x:c r="S2574" s="124"/>
      <x:c r="T2574" s="124"/>
      <x:c r="U2574" s="124"/>
      <x:c r="V2574" s="124"/>
      <x:c r="W2574" s="124"/>
      <x:c r="X2574" s="124"/>
      <x:c r="AD2574"/>
      <x:c r="AE2574" s="145"/>
      <x:c r="AF2574" s="145"/>
      <x:c r="AG2574" s="145"/>
      <x:c r="AH2574" s="145"/>
      <x:c r="AI2574" s="145"/>
      <x:c r="AJ2574"/>
    </x:row>
    <x:row r="2575">
      <x:c r="F2575" s="124"/>
      <x:c r="G2575" s="124"/>
      <x:c r="H2575" s="124"/>
      <x:c r="I2575" s="124"/>
      <x:c r="J2575" s="124"/>
      <x:c r="M2575" s="126"/>
      <x:c r="P2575" s="126"/>
      <x:c r="Q2575" s="126"/>
      <x:c r="R2575" s="126"/>
      <x:c r="S2575" s="124"/>
      <x:c r="T2575" s="124"/>
      <x:c r="U2575" s="124"/>
      <x:c r="V2575" s="124"/>
      <x:c r="W2575" s="124"/>
      <x:c r="X2575" s="124"/>
      <x:c r="AD2575"/>
      <x:c r="AE2575" s="145"/>
      <x:c r="AF2575" s="145"/>
      <x:c r="AG2575" s="145"/>
      <x:c r="AH2575" s="145"/>
      <x:c r="AI2575" s="145"/>
      <x:c r="AJ2575"/>
    </x:row>
    <x:row r="2576">
      <x:c r="F2576" s="124"/>
      <x:c r="G2576" s="124"/>
      <x:c r="H2576" s="124"/>
      <x:c r="I2576" s="124"/>
      <x:c r="J2576" s="124"/>
      <x:c r="M2576" s="126"/>
      <x:c r="P2576" s="126"/>
      <x:c r="Q2576" s="126"/>
      <x:c r="R2576" s="126"/>
      <x:c r="S2576" s="124"/>
      <x:c r="T2576" s="124"/>
      <x:c r="U2576" s="124"/>
      <x:c r="V2576" s="124"/>
      <x:c r="W2576" s="124"/>
      <x:c r="X2576" s="124"/>
      <x:c r="AD2576"/>
      <x:c r="AE2576" s="145"/>
      <x:c r="AF2576" s="145"/>
      <x:c r="AG2576" s="145"/>
      <x:c r="AH2576" s="145"/>
      <x:c r="AI2576" s="145"/>
      <x:c r="AJ2576"/>
    </x:row>
    <x:row r="2577">
      <x:c r="F2577" s="124"/>
      <x:c r="G2577" s="124"/>
      <x:c r="H2577" s="124"/>
      <x:c r="I2577" s="124"/>
      <x:c r="J2577" s="124"/>
      <x:c r="M2577" s="126"/>
      <x:c r="P2577" s="126"/>
      <x:c r="Q2577" s="126"/>
      <x:c r="R2577" s="126"/>
      <x:c r="S2577" s="124"/>
      <x:c r="T2577" s="124"/>
      <x:c r="U2577" s="124"/>
      <x:c r="V2577" s="124"/>
      <x:c r="W2577" s="124"/>
      <x:c r="X2577" s="124"/>
      <x:c r="AD2577"/>
      <x:c r="AE2577" s="145"/>
      <x:c r="AF2577" s="145"/>
      <x:c r="AG2577" s="145"/>
      <x:c r="AH2577" s="145"/>
      <x:c r="AI2577" s="145"/>
      <x:c r="AJ2577"/>
    </x:row>
    <x:row r="2578">
      <x:c r="F2578" s="124"/>
      <x:c r="G2578" s="124"/>
      <x:c r="H2578" s="124"/>
      <x:c r="I2578" s="124"/>
      <x:c r="J2578" s="124"/>
      <x:c r="M2578" s="126"/>
      <x:c r="P2578" s="126"/>
      <x:c r="Q2578" s="126"/>
      <x:c r="R2578" s="126"/>
      <x:c r="S2578" s="124"/>
      <x:c r="T2578" s="124"/>
      <x:c r="U2578" s="124"/>
      <x:c r="V2578" s="124"/>
      <x:c r="W2578" s="124"/>
      <x:c r="X2578" s="124"/>
      <x:c r="AD2578"/>
      <x:c r="AE2578" s="145"/>
      <x:c r="AF2578" s="145"/>
      <x:c r="AG2578" s="145"/>
      <x:c r="AH2578" s="145"/>
      <x:c r="AI2578" s="145"/>
      <x:c r="AJ2578"/>
    </x:row>
    <x:row r="2579">
      <x:c r="F2579" s="124"/>
      <x:c r="G2579" s="124"/>
      <x:c r="H2579" s="124"/>
      <x:c r="I2579" s="124"/>
      <x:c r="J2579" s="124"/>
      <x:c r="M2579" s="126"/>
      <x:c r="P2579" s="126"/>
      <x:c r="Q2579" s="126"/>
      <x:c r="R2579" s="126"/>
      <x:c r="S2579" s="124"/>
      <x:c r="T2579" s="124"/>
      <x:c r="U2579" s="124"/>
      <x:c r="V2579" s="124"/>
      <x:c r="W2579" s="124"/>
      <x:c r="X2579" s="124"/>
      <x:c r="AD2579"/>
      <x:c r="AE2579" s="145"/>
      <x:c r="AF2579" s="145"/>
      <x:c r="AG2579" s="145"/>
      <x:c r="AH2579" s="145"/>
      <x:c r="AI2579" s="145"/>
      <x:c r="AJ2579"/>
    </x:row>
    <x:row r="2580">
      <x:c r="F2580" s="124"/>
      <x:c r="G2580" s="124"/>
      <x:c r="H2580" s="124"/>
      <x:c r="I2580" s="124"/>
      <x:c r="J2580" s="124"/>
      <x:c r="M2580" s="126"/>
      <x:c r="P2580" s="126"/>
      <x:c r="Q2580" s="126"/>
      <x:c r="R2580" s="126"/>
      <x:c r="S2580" s="124"/>
      <x:c r="T2580" s="124"/>
      <x:c r="U2580" s="124"/>
      <x:c r="V2580" s="124"/>
      <x:c r="W2580" s="124"/>
      <x:c r="X2580" s="124"/>
      <x:c r="AD2580"/>
      <x:c r="AE2580" s="145"/>
      <x:c r="AF2580" s="145"/>
      <x:c r="AG2580" s="145"/>
      <x:c r="AH2580" s="145"/>
      <x:c r="AI2580" s="145"/>
      <x:c r="AJ2580"/>
    </x:row>
    <x:row r="2581">
      <x:c r="F2581" s="124"/>
      <x:c r="G2581" s="124"/>
      <x:c r="H2581" s="124"/>
      <x:c r="I2581" s="124"/>
      <x:c r="J2581" s="124"/>
      <x:c r="M2581" s="126"/>
      <x:c r="P2581" s="126"/>
      <x:c r="Q2581" s="126"/>
      <x:c r="R2581" s="126"/>
      <x:c r="S2581" s="124"/>
      <x:c r="T2581" s="124"/>
      <x:c r="U2581" s="124"/>
      <x:c r="V2581" s="124"/>
      <x:c r="W2581" s="124"/>
      <x:c r="X2581" s="124"/>
      <x:c r="AD2581"/>
      <x:c r="AE2581" s="145"/>
      <x:c r="AF2581" s="145"/>
      <x:c r="AG2581" s="145"/>
      <x:c r="AH2581" s="145"/>
      <x:c r="AI2581" s="145"/>
      <x:c r="AJ2581"/>
    </x:row>
    <x:row r="2582">
      <x:c r="F2582" s="124"/>
      <x:c r="G2582" s="124"/>
      <x:c r="H2582" s="124"/>
      <x:c r="I2582" s="124"/>
      <x:c r="J2582" s="124"/>
      <x:c r="M2582" s="126"/>
      <x:c r="P2582" s="126"/>
      <x:c r="Q2582" s="126"/>
      <x:c r="R2582" s="126"/>
      <x:c r="S2582" s="124"/>
      <x:c r="T2582" s="124"/>
      <x:c r="U2582" s="124"/>
      <x:c r="V2582" s="124"/>
      <x:c r="W2582" s="124"/>
      <x:c r="X2582" s="124"/>
      <x:c r="AD2582"/>
      <x:c r="AE2582" s="145"/>
      <x:c r="AF2582" s="145"/>
      <x:c r="AG2582" s="145"/>
      <x:c r="AH2582" s="145"/>
      <x:c r="AI2582" s="145"/>
      <x:c r="AJ2582"/>
    </x:row>
    <x:row r="2583">
      <x:c r="F2583" s="124"/>
      <x:c r="G2583" s="124"/>
      <x:c r="H2583" s="124"/>
      <x:c r="I2583" s="124"/>
      <x:c r="J2583" s="124"/>
      <x:c r="M2583" s="126"/>
      <x:c r="P2583" s="126"/>
      <x:c r="Q2583" s="126"/>
      <x:c r="R2583" s="126"/>
      <x:c r="S2583" s="124"/>
      <x:c r="T2583" s="124"/>
      <x:c r="U2583" s="124"/>
      <x:c r="V2583" s="124"/>
      <x:c r="W2583" s="124"/>
      <x:c r="X2583" s="124"/>
      <x:c r="AD2583"/>
      <x:c r="AE2583" s="145"/>
      <x:c r="AF2583" s="145"/>
      <x:c r="AG2583" s="145"/>
      <x:c r="AH2583" s="145"/>
      <x:c r="AI2583" s="145"/>
      <x:c r="AJ2583"/>
    </x:row>
    <x:row r="2584">
      <x:c r="F2584" s="124"/>
      <x:c r="G2584" s="124"/>
      <x:c r="H2584" s="124"/>
      <x:c r="I2584" s="124"/>
      <x:c r="J2584" s="124"/>
      <x:c r="M2584" s="126"/>
      <x:c r="P2584" s="126"/>
      <x:c r="Q2584" s="126"/>
      <x:c r="R2584" s="126"/>
      <x:c r="S2584" s="124"/>
      <x:c r="T2584" s="124"/>
      <x:c r="U2584" s="124"/>
      <x:c r="V2584" s="124"/>
      <x:c r="W2584" s="124"/>
      <x:c r="X2584" s="124"/>
      <x:c r="AD2584"/>
      <x:c r="AE2584" s="145"/>
      <x:c r="AF2584" s="145"/>
      <x:c r="AG2584" s="145"/>
      <x:c r="AH2584" s="145"/>
      <x:c r="AI2584" s="145"/>
      <x:c r="AJ2584"/>
    </x:row>
    <x:row r="2585">
      <x:c r="F2585" s="124"/>
      <x:c r="G2585" s="124"/>
      <x:c r="H2585" s="124"/>
      <x:c r="I2585" s="124"/>
      <x:c r="J2585" s="124"/>
      <x:c r="M2585" s="126"/>
      <x:c r="P2585" s="126"/>
      <x:c r="Q2585" s="126"/>
      <x:c r="R2585" s="126"/>
      <x:c r="S2585" s="124"/>
      <x:c r="T2585" s="124"/>
      <x:c r="U2585" s="124"/>
      <x:c r="V2585" s="124"/>
      <x:c r="W2585" s="124"/>
      <x:c r="X2585" s="124"/>
      <x:c r="AD2585"/>
      <x:c r="AE2585" s="145"/>
      <x:c r="AF2585" s="145"/>
      <x:c r="AG2585" s="145"/>
      <x:c r="AH2585" s="145"/>
      <x:c r="AI2585" s="145"/>
      <x:c r="AJ2585"/>
    </x:row>
    <x:row r="2586">
      <x:c r="F2586" s="124"/>
      <x:c r="G2586" s="124"/>
      <x:c r="H2586" s="124"/>
      <x:c r="I2586" s="124"/>
      <x:c r="J2586" s="124"/>
      <x:c r="M2586" s="126"/>
      <x:c r="P2586" s="126"/>
      <x:c r="Q2586" s="126"/>
      <x:c r="R2586" s="126"/>
      <x:c r="S2586" s="124"/>
      <x:c r="T2586" s="124"/>
      <x:c r="U2586" s="124"/>
      <x:c r="V2586" s="124"/>
      <x:c r="W2586" s="124"/>
      <x:c r="X2586" s="124"/>
      <x:c r="AD2586"/>
      <x:c r="AE2586" s="145"/>
      <x:c r="AF2586" s="145"/>
      <x:c r="AG2586" s="145"/>
      <x:c r="AH2586" s="145"/>
      <x:c r="AI2586" s="145"/>
      <x:c r="AJ2586"/>
    </x:row>
    <x:row r="2587">
      <x:c r="F2587" s="124"/>
      <x:c r="G2587" s="124"/>
      <x:c r="H2587" s="124"/>
      <x:c r="I2587" s="124"/>
      <x:c r="J2587" s="124"/>
      <x:c r="M2587" s="126"/>
      <x:c r="P2587" s="126"/>
      <x:c r="Q2587" s="126"/>
      <x:c r="R2587" s="126"/>
      <x:c r="S2587" s="124"/>
      <x:c r="T2587" s="124"/>
      <x:c r="U2587" s="124"/>
      <x:c r="V2587" s="124"/>
      <x:c r="W2587" s="124"/>
      <x:c r="X2587" s="124"/>
      <x:c r="AD2587"/>
      <x:c r="AE2587" s="145"/>
      <x:c r="AF2587" s="145"/>
      <x:c r="AG2587" s="145"/>
      <x:c r="AH2587" s="145"/>
      <x:c r="AI2587" s="145"/>
      <x:c r="AJ2587"/>
    </x:row>
    <x:row r="2588">
      <x:c r="F2588" s="124"/>
      <x:c r="G2588" s="124"/>
      <x:c r="H2588" s="124"/>
      <x:c r="I2588" s="124"/>
      <x:c r="J2588" s="124"/>
      <x:c r="M2588" s="126"/>
      <x:c r="P2588" s="126"/>
      <x:c r="Q2588" s="126"/>
      <x:c r="R2588" s="126"/>
      <x:c r="S2588" s="124"/>
      <x:c r="T2588" s="124"/>
      <x:c r="U2588" s="124"/>
      <x:c r="V2588" s="124"/>
      <x:c r="W2588" s="124"/>
      <x:c r="X2588" s="124"/>
      <x:c r="AD2588"/>
      <x:c r="AE2588" s="145"/>
      <x:c r="AF2588" s="145"/>
      <x:c r="AG2588" s="145"/>
      <x:c r="AH2588" s="145"/>
      <x:c r="AI2588" s="145"/>
      <x:c r="AJ2588"/>
    </x:row>
    <x:row r="2589">
      <x:c r="F2589" s="124"/>
      <x:c r="G2589" s="124"/>
      <x:c r="H2589" s="124"/>
      <x:c r="I2589" s="124"/>
      <x:c r="J2589" s="124"/>
      <x:c r="M2589" s="126"/>
      <x:c r="P2589" s="126"/>
      <x:c r="Q2589" s="126"/>
      <x:c r="R2589" s="126"/>
      <x:c r="S2589" s="124"/>
      <x:c r="T2589" s="124"/>
      <x:c r="U2589" s="124"/>
      <x:c r="V2589" s="124"/>
      <x:c r="W2589" s="124"/>
      <x:c r="X2589" s="124"/>
      <x:c r="AD2589"/>
      <x:c r="AE2589" s="145"/>
      <x:c r="AF2589" s="145"/>
      <x:c r="AG2589" s="145"/>
      <x:c r="AH2589" s="145"/>
      <x:c r="AI2589" s="145"/>
      <x:c r="AJ2589"/>
    </x:row>
    <x:row r="2590">
      <x:c r="F2590" s="124"/>
      <x:c r="G2590" s="124"/>
      <x:c r="H2590" s="124"/>
      <x:c r="I2590" s="124"/>
      <x:c r="J2590" s="124"/>
      <x:c r="M2590" s="126"/>
      <x:c r="P2590" s="126"/>
      <x:c r="Q2590" s="126"/>
      <x:c r="R2590" s="126"/>
      <x:c r="S2590" s="124"/>
      <x:c r="T2590" s="124"/>
      <x:c r="U2590" s="124"/>
      <x:c r="V2590" s="124"/>
      <x:c r="W2590" s="124"/>
      <x:c r="X2590" s="124"/>
      <x:c r="AD2590"/>
      <x:c r="AE2590" s="145"/>
      <x:c r="AF2590" s="145"/>
      <x:c r="AG2590" s="145"/>
      <x:c r="AH2590" s="145"/>
      <x:c r="AI2590" s="145"/>
      <x:c r="AJ2590"/>
    </x:row>
    <x:row r="2591">
      <x:c r="F2591" s="124"/>
      <x:c r="G2591" s="124"/>
      <x:c r="H2591" s="124"/>
      <x:c r="I2591" s="124"/>
      <x:c r="J2591" s="124"/>
      <x:c r="M2591" s="126"/>
      <x:c r="P2591" s="126"/>
      <x:c r="Q2591" s="126"/>
      <x:c r="R2591" s="126"/>
      <x:c r="S2591" s="124"/>
      <x:c r="T2591" s="124"/>
      <x:c r="U2591" s="124"/>
      <x:c r="V2591" s="124"/>
      <x:c r="W2591" s="124"/>
      <x:c r="X2591" s="124"/>
      <x:c r="AD2591"/>
      <x:c r="AE2591" s="145"/>
      <x:c r="AF2591" s="145"/>
      <x:c r="AG2591" s="145"/>
      <x:c r="AH2591" s="145"/>
      <x:c r="AI2591" s="145"/>
      <x:c r="AJ2591"/>
    </x:row>
    <x:row r="2592">
      <x:c r="F2592" s="124"/>
      <x:c r="G2592" s="124"/>
      <x:c r="H2592" s="124"/>
      <x:c r="I2592" s="124"/>
      <x:c r="J2592" s="124"/>
      <x:c r="M2592" s="126"/>
      <x:c r="P2592" s="126"/>
      <x:c r="Q2592" s="126"/>
      <x:c r="R2592" s="126"/>
      <x:c r="S2592" s="124"/>
      <x:c r="T2592" s="124"/>
      <x:c r="U2592" s="124"/>
      <x:c r="V2592" s="124"/>
      <x:c r="W2592" s="124"/>
      <x:c r="X2592" s="124"/>
      <x:c r="AD2592"/>
      <x:c r="AE2592" s="145"/>
      <x:c r="AF2592" s="145"/>
      <x:c r="AG2592" s="145"/>
      <x:c r="AH2592" s="145"/>
      <x:c r="AI2592" s="145"/>
      <x:c r="AJ2592"/>
    </x:row>
    <x:row r="2593">
      <x:c r="F2593" s="124"/>
      <x:c r="G2593" s="124"/>
      <x:c r="H2593" s="124"/>
      <x:c r="I2593" s="124"/>
      <x:c r="J2593" s="124"/>
      <x:c r="M2593" s="126"/>
      <x:c r="P2593" s="126"/>
      <x:c r="Q2593" s="126"/>
      <x:c r="R2593" s="126"/>
      <x:c r="S2593" s="124"/>
      <x:c r="T2593" s="124"/>
      <x:c r="U2593" s="124"/>
      <x:c r="V2593" s="124"/>
      <x:c r="W2593" s="124"/>
      <x:c r="X2593" s="124"/>
      <x:c r="AD2593"/>
      <x:c r="AE2593" s="145"/>
      <x:c r="AF2593" s="145"/>
      <x:c r="AG2593" s="145"/>
      <x:c r="AH2593" s="145"/>
      <x:c r="AI2593" s="145"/>
      <x:c r="AJ2593"/>
    </x:row>
    <x:row r="2594">
      <x:c r="F2594" s="124"/>
      <x:c r="G2594" s="124"/>
      <x:c r="H2594" s="124"/>
      <x:c r="I2594" s="124"/>
      <x:c r="J2594" s="124"/>
      <x:c r="M2594" s="126"/>
      <x:c r="P2594" s="126"/>
      <x:c r="Q2594" s="126"/>
      <x:c r="R2594" s="126"/>
      <x:c r="S2594" s="124"/>
      <x:c r="T2594" s="124"/>
      <x:c r="U2594" s="124"/>
      <x:c r="V2594" s="124"/>
      <x:c r="W2594" s="124"/>
      <x:c r="X2594" s="124"/>
      <x:c r="AD2594"/>
      <x:c r="AE2594" s="145"/>
      <x:c r="AF2594" s="145"/>
      <x:c r="AG2594" s="145"/>
      <x:c r="AH2594" s="145"/>
      <x:c r="AI2594" s="145"/>
      <x:c r="AJ2594"/>
    </x:row>
    <x:row r="2595">
      <x:c r="F2595" s="124"/>
      <x:c r="G2595" s="124"/>
      <x:c r="H2595" s="124"/>
      <x:c r="I2595" s="124"/>
      <x:c r="J2595" s="124"/>
      <x:c r="M2595" s="126"/>
      <x:c r="P2595" s="126"/>
      <x:c r="Q2595" s="126"/>
      <x:c r="R2595" s="126"/>
      <x:c r="S2595" s="124"/>
      <x:c r="T2595" s="124"/>
      <x:c r="U2595" s="124"/>
      <x:c r="V2595" s="124"/>
      <x:c r="W2595" s="124"/>
      <x:c r="X2595" s="124"/>
      <x:c r="AD2595"/>
      <x:c r="AE2595" s="145"/>
      <x:c r="AF2595" s="145"/>
      <x:c r="AG2595" s="145"/>
      <x:c r="AH2595" s="145"/>
      <x:c r="AI2595" s="145"/>
      <x:c r="AJ2595"/>
    </x:row>
    <x:row r="2596">
      <x:c r="F2596" s="124"/>
      <x:c r="G2596" s="124"/>
      <x:c r="H2596" s="124"/>
      <x:c r="I2596" s="124"/>
      <x:c r="J2596" s="124"/>
      <x:c r="M2596" s="126"/>
      <x:c r="P2596" s="126"/>
      <x:c r="Q2596" s="126"/>
      <x:c r="R2596" s="126"/>
      <x:c r="S2596" s="124"/>
      <x:c r="T2596" s="124"/>
      <x:c r="U2596" s="124"/>
      <x:c r="V2596" s="124"/>
      <x:c r="W2596" s="124"/>
      <x:c r="X2596" s="124"/>
      <x:c r="AD2596"/>
      <x:c r="AE2596" s="145"/>
      <x:c r="AF2596" s="145"/>
      <x:c r="AG2596" s="145"/>
      <x:c r="AH2596" s="145"/>
      <x:c r="AI2596" s="145"/>
      <x:c r="AJ2596"/>
    </x:row>
    <x:row r="2597">
      <x:c r="F2597" s="124"/>
      <x:c r="G2597" s="124"/>
      <x:c r="H2597" s="124"/>
      <x:c r="I2597" s="124"/>
      <x:c r="J2597" s="124"/>
      <x:c r="M2597" s="126"/>
      <x:c r="P2597" s="126"/>
      <x:c r="Q2597" s="126"/>
      <x:c r="R2597" s="126"/>
      <x:c r="S2597" s="124"/>
      <x:c r="T2597" s="124"/>
      <x:c r="U2597" s="124"/>
      <x:c r="V2597" s="124"/>
      <x:c r="W2597" s="124"/>
      <x:c r="X2597" s="124"/>
      <x:c r="AD2597"/>
      <x:c r="AE2597" s="145"/>
      <x:c r="AF2597" s="145"/>
      <x:c r="AG2597" s="145"/>
      <x:c r="AH2597" s="145"/>
      <x:c r="AI2597" s="145"/>
      <x:c r="AJ2597"/>
    </x:row>
    <x:row r="2598">
      <x:c r="F2598" s="124"/>
      <x:c r="G2598" s="124"/>
      <x:c r="H2598" s="124"/>
      <x:c r="I2598" s="124"/>
      <x:c r="J2598" s="124"/>
      <x:c r="M2598" s="126"/>
      <x:c r="P2598" s="126"/>
      <x:c r="Q2598" s="126"/>
      <x:c r="R2598" s="126"/>
      <x:c r="S2598" s="124"/>
      <x:c r="T2598" s="124"/>
      <x:c r="U2598" s="124"/>
      <x:c r="V2598" s="124"/>
      <x:c r="W2598" s="124"/>
      <x:c r="X2598" s="124"/>
      <x:c r="AD2598"/>
      <x:c r="AE2598" s="145"/>
      <x:c r="AF2598" s="145"/>
      <x:c r="AG2598" s="145"/>
      <x:c r="AH2598" s="145"/>
      <x:c r="AI2598" s="145"/>
      <x:c r="AJ2598"/>
    </x:row>
    <x:row r="2599">
      <x:c r="F2599" s="124"/>
      <x:c r="G2599" s="124"/>
      <x:c r="H2599" s="124"/>
      <x:c r="I2599" s="124"/>
      <x:c r="J2599" s="124"/>
      <x:c r="M2599" s="126"/>
      <x:c r="P2599" s="126"/>
      <x:c r="Q2599" s="126"/>
      <x:c r="R2599" s="126"/>
      <x:c r="S2599" s="124"/>
      <x:c r="T2599" s="124"/>
      <x:c r="U2599" s="124"/>
      <x:c r="V2599" s="124"/>
      <x:c r="W2599" s="124"/>
      <x:c r="X2599" s="124"/>
      <x:c r="AD2599"/>
      <x:c r="AE2599" s="145"/>
      <x:c r="AF2599" s="145"/>
      <x:c r="AG2599" s="145"/>
      <x:c r="AH2599" s="145"/>
      <x:c r="AI2599" s="145"/>
      <x:c r="AJ2599"/>
    </x:row>
    <x:row r="2600">
      <x:c r="F2600" s="124"/>
      <x:c r="G2600" s="124"/>
      <x:c r="H2600" s="124"/>
      <x:c r="I2600" s="124"/>
      <x:c r="J2600" s="124"/>
      <x:c r="M2600" s="126"/>
      <x:c r="P2600" s="126"/>
      <x:c r="Q2600" s="126"/>
      <x:c r="R2600" s="126"/>
      <x:c r="S2600" s="124"/>
      <x:c r="T2600" s="124"/>
      <x:c r="U2600" s="124"/>
      <x:c r="V2600" s="124"/>
      <x:c r="W2600" s="124"/>
      <x:c r="X2600" s="124"/>
      <x:c r="AD2600"/>
      <x:c r="AE2600" s="145"/>
      <x:c r="AF2600" s="145"/>
      <x:c r="AG2600" s="145"/>
      <x:c r="AH2600" s="145"/>
      <x:c r="AI2600" s="145"/>
      <x:c r="AJ2600"/>
    </x:row>
    <x:row r="2601">
      <x:c r="F2601" s="124"/>
      <x:c r="G2601" s="124"/>
      <x:c r="H2601" s="124"/>
      <x:c r="I2601" s="124"/>
      <x:c r="J2601" s="124"/>
      <x:c r="M2601" s="126"/>
      <x:c r="P2601" s="126"/>
      <x:c r="Q2601" s="126"/>
      <x:c r="R2601" s="126"/>
      <x:c r="S2601" s="124"/>
      <x:c r="T2601" s="124"/>
      <x:c r="U2601" s="124"/>
      <x:c r="V2601" s="124"/>
      <x:c r="W2601" s="124"/>
      <x:c r="X2601" s="124"/>
      <x:c r="AD2601"/>
      <x:c r="AE2601" s="145"/>
      <x:c r="AF2601" s="145"/>
      <x:c r="AG2601" s="145"/>
      <x:c r="AH2601" s="145"/>
      <x:c r="AI2601" s="145"/>
      <x:c r="AJ2601"/>
    </x:row>
    <x:row r="2602">
      <x:c r="F2602" s="124"/>
      <x:c r="G2602" s="124"/>
      <x:c r="H2602" s="124"/>
      <x:c r="I2602" s="124"/>
      <x:c r="J2602" s="124"/>
      <x:c r="M2602" s="126"/>
      <x:c r="P2602" s="126"/>
      <x:c r="Q2602" s="126"/>
      <x:c r="R2602" s="126"/>
      <x:c r="S2602" s="124"/>
      <x:c r="T2602" s="124"/>
      <x:c r="U2602" s="124"/>
      <x:c r="V2602" s="124"/>
      <x:c r="W2602" s="124"/>
      <x:c r="X2602" s="124"/>
      <x:c r="AD2602"/>
      <x:c r="AE2602" s="145"/>
      <x:c r="AF2602" s="145"/>
      <x:c r="AG2602" s="145"/>
      <x:c r="AH2602" s="145"/>
      <x:c r="AI2602" s="145"/>
      <x:c r="AJ2602"/>
    </x:row>
    <x:row r="2603">
      <x:c r="F2603" s="124"/>
      <x:c r="G2603" s="124"/>
      <x:c r="H2603" s="124"/>
      <x:c r="I2603" s="124"/>
      <x:c r="J2603" s="124"/>
      <x:c r="M2603" s="126"/>
      <x:c r="P2603" s="126"/>
      <x:c r="Q2603" s="126"/>
      <x:c r="R2603" s="126"/>
      <x:c r="S2603" s="124"/>
      <x:c r="T2603" s="124"/>
      <x:c r="U2603" s="124"/>
      <x:c r="V2603" s="124"/>
      <x:c r="W2603" s="124"/>
      <x:c r="X2603" s="124"/>
      <x:c r="AD2603"/>
      <x:c r="AE2603" s="145"/>
      <x:c r="AF2603" s="145"/>
      <x:c r="AG2603" s="145"/>
      <x:c r="AH2603" s="145"/>
      <x:c r="AI2603" s="145"/>
      <x:c r="AJ2603"/>
    </x:row>
    <x:row r="2604">
      <x:c r="F2604" s="124"/>
      <x:c r="G2604" s="124"/>
      <x:c r="H2604" s="124"/>
      <x:c r="I2604" s="124"/>
      <x:c r="J2604" s="124"/>
      <x:c r="M2604" s="126"/>
      <x:c r="P2604" s="126"/>
      <x:c r="Q2604" s="126"/>
      <x:c r="R2604" s="126"/>
      <x:c r="S2604" s="124"/>
      <x:c r="T2604" s="124"/>
      <x:c r="U2604" s="124"/>
      <x:c r="V2604" s="124"/>
      <x:c r="W2604" s="124"/>
      <x:c r="X2604" s="124"/>
      <x:c r="AD2604"/>
      <x:c r="AE2604" s="145"/>
      <x:c r="AF2604" s="145"/>
      <x:c r="AG2604" s="145"/>
      <x:c r="AH2604" s="145"/>
      <x:c r="AI2604" s="145"/>
      <x:c r="AJ2604"/>
    </x:row>
    <x:row r="2605">
      <x:c r="F2605" s="124"/>
      <x:c r="G2605" s="124"/>
      <x:c r="H2605" s="124"/>
      <x:c r="I2605" s="124"/>
      <x:c r="J2605" s="124"/>
      <x:c r="M2605" s="126"/>
      <x:c r="P2605" s="126"/>
      <x:c r="Q2605" s="126"/>
      <x:c r="R2605" s="126"/>
      <x:c r="S2605" s="124"/>
      <x:c r="T2605" s="124"/>
      <x:c r="U2605" s="124"/>
      <x:c r="V2605" s="124"/>
      <x:c r="W2605" s="124"/>
      <x:c r="X2605" s="124"/>
      <x:c r="AD2605"/>
      <x:c r="AE2605" s="145"/>
      <x:c r="AF2605" s="145"/>
      <x:c r="AG2605" s="145"/>
      <x:c r="AH2605" s="145"/>
      <x:c r="AI2605" s="145"/>
      <x:c r="AJ2605"/>
    </x:row>
    <x:row r="2606">
      <x:c r="F2606" s="124"/>
      <x:c r="G2606" s="124"/>
      <x:c r="H2606" s="124"/>
      <x:c r="I2606" s="124"/>
      <x:c r="J2606" s="124"/>
      <x:c r="M2606" s="126"/>
      <x:c r="P2606" s="126"/>
      <x:c r="Q2606" s="126"/>
      <x:c r="R2606" s="126"/>
      <x:c r="S2606" s="124"/>
      <x:c r="T2606" s="124"/>
      <x:c r="U2606" s="124"/>
      <x:c r="V2606" s="124"/>
      <x:c r="W2606" s="124"/>
      <x:c r="X2606" s="124"/>
      <x:c r="AD2606"/>
      <x:c r="AE2606" s="145"/>
      <x:c r="AF2606" s="145"/>
      <x:c r="AG2606" s="145"/>
      <x:c r="AH2606" s="145"/>
      <x:c r="AI2606" s="145"/>
      <x:c r="AJ2606"/>
    </x:row>
    <x:row r="2607">
      <x:c r="F2607" s="124"/>
      <x:c r="G2607" s="124"/>
      <x:c r="H2607" s="124"/>
      <x:c r="I2607" s="124"/>
      <x:c r="J2607" s="124"/>
      <x:c r="M2607" s="126"/>
      <x:c r="P2607" s="126"/>
      <x:c r="Q2607" s="126"/>
      <x:c r="R2607" s="126"/>
      <x:c r="S2607" s="124"/>
      <x:c r="T2607" s="124"/>
      <x:c r="U2607" s="124"/>
      <x:c r="V2607" s="124"/>
      <x:c r="W2607" s="124"/>
      <x:c r="X2607" s="124"/>
      <x:c r="AD2607"/>
      <x:c r="AE2607" s="145"/>
      <x:c r="AF2607" s="145"/>
      <x:c r="AG2607" s="145"/>
      <x:c r="AH2607" s="145"/>
      <x:c r="AI2607" s="145"/>
      <x:c r="AJ2607"/>
    </x:row>
    <x:row r="2608">
      <x:c r="F2608" s="124"/>
      <x:c r="G2608" s="124"/>
      <x:c r="H2608" s="124"/>
      <x:c r="I2608" s="124"/>
      <x:c r="J2608" s="124"/>
      <x:c r="M2608" s="126"/>
      <x:c r="P2608" s="126"/>
      <x:c r="Q2608" s="126"/>
      <x:c r="R2608" s="126"/>
      <x:c r="S2608" s="124"/>
      <x:c r="T2608" s="124"/>
      <x:c r="U2608" s="124"/>
      <x:c r="V2608" s="124"/>
      <x:c r="W2608" s="124"/>
      <x:c r="X2608" s="124"/>
      <x:c r="AD2608"/>
      <x:c r="AE2608" s="145"/>
      <x:c r="AF2608" s="145"/>
      <x:c r="AG2608" s="145"/>
      <x:c r="AH2608" s="145"/>
      <x:c r="AI2608" s="145"/>
      <x:c r="AJ2608"/>
    </x:row>
    <x:row r="2609">
      <x:c r="F2609" s="124"/>
      <x:c r="G2609" s="124"/>
      <x:c r="H2609" s="124"/>
      <x:c r="I2609" s="124"/>
      <x:c r="J2609" s="124"/>
      <x:c r="M2609" s="126"/>
      <x:c r="P2609" s="126"/>
      <x:c r="Q2609" s="126"/>
      <x:c r="R2609" s="126"/>
      <x:c r="S2609" s="124"/>
      <x:c r="T2609" s="124"/>
      <x:c r="U2609" s="124"/>
      <x:c r="V2609" s="124"/>
      <x:c r="W2609" s="124"/>
      <x:c r="X2609" s="124"/>
      <x:c r="AD2609"/>
      <x:c r="AE2609" s="145"/>
      <x:c r="AF2609" s="145"/>
      <x:c r="AG2609" s="145"/>
      <x:c r="AH2609" s="145"/>
      <x:c r="AI2609" s="145"/>
      <x:c r="AJ2609"/>
    </x:row>
    <x:row r="2610">
      <x:c r="F2610" s="124"/>
      <x:c r="G2610" s="124"/>
      <x:c r="H2610" s="124"/>
      <x:c r="I2610" s="124"/>
      <x:c r="J2610" s="124"/>
      <x:c r="M2610" s="126"/>
      <x:c r="P2610" s="126"/>
      <x:c r="Q2610" s="126"/>
      <x:c r="R2610" s="126"/>
      <x:c r="S2610" s="124"/>
      <x:c r="T2610" s="124"/>
      <x:c r="U2610" s="124"/>
      <x:c r="V2610" s="124"/>
      <x:c r="W2610" s="124"/>
      <x:c r="X2610" s="124"/>
      <x:c r="AD2610"/>
      <x:c r="AE2610" s="145"/>
      <x:c r="AF2610" s="145"/>
      <x:c r="AG2610" s="145"/>
      <x:c r="AH2610" s="145"/>
      <x:c r="AI2610" s="145"/>
      <x:c r="AJ2610"/>
    </x:row>
    <x:row r="2611">
      <x:c r="F2611" s="124"/>
      <x:c r="G2611" s="124"/>
      <x:c r="H2611" s="124"/>
      <x:c r="I2611" s="124"/>
      <x:c r="J2611" s="124"/>
      <x:c r="M2611" s="126"/>
      <x:c r="P2611" s="126"/>
      <x:c r="Q2611" s="126"/>
      <x:c r="R2611" s="126"/>
      <x:c r="S2611" s="124"/>
      <x:c r="T2611" s="124"/>
      <x:c r="U2611" s="124"/>
      <x:c r="V2611" s="124"/>
      <x:c r="W2611" s="124"/>
      <x:c r="X2611" s="124"/>
      <x:c r="AD2611"/>
      <x:c r="AE2611" s="145"/>
      <x:c r="AF2611" s="145"/>
      <x:c r="AG2611" s="145"/>
      <x:c r="AH2611" s="145"/>
      <x:c r="AI2611" s="145"/>
      <x:c r="AJ2611"/>
    </x:row>
    <x:row r="2612">
      <x:c r="F2612" s="124"/>
      <x:c r="G2612" s="124"/>
      <x:c r="H2612" s="124"/>
      <x:c r="I2612" s="124"/>
      <x:c r="J2612" s="124"/>
      <x:c r="M2612" s="126"/>
      <x:c r="P2612" s="126"/>
      <x:c r="Q2612" s="126"/>
      <x:c r="R2612" s="126"/>
      <x:c r="S2612" s="124"/>
      <x:c r="T2612" s="124"/>
      <x:c r="U2612" s="124"/>
      <x:c r="V2612" s="124"/>
      <x:c r="W2612" s="124"/>
      <x:c r="X2612" s="124"/>
      <x:c r="AD2612"/>
      <x:c r="AE2612" s="145"/>
      <x:c r="AF2612" s="145"/>
      <x:c r="AG2612" s="145"/>
      <x:c r="AH2612" s="145"/>
      <x:c r="AI2612" s="145"/>
      <x:c r="AJ2612"/>
    </x:row>
    <x:row r="2613">
      <x:c r="F2613" s="124"/>
      <x:c r="G2613" s="124"/>
      <x:c r="H2613" s="124"/>
      <x:c r="I2613" s="124"/>
      <x:c r="J2613" s="124"/>
      <x:c r="M2613" s="126"/>
      <x:c r="P2613" s="126"/>
      <x:c r="Q2613" s="126"/>
      <x:c r="R2613" s="126"/>
      <x:c r="S2613" s="124"/>
      <x:c r="T2613" s="124"/>
      <x:c r="U2613" s="124"/>
      <x:c r="V2613" s="124"/>
      <x:c r="W2613" s="124"/>
      <x:c r="X2613" s="124"/>
      <x:c r="AD2613"/>
      <x:c r="AE2613" s="145"/>
      <x:c r="AF2613" s="145"/>
      <x:c r="AG2613" s="145"/>
      <x:c r="AH2613" s="145"/>
      <x:c r="AI2613" s="145"/>
      <x:c r="AJ2613"/>
    </x:row>
    <x:row r="2614">
      <x:c r="F2614" s="124"/>
      <x:c r="G2614" s="124"/>
      <x:c r="H2614" s="124"/>
      <x:c r="I2614" s="124"/>
      <x:c r="J2614" s="124"/>
      <x:c r="M2614" s="126"/>
      <x:c r="P2614" s="126"/>
      <x:c r="Q2614" s="126"/>
      <x:c r="R2614" s="126"/>
      <x:c r="S2614" s="124"/>
      <x:c r="T2614" s="124"/>
      <x:c r="U2614" s="124"/>
      <x:c r="V2614" s="124"/>
      <x:c r="W2614" s="124"/>
      <x:c r="X2614" s="124"/>
      <x:c r="AD2614"/>
      <x:c r="AE2614" s="145"/>
      <x:c r="AF2614" s="145"/>
      <x:c r="AG2614" s="145"/>
      <x:c r="AH2614" s="145"/>
      <x:c r="AI2614" s="145"/>
      <x:c r="AJ2614"/>
    </x:row>
    <x:row r="2615">
      <x:c r="F2615" s="124"/>
      <x:c r="G2615" s="124"/>
      <x:c r="H2615" s="124"/>
      <x:c r="I2615" s="124"/>
      <x:c r="J2615" s="124"/>
      <x:c r="M2615" s="126"/>
      <x:c r="P2615" s="126"/>
      <x:c r="Q2615" s="126"/>
      <x:c r="R2615" s="126"/>
      <x:c r="S2615" s="124"/>
      <x:c r="T2615" s="124"/>
      <x:c r="U2615" s="124"/>
      <x:c r="V2615" s="124"/>
      <x:c r="W2615" s="124"/>
      <x:c r="X2615" s="124"/>
      <x:c r="AD2615"/>
      <x:c r="AE2615" s="145"/>
      <x:c r="AF2615" s="145"/>
      <x:c r="AG2615" s="145"/>
      <x:c r="AH2615" s="145"/>
      <x:c r="AI2615" s="145"/>
      <x:c r="AJ2615"/>
    </x:row>
    <x:row r="2616">
      <x:c r="F2616" s="124"/>
      <x:c r="G2616" s="124"/>
      <x:c r="H2616" s="124"/>
      <x:c r="I2616" s="124"/>
      <x:c r="J2616" s="124"/>
      <x:c r="M2616" s="126"/>
      <x:c r="P2616" s="126"/>
      <x:c r="Q2616" s="126"/>
      <x:c r="R2616" s="126"/>
      <x:c r="S2616" s="124"/>
      <x:c r="T2616" s="124"/>
      <x:c r="U2616" s="124"/>
      <x:c r="V2616" s="124"/>
      <x:c r="W2616" s="124"/>
      <x:c r="X2616" s="124"/>
      <x:c r="AD2616"/>
      <x:c r="AE2616" s="145"/>
      <x:c r="AF2616" s="145"/>
      <x:c r="AG2616" s="145"/>
      <x:c r="AH2616" s="145"/>
      <x:c r="AI2616" s="145"/>
      <x:c r="AJ2616"/>
    </x:row>
    <x:row r="2617">
      <x:c r="F2617" s="124"/>
      <x:c r="G2617" s="124"/>
      <x:c r="H2617" s="124"/>
      <x:c r="I2617" s="124"/>
      <x:c r="J2617" s="124"/>
      <x:c r="M2617" s="126"/>
      <x:c r="P2617" s="126"/>
      <x:c r="Q2617" s="126"/>
      <x:c r="R2617" s="126"/>
      <x:c r="S2617" s="124"/>
      <x:c r="T2617" s="124"/>
      <x:c r="U2617" s="124"/>
      <x:c r="V2617" s="124"/>
      <x:c r="W2617" s="124"/>
      <x:c r="X2617" s="124"/>
      <x:c r="AD2617"/>
      <x:c r="AE2617" s="145"/>
      <x:c r="AF2617" s="145"/>
      <x:c r="AG2617" s="145"/>
      <x:c r="AH2617" s="145"/>
      <x:c r="AI2617" s="145"/>
      <x:c r="AJ2617"/>
    </x:row>
    <x:row r="2618">
      <x:c r="F2618" s="124"/>
      <x:c r="G2618" s="124"/>
      <x:c r="H2618" s="124"/>
      <x:c r="I2618" s="124"/>
      <x:c r="J2618" s="124"/>
      <x:c r="M2618" s="126"/>
      <x:c r="P2618" s="126"/>
      <x:c r="Q2618" s="126"/>
      <x:c r="R2618" s="126"/>
      <x:c r="S2618" s="124"/>
      <x:c r="T2618" s="124"/>
      <x:c r="U2618" s="124"/>
      <x:c r="V2618" s="124"/>
      <x:c r="W2618" s="124"/>
      <x:c r="X2618" s="124"/>
      <x:c r="AD2618"/>
      <x:c r="AE2618" s="145"/>
      <x:c r="AF2618" s="145"/>
      <x:c r="AG2618" s="145"/>
      <x:c r="AH2618" s="145"/>
      <x:c r="AI2618" s="145"/>
      <x:c r="AJ2618"/>
    </x:row>
    <x:row r="2619">
      <x:c r="F2619" s="124"/>
      <x:c r="G2619" s="124"/>
      <x:c r="H2619" s="124"/>
      <x:c r="I2619" s="124"/>
      <x:c r="J2619" s="124"/>
      <x:c r="M2619" s="126"/>
      <x:c r="P2619" s="126"/>
      <x:c r="Q2619" s="126"/>
      <x:c r="R2619" s="126"/>
      <x:c r="S2619" s="124"/>
      <x:c r="T2619" s="124"/>
      <x:c r="U2619" s="124"/>
      <x:c r="V2619" s="124"/>
      <x:c r="W2619" s="124"/>
      <x:c r="X2619" s="124"/>
      <x:c r="AD2619"/>
      <x:c r="AE2619" s="145"/>
      <x:c r="AF2619" s="145"/>
      <x:c r="AG2619" s="145"/>
      <x:c r="AH2619" s="145"/>
      <x:c r="AI2619" s="145"/>
      <x:c r="AJ2619"/>
    </x:row>
    <x:row r="2620">
      <x:c r="F2620" s="124"/>
      <x:c r="G2620" s="124"/>
      <x:c r="H2620" s="124"/>
      <x:c r="I2620" s="124"/>
      <x:c r="J2620" s="124"/>
      <x:c r="M2620" s="126"/>
      <x:c r="P2620" s="126"/>
      <x:c r="Q2620" s="126"/>
      <x:c r="R2620" s="126"/>
      <x:c r="S2620" s="124"/>
      <x:c r="T2620" s="124"/>
      <x:c r="U2620" s="124"/>
      <x:c r="V2620" s="124"/>
      <x:c r="W2620" s="124"/>
      <x:c r="X2620" s="124"/>
      <x:c r="AD2620"/>
      <x:c r="AE2620" s="145"/>
      <x:c r="AF2620" s="145"/>
      <x:c r="AG2620" s="145"/>
      <x:c r="AH2620" s="145"/>
      <x:c r="AI2620" s="145"/>
      <x:c r="AJ2620"/>
    </x:row>
    <x:row r="2621">
      <x:c r="F2621" s="124"/>
      <x:c r="G2621" s="124"/>
      <x:c r="H2621" s="124"/>
      <x:c r="I2621" s="124"/>
      <x:c r="J2621" s="124"/>
      <x:c r="M2621" s="126"/>
      <x:c r="P2621" s="126"/>
      <x:c r="Q2621" s="126"/>
      <x:c r="R2621" s="126"/>
      <x:c r="S2621" s="124"/>
      <x:c r="T2621" s="124"/>
      <x:c r="U2621" s="124"/>
      <x:c r="V2621" s="124"/>
      <x:c r="W2621" s="124"/>
      <x:c r="X2621" s="124"/>
      <x:c r="AD2621"/>
      <x:c r="AE2621" s="145"/>
      <x:c r="AF2621" s="145"/>
      <x:c r="AG2621" s="145"/>
      <x:c r="AH2621" s="145"/>
      <x:c r="AI2621" s="145"/>
      <x:c r="AJ2621"/>
    </x:row>
    <x:row r="2622">
      <x:c r="F2622" s="124"/>
      <x:c r="G2622" s="124"/>
      <x:c r="H2622" s="124"/>
      <x:c r="I2622" s="124"/>
      <x:c r="J2622" s="124"/>
      <x:c r="M2622" s="126"/>
      <x:c r="P2622" s="126"/>
      <x:c r="Q2622" s="126"/>
      <x:c r="R2622" s="126"/>
      <x:c r="S2622" s="124"/>
      <x:c r="T2622" s="124"/>
      <x:c r="U2622" s="124"/>
      <x:c r="V2622" s="124"/>
      <x:c r="W2622" s="124"/>
      <x:c r="X2622" s="124"/>
      <x:c r="AD2622"/>
      <x:c r="AE2622" s="145"/>
      <x:c r="AF2622" s="145"/>
      <x:c r="AG2622" s="145"/>
      <x:c r="AH2622" s="145"/>
      <x:c r="AI2622" s="145"/>
      <x:c r="AJ2622"/>
    </x:row>
    <x:row r="2623">
      <x:c r="F2623" s="124"/>
      <x:c r="G2623" s="124"/>
      <x:c r="H2623" s="124"/>
      <x:c r="I2623" s="124"/>
      <x:c r="J2623" s="124"/>
      <x:c r="M2623" s="126"/>
      <x:c r="P2623" s="126"/>
      <x:c r="Q2623" s="126"/>
      <x:c r="R2623" s="126"/>
      <x:c r="S2623" s="124"/>
      <x:c r="T2623" s="124"/>
      <x:c r="U2623" s="124"/>
      <x:c r="V2623" s="124"/>
      <x:c r="W2623" s="124"/>
      <x:c r="X2623" s="124"/>
      <x:c r="AD2623"/>
      <x:c r="AE2623" s="145"/>
      <x:c r="AF2623" s="145"/>
      <x:c r="AG2623" s="145"/>
      <x:c r="AH2623" s="145"/>
      <x:c r="AI2623" s="145"/>
      <x:c r="AJ2623"/>
    </x:row>
    <x:row r="2624">
      <x:c r="F2624" s="124"/>
      <x:c r="G2624" s="124"/>
      <x:c r="H2624" s="124"/>
      <x:c r="I2624" s="124"/>
      <x:c r="J2624" s="124"/>
      <x:c r="M2624" s="126"/>
      <x:c r="P2624" s="126"/>
      <x:c r="Q2624" s="126"/>
      <x:c r="R2624" s="126"/>
      <x:c r="S2624" s="124"/>
      <x:c r="T2624" s="124"/>
      <x:c r="U2624" s="124"/>
      <x:c r="V2624" s="124"/>
      <x:c r="W2624" s="124"/>
      <x:c r="X2624" s="124"/>
      <x:c r="AD2624"/>
      <x:c r="AE2624" s="145"/>
      <x:c r="AF2624" s="145"/>
      <x:c r="AG2624" s="145"/>
      <x:c r="AH2624" s="145"/>
      <x:c r="AI2624" s="145"/>
      <x:c r="AJ2624"/>
    </x:row>
    <x:row r="2625">
      <x:c r="F2625" s="124"/>
      <x:c r="G2625" s="124"/>
      <x:c r="H2625" s="124"/>
      <x:c r="I2625" s="124"/>
      <x:c r="J2625" s="124"/>
      <x:c r="M2625" s="126"/>
      <x:c r="P2625" s="126"/>
      <x:c r="Q2625" s="126"/>
      <x:c r="R2625" s="126"/>
      <x:c r="S2625" s="124"/>
      <x:c r="T2625" s="124"/>
      <x:c r="U2625" s="124"/>
      <x:c r="V2625" s="124"/>
      <x:c r="W2625" s="124"/>
      <x:c r="X2625" s="124"/>
      <x:c r="AD2625"/>
      <x:c r="AE2625" s="145"/>
      <x:c r="AF2625" s="145"/>
      <x:c r="AG2625" s="145"/>
      <x:c r="AH2625" s="145"/>
      <x:c r="AI2625" s="145"/>
      <x:c r="AJ2625"/>
    </x:row>
    <x:row r="2626">
      <x:c r="F2626" s="124"/>
      <x:c r="G2626" s="124"/>
      <x:c r="H2626" s="124"/>
      <x:c r="I2626" s="124"/>
      <x:c r="J2626" s="124"/>
      <x:c r="M2626" s="126"/>
      <x:c r="P2626" s="126"/>
      <x:c r="Q2626" s="126"/>
      <x:c r="R2626" s="126"/>
      <x:c r="S2626" s="124"/>
      <x:c r="T2626" s="124"/>
      <x:c r="U2626" s="124"/>
      <x:c r="V2626" s="124"/>
      <x:c r="W2626" s="124"/>
      <x:c r="X2626" s="124"/>
      <x:c r="AD2626"/>
      <x:c r="AE2626" s="145"/>
      <x:c r="AF2626" s="145"/>
      <x:c r="AG2626" s="145"/>
      <x:c r="AH2626" s="145"/>
      <x:c r="AI2626" s="145"/>
      <x:c r="AJ2626"/>
    </x:row>
    <x:row r="2627">
      <x:c r="F2627" s="124"/>
      <x:c r="G2627" s="124"/>
      <x:c r="H2627" s="124"/>
      <x:c r="I2627" s="124"/>
      <x:c r="J2627" s="124"/>
      <x:c r="M2627" s="126"/>
      <x:c r="P2627" s="126"/>
      <x:c r="Q2627" s="126"/>
      <x:c r="R2627" s="126"/>
      <x:c r="S2627" s="124"/>
      <x:c r="T2627" s="124"/>
      <x:c r="U2627" s="124"/>
      <x:c r="V2627" s="124"/>
      <x:c r="W2627" s="124"/>
      <x:c r="X2627" s="124"/>
      <x:c r="AD2627"/>
      <x:c r="AE2627" s="145"/>
      <x:c r="AF2627" s="145"/>
      <x:c r="AG2627" s="145"/>
      <x:c r="AH2627" s="145"/>
      <x:c r="AI2627" s="145"/>
      <x:c r="AJ2627"/>
    </x:row>
    <x:row r="2628">
      <x:c r="F2628" s="124"/>
      <x:c r="G2628" s="124"/>
      <x:c r="H2628" s="124"/>
      <x:c r="I2628" s="124"/>
      <x:c r="J2628" s="124"/>
      <x:c r="M2628" s="126"/>
      <x:c r="P2628" s="126"/>
      <x:c r="Q2628" s="126"/>
      <x:c r="R2628" s="126"/>
      <x:c r="S2628" s="124"/>
      <x:c r="T2628" s="124"/>
      <x:c r="U2628" s="124"/>
      <x:c r="V2628" s="124"/>
      <x:c r="W2628" s="124"/>
      <x:c r="X2628" s="124"/>
      <x:c r="AD2628"/>
      <x:c r="AE2628" s="145"/>
      <x:c r="AF2628" s="145"/>
      <x:c r="AG2628" s="145"/>
      <x:c r="AH2628" s="145"/>
      <x:c r="AI2628" s="145"/>
      <x:c r="AJ2628"/>
    </x:row>
    <x:row r="2629">
      <x:c r="F2629" s="124"/>
      <x:c r="G2629" s="124"/>
      <x:c r="H2629" s="124"/>
      <x:c r="I2629" s="124"/>
      <x:c r="J2629" s="124"/>
      <x:c r="M2629" s="126"/>
      <x:c r="P2629" s="126"/>
      <x:c r="Q2629" s="126"/>
      <x:c r="R2629" s="126"/>
      <x:c r="S2629" s="124"/>
      <x:c r="T2629" s="124"/>
      <x:c r="U2629" s="124"/>
      <x:c r="V2629" s="124"/>
      <x:c r="W2629" s="124"/>
      <x:c r="X2629" s="124"/>
      <x:c r="AD2629"/>
      <x:c r="AE2629" s="145"/>
      <x:c r="AF2629" s="145"/>
      <x:c r="AG2629" s="145"/>
      <x:c r="AH2629" s="145"/>
      <x:c r="AI2629" s="145"/>
      <x:c r="AJ2629"/>
    </x:row>
    <x:row r="2630">
      <x:c r="F2630" s="124"/>
      <x:c r="G2630" s="124"/>
      <x:c r="H2630" s="124"/>
      <x:c r="I2630" s="124"/>
      <x:c r="J2630" s="124"/>
      <x:c r="M2630" s="126"/>
      <x:c r="P2630" s="126"/>
      <x:c r="Q2630" s="126"/>
      <x:c r="R2630" s="126"/>
      <x:c r="S2630" s="124"/>
      <x:c r="T2630" s="124"/>
      <x:c r="U2630" s="124"/>
      <x:c r="V2630" s="124"/>
      <x:c r="W2630" s="124"/>
      <x:c r="X2630" s="124"/>
      <x:c r="AD2630"/>
      <x:c r="AE2630" s="145"/>
      <x:c r="AF2630" s="145"/>
      <x:c r="AG2630" s="145"/>
      <x:c r="AH2630" s="145"/>
      <x:c r="AI2630" s="145"/>
      <x:c r="AJ2630"/>
    </x:row>
    <x:row r="2631">
      <x:c r="F2631" s="124"/>
      <x:c r="G2631" s="124"/>
      <x:c r="H2631" s="124"/>
      <x:c r="I2631" s="124"/>
      <x:c r="J2631" s="124"/>
      <x:c r="M2631" s="126"/>
      <x:c r="P2631" s="126"/>
      <x:c r="Q2631" s="126"/>
      <x:c r="R2631" s="126"/>
      <x:c r="S2631" s="124"/>
      <x:c r="T2631" s="124"/>
      <x:c r="U2631" s="124"/>
      <x:c r="V2631" s="124"/>
      <x:c r="W2631" s="124"/>
      <x:c r="X2631" s="124"/>
      <x:c r="AD2631"/>
      <x:c r="AE2631" s="145"/>
      <x:c r="AF2631" s="145"/>
      <x:c r="AG2631" s="145"/>
      <x:c r="AH2631" s="145"/>
      <x:c r="AI2631" s="145"/>
      <x:c r="AJ2631"/>
    </x:row>
    <x:row r="2632">
      <x:c r="F2632" s="124"/>
      <x:c r="G2632" s="124"/>
      <x:c r="H2632" s="124"/>
      <x:c r="I2632" s="124"/>
      <x:c r="J2632" s="124"/>
      <x:c r="M2632" s="126"/>
      <x:c r="P2632" s="126"/>
      <x:c r="Q2632" s="126"/>
      <x:c r="R2632" s="126"/>
      <x:c r="S2632" s="124"/>
      <x:c r="T2632" s="124"/>
      <x:c r="U2632" s="124"/>
      <x:c r="V2632" s="124"/>
      <x:c r="W2632" s="124"/>
      <x:c r="X2632" s="124"/>
      <x:c r="AD2632"/>
      <x:c r="AE2632" s="145"/>
      <x:c r="AF2632" s="145"/>
      <x:c r="AG2632" s="145"/>
      <x:c r="AH2632" s="145"/>
      <x:c r="AI2632" s="145"/>
      <x:c r="AJ2632"/>
    </x:row>
    <x:row r="2633">
      <x:c r="F2633" s="124"/>
      <x:c r="G2633" s="124"/>
      <x:c r="H2633" s="124"/>
      <x:c r="I2633" s="124"/>
      <x:c r="J2633" s="124"/>
      <x:c r="M2633" s="126"/>
      <x:c r="P2633" s="126"/>
      <x:c r="Q2633" s="126"/>
      <x:c r="R2633" s="126"/>
      <x:c r="S2633" s="124"/>
      <x:c r="T2633" s="124"/>
      <x:c r="U2633" s="124"/>
      <x:c r="V2633" s="124"/>
      <x:c r="W2633" s="124"/>
      <x:c r="X2633" s="124"/>
      <x:c r="AD2633"/>
      <x:c r="AE2633" s="145"/>
      <x:c r="AF2633" s="145"/>
      <x:c r="AG2633" s="145"/>
      <x:c r="AH2633" s="145"/>
      <x:c r="AI2633" s="145"/>
      <x:c r="AJ2633"/>
    </x:row>
    <x:row r="2634">
      <x:c r="F2634" s="124"/>
      <x:c r="G2634" s="124"/>
      <x:c r="H2634" s="124"/>
      <x:c r="I2634" s="124"/>
      <x:c r="J2634" s="124"/>
      <x:c r="M2634" s="126"/>
      <x:c r="P2634" s="126"/>
      <x:c r="Q2634" s="126"/>
      <x:c r="R2634" s="126"/>
      <x:c r="S2634" s="124"/>
      <x:c r="T2634" s="124"/>
      <x:c r="U2634" s="124"/>
      <x:c r="V2634" s="124"/>
      <x:c r="W2634" s="124"/>
      <x:c r="X2634" s="124"/>
      <x:c r="AD2634"/>
      <x:c r="AE2634" s="145"/>
      <x:c r="AF2634" s="145"/>
      <x:c r="AG2634" s="145"/>
      <x:c r="AH2634" s="145"/>
      <x:c r="AI2634" s="145"/>
      <x:c r="AJ2634"/>
    </x:row>
    <x:row r="2635">
      <x:c r="F2635" s="124"/>
      <x:c r="G2635" s="124"/>
      <x:c r="H2635" s="124"/>
      <x:c r="I2635" s="124"/>
      <x:c r="J2635" s="124"/>
      <x:c r="M2635" s="126"/>
      <x:c r="P2635" s="126"/>
      <x:c r="Q2635" s="126"/>
      <x:c r="R2635" s="126"/>
      <x:c r="S2635" s="124"/>
      <x:c r="T2635" s="124"/>
      <x:c r="U2635" s="124"/>
      <x:c r="V2635" s="124"/>
      <x:c r="W2635" s="124"/>
      <x:c r="X2635" s="124"/>
      <x:c r="AD2635"/>
      <x:c r="AE2635" s="145"/>
      <x:c r="AF2635" s="145"/>
      <x:c r="AG2635" s="145"/>
      <x:c r="AH2635" s="145"/>
      <x:c r="AI2635" s="145"/>
      <x:c r="AJ2635"/>
    </x:row>
    <x:row r="2636">
      <x:c r="F2636" s="124"/>
      <x:c r="G2636" s="124"/>
      <x:c r="H2636" s="124"/>
      <x:c r="I2636" s="124"/>
      <x:c r="J2636" s="124"/>
      <x:c r="M2636" s="126"/>
      <x:c r="P2636" s="126"/>
      <x:c r="Q2636" s="126"/>
      <x:c r="R2636" s="126"/>
      <x:c r="S2636" s="124"/>
      <x:c r="T2636" s="124"/>
      <x:c r="U2636" s="124"/>
      <x:c r="V2636" s="124"/>
      <x:c r="W2636" s="124"/>
      <x:c r="X2636" s="124"/>
      <x:c r="AD2636"/>
      <x:c r="AE2636" s="145"/>
      <x:c r="AF2636" s="145"/>
      <x:c r="AG2636" s="145"/>
      <x:c r="AH2636" s="145"/>
      <x:c r="AI2636" s="145"/>
      <x:c r="AJ2636"/>
    </x:row>
    <x:row r="2637">
      <x:c r="F2637" s="124"/>
      <x:c r="G2637" s="124"/>
      <x:c r="H2637" s="124"/>
      <x:c r="I2637" s="124"/>
      <x:c r="J2637" s="124"/>
      <x:c r="M2637" s="126"/>
      <x:c r="P2637" s="126"/>
      <x:c r="Q2637" s="126"/>
      <x:c r="R2637" s="126"/>
      <x:c r="S2637" s="124"/>
      <x:c r="T2637" s="124"/>
      <x:c r="U2637" s="124"/>
      <x:c r="V2637" s="124"/>
      <x:c r="W2637" s="124"/>
      <x:c r="X2637" s="124"/>
      <x:c r="AD2637"/>
      <x:c r="AE2637" s="145"/>
      <x:c r="AF2637" s="145"/>
      <x:c r="AG2637" s="145"/>
      <x:c r="AH2637" s="145"/>
      <x:c r="AI2637" s="145"/>
      <x:c r="AJ2637"/>
    </x:row>
    <x:row r="2638">
      <x:c r="F2638" s="124"/>
      <x:c r="G2638" s="124"/>
      <x:c r="H2638" s="124"/>
      <x:c r="I2638" s="124"/>
      <x:c r="J2638" s="124"/>
      <x:c r="M2638" s="126"/>
      <x:c r="P2638" s="126"/>
      <x:c r="Q2638" s="126"/>
      <x:c r="R2638" s="126"/>
      <x:c r="S2638" s="124"/>
      <x:c r="T2638" s="124"/>
      <x:c r="U2638" s="124"/>
      <x:c r="V2638" s="124"/>
      <x:c r="W2638" s="124"/>
      <x:c r="X2638" s="124"/>
      <x:c r="AD2638"/>
      <x:c r="AE2638" s="145"/>
      <x:c r="AF2638" s="145"/>
      <x:c r="AG2638" s="145"/>
      <x:c r="AH2638" s="145"/>
      <x:c r="AI2638" s="145"/>
      <x:c r="AJ2638"/>
    </x:row>
    <x:row r="2639">
      <x:c r="F2639" s="124"/>
      <x:c r="G2639" s="124"/>
      <x:c r="H2639" s="124"/>
      <x:c r="I2639" s="124"/>
      <x:c r="J2639" s="124"/>
      <x:c r="M2639" s="126"/>
      <x:c r="P2639" s="126"/>
      <x:c r="Q2639" s="126"/>
      <x:c r="R2639" s="126"/>
      <x:c r="S2639" s="124"/>
      <x:c r="T2639" s="124"/>
      <x:c r="U2639" s="124"/>
      <x:c r="V2639" s="124"/>
      <x:c r="W2639" s="124"/>
      <x:c r="X2639" s="124"/>
      <x:c r="AD2639"/>
      <x:c r="AE2639" s="145"/>
      <x:c r="AF2639" s="145"/>
      <x:c r="AG2639" s="145"/>
      <x:c r="AH2639" s="145"/>
      <x:c r="AI2639" s="145"/>
      <x:c r="AJ2639"/>
    </x:row>
    <x:row r="2640">
      <x:c r="F2640" s="124"/>
      <x:c r="G2640" s="124"/>
      <x:c r="H2640" s="124"/>
      <x:c r="I2640" s="124"/>
      <x:c r="J2640" s="124"/>
      <x:c r="M2640" s="126"/>
      <x:c r="P2640" s="126"/>
      <x:c r="Q2640" s="126"/>
      <x:c r="R2640" s="126"/>
      <x:c r="S2640" s="124"/>
      <x:c r="T2640" s="124"/>
      <x:c r="U2640" s="124"/>
      <x:c r="V2640" s="124"/>
      <x:c r="W2640" s="124"/>
      <x:c r="X2640" s="124"/>
      <x:c r="AD2640"/>
      <x:c r="AE2640" s="145"/>
      <x:c r="AF2640" s="145"/>
      <x:c r="AG2640" s="145"/>
      <x:c r="AH2640" s="145"/>
      <x:c r="AI2640" s="145"/>
      <x:c r="AJ2640"/>
    </x:row>
    <x:row r="2641">
      <x:c r="F2641" s="124"/>
      <x:c r="G2641" s="124"/>
      <x:c r="H2641" s="124"/>
      <x:c r="I2641" s="124"/>
      <x:c r="J2641" s="124"/>
      <x:c r="M2641" s="126"/>
      <x:c r="P2641" s="126"/>
      <x:c r="Q2641" s="126"/>
      <x:c r="R2641" s="126"/>
      <x:c r="S2641" s="124"/>
      <x:c r="T2641" s="124"/>
      <x:c r="U2641" s="124"/>
      <x:c r="V2641" s="124"/>
      <x:c r="W2641" s="124"/>
      <x:c r="X2641" s="124"/>
      <x:c r="AD2641"/>
      <x:c r="AE2641" s="145"/>
      <x:c r="AF2641" s="145"/>
      <x:c r="AG2641" s="145"/>
      <x:c r="AH2641" s="145"/>
      <x:c r="AI2641" s="145"/>
      <x:c r="AJ2641"/>
    </x:row>
    <x:row r="2642">
      <x:c r="F2642" s="124"/>
      <x:c r="G2642" s="124"/>
      <x:c r="H2642" s="124"/>
      <x:c r="I2642" s="124"/>
      <x:c r="J2642" s="124"/>
      <x:c r="M2642" s="126"/>
      <x:c r="P2642" s="126"/>
      <x:c r="Q2642" s="126"/>
      <x:c r="R2642" s="126"/>
      <x:c r="S2642" s="124"/>
      <x:c r="T2642" s="124"/>
      <x:c r="U2642" s="124"/>
      <x:c r="V2642" s="124"/>
      <x:c r="W2642" s="124"/>
      <x:c r="X2642" s="124"/>
      <x:c r="AD2642"/>
      <x:c r="AE2642" s="145"/>
      <x:c r="AF2642" s="145"/>
      <x:c r="AG2642" s="145"/>
      <x:c r="AH2642" s="145"/>
      <x:c r="AI2642" s="145"/>
      <x:c r="AJ2642"/>
    </x:row>
    <x:row r="2643">
      <x:c r="F2643" s="124"/>
      <x:c r="G2643" s="124"/>
      <x:c r="H2643" s="124"/>
      <x:c r="I2643" s="124"/>
      <x:c r="J2643" s="124"/>
      <x:c r="M2643" s="126"/>
      <x:c r="P2643" s="126"/>
      <x:c r="Q2643" s="126"/>
      <x:c r="R2643" s="126"/>
      <x:c r="S2643" s="124"/>
      <x:c r="T2643" s="124"/>
      <x:c r="U2643" s="124"/>
      <x:c r="V2643" s="124"/>
      <x:c r="W2643" s="124"/>
      <x:c r="X2643" s="124"/>
      <x:c r="AD2643"/>
      <x:c r="AE2643" s="145"/>
      <x:c r="AF2643" s="145"/>
      <x:c r="AG2643" s="145"/>
      <x:c r="AH2643" s="145"/>
      <x:c r="AI2643" s="145"/>
      <x:c r="AJ2643"/>
    </x:row>
    <x:row r="2644">
      <x:c r="F2644" s="124"/>
      <x:c r="G2644" s="124"/>
      <x:c r="H2644" s="124"/>
      <x:c r="I2644" s="124"/>
      <x:c r="J2644" s="124"/>
      <x:c r="M2644" s="126"/>
      <x:c r="P2644" s="126"/>
      <x:c r="Q2644" s="126"/>
      <x:c r="R2644" s="126"/>
      <x:c r="S2644" s="124"/>
      <x:c r="T2644" s="124"/>
      <x:c r="U2644" s="124"/>
      <x:c r="V2644" s="124"/>
      <x:c r="W2644" s="124"/>
      <x:c r="X2644" s="124"/>
      <x:c r="AD2644"/>
      <x:c r="AE2644" s="145"/>
      <x:c r="AF2644" s="145"/>
      <x:c r="AG2644" s="145"/>
      <x:c r="AH2644" s="145"/>
      <x:c r="AI2644" s="145"/>
      <x:c r="AJ2644"/>
    </x:row>
    <x:row r="2645">
      <x:c r="F2645" s="124"/>
      <x:c r="G2645" s="124"/>
      <x:c r="H2645" s="124"/>
      <x:c r="I2645" s="124"/>
      <x:c r="J2645" s="124"/>
      <x:c r="M2645" s="126"/>
      <x:c r="P2645" s="126"/>
      <x:c r="Q2645" s="126"/>
      <x:c r="R2645" s="126"/>
      <x:c r="S2645" s="124"/>
      <x:c r="T2645" s="124"/>
      <x:c r="U2645" s="124"/>
      <x:c r="V2645" s="124"/>
      <x:c r="W2645" s="124"/>
      <x:c r="X2645" s="124"/>
      <x:c r="AD2645"/>
      <x:c r="AE2645" s="145"/>
      <x:c r="AF2645" s="145"/>
      <x:c r="AG2645" s="145"/>
      <x:c r="AH2645" s="145"/>
      <x:c r="AI2645" s="145"/>
      <x:c r="AJ2645"/>
    </x:row>
    <x:row r="2646">
      <x:c r="F2646" s="124"/>
      <x:c r="G2646" s="124"/>
      <x:c r="H2646" s="124"/>
      <x:c r="I2646" s="124"/>
      <x:c r="J2646" s="124"/>
      <x:c r="M2646" s="126"/>
      <x:c r="P2646" s="126"/>
      <x:c r="Q2646" s="126"/>
      <x:c r="R2646" s="126"/>
      <x:c r="S2646" s="124"/>
      <x:c r="T2646" s="124"/>
      <x:c r="U2646" s="124"/>
      <x:c r="V2646" s="124"/>
      <x:c r="W2646" s="124"/>
      <x:c r="X2646" s="124"/>
      <x:c r="AD2646"/>
      <x:c r="AE2646" s="145"/>
      <x:c r="AF2646" s="145"/>
      <x:c r="AG2646" s="145"/>
      <x:c r="AH2646" s="145"/>
      <x:c r="AI2646" s="145"/>
      <x:c r="AJ2646"/>
    </x:row>
    <x:row r="2647">
      <x:c r="F2647" s="124"/>
      <x:c r="G2647" s="124"/>
      <x:c r="H2647" s="124"/>
      <x:c r="I2647" s="124"/>
      <x:c r="J2647" s="124"/>
      <x:c r="M2647" s="126"/>
      <x:c r="P2647" s="126"/>
      <x:c r="Q2647" s="126"/>
      <x:c r="R2647" s="126"/>
      <x:c r="S2647" s="124"/>
      <x:c r="T2647" s="124"/>
      <x:c r="U2647" s="124"/>
      <x:c r="V2647" s="124"/>
      <x:c r="W2647" s="124"/>
      <x:c r="X2647" s="124"/>
      <x:c r="AD2647"/>
      <x:c r="AE2647" s="145"/>
      <x:c r="AF2647" s="145"/>
      <x:c r="AG2647" s="145"/>
      <x:c r="AH2647" s="145"/>
      <x:c r="AI2647" s="145"/>
      <x:c r="AJ2647"/>
    </x:row>
    <x:row r="2648">
      <x:c r="F2648" s="124"/>
      <x:c r="G2648" s="124"/>
      <x:c r="H2648" s="124"/>
      <x:c r="I2648" s="124"/>
      <x:c r="J2648" s="124"/>
      <x:c r="M2648" s="126"/>
      <x:c r="P2648" s="126"/>
      <x:c r="Q2648" s="126"/>
      <x:c r="R2648" s="126"/>
      <x:c r="S2648" s="124"/>
      <x:c r="T2648" s="124"/>
      <x:c r="U2648" s="124"/>
      <x:c r="V2648" s="124"/>
      <x:c r="W2648" s="124"/>
      <x:c r="X2648" s="124"/>
      <x:c r="AD2648"/>
      <x:c r="AE2648" s="145"/>
      <x:c r="AF2648" s="145"/>
      <x:c r="AG2648" s="145"/>
      <x:c r="AH2648" s="145"/>
      <x:c r="AI2648" s="145"/>
      <x:c r="AJ2648"/>
    </x:row>
    <x:row r="2649">
      <x:c r="F2649" s="124"/>
      <x:c r="G2649" s="124"/>
      <x:c r="H2649" s="124"/>
      <x:c r="I2649" s="124"/>
      <x:c r="J2649" s="124"/>
      <x:c r="M2649" s="126"/>
      <x:c r="P2649" s="126"/>
      <x:c r="Q2649" s="126"/>
      <x:c r="R2649" s="126"/>
      <x:c r="S2649" s="124"/>
      <x:c r="T2649" s="124"/>
      <x:c r="U2649" s="124"/>
      <x:c r="V2649" s="124"/>
      <x:c r="W2649" s="124"/>
      <x:c r="X2649" s="124"/>
      <x:c r="AD2649"/>
      <x:c r="AE2649" s="145"/>
      <x:c r="AF2649" s="145"/>
      <x:c r="AG2649" s="145"/>
      <x:c r="AH2649" s="145"/>
      <x:c r="AI2649" s="145"/>
      <x:c r="AJ2649"/>
    </x:row>
    <x:row r="2650">
      <x:c r="F2650" s="124"/>
      <x:c r="G2650" s="124"/>
      <x:c r="H2650" s="124"/>
      <x:c r="I2650" s="124"/>
      <x:c r="J2650" s="124"/>
      <x:c r="M2650" s="126"/>
      <x:c r="P2650" s="126"/>
      <x:c r="Q2650" s="126"/>
      <x:c r="R2650" s="126"/>
      <x:c r="S2650" s="124"/>
      <x:c r="T2650" s="124"/>
      <x:c r="U2650" s="124"/>
      <x:c r="V2650" s="124"/>
      <x:c r="W2650" s="124"/>
      <x:c r="X2650" s="124"/>
      <x:c r="AD2650"/>
      <x:c r="AE2650" s="145"/>
      <x:c r="AF2650" s="145"/>
      <x:c r="AG2650" s="145"/>
      <x:c r="AH2650" s="145"/>
      <x:c r="AI2650" s="145"/>
      <x:c r="AJ2650"/>
    </x:row>
    <x:row r="2651">
      <x:c r="F2651" s="124"/>
      <x:c r="G2651" s="124"/>
      <x:c r="H2651" s="124"/>
      <x:c r="I2651" s="124"/>
      <x:c r="J2651" s="124"/>
      <x:c r="M2651" s="126"/>
      <x:c r="P2651" s="126"/>
      <x:c r="Q2651" s="126"/>
      <x:c r="R2651" s="126"/>
      <x:c r="S2651" s="124"/>
      <x:c r="T2651" s="124"/>
      <x:c r="U2651" s="124"/>
      <x:c r="V2651" s="124"/>
      <x:c r="W2651" s="124"/>
      <x:c r="X2651" s="124"/>
      <x:c r="AD2651"/>
      <x:c r="AE2651" s="145"/>
      <x:c r="AF2651" s="145"/>
      <x:c r="AG2651" s="145"/>
      <x:c r="AH2651" s="145"/>
      <x:c r="AI2651" s="145"/>
      <x:c r="AJ2651"/>
    </x:row>
    <x:row r="2652">
      <x:c r="F2652" s="124"/>
      <x:c r="G2652" s="124"/>
      <x:c r="H2652" s="124"/>
      <x:c r="I2652" s="124"/>
      <x:c r="J2652" s="124"/>
      <x:c r="M2652" s="126"/>
      <x:c r="P2652" s="126"/>
      <x:c r="Q2652" s="126"/>
      <x:c r="R2652" s="126"/>
      <x:c r="S2652" s="124"/>
      <x:c r="T2652" s="124"/>
      <x:c r="U2652" s="124"/>
      <x:c r="V2652" s="124"/>
      <x:c r="W2652" s="124"/>
      <x:c r="X2652" s="124"/>
      <x:c r="AD2652"/>
      <x:c r="AE2652" s="145"/>
      <x:c r="AF2652" s="145"/>
      <x:c r="AG2652" s="145"/>
      <x:c r="AH2652" s="145"/>
      <x:c r="AI2652" s="145"/>
      <x:c r="AJ2652"/>
    </x:row>
    <x:row r="2653">
      <x:c r="F2653" s="124"/>
      <x:c r="G2653" s="124"/>
      <x:c r="H2653" s="124"/>
      <x:c r="I2653" s="124"/>
      <x:c r="J2653" s="124"/>
      <x:c r="M2653" s="126"/>
      <x:c r="P2653" s="126"/>
      <x:c r="Q2653" s="126"/>
      <x:c r="R2653" s="126"/>
      <x:c r="S2653" s="124"/>
      <x:c r="T2653" s="124"/>
      <x:c r="U2653" s="124"/>
      <x:c r="V2653" s="124"/>
      <x:c r="W2653" s="124"/>
      <x:c r="X2653" s="124"/>
      <x:c r="AD2653"/>
      <x:c r="AE2653" s="145"/>
      <x:c r="AF2653" s="145"/>
      <x:c r="AG2653" s="145"/>
      <x:c r="AH2653" s="145"/>
      <x:c r="AI2653" s="145"/>
      <x:c r="AJ2653"/>
    </x:row>
    <x:row r="2654">
      <x:c r="F2654" s="124"/>
      <x:c r="G2654" s="124"/>
      <x:c r="H2654" s="124"/>
      <x:c r="I2654" s="124"/>
      <x:c r="J2654" s="124"/>
      <x:c r="M2654" s="126"/>
      <x:c r="P2654" s="126"/>
      <x:c r="Q2654" s="126"/>
      <x:c r="R2654" s="126"/>
      <x:c r="S2654" s="124"/>
      <x:c r="T2654" s="124"/>
      <x:c r="U2654" s="124"/>
      <x:c r="V2654" s="124"/>
      <x:c r="W2654" s="124"/>
      <x:c r="X2654" s="124"/>
      <x:c r="AD2654"/>
      <x:c r="AE2654" s="145"/>
      <x:c r="AF2654" s="145"/>
      <x:c r="AG2654" s="145"/>
      <x:c r="AH2654" s="145"/>
      <x:c r="AI2654" s="145"/>
      <x:c r="AJ2654"/>
    </x:row>
    <x:row r="2655">
      <x:c r="F2655" s="124"/>
      <x:c r="G2655" s="124"/>
      <x:c r="H2655" s="124"/>
      <x:c r="I2655" s="124"/>
      <x:c r="J2655" s="124"/>
      <x:c r="M2655" s="126"/>
      <x:c r="P2655" s="126"/>
      <x:c r="Q2655" s="126"/>
      <x:c r="R2655" s="126"/>
      <x:c r="S2655" s="124"/>
      <x:c r="T2655" s="124"/>
      <x:c r="U2655" s="124"/>
      <x:c r="V2655" s="124"/>
      <x:c r="W2655" s="124"/>
      <x:c r="X2655" s="124"/>
      <x:c r="AD2655"/>
      <x:c r="AE2655" s="145"/>
      <x:c r="AF2655" s="145"/>
      <x:c r="AG2655" s="145"/>
      <x:c r="AH2655" s="145"/>
      <x:c r="AI2655" s="145"/>
      <x:c r="AJ2655"/>
    </x:row>
    <x:row r="2656">
      <x:c r="F2656" s="124"/>
      <x:c r="G2656" s="124"/>
      <x:c r="H2656" s="124"/>
      <x:c r="I2656" s="124"/>
      <x:c r="J2656" s="124"/>
      <x:c r="M2656" s="126"/>
      <x:c r="P2656" s="126"/>
      <x:c r="Q2656" s="126"/>
      <x:c r="R2656" s="126"/>
      <x:c r="S2656" s="124"/>
      <x:c r="T2656" s="124"/>
      <x:c r="U2656" s="124"/>
      <x:c r="V2656" s="124"/>
      <x:c r="W2656" s="124"/>
      <x:c r="X2656" s="124"/>
      <x:c r="AD2656"/>
      <x:c r="AE2656" s="145"/>
      <x:c r="AF2656" s="145"/>
      <x:c r="AG2656" s="145"/>
      <x:c r="AH2656" s="145"/>
      <x:c r="AI2656" s="145"/>
      <x:c r="AJ2656"/>
    </x:row>
    <x:row r="2657">
      <x:c r="F2657" s="124"/>
      <x:c r="G2657" s="124"/>
      <x:c r="H2657" s="124"/>
      <x:c r="I2657" s="124"/>
      <x:c r="J2657" s="124"/>
      <x:c r="M2657" s="126"/>
      <x:c r="P2657" s="126"/>
      <x:c r="Q2657" s="126"/>
      <x:c r="R2657" s="126"/>
      <x:c r="S2657" s="124"/>
      <x:c r="T2657" s="124"/>
      <x:c r="U2657" s="124"/>
      <x:c r="V2657" s="124"/>
      <x:c r="W2657" s="124"/>
      <x:c r="X2657" s="124"/>
      <x:c r="AD2657"/>
      <x:c r="AE2657" s="145"/>
      <x:c r="AF2657" s="145"/>
      <x:c r="AG2657" s="145"/>
      <x:c r="AH2657" s="145"/>
      <x:c r="AI2657" s="145"/>
      <x:c r="AJ2657"/>
    </x:row>
    <x:row r="2658">
      <x:c r="F2658" s="124"/>
      <x:c r="G2658" s="124"/>
      <x:c r="H2658" s="124"/>
      <x:c r="I2658" s="124"/>
      <x:c r="J2658" s="124"/>
      <x:c r="M2658" s="126"/>
      <x:c r="P2658" s="126"/>
      <x:c r="Q2658" s="126"/>
      <x:c r="R2658" s="126"/>
      <x:c r="S2658" s="124"/>
      <x:c r="T2658" s="124"/>
      <x:c r="U2658" s="124"/>
      <x:c r="V2658" s="124"/>
      <x:c r="W2658" s="124"/>
      <x:c r="X2658" s="124"/>
      <x:c r="AD2658"/>
      <x:c r="AE2658" s="145"/>
      <x:c r="AF2658" s="145"/>
      <x:c r="AG2658" s="145"/>
      <x:c r="AH2658" s="145"/>
      <x:c r="AI2658" s="145"/>
      <x:c r="AJ2658"/>
    </x:row>
    <x:row r="2659">
      <x:c r="F2659" s="124"/>
      <x:c r="G2659" s="124"/>
      <x:c r="H2659" s="124"/>
      <x:c r="I2659" s="124"/>
      <x:c r="J2659" s="124"/>
      <x:c r="M2659" s="126"/>
      <x:c r="P2659" s="126"/>
      <x:c r="Q2659" s="126"/>
      <x:c r="R2659" s="126"/>
      <x:c r="S2659" s="124"/>
      <x:c r="T2659" s="124"/>
      <x:c r="U2659" s="124"/>
      <x:c r="V2659" s="124"/>
      <x:c r="W2659" s="124"/>
      <x:c r="X2659" s="124"/>
      <x:c r="AD2659"/>
      <x:c r="AE2659" s="145"/>
      <x:c r="AF2659" s="145"/>
      <x:c r="AG2659" s="145"/>
      <x:c r="AH2659" s="145"/>
      <x:c r="AI2659" s="145"/>
      <x:c r="AJ2659"/>
    </x:row>
    <x:row r="2660">
      <x:c r="F2660" s="124"/>
      <x:c r="G2660" s="124"/>
      <x:c r="H2660" s="124"/>
      <x:c r="I2660" s="124"/>
      <x:c r="J2660" s="124"/>
      <x:c r="M2660" s="126"/>
      <x:c r="P2660" s="126"/>
      <x:c r="Q2660" s="126"/>
      <x:c r="R2660" s="126"/>
      <x:c r="S2660" s="124"/>
      <x:c r="T2660" s="124"/>
      <x:c r="U2660" s="124"/>
      <x:c r="V2660" s="124"/>
      <x:c r="W2660" s="124"/>
      <x:c r="X2660" s="124"/>
      <x:c r="AD2660"/>
      <x:c r="AE2660" s="145"/>
      <x:c r="AF2660" s="145"/>
      <x:c r="AG2660" s="145"/>
      <x:c r="AH2660" s="145"/>
      <x:c r="AI2660" s="145"/>
      <x:c r="AJ2660"/>
    </x:row>
    <x:row r="2661">
      <x:c r="F2661" s="124"/>
      <x:c r="G2661" s="124"/>
      <x:c r="H2661" s="124"/>
      <x:c r="I2661" s="124"/>
      <x:c r="J2661" s="124"/>
      <x:c r="M2661" s="126"/>
      <x:c r="P2661" s="126"/>
      <x:c r="Q2661" s="126"/>
      <x:c r="R2661" s="126"/>
      <x:c r="S2661" s="124"/>
      <x:c r="T2661" s="124"/>
      <x:c r="U2661" s="124"/>
      <x:c r="V2661" s="124"/>
      <x:c r="W2661" s="124"/>
      <x:c r="X2661" s="124"/>
      <x:c r="AD2661"/>
      <x:c r="AE2661" s="145"/>
      <x:c r="AF2661" s="145"/>
      <x:c r="AG2661" s="145"/>
      <x:c r="AH2661" s="145"/>
      <x:c r="AI2661" s="145"/>
      <x:c r="AJ2661"/>
    </x:row>
    <x:row r="2662">
      <x:c r="F2662" s="124"/>
      <x:c r="G2662" s="124"/>
      <x:c r="H2662" s="124"/>
      <x:c r="I2662" s="124"/>
      <x:c r="J2662" s="124"/>
      <x:c r="M2662" s="126"/>
      <x:c r="P2662" s="126"/>
      <x:c r="Q2662" s="126"/>
      <x:c r="R2662" s="126"/>
      <x:c r="S2662" s="124"/>
      <x:c r="T2662" s="124"/>
      <x:c r="U2662" s="124"/>
      <x:c r="V2662" s="124"/>
      <x:c r="W2662" s="124"/>
      <x:c r="X2662" s="124"/>
      <x:c r="AD2662"/>
      <x:c r="AE2662" s="145"/>
      <x:c r="AF2662" s="145"/>
      <x:c r="AG2662" s="145"/>
      <x:c r="AH2662" s="145"/>
      <x:c r="AI2662" s="145"/>
      <x:c r="AJ2662"/>
    </x:row>
    <x:row r="2663">
      <x:c r="F2663" s="124"/>
      <x:c r="G2663" s="124"/>
      <x:c r="H2663" s="124"/>
      <x:c r="I2663" s="124"/>
      <x:c r="J2663" s="124"/>
      <x:c r="M2663" s="126"/>
      <x:c r="P2663" s="126"/>
      <x:c r="Q2663" s="126"/>
      <x:c r="R2663" s="126"/>
      <x:c r="S2663" s="124"/>
      <x:c r="T2663" s="124"/>
      <x:c r="U2663" s="124"/>
      <x:c r="V2663" s="124"/>
      <x:c r="W2663" s="124"/>
      <x:c r="X2663" s="124"/>
      <x:c r="AD2663"/>
      <x:c r="AE2663" s="145"/>
      <x:c r="AF2663" s="145"/>
      <x:c r="AG2663" s="145"/>
      <x:c r="AH2663" s="145"/>
      <x:c r="AI2663" s="145"/>
      <x:c r="AJ2663"/>
    </x:row>
    <x:row r="2664">
      <x:c r="F2664" s="124"/>
      <x:c r="G2664" s="124"/>
      <x:c r="H2664" s="124"/>
      <x:c r="I2664" s="124"/>
      <x:c r="J2664" s="124"/>
      <x:c r="M2664" s="126"/>
      <x:c r="P2664" s="126"/>
      <x:c r="Q2664" s="126"/>
      <x:c r="R2664" s="126"/>
      <x:c r="S2664" s="124"/>
      <x:c r="T2664" s="124"/>
      <x:c r="U2664" s="124"/>
      <x:c r="V2664" s="124"/>
      <x:c r="W2664" s="124"/>
      <x:c r="X2664" s="124"/>
      <x:c r="AD2664"/>
      <x:c r="AE2664" s="145"/>
      <x:c r="AF2664" s="145"/>
      <x:c r="AG2664" s="145"/>
      <x:c r="AH2664" s="145"/>
      <x:c r="AI2664" s="145"/>
      <x:c r="AJ2664"/>
    </x:row>
    <x:row r="2665">
      <x:c r="F2665" s="124"/>
      <x:c r="G2665" s="124"/>
      <x:c r="H2665" s="124"/>
      <x:c r="I2665" s="124"/>
      <x:c r="J2665" s="124"/>
      <x:c r="M2665" s="126"/>
      <x:c r="P2665" s="126"/>
      <x:c r="Q2665" s="126"/>
      <x:c r="R2665" s="126"/>
      <x:c r="S2665" s="124"/>
      <x:c r="T2665" s="124"/>
      <x:c r="U2665" s="124"/>
      <x:c r="V2665" s="124"/>
      <x:c r="W2665" s="124"/>
      <x:c r="X2665" s="124"/>
      <x:c r="AD2665"/>
      <x:c r="AE2665" s="145"/>
      <x:c r="AF2665" s="145"/>
      <x:c r="AG2665" s="145"/>
      <x:c r="AH2665" s="145"/>
      <x:c r="AI2665" s="145"/>
      <x:c r="AJ2665"/>
    </x:row>
    <x:row r="2666">
      <x:c r="F2666" s="124"/>
      <x:c r="G2666" s="124"/>
      <x:c r="H2666" s="124"/>
      <x:c r="I2666" s="124"/>
      <x:c r="J2666" s="124"/>
      <x:c r="M2666" s="126"/>
      <x:c r="P2666" s="126"/>
      <x:c r="Q2666" s="126"/>
      <x:c r="R2666" s="126"/>
      <x:c r="S2666" s="124"/>
      <x:c r="T2666" s="124"/>
      <x:c r="U2666" s="124"/>
      <x:c r="V2666" s="124"/>
      <x:c r="W2666" s="124"/>
      <x:c r="X2666" s="124"/>
      <x:c r="AD2666"/>
      <x:c r="AE2666" s="145"/>
      <x:c r="AF2666" s="145"/>
      <x:c r="AG2666" s="145"/>
      <x:c r="AH2666" s="145"/>
      <x:c r="AI2666" s="145"/>
      <x:c r="AJ2666"/>
    </x:row>
    <x:row r="2667">
      <x:c r="F2667" s="124"/>
      <x:c r="G2667" s="124"/>
      <x:c r="H2667" s="124"/>
      <x:c r="I2667" s="124"/>
      <x:c r="J2667" s="124"/>
      <x:c r="M2667" s="126"/>
      <x:c r="P2667" s="126"/>
      <x:c r="Q2667" s="126"/>
      <x:c r="R2667" s="126"/>
      <x:c r="S2667" s="124"/>
      <x:c r="T2667" s="124"/>
      <x:c r="U2667" s="124"/>
      <x:c r="V2667" s="124"/>
      <x:c r="W2667" s="124"/>
      <x:c r="X2667" s="124"/>
      <x:c r="AD2667"/>
      <x:c r="AE2667" s="145"/>
      <x:c r="AF2667" s="145"/>
      <x:c r="AG2667" s="145"/>
      <x:c r="AH2667" s="145"/>
      <x:c r="AI2667" s="145"/>
      <x:c r="AJ2667"/>
    </x:row>
    <x:row r="2668">
      <x:c r="F2668" s="124"/>
      <x:c r="G2668" s="124"/>
      <x:c r="H2668" s="124"/>
      <x:c r="I2668" s="124"/>
      <x:c r="J2668" s="124"/>
      <x:c r="M2668" s="126"/>
      <x:c r="P2668" s="126"/>
      <x:c r="Q2668" s="126"/>
      <x:c r="R2668" s="126"/>
      <x:c r="S2668" s="124"/>
      <x:c r="T2668" s="124"/>
      <x:c r="U2668" s="124"/>
      <x:c r="V2668" s="124"/>
      <x:c r="W2668" s="124"/>
      <x:c r="X2668" s="124"/>
      <x:c r="AD2668"/>
      <x:c r="AE2668" s="145"/>
      <x:c r="AF2668" s="145"/>
      <x:c r="AG2668" s="145"/>
      <x:c r="AH2668" s="145"/>
      <x:c r="AI2668" s="145"/>
      <x:c r="AJ2668"/>
    </x:row>
    <x:row r="2669">
      <x:c r="F2669" s="124"/>
      <x:c r="G2669" s="124"/>
      <x:c r="H2669" s="124"/>
      <x:c r="I2669" s="124"/>
      <x:c r="J2669" s="124"/>
      <x:c r="M2669" s="126"/>
      <x:c r="P2669" s="126"/>
      <x:c r="Q2669" s="126"/>
      <x:c r="R2669" s="126"/>
      <x:c r="S2669" s="124"/>
      <x:c r="T2669" s="124"/>
      <x:c r="U2669" s="124"/>
      <x:c r="V2669" s="124"/>
      <x:c r="W2669" s="124"/>
      <x:c r="X2669" s="124"/>
      <x:c r="AD2669"/>
      <x:c r="AE2669" s="145"/>
      <x:c r="AF2669" s="145"/>
      <x:c r="AG2669" s="145"/>
      <x:c r="AH2669" s="145"/>
      <x:c r="AI2669" s="145"/>
      <x:c r="AJ2669"/>
    </x:row>
    <x:row r="2670">
      <x:c r="F2670" s="124"/>
      <x:c r="G2670" s="124"/>
      <x:c r="H2670" s="124"/>
      <x:c r="I2670" s="124"/>
      <x:c r="J2670" s="124"/>
      <x:c r="M2670" s="126"/>
      <x:c r="P2670" s="126"/>
      <x:c r="Q2670" s="126"/>
      <x:c r="R2670" s="126"/>
      <x:c r="S2670" s="124"/>
      <x:c r="T2670" s="124"/>
      <x:c r="U2670" s="124"/>
      <x:c r="V2670" s="124"/>
      <x:c r="W2670" s="124"/>
      <x:c r="X2670" s="124"/>
      <x:c r="AD2670"/>
      <x:c r="AE2670" s="145"/>
      <x:c r="AF2670" s="145"/>
      <x:c r="AG2670" s="145"/>
      <x:c r="AH2670" s="145"/>
      <x:c r="AI2670" s="145"/>
      <x:c r="AJ2670"/>
    </x:row>
    <x:row r="2671">
      <x:c r="F2671" s="124"/>
      <x:c r="G2671" s="124"/>
      <x:c r="H2671" s="124"/>
      <x:c r="I2671" s="124"/>
      <x:c r="J2671" s="124"/>
      <x:c r="M2671" s="126"/>
      <x:c r="P2671" s="126"/>
      <x:c r="Q2671" s="126"/>
      <x:c r="R2671" s="126"/>
      <x:c r="S2671" s="124"/>
      <x:c r="T2671" s="124"/>
      <x:c r="U2671" s="124"/>
      <x:c r="V2671" s="124"/>
      <x:c r="W2671" s="124"/>
      <x:c r="X2671" s="124"/>
      <x:c r="AD2671"/>
      <x:c r="AE2671" s="145"/>
      <x:c r="AF2671" s="145"/>
      <x:c r="AG2671" s="145"/>
      <x:c r="AH2671" s="145"/>
      <x:c r="AI2671" s="145"/>
      <x:c r="AJ2671"/>
    </x:row>
    <x:row r="2672">
      <x:c r="F2672" s="124"/>
      <x:c r="G2672" s="124"/>
      <x:c r="H2672" s="124"/>
      <x:c r="I2672" s="124"/>
      <x:c r="J2672" s="124"/>
      <x:c r="M2672" s="126"/>
      <x:c r="P2672" s="126"/>
      <x:c r="Q2672" s="126"/>
      <x:c r="R2672" s="126"/>
      <x:c r="S2672" s="124"/>
      <x:c r="T2672" s="124"/>
      <x:c r="U2672" s="124"/>
      <x:c r="V2672" s="124"/>
      <x:c r="W2672" s="124"/>
      <x:c r="X2672" s="124"/>
      <x:c r="AD2672"/>
      <x:c r="AE2672" s="145"/>
      <x:c r="AF2672" s="145"/>
      <x:c r="AG2672" s="145"/>
      <x:c r="AH2672" s="145"/>
      <x:c r="AI2672" s="145"/>
      <x:c r="AJ2672"/>
    </x:row>
    <x:row r="2673">
      <x:c r="F2673" s="124"/>
      <x:c r="G2673" s="124"/>
      <x:c r="H2673" s="124"/>
      <x:c r="I2673" s="124"/>
      <x:c r="J2673" s="124"/>
      <x:c r="M2673" s="126"/>
      <x:c r="P2673" s="126"/>
      <x:c r="Q2673" s="126"/>
      <x:c r="R2673" s="126"/>
      <x:c r="S2673" s="124"/>
      <x:c r="T2673" s="124"/>
      <x:c r="U2673" s="124"/>
      <x:c r="V2673" s="124"/>
      <x:c r="W2673" s="124"/>
      <x:c r="X2673" s="124"/>
      <x:c r="AD2673"/>
      <x:c r="AE2673" s="145"/>
      <x:c r="AF2673" s="145"/>
      <x:c r="AG2673" s="145"/>
      <x:c r="AH2673" s="145"/>
      <x:c r="AI2673" s="145"/>
      <x:c r="AJ2673"/>
    </x:row>
    <x:row r="2674">
      <x:c r="F2674" s="124"/>
      <x:c r="G2674" s="124"/>
      <x:c r="H2674" s="124"/>
      <x:c r="I2674" s="124"/>
      <x:c r="J2674" s="124"/>
      <x:c r="M2674" s="126"/>
      <x:c r="P2674" s="126"/>
      <x:c r="Q2674" s="126"/>
      <x:c r="R2674" s="126"/>
      <x:c r="S2674" s="124"/>
      <x:c r="T2674" s="124"/>
      <x:c r="U2674" s="124"/>
      <x:c r="V2674" s="124"/>
      <x:c r="W2674" s="124"/>
      <x:c r="X2674" s="124"/>
      <x:c r="AD2674"/>
      <x:c r="AE2674" s="145"/>
      <x:c r="AF2674" s="145"/>
      <x:c r="AG2674" s="145"/>
      <x:c r="AH2674" s="145"/>
      <x:c r="AI2674" s="145"/>
      <x:c r="AJ2674"/>
    </x:row>
    <x:row r="2675">
      <x:c r="F2675" s="124"/>
      <x:c r="G2675" s="124"/>
      <x:c r="H2675" s="124"/>
      <x:c r="I2675" s="124"/>
      <x:c r="J2675" s="124"/>
      <x:c r="M2675" s="126"/>
      <x:c r="P2675" s="126"/>
      <x:c r="Q2675" s="126"/>
      <x:c r="R2675" s="126"/>
      <x:c r="S2675" s="124"/>
      <x:c r="T2675" s="124"/>
      <x:c r="U2675" s="124"/>
      <x:c r="V2675" s="124"/>
      <x:c r="W2675" s="124"/>
      <x:c r="X2675" s="124"/>
      <x:c r="AD2675"/>
      <x:c r="AE2675" s="145"/>
      <x:c r="AF2675" s="145"/>
      <x:c r="AG2675" s="145"/>
      <x:c r="AH2675" s="145"/>
      <x:c r="AI2675" s="145"/>
      <x:c r="AJ2675"/>
    </x:row>
    <x:row r="2676">
      <x:c r="F2676" s="124"/>
      <x:c r="G2676" s="124"/>
      <x:c r="H2676" s="124"/>
      <x:c r="I2676" s="124"/>
      <x:c r="J2676" s="124"/>
      <x:c r="M2676" s="126"/>
      <x:c r="P2676" s="126"/>
      <x:c r="Q2676" s="126"/>
      <x:c r="R2676" s="126"/>
      <x:c r="S2676" s="124"/>
      <x:c r="T2676" s="124"/>
      <x:c r="U2676" s="124"/>
      <x:c r="V2676" s="124"/>
      <x:c r="W2676" s="124"/>
      <x:c r="X2676" s="124"/>
      <x:c r="AD2676"/>
      <x:c r="AE2676" s="145"/>
      <x:c r="AF2676" s="145"/>
      <x:c r="AG2676" s="145"/>
      <x:c r="AH2676" s="145"/>
      <x:c r="AI2676" s="145"/>
      <x:c r="AJ2676"/>
    </x:row>
    <x:row r="2677">
      <x:c r="F2677" s="124"/>
      <x:c r="G2677" s="124"/>
      <x:c r="H2677" s="124"/>
      <x:c r="I2677" s="124"/>
      <x:c r="J2677" s="124"/>
      <x:c r="M2677" s="126"/>
      <x:c r="P2677" s="126"/>
      <x:c r="Q2677" s="126"/>
      <x:c r="R2677" s="126"/>
      <x:c r="S2677" s="124"/>
      <x:c r="T2677" s="124"/>
      <x:c r="U2677" s="124"/>
      <x:c r="V2677" s="124"/>
      <x:c r="W2677" s="124"/>
      <x:c r="X2677" s="124"/>
      <x:c r="AD2677"/>
      <x:c r="AE2677" s="145"/>
      <x:c r="AF2677" s="145"/>
      <x:c r="AG2677" s="145"/>
      <x:c r="AH2677" s="145"/>
      <x:c r="AI2677" s="145"/>
      <x:c r="AJ2677"/>
    </x:row>
    <x:row r="2678">
      <x:c r="F2678" s="124"/>
      <x:c r="G2678" s="124"/>
      <x:c r="H2678" s="124"/>
      <x:c r="I2678" s="124"/>
      <x:c r="J2678" s="124"/>
      <x:c r="M2678" s="126"/>
      <x:c r="P2678" s="126"/>
      <x:c r="Q2678" s="126"/>
      <x:c r="R2678" s="126"/>
      <x:c r="S2678" s="124"/>
      <x:c r="T2678" s="124"/>
      <x:c r="U2678" s="124"/>
      <x:c r="V2678" s="124"/>
      <x:c r="W2678" s="124"/>
      <x:c r="X2678" s="124"/>
      <x:c r="AD2678"/>
      <x:c r="AE2678" s="145"/>
      <x:c r="AF2678" s="145"/>
      <x:c r="AG2678" s="145"/>
      <x:c r="AH2678" s="145"/>
      <x:c r="AI2678" s="145"/>
      <x:c r="AJ2678"/>
    </x:row>
    <x:row r="2679">
      <x:c r="F2679" s="124"/>
      <x:c r="G2679" s="124"/>
      <x:c r="H2679" s="124"/>
      <x:c r="I2679" s="124"/>
      <x:c r="J2679" s="124"/>
      <x:c r="M2679" s="126"/>
      <x:c r="P2679" s="126"/>
      <x:c r="Q2679" s="126"/>
      <x:c r="R2679" s="126"/>
      <x:c r="S2679" s="124"/>
      <x:c r="T2679" s="124"/>
      <x:c r="U2679" s="124"/>
      <x:c r="V2679" s="124"/>
      <x:c r="W2679" s="124"/>
      <x:c r="X2679" s="124"/>
      <x:c r="AD2679"/>
      <x:c r="AE2679" s="145"/>
      <x:c r="AF2679" s="145"/>
      <x:c r="AG2679" s="145"/>
      <x:c r="AH2679" s="145"/>
      <x:c r="AI2679" s="145"/>
      <x:c r="AJ2679"/>
    </x:row>
    <x:row r="2680">
      <x:c r="F2680" s="124"/>
      <x:c r="G2680" s="124"/>
      <x:c r="H2680" s="124"/>
      <x:c r="I2680" s="124"/>
      <x:c r="J2680" s="124"/>
      <x:c r="M2680" s="126"/>
      <x:c r="P2680" s="126"/>
      <x:c r="Q2680" s="126"/>
      <x:c r="R2680" s="126"/>
      <x:c r="S2680" s="124"/>
      <x:c r="T2680" s="124"/>
      <x:c r="U2680" s="124"/>
      <x:c r="V2680" s="124"/>
      <x:c r="W2680" s="124"/>
      <x:c r="X2680" s="124"/>
      <x:c r="AD2680"/>
      <x:c r="AE2680" s="145"/>
      <x:c r="AF2680" s="145"/>
      <x:c r="AG2680" s="145"/>
      <x:c r="AH2680" s="145"/>
      <x:c r="AI2680" s="145"/>
      <x:c r="AJ2680"/>
    </x:row>
    <x:row r="2681">
      <x:c r="F2681" s="124"/>
      <x:c r="G2681" s="124"/>
      <x:c r="H2681" s="124"/>
      <x:c r="I2681" s="124"/>
      <x:c r="J2681" s="124"/>
      <x:c r="M2681" s="126"/>
      <x:c r="P2681" s="126"/>
      <x:c r="Q2681" s="126"/>
      <x:c r="R2681" s="126"/>
      <x:c r="S2681" s="124"/>
      <x:c r="T2681" s="124"/>
      <x:c r="U2681" s="124"/>
      <x:c r="V2681" s="124"/>
      <x:c r="W2681" s="124"/>
      <x:c r="X2681" s="124"/>
      <x:c r="AD2681"/>
      <x:c r="AE2681" s="145"/>
      <x:c r="AF2681" s="145"/>
      <x:c r="AG2681" s="145"/>
      <x:c r="AH2681" s="145"/>
      <x:c r="AI2681" s="145"/>
      <x:c r="AJ2681"/>
    </x:row>
    <x:row r="2682">
      <x:c r="F2682" s="124"/>
      <x:c r="G2682" s="124"/>
      <x:c r="H2682" s="124"/>
      <x:c r="I2682" s="124"/>
      <x:c r="J2682" s="124"/>
      <x:c r="M2682" s="126"/>
      <x:c r="P2682" s="126"/>
      <x:c r="Q2682" s="126"/>
      <x:c r="R2682" s="126"/>
      <x:c r="S2682" s="124"/>
      <x:c r="T2682" s="124"/>
      <x:c r="U2682" s="124"/>
      <x:c r="V2682" s="124"/>
      <x:c r="W2682" s="124"/>
      <x:c r="X2682" s="124"/>
      <x:c r="AD2682"/>
      <x:c r="AE2682" s="145"/>
      <x:c r="AF2682" s="145"/>
      <x:c r="AG2682" s="145"/>
      <x:c r="AH2682" s="145"/>
      <x:c r="AI2682" s="145"/>
      <x:c r="AJ2682"/>
    </x:row>
    <x:row r="2683">
      <x:c r="F2683" s="124"/>
      <x:c r="G2683" s="124"/>
      <x:c r="H2683" s="124"/>
      <x:c r="I2683" s="124"/>
      <x:c r="J2683" s="124"/>
      <x:c r="M2683" s="126"/>
      <x:c r="P2683" s="126"/>
      <x:c r="Q2683" s="126"/>
      <x:c r="R2683" s="126"/>
      <x:c r="S2683" s="124"/>
      <x:c r="T2683" s="124"/>
      <x:c r="U2683" s="124"/>
      <x:c r="V2683" s="124"/>
      <x:c r="W2683" s="124"/>
      <x:c r="X2683" s="124"/>
      <x:c r="AD2683"/>
      <x:c r="AE2683" s="145"/>
      <x:c r="AF2683" s="145"/>
      <x:c r="AG2683" s="145"/>
      <x:c r="AH2683" s="145"/>
      <x:c r="AI2683" s="145"/>
      <x:c r="AJ2683"/>
    </x:row>
    <x:row r="2684">
      <x:c r="F2684" s="124"/>
      <x:c r="G2684" s="124"/>
      <x:c r="H2684" s="124"/>
      <x:c r="I2684" s="124"/>
      <x:c r="J2684" s="124"/>
      <x:c r="M2684" s="126"/>
      <x:c r="P2684" s="126"/>
      <x:c r="Q2684" s="126"/>
      <x:c r="R2684" s="126"/>
      <x:c r="S2684" s="124"/>
      <x:c r="T2684" s="124"/>
      <x:c r="U2684" s="124"/>
      <x:c r="V2684" s="124"/>
      <x:c r="W2684" s="124"/>
      <x:c r="X2684" s="124"/>
      <x:c r="AD2684"/>
      <x:c r="AE2684" s="145"/>
      <x:c r="AF2684" s="145"/>
      <x:c r="AG2684" s="145"/>
      <x:c r="AH2684" s="145"/>
      <x:c r="AI2684" s="145"/>
      <x:c r="AJ2684"/>
    </x:row>
    <x:row r="2685">
      <x:c r="F2685" s="124"/>
      <x:c r="G2685" s="124"/>
      <x:c r="H2685" s="124"/>
      <x:c r="I2685" s="124"/>
      <x:c r="J2685" s="124"/>
      <x:c r="M2685" s="126"/>
      <x:c r="P2685" s="126"/>
      <x:c r="Q2685" s="126"/>
      <x:c r="R2685" s="126"/>
      <x:c r="S2685" s="124"/>
      <x:c r="T2685" s="124"/>
      <x:c r="U2685" s="124"/>
      <x:c r="V2685" s="124"/>
      <x:c r="W2685" s="124"/>
      <x:c r="X2685" s="124"/>
      <x:c r="AD2685"/>
      <x:c r="AE2685" s="145"/>
      <x:c r="AF2685" s="145"/>
      <x:c r="AG2685" s="145"/>
      <x:c r="AH2685" s="145"/>
      <x:c r="AI2685" s="145"/>
      <x:c r="AJ2685"/>
    </x:row>
    <x:row r="2686">
      <x:c r="F2686" s="124"/>
      <x:c r="G2686" s="124"/>
      <x:c r="H2686" s="124"/>
      <x:c r="I2686" s="124"/>
      <x:c r="J2686" s="124"/>
      <x:c r="M2686" s="126"/>
      <x:c r="P2686" s="126"/>
      <x:c r="Q2686" s="126"/>
      <x:c r="R2686" s="126"/>
      <x:c r="S2686" s="124"/>
      <x:c r="T2686" s="124"/>
      <x:c r="U2686" s="124"/>
      <x:c r="V2686" s="124"/>
      <x:c r="W2686" s="124"/>
      <x:c r="X2686" s="124"/>
      <x:c r="AD2686"/>
      <x:c r="AE2686" s="145"/>
      <x:c r="AF2686" s="145"/>
      <x:c r="AG2686" s="145"/>
      <x:c r="AH2686" s="145"/>
      <x:c r="AI2686" s="145"/>
      <x:c r="AJ2686"/>
    </x:row>
    <x:row r="2687">
      <x:c r="F2687" s="124"/>
      <x:c r="G2687" s="124"/>
      <x:c r="H2687" s="124"/>
      <x:c r="I2687" s="124"/>
      <x:c r="J2687" s="124"/>
      <x:c r="M2687" s="126"/>
      <x:c r="P2687" s="126"/>
      <x:c r="Q2687" s="126"/>
      <x:c r="R2687" s="126"/>
      <x:c r="S2687" s="124"/>
      <x:c r="T2687" s="124"/>
      <x:c r="U2687" s="124"/>
      <x:c r="V2687" s="124"/>
      <x:c r="W2687" s="124"/>
      <x:c r="X2687" s="124"/>
      <x:c r="AD2687"/>
      <x:c r="AE2687" s="145"/>
      <x:c r="AF2687" s="145"/>
      <x:c r="AG2687" s="145"/>
      <x:c r="AH2687" s="145"/>
      <x:c r="AI2687" s="145"/>
      <x:c r="AJ2687"/>
    </x:row>
    <x:row r="2688">
      <x:c r="F2688" s="124"/>
      <x:c r="G2688" s="124"/>
      <x:c r="H2688" s="124"/>
      <x:c r="I2688" s="124"/>
      <x:c r="J2688" s="124"/>
      <x:c r="M2688" s="126"/>
      <x:c r="P2688" s="126"/>
      <x:c r="Q2688" s="126"/>
      <x:c r="R2688" s="126"/>
      <x:c r="S2688" s="124"/>
      <x:c r="T2688" s="124"/>
      <x:c r="U2688" s="124"/>
      <x:c r="V2688" s="124"/>
      <x:c r="W2688" s="124"/>
      <x:c r="X2688" s="124"/>
      <x:c r="AD2688"/>
      <x:c r="AE2688" s="145"/>
      <x:c r="AF2688" s="145"/>
      <x:c r="AG2688" s="145"/>
      <x:c r="AH2688" s="145"/>
      <x:c r="AI2688" s="145"/>
      <x:c r="AJ2688"/>
    </x:row>
    <x:row r="2689">
      <x:c r="F2689" s="124"/>
      <x:c r="G2689" s="124"/>
      <x:c r="H2689" s="124"/>
      <x:c r="I2689" s="124"/>
      <x:c r="J2689" s="124"/>
      <x:c r="M2689" s="126"/>
      <x:c r="P2689" s="126"/>
      <x:c r="Q2689" s="126"/>
      <x:c r="R2689" s="126"/>
      <x:c r="S2689" s="124"/>
      <x:c r="T2689" s="124"/>
      <x:c r="U2689" s="124"/>
      <x:c r="V2689" s="124"/>
      <x:c r="W2689" s="124"/>
      <x:c r="X2689" s="124"/>
      <x:c r="AD2689"/>
      <x:c r="AE2689" s="145"/>
      <x:c r="AF2689" s="145"/>
      <x:c r="AG2689" s="145"/>
      <x:c r="AH2689" s="145"/>
      <x:c r="AI2689" s="145"/>
      <x:c r="AJ2689"/>
    </x:row>
    <x:row r="2690">
      <x:c r="F2690" s="124"/>
      <x:c r="G2690" s="124"/>
      <x:c r="H2690" s="124"/>
      <x:c r="I2690" s="124"/>
      <x:c r="J2690" s="124"/>
      <x:c r="M2690" s="126"/>
      <x:c r="P2690" s="126"/>
      <x:c r="Q2690" s="126"/>
      <x:c r="R2690" s="126"/>
      <x:c r="S2690" s="124"/>
      <x:c r="T2690" s="124"/>
      <x:c r="U2690" s="124"/>
      <x:c r="V2690" s="124"/>
      <x:c r="W2690" s="124"/>
      <x:c r="X2690" s="124"/>
      <x:c r="AD2690"/>
      <x:c r="AE2690" s="145"/>
      <x:c r="AF2690" s="145"/>
      <x:c r="AG2690" s="145"/>
      <x:c r="AH2690" s="145"/>
      <x:c r="AI2690" s="145"/>
      <x:c r="AJ2690"/>
    </x:row>
    <x:row r="2691">
      <x:c r="F2691" s="124"/>
      <x:c r="G2691" s="124"/>
      <x:c r="H2691" s="124"/>
      <x:c r="I2691" s="124"/>
      <x:c r="J2691" s="124"/>
      <x:c r="M2691" s="126"/>
      <x:c r="P2691" s="126"/>
      <x:c r="Q2691" s="126"/>
      <x:c r="R2691" s="126"/>
      <x:c r="S2691" s="124"/>
      <x:c r="T2691" s="124"/>
      <x:c r="U2691" s="124"/>
      <x:c r="V2691" s="124"/>
      <x:c r="W2691" s="124"/>
      <x:c r="X2691" s="124"/>
      <x:c r="AD2691"/>
      <x:c r="AE2691" s="145"/>
      <x:c r="AF2691" s="145"/>
      <x:c r="AG2691" s="145"/>
      <x:c r="AH2691" s="145"/>
      <x:c r="AI2691" s="145"/>
      <x:c r="AJ2691"/>
    </x:row>
    <x:row r="2692">
      <x:c r="F2692" s="124"/>
      <x:c r="G2692" s="124"/>
      <x:c r="H2692" s="124"/>
      <x:c r="I2692" s="124"/>
      <x:c r="J2692" s="124"/>
      <x:c r="M2692" s="126"/>
      <x:c r="P2692" s="126"/>
      <x:c r="Q2692" s="126"/>
      <x:c r="R2692" s="126"/>
      <x:c r="S2692" s="124"/>
      <x:c r="T2692" s="124"/>
      <x:c r="U2692" s="124"/>
      <x:c r="V2692" s="124"/>
      <x:c r="W2692" s="124"/>
      <x:c r="X2692" s="124"/>
      <x:c r="AD2692"/>
      <x:c r="AE2692" s="145"/>
      <x:c r="AF2692" s="145"/>
      <x:c r="AG2692" s="145"/>
      <x:c r="AH2692" s="145"/>
      <x:c r="AI2692" s="145"/>
      <x:c r="AJ2692"/>
    </x:row>
    <x:row r="2693">
      <x:c r="F2693" s="124"/>
      <x:c r="G2693" s="124"/>
      <x:c r="H2693" s="124"/>
      <x:c r="I2693" s="124"/>
      <x:c r="J2693" s="124"/>
      <x:c r="M2693" s="126"/>
      <x:c r="P2693" s="126"/>
      <x:c r="Q2693" s="126"/>
      <x:c r="R2693" s="126"/>
      <x:c r="S2693" s="124"/>
      <x:c r="T2693" s="124"/>
      <x:c r="U2693" s="124"/>
      <x:c r="V2693" s="124"/>
      <x:c r="W2693" s="124"/>
      <x:c r="X2693" s="124"/>
      <x:c r="AD2693"/>
      <x:c r="AE2693" s="145"/>
      <x:c r="AF2693" s="145"/>
      <x:c r="AG2693" s="145"/>
      <x:c r="AH2693" s="145"/>
      <x:c r="AI2693" s="145"/>
      <x:c r="AJ2693"/>
    </x:row>
    <x:row r="2694">
      <x:c r="F2694" s="124"/>
      <x:c r="G2694" s="124"/>
      <x:c r="H2694" s="124"/>
      <x:c r="I2694" s="124"/>
      <x:c r="J2694" s="124"/>
      <x:c r="M2694" s="126"/>
      <x:c r="P2694" s="126"/>
      <x:c r="Q2694" s="126"/>
      <x:c r="R2694" s="126"/>
      <x:c r="S2694" s="124"/>
      <x:c r="T2694" s="124"/>
      <x:c r="U2694" s="124"/>
      <x:c r="V2694" s="124"/>
      <x:c r="W2694" s="124"/>
      <x:c r="X2694" s="124"/>
      <x:c r="AD2694"/>
      <x:c r="AE2694" s="145"/>
      <x:c r="AF2694" s="145"/>
      <x:c r="AG2694" s="145"/>
      <x:c r="AH2694" s="145"/>
      <x:c r="AI2694" s="145"/>
      <x:c r="AJ2694"/>
    </x:row>
    <x:row r="2695">
      <x:c r="F2695" s="124"/>
      <x:c r="G2695" s="124"/>
      <x:c r="H2695" s="124"/>
      <x:c r="I2695" s="124"/>
      <x:c r="J2695" s="124"/>
      <x:c r="M2695" s="126"/>
      <x:c r="P2695" s="126"/>
      <x:c r="Q2695" s="126"/>
      <x:c r="R2695" s="126"/>
      <x:c r="S2695" s="124"/>
      <x:c r="T2695" s="124"/>
      <x:c r="U2695" s="124"/>
      <x:c r="V2695" s="124"/>
      <x:c r="W2695" s="124"/>
      <x:c r="X2695" s="124"/>
      <x:c r="AD2695"/>
      <x:c r="AE2695" s="145"/>
      <x:c r="AF2695" s="145"/>
      <x:c r="AG2695" s="145"/>
      <x:c r="AH2695" s="145"/>
      <x:c r="AI2695" s="145"/>
      <x:c r="AJ2695"/>
    </x:row>
    <x:row r="2696">
      <x:c r="F2696" s="124"/>
      <x:c r="G2696" s="124"/>
      <x:c r="H2696" s="124"/>
      <x:c r="I2696" s="124"/>
      <x:c r="J2696" s="124"/>
      <x:c r="M2696" s="126"/>
      <x:c r="P2696" s="126"/>
      <x:c r="Q2696" s="126"/>
      <x:c r="R2696" s="126"/>
      <x:c r="S2696" s="124"/>
      <x:c r="T2696" s="124"/>
      <x:c r="U2696" s="124"/>
      <x:c r="V2696" s="124"/>
      <x:c r="W2696" s="124"/>
      <x:c r="X2696" s="124"/>
      <x:c r="AD2696"/>
      <x:c r="AE2696" s="145"/>
      <x:c r="AF2696" s="145"/>
      <x:c r="AG2696" s="145"/>
      <x:c r="AH2696" s="145"/>
      <x:c r="AI2696" s="145"/>
      <x:c r="AJ2696"/>
    </x:row>
    <x:row r="2697">
      <x:c r="F2697" s="124"/>
      <x:c r="G2697" s="124"/>
      <x:c r="H2697" s="124"/>
      <x:c r="I2697" s="124"/>
      <x:c r="J2697" s="124"/>
      <x:c r="M2697" s="126"/>
      <x:c r="P2697" s="126"/>
      <x:c r="Q2697" s="126"/>
      <x:c r="R2697" s="126"/>
      <x:c r="S2697" s="124"/>
      <x:c r="T2697" s="124"/>
      <x:c r="U2697" s="124"/>
      <x:c r="V2697" s="124"/>
      <x:c r="W2697" s="124"/>
      <x:c r="X2697" s="124"/>
      <x:c r="AD2697"/>
      <x:c r="AE2697" s="145"/>
      <x:c r="AF2697" s="145"/>
      <x:c r="AG2697" s="145"/>
      <x:c r="AH2697" s="145"/>
      <x:c r="AI2697" s="145"/>
      <x:c r="AJ2697"/>
    </x:row>
    <x:row r="2698">
      <x:c r="F2698" s="124"/>
      <x:c r="G2698" s="124"/>
      <x:c r="H2698" s="124"/>
      <x:c r="I2698" s="124"/>
      <x:c r="J2698" s="124"/>
      <x:c r="M2698" s="126"/>
      <x:c r="P2698" s="126"/>
      <x:c r="Q2698" s="126"/>
      <x:c r="R2698" s="126"/>
      <x:c r="S2698" s="124"/>
      <x:c r="T2698" s="124"/>
      <x:c r="U2698" s="124"/>
      <x:c r="V2698" s="124"/>
      <x:c r="W2698" s="124"/>
      <x:c r="X2698" s="124"/>
      <x:c r="AD2698"/>
      <x:c r="AE2698" s="145"/>
      <x:c r="AF2698" s="145"/>
      <x:c r="AG2698" s="145"/>
      <x:c r="AH2698" s="145"/>
      <x:c r="AI2698" s="145"/>
      <x:c r="AJ2698"/>
    </x:row>
    <x:row r="2699">
      <x:c r="F2699" s="124"/>
      <x:c r="G2699" s="124"/>
      <x:c r="H2699" s="124"/>
      <x:c r="I2699" s="124"/>
      <x:c r="J2699" s="124"/>
      <x:c r="M2699" s="126"/>
      <x:c r="P2699" s="126"/>
      <x:c r="Q2699" s="126"/>
      <x:c r="R2699" s="126"/>
      <x:c r="S2699" s="124"/>
      <x:c r="T2699" s="124"/>
      <x:c r="U2699" s="124"/>
      <x:c r="V2699" s="124"/>
      <x:c r="W2699" s="124"/>
      <x:c r="X2699" s="124"/>
      <x:c r="AD2699"/>
      <x:c r="AE2699" s="145"/>
      <x:c r="AF2699" s="145"/>
      <x:c r="AG2699" s="145"/>
      <x:c r="AH2699" s="145"/>
      <x:c r="AI2699" s="145"/>
      <x:c r="AJ2699"/>
    </x:row>
    <x:row r="2700">
      <x:c r="F2700" s="124"/>
      <x:c r="G2700" s="124"/>
      <x:c r="H2700" s="124"/>
      <x:c r="I2700" s="124"/>
      <x:c r="J2700" s="124"/>
      <x:c r="M2700" s="126"/>
      <x:c r="P2700" s="126"/>
      <x:c r="Q2700" s="126"/>
      <x:c r="R2700" s="126"/>
      <x:c r="S2700" s="124"/>
      <x:c r="T2700" s="124"/>
      <x:c r="U2700" s="124"/>
      <x:c r="V2700" s="124"/>
      <x:c r="W2700" s="124"/>
      <x:c r="X2700" s="124"/>
      <x:c r="AD2700"/>
      <x:c r="AE2700" s="145"/>
      <x:c r="AF2700" s="145"/>
      <x:c r="AG2700" s="145"/>
      <x:c r="AH2700" s="145"/>
      <x:c r="AI2700" s="145"/>
      <x:c r="AJ2700"/>
    </x:row>
    <x:row r="2701">
      <x:c r="F2701" s="124"/>
      <x:c r="G2701" s="124"/>
      <x:c r="H2701" s="124"/>
      <x:c r="I2701" s="124"/>
      <x:c r="J2701" s="124"/>
      <x:c r="M2701" s="126"/>
      <x:c r="P2701" s="126"/>
      <x:c r="Q2701" s="126"/>
      <x:c r="R2701" s="126"/>
      <x:c r="S2701" s="124"/>
      <x:c r="T2701" s="124"/>
      <x:c r="U2701" s="124"/>
      <x:c r="V2701" s="124"/>
      <x:c r="W2701" s="124"/>
      <x:c r="X2701" s="124"/>
      <x:c r="AD2701"/>
      <x:c r="AE2701" s="145"/>
      <x:c r="AF2701" s="145"/>
      <x:c r="AG2701" s="145"/>
      <x:c r="AH2701" s="145"/>
      <x:c r="AI2701" s="145"/>
      <x:c r="AJ2701"/>
    </x:row>
    <x:row r="2702">
      <x:c r="F2702" s="124"/>
      <x:c r="G2702" s="124"/>
      <x:c r="H2702" s="124"/>
      <x:c r="I2702" s="124"/>
      <x:c r="J2702" s="124"/>
      <x:c r="M2702" s="126"/>
      <x:c r="P2702" s="126"/>
      <x:c r="Q2702" s="126"/>
      <x:c r="R2702" s="126"/>
      <x:c r="S2702" s="124"/>
      <x:c r="T2702" s="124"/>
      <x:c r="U2702" s="124"/>
      <x:c r="V2702" s="124"/>
      <x:c r="W2702" s="124"/>
      <x:c r="X2702" s="124"/>
      <x:c r="AD2702"/>
      <x:c r="AE2702" s="145"/>
      <x:c r="AF2702" s="145"/>
      <x:c r="AG2702" s="145"/>
      <x:c r="AH2702" s="145"/>
      <x:c r="AI2702" s="145"/>
      <x:c r="AJ2702"/>
    </x:row>
    <x:row r="2703">
      <x:c r="F2703" s="124"/>
      <x:c r="G2703" s="124"/>
      <x:c r="H2703" s="124"/>
      <x:c r="I2703" s="124"/>
      <x:c r="J2703" s="124"/>
      <x:c r="M2703" s="126"/>
      <x:c r="P2703" s="126"/>
      <x:c r="Q2703" s="126"/>
      <x:c r="R2703" s="126"/>
      <x:c r="S2703" s="124"/>
      <x:c r="T2703" s="124"/>
      <x:c r="U2703" s="124"/>
      <x:c r="V2703" s="124"/>
      <x:c r="W2703" s="124"/>
      <x:c r="X2703" s="124"/>
      <x:c r="AD2703"/>
      <x:c r="AE2703" s="145"/>
      <x:c r="AF2703" s="145"/>
      <x:c r="AG2703" s="145"/>
      <x:c r="AH2703" s="145"/>
      <x:c r="AI2703" s="145"/>
      <x:c r="AJ2703"/>
    </x:row>
    <x:row r="2704">
      <x:c r="F2704" s="124"/>
      <x:c r="G2704" s="124"/>
      <x:c r="H2704" s="124"/>
      <x:c r="I2704" s="124"/>
      <x:c r="J2704" s="124"/>
      <x:c r="M2704" s="126"/>
      <x:c r="P2704" s="126"/>
      <x:c r="Q2704" s="126"/>
      <x:c r="R2704" s="126"/>
      <x:c r="S2704" s="124"/>
      <x:c r="T2704" s="124"/>
      <x:c r="U2704" s="124"/>
      <x:c r="V2704" s="124"/>
      <x:c r="W2704" s="124"/>
      <x:c r="X2704" s="124"/>
      <x:c r="AD2704"/>
      <x:c r="AE2704" s="145"/>
      <x:c r="AF2704" s="145"/>
      <x:c r="AG2704" s="145"/>
      <x:c r="AH2704" s="145"/>
      <x:c r="AI2704" s="145"/>
      <x:c r="AJ2704"/>
    </x:row>
    <x:row r="2705">
      <x:c r="F2705" s="124"/>
      <x:c r="G2705" s="124"/>
      <x:c r="H2705" s="124"/>
      <x:c r="I2705" s="124"/>
      <x:c r="J2705" s="124"/>
      <x:c r="M2705" s="126"/>
      <x:c r="P2705" s="126"/>
      <x:c r="Q2705" s="126"/>
      <x:c r="R2705" s="126"/>
      <x:c r="S2705" s="124"/>
      <x:c r="T2705" s="124"/>
      <x:c r="U2705" s="124"/>
      <x:c r="V2705" s="124"/>
      <x:c r="W2705" s="124"/>
      <x:c r="X2705" s="124"/>
      <x:c r="AD2705"/>
      <x:c r="AE2705" s="145"/>
      <x:c r="AF2705" s="145"/>
      <x:c r="AG2705" s="145"/>
      <x:c r="AH2705" s="145"/>
      <x:c r="AI2705" s="145"/>
      <x:c r="AJ2705"/>
    </x:row>
    <x:row r="2706">
      <x:c r="F2706" s="124"/>
      <x:c r="G2706" s="124"/>
      <x:c r="H2706" s="124"/>
      <x:c r="I2706" s="124"/>
      <x:c r="J2706" s="124"/>
      <x:c r="M2706" s="126"/>
      <x:c r="P2706" s="126"/>
      <x:c r="Q2706" s="126"/>
      <x:c r="R2706" s="126"/>
      <x:c r="S2706" s="124"/>
      <x:c r="T2706" s="124"/>
      <x:c r="U2706" s="124"/>
      <x:c r="V2706" s="124"/>
      <x:c r="W2706" s="124"/>
      <x:c r="X2706" s="124"/>
      <x:c r="AD2706"/>
      <x:c r="AE2706" s="145"/>
      <x:c r="AF2706" s="145"/>
      <x:c r="AG2706" s="145"/>
      <x:c r="AH2706" s="145"/>
      <x:c r="AI2706" s="145"/>
      <x:c r="AJ2706"/>
    </x:row>
    <x:row r="2707">
      <x:c r="F2707" s="124"/>
      <x:c r="G2707" s="124"/>
      <x:c r="H2707" s="124"/>
      <x:c r="I2707" s="124"/>
      <x:c r="J2707" s="124"/>
      <x:c r="M2707" s="126"/>
      <x:c r="P2707" s="126"/>
      <x:c r="Q2707" s="126"/>
      <x:c r="R2707" s="126"/>
      <x:c r="S2707" s="124"/>
      <x:c r="T2707" s="124"/>
      <x:c r="U2707" s="124"/>
      <x:c r="V2707" s="124"/>
      <x:c r="W2707" s="124"/>
      <x:c r="X2707" s="124"/>
      <x:c r="AD2707"/>
      <x:c r="AE2707" s="145"/>
      <x:c r="AF2707" s="145"/>
      <x:c r="AG2707" s="145"/>
      <x:c r="AH2707" s="145"/>
      <x:c r="AI2707" s="145"/>
      <x:c r="AJ2707"/>
    </x:row>
    <x:row r="2708">
      <x:c r="F2708" s="124"/>
      <x:c r="G2708" s="124"/>
      <x:c r="H2708" s="124"/>
      <x:c r="I2708" s="124"/>
      <x:c r="J2708" s="124"/>
      <x:c r="M2708" s="126"/>
      <x:c r="P2708" s="126"/>
      <x:c r="Q2708" s="126"/>
      <x:c r="R2708" s="126"/>
      <x:c r="S2708" s="124"/>
      <x:c r="T2708" s="124"/>
      <x:c r="U2708" s="124"/>
      <x:c r="V2708" s="124"/>
      <x:c r="W2708" s="124"/>
      <x:c r="X2708" s="124"/>
      <x:c r="AD2708"/>
      <x:c r="AE2708" s="145"/>
      <x:c r="AF2708" s="145"/>
      <x:c r="AG2708" s="145"/>
      <x:c r="AH2708" s="145"/>
      <x:c r="AI2708" s="145"/>
      <x:c r="AJ2708"/>
    </x:row>
    <x:row r="2709">
      <x:c r="F2709" s="124"/>
      <x:c r="G2709" s="124"/>
      <x:c r="H2709" s="124"/>
      <x:c r="I2709" s="124"/>
      <x:c r="J2709" s="124"/>
      <x:c r="M2709" s="126"/>
      <x:c r="P2709" s="126"/>
      <x:c r="Q2709" s="126"/>
      <x:c r="R2709" s="126"/>
      <x:c r="S2709" s="124"/>
      <x:c r="T2709" s="124"/>
      <x:c r="U2709" s="124"/>
      <x:c r="V2709" s="124"/>
      <x:c r="W2709" s="124"/>
      <x:c r="X2709" s="124"/>
      <x:c r="AD2709"/>
      <x:c r="AE2709" s="145"/>
      <x:c r="AF2709" s="145"/>
      <x:c r="AG2709" s="145"/>
      <x:c r="AH2709" s="145"/>
      <x:c r="AI2709" s="145"/>
      <x:c r="AJ2709"/>
    </x:row>
    <x:row r="2710">
      <x:c r="F2710" s="124"/>
      <x:c r="G2710" s="124"/>
      <x:c r="H2710" s="124"/>
      <x:c r="I2710" s="124"/>
      <x:c r="J2710" s="124"/>
      <x:c r="M2710" s="126"/>
      <x:c r="P2710" s="126"/>
      <x:c r="Q2710" s="126"/>
      <x:c r="R2710" s="126"/>
      <x:c r="S2710" s="124"/>
      <x:c r="T2710" s="124"/>
      <x:c r="U2710" s="124"/>
      <x:c r="V2710" s="124"/>
      <x:c r="W2710" s="124"/>
      <x:c r="X2710" s="124"/>
      <x:c r="AD2710"/>
      <x:c r="AE2710" s="145"/>
      <x:c r="AF2710" s="145"/>
      <x:c r="AG2710" s="145"/>
      <x:c r="AH2710" s="145"/>
      <x:c r="AI2710" s="145"/>
      <x:c r="AJ2710"/>
    </x:row>
    <x:row r="2711">
      <x:c r="F2711" s="124"/>
      <x:c r="G2711" s="124"/>
      <x:c r="H2711" s="124"/>
      <x:c r="I2711" s="124"/>
      <x:c r="J2711" s="124"/>
      <x:c r="M2711" s="126"/>
      <x:c r="P2711" s="126"/>
      <x:c r="Q2711" s="126"/>
      <x:c r="R2711" s="126"/>
      <x:c r="S2711" s="124"/>
      <x:c r="T2711" s="124"/>
      <x:c r="U2711" s="124"/>
      <x:c r="V2711" s="124"/>
      <x:c r="W2711" s="124"/>
      <x:c r="X2711" s="124"/>
      <x:c r="AD2711"/>
      <x:c r="AE2711" s="145"/>
      <x:c r="AF2711" s="145"/>
      <x:c r="AG2711" s="145"/>
      <x:c r="AH2711" s="145"/>
      <x:c r="AI2711" s="145"/>
      <x:c r="AJ2711"/>
    </x:row>
    <x:row r="2712">
      <x:c r="F2712" s="124"/>
      <x:c r="G2712" s="124"/>
      <x:c r="H2712" s="124"/>
      <x:c r="I2712" s="124"/>
      <x:c r="J2712" s="124"/>
      <x:c r="M2712" s="126"/>
      <x:c r="P2712" s="126"/>
      <x:c r="Q2712" s="126"/>
      <x:c r="R2712" s="126"/>
      <x:c r="S2712" s="124"/>
      <x:c r="T2712" s="124"/>
      <x:c r="U2712" s="124"/>
      <x:c r="V2712" s="124"/>
      <x:c r="W2712" s="124"/>
      <x:c r="X2712" s="124"/>
      <x:c r="AD2712"/>
      <x:c r="AE2712" s="145"/>
      <x:c r="AF2712" s="145"/>
      <x:c r="AG2712" s="145"/>
      <x:c r="AH2712" s="145"/>
      <x:c r="AI2712" s="145"/>
      <x:c r="AJ2712"/>
    </x:row>
    <x:row r="2713">
      <x:c r="F2713" s="124"/>
      <x:c r="G2713" s="124"/>
      <x:c r="H2713" s="124"/>
      <x:c r="I2713" s="124"/>
      <x:c r="J2713" s="124"/>
      <x:c r="M2713" s="126"/>
      <x:c r="P2713" s="126"/>
      <x:c r="Q2713" s="126"/>
      <x:c r="R2713" s="126"/>
      <x:c r="S2713" s="124"/>
      <x:c r="T2713" s="124"/>
      <x:c r="U2713" s="124"/>
      <x:c r="V2713" s="124"/>
      <x:c r="W2713" s="124"/>
      <x:c r="X2713" s="124"/>
      <x:c r="AD2713"/>
      <x:c r="AE2713" s="145"/>
      <x:c r="AF2713" s="145"/>
      <x:c r="AG2713" s="145"/>
      <x:c r="AH2713" s="145"/>
      <x:c r="AI2713" s="145"/>
      <x:c r="AJ2713"/>
    </x:row>
    <x:row r="2714">
      <x:c r="F2714" s="124"/>
      <x:c r="G2714" s="124"/>
      <x:c r="H2714" s="124"/>
      <x:c r="I2714" s="124"/>
      <x:c r="J2714" s="124"/>
      <x:c r="M2714" s="126"/>
      <x:c r="P2714" s="126"/>
      <x:c r="Q2714" s="126"/>
      <x:c r="R2714" s="126"/>
      <x:c r="S2714" s="124"/>
      <x:c r="T2714" s="124"/>
      <x:c r="U2714" s="124"/>
      <x:c r="V2714" s="124"/>
      <x:c r="W2714" s="124"/>
      <x:c r="X2714" s="124"/>
      <x:c r="AD2714"/>
      <x:c r="AE2714" s="145"/>
      <x:c r="AF2714" s="145"/>
      <x:c r="AG2714" s="145"/>
      <x:c r="AH2714" s="145"/>
      <x:c r="AI2714" s="145"/>
      <x:c r="AJ2714"/>
    </x:row>
    <x:row r="2715">
      <x:c r="F2715" s="124"/>
      <x:c r="G2715" s="124"/>
      <x:c r="H2715" s="124"/>
      <x:c r="I2715" s="124"/>
      <x:c r="J2715" s="124"/>
      <x:c r="M2715" s="126"/>
      <x:c r="P2715" s="126"/>
      <x:c r="Q2715" s="126"/>
      <x:c r="R2715" s="126"/>
      <x:c r="S2715" s="124"/>
      <x:c r="T2715" s="124"/>
      <x:c r="U2715" s="124"/>
      <x:c r="V2715" s="124"/>
      <x:c r="W2715" s="124"/>
      <x:c r="X2715" s="124"/>
      <x:c r="AD2715"/>
      <x:c r="AE2715" s="145"/>
      <x:c r="AF2715" s="145"/>
      <x:c r="AG2715" s="145"/>
      <x:c r="AH2715" s="145"/>
      <x:c r="AI2715" s="145"/>
      <x:c r="AJ2715"/>
    </x:row>
    <x:row r="2716">
      <x:c r="F2716" s="124"/>
      <x:c r="G2716" s="124"/>
      <x:c r="H2716" s="124"/>
      <x:c r="I2716" s="124"/>
      <x:c r="J2716" s="124"/>
      <x:c r="M2716" s="126"/>
      <x:c r="P2716" s="126"/>
      <x:c r="Q2716" s="126"/>
      <x:c r="R2716" s="126"/>
      <x:c r="S2716" s="124"/>
      <x:c r="T2716" s="124"/>
      <x:c r="U2716" s="124"/>
      <x:c r="V2716" s="124"/>
      <x:c r="W2716" s="124"/>
      <x:c r="X2716" s="124"/>
      <x:c r="AD2716"/>
      <x:c r="AE2716" s="145"/>
      <x:c r="AF2716" s="145"/>
      <x:c r="AG2716" s="145"/>
      <x:c r="AH2716" s="145"/>
      <x:c r="AI2716" s="145"/>
      <x:c r="AJ2716"/>
    </x:row>
    <x:row r="2717">
      <x:c r="F2717" s="124"/>
      <x:c r="G2717" s="124"/>
      <x:c r="H2717" s="124"/>
      <x:c r="I2717" s="124"/>
      <x:c r="J2717" s="124"/>
      <x:c r="M2717" s="126"/>
      <x:c r="P2717" s="126"/>
      <x:c r="Q2717" s="126"/>
      <x:c r="R2717" s="126"/>
      <x:c r="S2717" s="124"/>
      <x:c r="T2717" s="124"/>
      <x:c r="U2717" s="124"/>
      <x:c r="V2717" s="124"/>
      <x:c r="W2717" s="124"/>
      <x:c r="X2717" s="124"/>
      <x:c r="AD2717"/>
      <x:c r="AE2717" s="145"/>
      <x:c r="AF2717" s="145"/>
      <x:c r="AG2717" s="145"/>
      <x:c r="AH2717" s="145"/>
      <x:c r="AI2717" s="145"/>
      <x:c r="AJ2717"/>
    </x:row>
    <x:row r="2718">
      <x:c r="F2718" s="124"/>
      <x:c r="G2718" s="124"/>
      <x:c r="H2718" s="124"/>
      <x:c r="I2718" s="124"/>
      <x:c r="J2718" s="124"/>
      <x:c r="M2718" s="126"/>
      <x:c r="P2718" s="126"/>
      <x:c r="Q2718" s="126"/>
      <x:c r="R2718" s="126"/>
      <x:c r="S2718" s="124"/>
      <x:c r="T2718" s="124"/>
      <x:c r="U2718" s="124"/>
      <x:c r="V2718" s="124"/>
      <x:c r="W2718" s="124"/>
      <x:c r="X2718" s="124"/>
      <x:c r="AD2718"/>
      <x:c r="AE2718" s="145"/>
      <x:c r="AF2718" s="145"/>
      <x:c r="AG2718" s="145"/>
      <x:c r="AH2718" s="145"/>
      <x:c r="AI2718" s="145"/>
      <x:c r="AJ2718"/>
    </x:row>
    <x:row r="2719">
      <x:c r="F2719" s="124"/>
      <x:c r="G2719" s="124"/>
      <x:c r="H2719" s="124"/>
      <x:c r="I2719" s="124"/>
      <x:c r="J2719" s="124"/>
      <x:c r="M2719" s="126"/>
      <x:c r="P2719" s="126"/>
      <x:c r="Q2719" s="126"/>
      <x:c r="R2719" s="126"/>
      <x:c r="S2719" s="124"/>
      <x:c r="T2719" s="124"/>
      <x:c r="U2719" s="124"/>
      <x:c r="V2719" s="124"/>
      <x:c r="W2719" s="124"/>
      <x:c r="X2719" s="124"/>
      <x:c r="AD2719"/>
      <x:c r="AE2719" s="145"/>
      <x:c r="AF2719" s="145"/>
      <x:c r="AG2719" s="145"/>
      <x:c r="AH2719" s="145"/>
      <x:c r="AI2719" s="145"/>
      <x:c r="AJ2719"/>
    </x:row>
    <x:row r="2720">
      <x:c r="F2720" s="124"/>
      <x:c r="G2720" s="124"/>
      <x:c r="H2720" s="124"/>
      <x:c r="I2720" s="124"/>
      <x:c r="J2720" s="124"/>
      <x:c r="M2720" s="126"/>
      <x:c r="P2720" s="126"/>
      <x:c r="Q2720" s="126"/>
      <x:c r="R2720" s="126"/>
      <x:c r="S2720" s="124"/>
      <x:c r="T2720" s="124"/>
      <x:c r="U2720" s="124"/>
      <x:c r="V2720" s="124"/>
      <x:c r="W2720" s="124"/>
      <x:c r="X2720" s="124"/>
      <x:c r="AD2720"/>
      <x:c r="AE2720" s="145"/>
      <x:c r="AF2720" s="145"/>
      <x:c r="AG2720" s="145"/>
      <x:c r="AH2720" s="145"/>
      <x:c r="AI2720" s="145"/>
      <x:c r="AJ2720"/>
    </x:row>
    <x:row r="2721">
      <x:c r="F2721" s="124"/>
      <x:c r="G2721" s="124"/>
      <x:c r="H2721" s="124"/>
      <x:c r="I2721" s="124"/>
      <x:c r="J2721" s="124"/>
      <x:c r="M2721" s="126"/>
      <x:c r="P2721" s="126"/>
      <x:c r="Q2721" s="126"/>
      <x:c r="R2721" s="126"/>
      <x:c r="S2721" s="124"/>
      <x:c r="T2721" s="124"/>
      <x:c r="U2721" s="124"/>
      <x:c r="V2721" s="124"/>
      <x:c r="W2721" s="124"/>
      <x:c r="X2721" s="124"/>
      <x:c r="AD2721"/>
      <x:c r="AE2721" s="145"/>
      <x:c r="AF2721" s="145"/>
      <x:c r="AG2721" s="145"/>
      <x:c r="AH2721" s="145"/>
      <x:c r="AI2721" s="145"/>
      <x:c r="AJ2721"/>
    </x:row>
    <x:row r="2722">
      <x:c r="F2722" s="124"/>
      <x:c r="G2722" s="124"/>
      <x:c r="H2722" s="124"/>
      <x:c r="I2722" s="124"/>
      <x:c r="J2722" s="124"/>
      <x:c r="M2722" s="126"/>
      <x:c r="P2722" s="126"/>
      <x:c r="Q2722" s="126"/>
      <x:c r="R2722" s="126"/>
      <x:c r="S2722" s="124"/>
      <x:c r="T2722" s="124"/>
      <x:c r="U2722" s="124"/>
      <x:c r="V2722" s="124"/>
      <x:c r="W2722" s="124"/>
      <x:c r="X2722" s="124"/>
      <x:c r="AD2722"/>
      <x:c r="AE2722" s="145"/>
      <x:c r="AF2722" s="145"/>
      <x:c r="AG2722" s="145"/>
      <x:c r="AH2722" s="145"/>
      <x:c r="AI2722" s="145"/>
      <x:c r="AJ2722"/>
    </x:row>
    <x:row r="2723">
      <x:c r="F2723" s="124"/>
      <x:c r="G2723" s="124"/>
      <x:c r="H2723" s="124"/>
      <x:c r="I2723" s="124"/>
      <x:c r="J2723" s="124"/>
      <x:c r="M2723" s="126"/>
      <x:c r="P2723" s="126"/>
      <x:c r="Q2723" s="126"/>
      <x:c r="R2723" s="126"/>
      <x:c r="S2723" s="124"/>
      <x:c r="T2723" s="124"/>
      <x:c r="U2723" s="124"/>
      <x:c r="V2723" s="124"/>
      <x:c r="W2723" s="124"/>
      <x:c r="X2723" s="124"/>
      <x:c r="AD2723"/>
      <x:c r="AE2723" s="145"/>
      <x:c r="AF2723" s="145"/>
      <x:c r="AG2723" s="145"/>
      <x:c r="AH2723" s="145"/>
      <x:c r="AI2723" s="145"/>
      <x:c r="AJ2723"/>
    </x:row>
    <x:row r="2724">
      <x:c r="F2724" s="124"/>
      <x:c r="G2724" s="124"/>
      <x:c r="H2724" s="124"/>
      <x:c r="I2724" s="124"/>
      <x:c r="J2724" s="124"/>
      <x:c r="M2724" s="126"/>
      <x:c r="P2724" s="126"/>
      <x:c r="Q2724" s="126"/>
      <x:c r="R2724" s="126"/>
      <x:c r="S2724" s="124"/>
      <x:c r="T2724" s="124"/>
      <x:c r="U2724" s="124"/>
      <x:c r="V2724" s="124"/>
      <x:c r="W2724" s="124"/>
      <x:c r="X2724" s="124"/>
      <x:c r="AD2724"/>
      <x:c r="AE2724" s="145"/>
      <x:c r="AF2724" s="145"/>
      <x:c r="AG2724" s="145"/>
      <x:c r="AH2724" s="145"/>
      <x:c r="AI2724" s="145"/>
      <x:c r="AJ2724"/>
    </x:row>
    <x:row r="2725">
      <x:c r="F2725" s="124"/>
      <x:c r="G2725" s="124"/>
      <x:c r="H2725" s="124"/>
      <x:c r="I2725" s="124"/>
      <x:c r="J2725" s="124"/>
      <x:c r="M2725" s="126"/>
      <x:c r="P2725" s="126"/>
      <x:c r="Q2725" s="126"/>
      <x:c r="R2725" s="126"/>
      <x:c r="S2725" s="124"/>
      <x:c r="T2725" s="124"/>
      <x:c r="U2725" s="124"/>
      <x:c r="V2725" s="124"/>
      <x:c r="W2725" s="124"/>
      <x:c r="X2725" s="124"/>
      <x:c r="AD2725"/>
      <x:c r="AE2725" s="145"/>
      <x:c r="AF2725" s="145"/>
      <x:c r="AG2725" s="145"/>
      <x:c r="AH2725" s="145"/>
      <x:c r="AI2725" s="145"/>
      <x:c r="AJ2725"/>
    </x:row>
    <x:row r="2726">
      <x:c r="F2726" s="124"/>
      <x:c r="G2726" s="124"/>
      <x:c r="H2726" s="124"/>
      <x:c r="I2726" s="124"/>
      <x:c r="J2726" s="124"/>
      <x:c r="M2726" s="126"/>
      <x:c r="P2726" s="126"/>
      <x:c r="Q2726" s="126"/>
      <x:c r="R2726" s="126"/>
      <x:c r="S2726" s="124"/>
      <x:c r="T2726" s="124"/>
      <x:c r="U2726" s="124"/>
      <x:c r="V2726" s="124"/>
      <x:c r="W2726" s="124"/>
      <x:c r="X2726" s="124"/>
      <x:c r="AD2726"/>
      <x:c r="AE2726" s="145"/>
      <x:c r="AF2726" s="145"/>
      <x:c r="AG2726" s="145"/>
      <x:c r="AH2726" s="145"/>
      <x:c r="AI2726" s="145"/>
      <x:c r="AJ2726"/>
    </x:row>
    <x:row r="2727">
      <x:c r="F2727" s="124"/>
      <x:c r="G2727" s="124"/>
      <x:c r="H2727" s="124"/>
      <x:c r="I2727" s="124"/>
      <x:c r="J2727" s="124"/>
      <x:c r="M2727" s="126"/>
      <x:c r="P2727" s="126"/>
      <x:c r="Q2727" s="126"/>
      <x:c r="R2727" s="126"/>
      <x:c r="S2727" s="124"/>
      <x:c r="T2727" s="124"/>
      <x:c r="U2727" s="124"/>
      <x:c r="V2727" s="124"/>
      <x:c r="W2727" s="124"/>
      <x:c r="X2727" s="124"/>
      <x:c r="AD2727"/>
      <x:c r="AE2727" s="145"/>
      <x:c r="AF2727" s="145"/>
      <x:c r="AG2727" s="145"/>
      <x:c r="AH2727" s="145"/>
      <x:c r="AI2727" s="145"/>
      <x:c r="AJ2727"/>
    </x:row>
    <x:row r="2728">
      <x:c r="F2728" s="124"/>
      <x:c r="G2728" s="124"/>
      <x:c r="H2728" s="124"/>
      <x:c r="I2728" s="124"/>
      <x:c r="J2728" s="124"/>
      <x:c r="M2728" s="126"/>
      <x:c r="P2728" s="126"/>
      <x:c r="Q2728" s="126"/>
      <x:c r="R2728" s="126"/>
      <x:c r="S2728" s="124"/>
      <x:c r="T2728" s="124"/>
      <x:c r="U2728" s="124"/>
      <x:c r="V2728" s="124"/>
      <x:c r="W2728" s="124"/>
      <x:c r="X2728" s="124"/>
      <x:c r="AD2728"/>
      <x:c r="AE2728" s="145"/>
      <x:c r="AF2728" s="145"/>
      <x:c r="AG2728" s="145"/>
      <x:c r="AH2728" s="145"/>
      <x:c r="AI2728" s="145"/>
      <x:c r="AJ2728"/>
    </x:row>
    <x:row r="2729">
      <x:c r="F2729" s="124"/>
      <x:c r="G2729" s="124"/>
      <x:c r="H2729" s="124"/>
      <x:c r="I2729" s="124"/>
      <x:c r="J2729" s="124"/>
      <x:c r="M2729" s="126"/>
      <x:c r="P2729" s="126"/>
      <x:c r="Q2729" s="126"/>
      <x:c r="R2729" s="126"/>
      <x:c r="S2729" s="124"/>
      <x:c r="T2729" s="124"/>
      <x:c r="U2729" s="124"/>
      <x:c r="V2729" s="124"/>
      <x:c r="W2729" s="124"/>
      <x:c r="X2729" s="124"/>
      <x:c r="AD2729"/>
      <x:c r="AE2729" s="145"/>
      <x:c r="AF2729" s="145"/>
      <x:c r="AG2729" s="145"/>
      <x:c r="AH2729" s="145"/>
      <x:c r="AI2729" s="145"/>
      <x:c r="AJ2729"/>
    </x:row>
    <x:row r="2730">
      <x:c r="F2730" s="124"/>
      <x:c r="G2730" s="124"/>
      <x:c r="H2730" s="124"/>
      <x:c r="I2730" s="124"/>
      <x:c r="J2730" s="124"/>
      <x:c r="M2730" s="126"/>
      <x:c r="P2730" s="126"/>
      <x:c r="Q2730" s="126"/>
      <x:c r="R2730" s="126"/>
      <x:c r="S2730" s="124"/>
      <x:c r="T2730" s="124"/>
      <x:c r="U2730" s="124"/>
      <x:c r="V2730" s="124"/>
      <x:c r="W2730" s="124"/>
      <x:c r="X2730" s="124"/>
      <x:c r="AD2730"/>
      <x:c r="AE2730" s="145"/>
      <x:c r="AF2730" s="145"/>
      <x:c r="AG2730" s="145"/>
      <x:c r="AH2730" s="145"/>
      <x:c r="AI2730" s="145"/>
      <x:c r="AJ2730"/>
    </x:row>
    <x:row r="2731">
      <x:c r="F2731" s="124"/>
      <x:c r="G2731" s="124"/>
      <x:c r="H2731" s="124"/>
      <x:c r="I2731" s="124"/>
      <x:c r="J2731" s="124"/>
      <x:c r="M2731" s="126"/>
      <x:c r="P2731" s="126"/>
      <x:c r="Q2731" s="126"/>
      <x:c r="R2731" s="126"/>
      <x:c r="S2731" s="124"/>
      <x:c r="T2731" s="124"/>
      <x:c r="U2731" s="124"/>
      <x:c r="V2731" s="124"/>
      <x:c r="W2731" s="124"/>
      <x:c r="X2731" s="124"/>
      <x:c r="AD2731"/>
      <x:c r="AE2731" s="145"/>
      <x:c r="AF2731" s="145"/>
      <x:c r="AG2731" s="145"/>
      <x:c r="AH2731" s="145"/>
      <x:c r="AI2731" s="145"/>
      <x:c r="AJ2731"/>
    </x:row>
    <x:row r="2732">
      <x:c r="F2732" s="124"/>
      <x:c r="G2732" s="124"/>
      <x:c r="H2732" s="124"/>
      <x:c r="I2732" s="124"/>
      <x:c r="J2732" s="124"/>
      <x:c r="M2732" s="126"/>
      <x:c r="P2732" s="126"/>
      <x:c r="Q2732" s="126"/>
      <x:c r="R2732" s="126"/>
      <x:c r="S2732" s="124"/>
      <x:c r="T2732" s="124"/>
      <x:c r="U2732" s="124"/>
      <x:c r="V2732" s="124"/>
      <x:c r="W2732" s="124"/>
      <x:c r="X2732" s="124"/>
      <x:c r="AD2732"/>
      <x:c r="AE2732" s="145"/>
      <x:c r="AF2732" s="145"/>
      <x:c r="AG2732" s="145"/>
      <x:c r="AH2732" s="145"/>
      <x:c r="AI2732" s="145"/>
      <x:c r="AJ2732"/>
    </x:row>
    <x:row r="2733">
      <x:c r="F2733" s="124"/>
      <x:c r="G2733" s="124"/>
      <x:c r="H2733" s="124"/>
      <x:c r="I2733" s="124"/>
      <x:c r="J2733" s="124"/>
      <x:c r="M2733" s="126"/>
      <x:c r="P2733" s="126"/>
      <x:c r="Q2733" s="126"/>
      <x:c r="R2733" s="126"/>
      <x:c r="S2733" s="124"/>
      <x:c r="T2733" s="124"/>
      <x:c r="U2733" s="124"/>
      <x:c r="V2733" s="124"/>
      <x:c r="W2733" s="124"/>
      <x:c r="X2733" s="124"/>
      <x:c r="AD2733"/>
      <x:c r="AE2733" s="145"/>
      <x:c r="AF2733" s="145"/>
      <x:c r="AG2733" s="145"/>
      <x:c r="AH2733" s="145"/>
      <x:c r="AI2733" s="145"/>
      <x:c r="AJ2733"/>
    </x:row>
    <x:row r="2734">
      <x:c r="F2734" s="124"/>
      <x:c r="G2734" s="124"/>
      <x:c r="H2734" s="124"/>
      <x:c r="I2734" s="124"/>
      <x:c r="J2734" s="124"/>
      <x:c r="M2734" s="126"/>
      <x:c r="P2734" s="126"/>
      <x:c r="Q2734" s="126"/>
      <x:c r="R2734" s="126"/>
      <x:c r="S2734" s="124"/>
      <x:c r="T2734" s="124"/>
      <x:c r="U2734" s="124"/>
      <x:c r="V2734" s="124"/>
      <x:c r="W2734" s="124"/>
      <x:c r="X2734" s="124"/>
      <x:c r="AD2734"/>
      <x:c r="AE2734" s="145"/>
      <x:c r="AF2734" s="145"/>
      <x:c r="AG2734" s="145"/>
      <x:c r="AH2734" s="145"/>
      <x:c r="AI2734" s="145"/>
      <x:c r="AJ2734"/>
    </x:row>
    <x:row r="2735">
      <x:c r="F2735" s="124"/>
      <x:c r="G2735" s="124"/>
      <x:c r="H2735" s="124"/>
      <x:c r="I2735" s="124"/>
      <x:c r="J2735" s="124"/>
      <x:c r="M2735" s="126"/>
      <x:c r="P2735" s="126"/>
      <x:c r="Q2735" s="126"/>
      <x:c r="R2735" s="126"/>
      <x:c r="S2735" s="124"/>
      <x:c r="T2735" s="124"/>
      <x:c r="U2735" s="124"/>
      <x:c r="V2735" s="124"/>
      <x:c r="W2735" s="124"/>
      <x:c r="X2735" s="124"/>
      <x:c r="AD2735"/>
      <x:c r="AE2735" s="145"/>
      <x:c r="AF2735" s="145"/>
      <x:c r="AG2735" s="145"/>
      <x:c r="AH2735" s="145"/>
      <x:c r="AI2735" s="145"/>
      <x:c r="AJ2735"/>
    </x:row>
    <x:row r="2736">
      <x:c r="F2736" s="124"/>
      <x:c r="G2736" s="124"/>
      <x:c r="H2736" s="124"/>
      <x:c r="I2736" s="124"/>
      <x:c r="J2736" s="124"/>
      <x:c r="M2736" s="126"/>
      <x:c r="P2736" s="126"/>
      <x:c r="Q2736" s="126"/>
      <x:c r="R2736" s="126"/>
      <x:c r="S2736" s="124"/>
      <x:c r="T2736" s="124"/>
      <x:c r="U2736" s="124"/>
      <x:c r="V2736" s="124"/>
      <x:c r="W2736" s="124"/>
      <x:c r="X2736" s="124"/>
      <x:c r="AD2736"/>
      <x:c r="AE2736" s="145"/>
      <x:c r="AF2736" s="145"/>
      <x:c r="AG2736" s="145"/>
      <x:c r="AH2736" s="145"/>
      <x:c r="AI2736" s="145"/>
      <x:c r="AJ2736"/>
    </x:row>
    <x:row r="2737">
      <x:c r="F2737" s="124"/>
      <x:c r="G2737" s="124"/>
      <x:c r="H2737" s="124"/>
      <x:c r="I2737" s="124"/>
      <x:c r="J2737" s="124"/>
      <x:c r="M2737" s="126"/>
      <x:c r="P2737" s="126"/>
      <x:c r="Q2737" s="126"/>
      <x:c r="R2737" s="126"/>
      <x:c r="S2737" s="124"/>
      <x:c r="T2737" s="124"/>
      <x:c r="U2737" s="124"/>
      <x:c r="V2737" s="124"/>
      <x:c r="W2737" s="124"/>
      <x:c r="X2737" s="124"/>
      <x:c r="AD2737"/>
      <x:c r="AE2737" s="145"/>
      <x:c r="AF2737" s="145"/>
      <x:c r="AG2737" s="145"/>
      <x:c r="AH2737" s="145"/>
      <x:c r="AI2737" s="145"/>
      <x:c r="AJ2737"/>
    </x:row>
    <x:row r="2738">
      <x:c r="F2738" s="124"/>
      <x:c r="G2738" s="124"/>
      <x:c r="H2738" s="124"/>
      <x:c r="I2738" s="124"/>
      <x:c r="J2738" s="124"/>
      <x:c r="M2738" s="126"/>
      <x:c r="P2738" s="126"/>
      <x:c r="Q2738" s="126"/>
      <x:c r="R2738" s="126"/>
      <x:c r="S2738" s="124"/>
      <x:c r="T2738" s="124"/>
      <x:c r="U2738" s="124"/>
      <x:c r="V2738" s="124"/>
      <x:c r="W2738" s="124"/>
      <x:c r="X2738" s="124"/>
      <x:c r="AD2738"/>
      <x:c r="AE2738" s="145"/>
      <x:c r="AF2738" s="145"/>
      <x:c r="AG2738" s="145"/>
      <x:c r="AH2738" s="145"/>
      <x:c r="AI2738" s="145"/>
      <x:c r="AJ2738"/>
    </x:row>
    <x:row r="2739">
      <x:c r="F2739" s="124"/>
      <x:c r="G2739" s="124"/>
      <x:c r="H2739" s="124"/>
      <x:c r="I2739" s="124"/>
      <x:c r="J2739" s="124"/>
      <x:c r="M2739" s="126"/>
      <x:c r="P2739" s="126"/>
      <x:c r="Q2739" s="126"/>
      <x:c r="R2739" s="126"/>
      <x:c r="S2739" s="124"/>
      <x:c r="T2739" s="124"/>
      <x:c r="U2739" s="124"/>
      <x:c r="V2739" s="124"/>
      <x:c r="W2739" s="124"/>
      <x:c r="X2739" s="124"/>
      <x:c r="AD2739"/>
      <x:c r="AE2739" s="145"/>
      <x:c r="AF2739" s="145"/>
      <x:c r="AG2739" s="145"/>
      <x:c r="AH2739" s="145"/>
      <x:c r="AI2739" s="145"/>
      <x:c r="AJ2739"/>
    </x:row>
    <x:row r="2740">
      <x:c r="F2740" s="124"/>
      <x:c r="G2740" s="124"/>
      <x:c r="H2740" s="124"/>
      <x:c r="I2740" s="124"/>
      <x:c r="J2740" s="124"/>
      <x:c r="M2740" s="126"/>
      <x:c r="P2740" s="126"/>
      <x:c r="Q2740" s="126"/>
      <x:c r="R2740" s="126"/>
      <x:c r="S2740" s="124"/>
      <x:c r="T2740" s="124"/>
      <x:c r="U2740" s="124"/>
      <x:c r="V2740" s="124"/>
      <x:c r="W2740" s="124"/>
      <x:c r="X2740" s="124"/>
      <x:c r="AD2740"/>
      <x:c r="AE2740" s="145"/>
      <x:c r="AF2740" s="145"/>
      <x:c r="AG2740" s="145"/>
      <x:c r="AH2740" s="145"/>
      <x:c r="AI2740" s="145"/>
      <x:c r="AJ2740"/>
    </x:row>
    <x:row r="2741">
      <x:c r="F2741" s="124"/>
      <x:c r="G2741" s="124"/>
      <x:c r="H2741" s="124"/>
      <x:c r="I2741" s="124"/>
      <x:c r="J2741" s="124"/>
      <x:c r="M2741" s="126"/>
      <x:c r="P2741" s="126"/>
      <x:c r="Q2741" s="126"/>
      <x:c r="R2741" s="126"/>
      <x:c r="S2741" s="124"/>
      <x:c r="T2741" s="124"/>
      <x:c r="U2741" s="124"/>
      <x:c r="V2741" s="124"/>
      <x:c r="W2741" s="124"/>
      <x:c r="X2741" s="124"/>
      <x:c r="AD2741"/>
      <x:c r="AE2741" s="145"/>
      <x:c r="AF2741" s="145"/>
      <x:c r="AG2741" s="145"/>
      <x:c r="AH2741" s="145"/>
      <x:c r="AI2741" s="145"/>
      <x:c r="AJ2741"/>
    </x:row>
    <x:row r="2742">
      <x:c r="F2742" s="124"/>
      <x:c r="G2742" s="124"/>
      <x:c r="H2742" s="124"/>
      <x:c r="I2742" s="124"/>
      <x:c r="J2742" s="124"/>
      <x:c r="M2742" s="126"/>
      <x:c r="P2742" s="126"/>
      <x:c r="Q2742" s="126"/>
      <x:c r="R2742" s="126"/>
      <x:c r="S2742" s="124"/>
      <x:c r="T2742" s="124"/>
      <x:c r="U2742" s="124"/>
      <x:c r="V2742" s="124"/>
      <x:c r="W2742" s="124"/>
      <x:c r="X2742" s="124"/>
      <x:c r="AD2742"/>
      <x:c r="AE2742" s="145"/>
      <x:c r="AF2742" s="145"/>
      <x:c r="AG2742" s="145"/>
      <x:c r="AH2742" s="145"/>
      <x:c r="AI2742" s="145"/>
      <x:c r="AJ2742"/>
    </x:row>
    <x:row r="2743">
      <x:c r="F2743" s="124"/>
      <x:c r="G2743" s="124"/>
      <x:c r="H2743" s="124"/>
      <x:c r="I2743" s="124"/>
      <x:c r="J2743" s="124"/>
      <x:c r="M2743" s="126"/>
      <x:c r="P2743" s="126"/>
      <x:c r="Q2743" s="126"/>
      <x:c r="R2743" s="126"/>
      <x:c r="S2743" s="124"/>
      <x:c r="T2743" s="124"/>
      <x:c r="U2743" s="124"/>
      <x:c r="V2743" s="124"/>
      <x:c r="W2743" s="124"/>
      <x:c r="X2743" s="124"/>
      <x:c r="AD2743"/>
      <x:c r="AE2743" s="145"/>
      <x:c r="AF2743" s="145"/>
      <x:c r="AG2743" s="145"/>
      <x:c r="AH2743" s="145"/>
      <x:c r="AI2743" s="145"/>
      <x:c r="AJ2743"/>
    </x:row>
    <x:row r="2744">
      <x:c r="F2744" s="124"/>
      <x:c r="G2744" s="124"/>
      <x:c r="H2744" s="124"/>
      <x:c r="I2744" s="124"/>
      <x:c r="J2744" s="124"/>
      <x:c r="M2744" s="126"/>
      <x:c r="P2744" s="126"/>
      <x:c r="Q2744" s="126"/>
      <x:c r="R2744" s="126"/>
      <x:c r="S2744" s="124"/>
      <x:c r="T2744" s="124"/>
      <x:c r="U2744" s="124"/>
      <x:c r="V2744" s="124"/>
      <x:c r="W2744" s="124"/>
      <x:c r="X2744" s="124"/>
      <x:c r="AD2744"/>
      <x:c r="AE2744" s="145"/>
      <x:c r="AF2744" s="145"/>
      <x:c r="AG2744" s="145"/>
      <x:c r="AH2744" s="145"/>
      <x:c r="AI2744" s="145"/>
      <x:c r="AJ2744"/>
    </x:row>
    <x:row r="2745">
      <x:c r="F2745" s="124"/>
      <x:c r="G2745" s="124"/>
      <x:c r="H2745" s="124"/>
      <x:c r="I2745" s="124"/>
      <x:c r="J2745" s="124"/>
      <x:c r="M2745" s="126"/>
      <x:c r="P2745" s="126"/>
      <x:c r="Q2745" s="126"/>
      <x:c r="R2745" s="126"/>
      <x:c r="S2745" s="124"/>
      <x:c r="T2745" s="124"/>
      <x:c r="U2745" s="124"/>
      <x:c r="V2745" s="124"/>
      <x:c r="W2745" s="124"/>
      <x:c r="X2745" s="124"/>
      <x:c r="AD2745"/>
      <x:c r="AE2745" s="145"/>
      <x:c r="AF2745" s="145"/>
      <x:c r="AG2745" s="145"/>
      <x:c r="AH2745" s="145"/>
      <x:c r="AI2745" s="145"/>
      <x:c r="AJ2745"/>
    </x:row>
    <x:row r="2746">
      <x:c r="F2746" s="124"/>
      <x:c r="G2746" s="124"/>
      <x:c r="H2746" s="124"/>
      <x:c r="I2746" s="124"/>
      <x:c r="J2746" s="124"/>
      <x:c r="M2746" s="126"/>
      <x:c r="P2746" s="126"/>
      <x:c r="Q2746" s="126"/>
      <x:c r="R2746" s="126"/>
      <x:c r="S2746" s="124"/>
      <x:c r="T2746" s="124"/>
      <x:c r="U2746" s="124"/>
      <x:c r="V2746" s="124"/>
      <x:c r="W2746" s="124"/>
      <x:c r="X2746" s="124"/>
      <x:c r="AD2746"/>
      <x:c r="AE2746" s="145"/>
      <x:c r="AF2746" s="145"/>
      <x:c r="AG2746" s="145"/>
      <x:c r="AH2746" s="145"/>
      <x:c r="AI2746" s="145"/>
      <x:c r="AJ2746"/>
    </x:row>
    <x:row r="2747">
      <x:c r="F2747" s="124"/>
      <x:c r="G2747" s="124"/>
      <x:c r="H2747" s="124"/>
      <x:c r="I2747" s="124"/>
      <x:c r="J2747" s="124"/>
      <x:c r="M2747" s="126"/>
      <x:c r="P2747" s="126"/>
      <x:c r="Q2747" s="126"/>
      <x:c r="R2747" s="126"/>
      <x:c r="S2747" s="124"/>
      <x:c r="T2747" s="124"/>
      <x:c r="U2747" s="124"/>
      <x:c r="V2747" s="124"/>
      <x:c r="W2747" s="124"/>
      <x:c r="X2747" s="124"/>
      <x:c r="AD2747"/>
      <x:c r="AE2747" s="145"/>
      <x:c r="AF2747" s="145"/>
      <x:c r="AG2747" s="145"/>
      <x:c r="AH2747" s="145"/>
      <x:c r="AI2747" s="145"/>
      <x:c r="AJ2747"/>
    </x:row>
    <x:row r="2748">
      <x:c r="F2748" s="124"/>
      <x:c r="G2748" s="124"/>
      <x:c r="H2748" s="124"/>
      <x:c r="I2748" s="124"/>
      <x:c r="J2748" s="124"/>
      <x:c r="M2748" s="126"/>
      <x:c r="P2748" s="126"/>
      <x:c r="Q2748" s="126"/>
      <x:c r="R2748" s="126"/>
      <x:c r="S2748" s="124"/>
      <x:c r="T2748" s="124"/>
      <x:c r="U2748" s="124"/>
      <x:c r="V2748" s="124"/>
      <x:c r="W2748" s="124"/>
      <x:c r="X2748" s="124"/>
      <x:c r="AD2748"/>
      <x:c r="AE2748" s="145"/>
      <x:c r="AF2748" s="145"/>
      <x:c r="AG2748" s="145"/>
      <x:c r="AH2748" s="145"/>
      <x:c r="AI2748" s="145"/>
      <x:c r="AJ2748"/>
    </x:row>
    <x:row r="2749">
      <x:c r="F2749" s="124"/>
      <x:c r="G2749" s="124"/>
      <x:c r="H2749" s="124"/>
      <x:c r="I2749" s="124"/>
      <x:c r="J2749" s="124"/>
      <x:c r="M2749" s="126"/>
      <x:c r="P2749" s="126"/>
      <x:c r="Q2749" s="126"/>
      <x:c r="R2749" s="126"/>
      <x:c r="S2749" s="124"/>
      <x:c r="T2749" s="124"/>
      <x:c r="U2749" s="124"/>
      <x:c r="V2749" s="124"/>
      <x:c r="W2749" s="124"/>
      <x:c r="X2749" s="124"/>
      <x:c r="AD2749"/>
      <x:c r="AE2749" s="145"/>
      <x:c r="AF2749" s="145"/>
      <x:c r="AG2749" s="145"/>
      <x:c r="AH2749" s="145"/>
      <x:c r="AI2749" s="145"/>
      <x:c r="AJ2749"/>
    </x:row>
    <x:row r="2750">
      <x:c r="F2750" s="124"/>
      <x:c r="G2750" s="124"/>
      <x:c r="H2750" s="124"/>
      <x:c r="I2750" s="124"/>
      <x:c r="J2750" s="124"/>
      <x:c r="M2750" s="126"/>
      <x:c r="P2750" s="126"/>
      <x:c r="Q2750" s="126"/>
      <x:c r="R2750" s="126"/>
      <x:c r="S2750" s="124"/>
      <x:c r="T2750" s="124"/>
      <x:c r="U2750" s="124"/>
      <x:c r="V2750" s="124"/>
      <x:c r="W2750" s="124"/>
      <x:c r="X2750" s="124"/>
      <x:c r="AD2750"/>
      <x:c r="AE2750" s="145"/>
      <x:c r="AF2750" s="145"/>
      <x:c r="AG2750" s="145"/>
      <x:c r="AH2750" s="145"/>
      <x:c r="AI2750" s="145"/>
      <x:c r="AJ2750"/>
    </x:row>
    <x:row r="2751">
      <x:c r="F2751" s="124"/>
      <x:c r="G2751" s="124"/>
      <x:c r="H2751" s="124"/>
      <x:c r="I2751" s="124"/>
      <x:c r="J2751" s="124"/>
      <x:c r="M2751" s="126"/>
      <x:c r="P2751" s="126"/>
      <x:c r="Q2751" s="126"/>
      <x:c r="R2751" s="126"/>
      <x:c r="S2751" s="124"/>
      <x:c r="T2751" s="124"/>
      <x:c r="U2751" s="124"/>
      <x:c r="V2751" s="124"/>
      <x:c r="W2751" s="124"/>
      <x:c r="X2751" s="124"/>
      <x:c r="AD2751"/>
      <x:c r="AE2751" s="145"/>
      <x:c r="AF2751" s="145"/>
      <x:c r="AG2751" s="145"/>
      <x:c r="AH2751" s="145"/>
      <x:c r="AI2751" s="145"/>
      <x:c r="AJ2751"/>
    </x:row>
    <x:row r="2752">
      <x:c r="F2752" s="124"/>
      <x:c r="G2752" s="124"/>
      <x:c r="H2752" s="124"/>
      <x:c r="I2752" s="124"/>
      <x:c r="J2752" s="124"/>
      <x:c r="M2752" s="126"/>
      <x:c r="P2752" s="126"/>
      <x:c r="Q2752" s="126"/>
      <x:c r="R2752" s="126"/>
      <x:c r="S2752" s="124"/>
      <x:c r="T2752" s="124"/>
      <x:c r="U2752" s="124"/>
      <x:c r="V2752" s="124"/>
      <x:c r="W2752" s="124"/>
      <x:c r="X2752" s="124"/>
      <x:c r="AD2752"/>
      <x:c r="AE2752" s="145"/>
      <x:c r="AF2752" s="145"/>
      <x:c r="AG2752" s="145"/>
      <x:c r="AH2752" s="145"/>
      <x:c r="AI2752" s="145"/>
      <x:c r="AJ2752"/>
    </x:row>
    <x:row r="2753">
      <x:c r="F2753" s="124"/>
      <x:c r="G2753" s="124"/>
      <x:c r="H2753" s="124"/>
      <x:c r="I2753" s="124"/>
      <x:c r="J2753" s="124"/>
      <x:c r="M2753" s="126"/>
      <x:c r="P2753" s="126"/>
      <x:c r="Q2753" s="126"/>
      <x:c r="R2753" s="126"/>
      <x:c r="S2753" s="124"/>
      <x:c r="T2753" s="124"/>
      <x:c r="U2753" s="124"/>
      <x:c r="V2753" s="124"/>
      <x:c r="W2753" s="124"/>
      <x:c r="X2753" s="124"/>
      <x:c r="AD2753"/>
      <x:c r="AE2753" s="145"/>
      <x:c r="AF2753" s="145"/>
      <x:c r="AG2753" s="145"/>
      <x:c r="AH2753" s="145"/>
      <x:c r="AI2753" s="145"/>
      <x:c r="AJ2753"/>
    </x:row>
    <x:row r="2754">
      <x:c r="F2754" s="124"/>
      <x:c r="G2754" s="124"/>
      <x:c r="H2754" s="124"/>
      <x:c r="I2754" s="124"/>
      <x:c r="J2754" s="124"/>
      <x:c r="M2754" s="126"/>
      <x:c r="P2754" s="126"/>
      <x:c r="Q2754" s="126"/>
      <x:c r="R2754" s="126"/>
      <x:c r="S2754" s="124"/>
      <x:c r="T2754" s="124"/>
      <x:c r="U2754" s="124"/>
      <x:c r="V2754" s="124"/>
      <x:c r="W2754" s="124"/>
      <x:c r="X2754" s="124"/>
      <x:c r="AD2754"/>
      <x:c r="AE2754" s="145"/>
      <x:c r="AF2754" s="145"/>
      <x:c r="AG2754" s="145"/>
      <x:c r="AH2754" s="145"/>
      <x:c r="AI2754" s="145"/>
      <x:c r="AJ2754"/>
    </x:row>
    <x:row r="2755">
      <x:c r="F2755" s="124"/>
      <x:c r="G2755" s="124"/>
      <x:c r="H2755" s="124"/>
      <x:c r="I2755" s="124"/>
      <x:c r="J2755" s="124"/>
      <x:c r="M2755" s="126"/>
      <x:c r="P2755" s="126"/>
      <x:c r="Q2755" s="126"/>
      <x:c r="R2755" s="126"/>
      <x:c r="S2755" s="124"/>
      <x:c r="T2755" s="124"/>
      <x:c r="U2755" s="124"/>
      <x:c r="V2755" s="124"/>
      <x:c r="W2755" s="124"/>
      <x:c r="X2755" s="124"/>
      <x:c r="AD2755"/>
      <x:c r="AE2755" s="145"/>
      <x:c r="AF2755" s="145"/>
      <x:c r="AG2755" s="145"/>
      <x:c r="AH2755" s="145"/>
      <x:c r="AI2755" s="145"/>
      <x:c r="AJ2755"/>
    </x:row>
    <x:row r="2756">
      <x:c r="F2756" s="124"/>
      <x:c r="G2756" s="124"/>
      <x:c r="H2756" s="124"/>
      <x:c r="I2756" s="124"/>
      <x:c r="J2756" s="124"/>
      <x:c r="M2756" s="126"/>
      <x:c r="P2756" s="126"/>
      <x:c r="Q2756" s="126"/>
      <x:c r="R2756" s="126"/>
      <x:c r="S2756" s="124"/>
      <x:c r="T2756" s="124"/>
      <x:c r="U2756" s="124"/>
      <x:c r="V2756" s="124"/>
      <x:c r="W2756" s="124"/>
      <x:c r="X2756" s="124"/>
      <x:c r="AD2756"/>
      <x:c r="AE2756" s="145"/>
      <x:c r="AF2756" s="145"/>
      <x:c r="AG2756" s="145"/>
      <x:c r="AH2756" s="145"/>
      <x:c r="AI2756" s="145"/>
      <x:c r="AJ2756"/>
    </x:row>
    <x:row r="2757">
      <x:c r="F2757" s="124"/>
      <x:c r="G2757" s="124"/>
      <x:c r="H2757" s="124"/>
      <x:c r="I2757" s="124"/>
      <x:c r="J2757" s="124"/>
      <x:c r="M2757" s="126"/>
      <x:c r="P2757" s="126"/>
      <x:c r="Q2757" s="126"/>
      <x:c r="R2757" s="126"/>
      <x:c r="S2757" s="124"/>
      <x:c r="T2757" s="124"/>
      <x:c r="U2757" s="124"/>
      <x:c r="V2757" s="124"/>
      <x:c r="W2757" s="124"/>
      <x:c r="X2757" s="124"/>
      <x:c r="AD2757"/>
      <x:c r="AE2757" s="145"/>
      <x:c r="AF2757" s="145"/>
      <x:c r="AG2757" s="145"/>
      <x:c r="AH2757" s="145"/>
      <x:c r="AI2757" s="145"/>
      <x:c r="AJ2757"/>
    </x:row>
    <x:row r="2758">
      <x:c r="F2758" s="124"/>
      <x:c r="G2758" s="124"/>
      <x:c r="H2758" s="124"/>
      <x:c r="I2758" s="124"/>
      <x:c r="J2758" s="124"/>
      <x:c r="M2758" s="126"/>
      <x:c r="P2758" s="126"/>
      <x:c r="Q2758" s="126"/>
      <x:c r="R2758" s="126"/>
      <x:c r="S2758" s="124"/>
      <x:c r="T2758" s="124"/>
      <x:c r="U2758" s="124"/>
      <x:c r="V2758" s="124"/>
      <x:c r="W2758" s="124"/>
      <x:c r="X2758" s="124"/>
      <x:c r="AD2758"/>
      <x:c r="AE2758" s="145"/>
      <x:c r="AF2758" s="145"/>
      <x:c r="AG2758" s="145"/>
      <x:c r="AH2758" s="145"/>
      <x:c r="AI2758" s="145"/>
      <x:c r="AJ2758"/>
    </x:row>
    <x:row r="2759">
      <x:c r="F2759" s="124"/>
      <x:c r="G2759" s="124"/>
      <x:c r="H2759" s="124"/>
      <x:c r="I2759" s="124"/>
      <x:c r="J2759" s="124"/>
      <x:c r="M2759" s="126"/>
      <x:c r="P2759" s="126"/>
      <x:c r="Q2759" s="126"/>
      <x:c r="R2759" s="126"/>
      <x:c r="S2759" s="124"/>
      <x:c r="T2759" s="124"/>
      <x:c r="U2759" s="124"/>
      <x:c r="V2759" s="124"/>
      <x:c r="W2759" s="124"/>
      <x:c r="X2759" s="124"/>
      <x:c r="AD2759"/>
      <x:c r="AE2759" s="145"/>
      <x:c r="AF2759" s="145"/>
      <x:c r="AG2759" s="145"/>
      <x:c r="AH2759" s="145"/>
      <x:c r="AI2759" s="145"/>
      <x:c r="AJ2759"/>
    </x:row>
    <x:row r="2760">
      <x:c r="F2760" s="124"/>
      <x:c r="G2760" s="124"/>
      <x:c r="H2760" s="124"/>
      <x:c r="I2760" s="124"/>
      <x:c r="J2760" s="124"/>
      <x:c r="M2760" s="126"/>
      <x:c r="P2760" s="126"/>
      <x:c r="Q2760" s="126"/>
      <x:c r="R2760" s="126"/>
      <x:c r="S2760" s="124"/>
      <x:c r="T2760" s="124"/>
      <x:c r="U2760" s="124"/>
      <x:c r="V2760" s="124"/>
      <x:c r="W2760" s="124"/>
      <x:c r="X2760" s="124"/>
      <x:c r="AD2760"/>
      <x:c r="AE2760" s="145"/>
      <x:c r="AF2760" s="145"/>
      <x:c r="AG2760" s="145"/>
      <x:c r="AH2760" s="145"/>
      <x:c r="AI2760" s="145"/>
      <x:c r="AJ2760"/>
    </x:row>
    <x:row r="2761">
      <x:c r="F2761" s="124"/>
      <x:c r="G2761" s="124"/>
      <x:c r="H2761" s="124"/>
      <x:c r="I2761" s="124"/>
      <x:c r="J2761" s="124"/>
      <x:c r="M2761" s="126"/>
      <x:c r="P2761" s="126"/>
      <x:c r="Q2761" s="126"/>
      <x:c r="R2761" s="126"/>
      <x:c r="S2761" s="124"/>
      <x:c r="T2761" s="124"/>
      <x:c r="U2761" s="124"/>
      <x:c r="V2761" s="124"/>
      <x:c r="W2761" s="124"/>
      <x:c r="X2761" s="124"/>
      <x:c r="AD2761"/>
      <x:c r="AE2761" s="145"/>
      <x:c r="AF2761" s="145"/>
      <x:c r="AG2761" s="145"/>
      <x:c r="AH2761" s="145"/>
      <x:c r="AI2761" s="145"/>
      <x:c r="AJ2761"/>
    </x:row>
    <x:row r="2762">
      <x:c r="F2762" s="124"/>
      <x:c r="G2762" s="124"/>
      <x:c r="H2762" s="124"/>
      <x:c r="I2762" s="124"/>
      <x:c r="J2762" s="124"/>
      <x:c r="M2762" s="126"/>
      <x:c r="P2762" s="126"/>
      <x:c r="Q2762" s="126"/>
      <x:c r="R2762" s="126"/>
      <x:c r="S2762" s="124"/>
      <x:c r="T2762" s="124"/>
      <x:c r="U2762" s="124"/>
      <x:c r="V2762" s="124"/>
      <x:c r="W2762" s="124"/>
      <x:c r="X2762" s="124"/>
      <x:c r="AD2762"/>
      <x:c r="AE2762" s="145"/>
      <x:c r="AF2762" s="145"/>
      <x:c r="AG2762" s="145"/>
      <x:c r="AH2762" s="145"/>
      <x:c r="AI2762" s="145"/>
      <x:c r="AJ2762"/>
    </x:row>
    <x:row r="2763">
      <x:c r="F2763" s="124"/>
      <x:c r="G2763" s="124"/>
      <x:c r="H2763" s="124"/>
      <x:c r="I2763" s="124"/>
      <x:c r="J2763" s="124"/>
      <x:c r="M2763" s="126"/>
      <x:c r="P2763" s="126"/>
      <x:c r="Q2763" s="126"/>
      <x:c r="R2763" s="126"/>
      <x:c r="S2763" s="124"/>
      <x:c r="T2763" s="124"/>
      <x:c r="U2763" s="124"/>
      <x:c r="V2763" s="124"/>
      <x:c r="W2763" s="124"/>
      <x:c r="X2763" s="124"/>
      <x:c r="AD2763"/>
      <x:c r="AE2763" s="145"/>
      <x:c r="AF2763" s="145"/>
      <x:c r="AG2763" s="145"/>
      <x:c r="AH2763" s="145"/>
      <x:c r="AI2763" s="145"/>
      <x:c r="AJ2763"/>
    </x:row>
    <x:row r="2764">
      <x:c r="F2764" s="124"/>
      <x:c r="G2764" s="124"/>
      <x:c r="H2764" s="124"/>
      <x:c r="I2764" s="124"/>
      <x:c r="J2764" s="124"/>
      <x:c r="M2764" s="126"/>
      <x:c r="P2764" s="126"/>
      <x:c r="Q2764" s="126"/>
      <x:c r="R2764" s="126"/>
      <x:c r="S2764" s="124"/>
      <x:c r="T2764" s="124"/>
      <x:c r="U2764" s="124"/>
      <x:c r="V2764" s="124"/>
      <x:c r="W2764" s="124"/>
      <x:c r="X2764" s="124"/>
      <x:c r="AD2764"/>
      <x:c r="AE2764" s="145"/>
      <x:c r="AF2764" s="145"/>
      <x:c r="AG2764" s="145"/>
      <x:c r="AH2764" s="145"/>
      <x:c r="AI2764" s="145"/>
      <x:c r="AJ2764"/>
    </x:row>
    <x:row r="2765">
      <x:c r="F2765" s="124"/>
      <x:c r="G2765" s="124"/>
      <x:c r="H2765" s="124"/>
      <x:c r="I2765" s="124"/>
      <x:c r="J2765" s="124"/>
      <x:c r="M2765" s="126"/>
      <x:c r="P2765" s="126"/>
      <x:c r="Q2765" s="126"/>
      <x:c r="R2765" s="126"/>
      <x:c r="S2765" s="124"/>
      <x:c r="T2765" s="124"/>
      <x:c r="U2765" s="124"/>
      <x:c r="V2765" s="124"/>
      <x:c r="W2765" s="124"/>
      <x:c r="X2765" s="124"/>
      <x:c r="AD2765"/>
      <x:c r="AE2765" s="145"/>
      <x:c r="AF2765" s="145"/>
      <x:c r="AG2765" s="145"/>
      <x:c r="AH2765" s="145"/>
      <x:c r="AI2765" s="145"/>
      <x:c r="AJ2765"/>
    </x:row>
    <x:row r="2766">
      <x:c r="F2766" s="124"/>
      <x:c r="G2766" s="124"/>
      <x:c r="H2766" s="124"/>
      <x:c r="I2766" s="124"/>
      <x:c r="J2766" s="124"/>
      <x:c r="M2766" s="126"/>
      <x:c r="P2766" s="126"/>
      <x:c r="Q2766" s="126"/>
      <x:c r="R2766" s="126"/>
      <x:c r="S2766" s="124"/>
      <x:c r="T2766" s="124"/>
      <x:c r="U2766" s="124"/>
      <x:c r="V2766" s="124"/>
      <x:c r="W2766" s="124"/>
      <x:c r="X2766" s="124"/>
      <x:c r="AD2766"/>
      <x:c r="AE2766" s="145"/>
      <x:c r="AF2766" s="145"/>
      <x:c r="AG2766" s="145"/>
      <x:c r="AH2766" s="145"/>
      <x:c r="AI2766" s="145"/>
      <x:c r="AJ2766"/>
    </x:row>
    <x:row r="2767">
      <x:c r="F2767" s="124"/>
      <x:c r="G2767" s="124"/>
      <x:c r="H2767" s="124"/>
      <x:c r="I2767" s="124"/>
      <x:c r="J2767" s="124"/>
      <x:c r="M2767" s="126"/>
      <x:c r="P2767" s="126"/>
      <x:c r="Q2767" s="126"/>
      <x:c r="R2767" s="126"/>
      <x:c r="S2767" s="124"/>
      <x:c r="T2767" s="124"/>
      <x:c r="U2767" s="124"/>
      <x:c r="V2767" s="124"/>
      <x:c r="W2767" s="124"/>
      <x:c r="X2767" s="124"/>
      <x:c r="AD2767"/>
      <x:c r="AE2767" s="145"/>
      <x:c r="AF2767" s="145"/>
      <x:c r="AG2767" s="145"/>
      <x:c r="AH2767" s="145"/>
      <x:c r="AI2767" s="145"/>
      <x:c r="AJ2767"/>
    </x:row>
    <x:row r="2768">
      <x:c r="F2768" s="124"/>
      <x:c r="G2768" s="124"/>
      <x:c r="H2768" s="124"/>
      <x:c r="I2768" s="124"/>
      <x:c r="J2768" s="124"/>
      <x:c r="M2768" s="126"/>
      <x:c r="P2768" s="126"/>
      <x:c r="Q2768" s="126"/>
      <x:c r="R2768" s="126"/>
      <x:c r="S2768" s="124"/>
      <x:c r="T2768" s="124"/>
      <x:c r="U2768" s="124"/>
      <x:c r="V2768" s="124"/>
      <x:c r="W2768" s="124"/>
      <x:c r="X2768" s="124"/>
      <x:c r="AD2768"/>
      <x:c r="AE2768" s="145"/>
      <x:c r="AF2768" s="145"/>
      <x:c r="AG2768" s="145"/>
      <x:c r="AH2768" s="145"/>
      <x:c r="AI2768" s="145"/>
      <x:c r="AJ2768"/>
    </x:row>
    <x:row r="2769">
      <x:c r="F2769" s="124"/>
      <x:c r="G2769" s="124"/>
      <x:c r="H2769" s="124"/>
      <x:c r="I2769" s="124"/>
      <x:c r="J2769" s="124"/>
      <x:c r="M2769" s="126"/>
      <x:c r="P2769" s="126"/>
      <x:c r="Q2769" s="126"/>
      <x:c r="R2769" s="126"/>
      <x:c r="S2769" s="124"/>
      <x:c r="T2769" s="124"/>
      <x:c r="U2769" s="124"/>
      <x:c r="V2769" s="124"/>
      <x:c r="W2769" s="124"/>
      <x:c r="X2769" s="124"/>
      <x:c r="AD2769"/>
      <x:c r="AE2769" s="145"/>
      <x:c r="AF2769" s="145"/>
      <x:c r="AG2769" s="145"/>
      <x:c r="AH2769" s="145"/>
      <x:c r="AI2769" s="145"/>
      <x:c r="AJ2769"/>
    </x:row>
    <x:row r="2770">
      <x:c r="F2770" s="124"/>
      <x:c r="G2770" s="124"/>
      <x:c r="H2770" s="124"/>
      <x:c r="I2770" s="124"/>
      <x:c r="J2770" s="124"/>
      <x:c r="M2770" s="126"/>
      <x:c r="P2770" s="126"/>
      <x:c r="Q2770" s="126"/>
      <x:c r="R2770" s="126"/>
      <x:c r="S2770" s="124"/>
      <x:c r="T2770" s="124"/>
      <x:c r="U2770" s="124"/>
      <x:c r="V2770" s="124"/>
      <x:c r="W2770" s="124"/>
      <x:c r="X2770" s="124"/>
      <x:c r="AD2770"/>
      <x:c r="AE2770" s="145"/>
      <x:c r="AF2770" s="145"/>
      <x:c r="AG2770" s="145"/>
      <x:c r="AH2770" s="145"/>
      <x:c r="AI2770" s="145"/>
      <x:c r="AJ2770"/>
    </x:row>
    <x:row r="2771">
      <x:c r="F2771" s="124"/>
      <x:c r="G2771" s="124"/>
      <x:c r="H2771" s="124"/>
      <x:c r="I2771" s="124"/>
      <x:c r="J2771" s="124"/>
      <x:c r="M2771" s="126"/>
      <x:c r="P2771" s="126"/>
      <x:c r="Q2771" s="126"/>
      <x:c r="R2771" s="126"/>
      <x:c r="S2771" s="124"/>
      <x:c r="T2771" s="124"/>
      <x:c r="U2771" s="124"/>
      <x:c r="V2771" s="124"/>
      <x:c r="W2771" s="124"/>
      <x:c r="X2771" s="124"/>
      <x:c r="AD2771"/>
      <x:c r="AE2771" s="145"/>
      <x:c r="AF2771" s="145"/>
      <x:c r="AG2771" s="145"/>
      <x:c r="AH2771" s="145"/>
      <x:c r="AI2771" s="145"/>
      <x:c r="AJ2771"/>
    </x:row>
    <x:row r="2772">
      <x:c r="F2772" s="124"/>
      <x:c r="G2772" s="124"/>
      <x:c r="H2772" s="124"/>
      <x:c r="I2772" s="124"/>
      <x:c r="J2772" s="124"/>
      <x:c r="M2772" s="126"/>
      <x:c r="P2772" s="126"/>
      <x:c r="Q2772" s="126"/>
      <x:c r="R2772" s="126"/>
      <x:c r="S2772" s="124"/>
      <x:c r="T2772" s="124"/>
      <x:c r="U2772" s="124"/>
      <x:c r="V2772" s="124"/>
      <x:c r="W2772" s="124"/>
      <x:c r="X2772" s="124"/>
      <x:c r="AD2772"/>
      <x:c r="AE2772" s="145"/>
      <x:c r="AF2772" s="145"/>
      <x:c r="AG2772" s="145"/>
      <x:c r="AH2772" s="145"/>
      <x:c r="AI2772" s="145"/>
      <x:c r="AJ2772"/>
    </x:row>
    <x:row r="2773">
      <x:c r="F2773" s="124"/>
      <x:c r="G2773" s="124"/>
      <x:c r="H2773" s="124"/>
      <x:c r="I2773" s="124"/>
      <x:c r="J2773" s="124"/>
      <x:c r="M2773" s="126"/>
      <x:c r="P2773" s="126"/>
      <x:c r="Q2773" s="126"/>
      <x:c r="R2773" s="126"/>
      <x:c r="S2773" s="124"/>
      <x:c r="T2773" s="124"/>
      <x:c r="U2773" s="124"/>
      <x:c r="V2773" s="124"/>
      <x:c r="W2773" s="124"/>
      <x:c r="X2773" s="124"/>
      <x:c r="AD2773"/>
      <x:c r="AE2773" s="145"/>
      <x:c r="AF2773" s="145"/>
      <x:c r="AG2773" s="145"/>
      <x:c r="AH2773" s="145"/>
      <x:c r="AI2773" s="145"/>
      <x:c r="AJ2773"/>
    </x:row>
    <x:row r="2774">
      <x:c r="F2774" s="124"/>
      <x:c r="G2774" s="124"/>
      <x:c r="H2774" s="124"/>
      <x:c r="I2774" s="124"/>
      <x:c r="J2774" s="124"/>
      <x:c r="M2774" s="126"/>
      <x:c r="P2774" s="126"/>
      <x:c r="Q2774" s="126"/>
      <x:c r="R2774" s="126"/>
      <x:c r="S2774" s="124"/>
      <x:c r="T2774" s="124"/>
      <x:c r="U2774" s="124"/>
      <x:c r="V2774" s="124"/>
      <x:c r="W2774" s="124"/>
      <x:c r="X2774" s="124"/>
      <x:c r="AD2774"/>
      <x:c r="AE2774" s="145"/>
      <x:c r="AF2774" s="145"/>
      <x:c r="AG2774" s="145"/>
      <x:c r="AH2774" s="145"/>
      <x:c r="AI2774" s="145"/>
      <x:c r="AJ2774"/>
    </x:row>
    <x:row r="2775">
      <x:c r="F2775" s="124"/>
      <x:c r="G2775" s="124"/>
      <x:c r="H2775" s="124"/>
      <x:c r="I2775" s="124"/>
      <x:c r="J2775" s="124"/>
      <x:c r="M2775" s="126"/>
      <x:c r="P2775" s="126"/>
      <x:c r="Q2775" s="126"/>
      <x:c r="R2775" s="126"/>
      <x:c r="S2775" s="124"/>
      <x:c r="T2775" s="124"/>
      <x:c r="U2775" s="124"/>
      <x:c r="V2775" s="124"/>
      <x:c r="W2775" s="124"/>
      <x:c r="X2775" s="124"/>
      <x:c r="AD2775"/>
      <x:c r="AE2775" s="145"/>
      <x:c r="AF2775" s="145"/>
      <x:c r="AG2775" s="145"/>
      <x:c r="AH2775" s="145"/>
      <x:c r="AI2775" s="145"/>
      <x:c r="AJ2775"/>
    </x:row>
    <x:row r="2776">
      <x:c r="F2776" s="124"/>
      <x:c r="G2776" s="124"/>
      <x:c r="H2776" s="124"/>
      <x:c r="I2776" s="124"/>
      <x:c r="J2776" s="124"/>
      <x:c r="M2776" s="126"/>
      <x:c r="P2776" s="126"/>
      <x:c r="Q2776" s="126"/>
      <x:c r="R2776" s="126"/>
      <x:c r="S2776" s="124"/>
      <x:c r="T2776" s="124"/>
      <x:c r="U2776" s="124"/>
      <x:c r="V2776" s="124"/>
      <x:c r="W2776" s="124"/>
      <x:c r="X2776" s="124"/>
      <x:c r="AD2776"/>
      <x:c r="AE2776" s="145"/>
      <x:c r="AF2776" s="145"/>
      <x:c r="AG2776" s="145"/>
      <x:c r="AH2776" s="145"/>
      <x:c r="AI2776" s="145"/>
      <x:c r="AJ2776"/>
    </x:row>
    <x:row r="2777">
      <x:c r="F2777" s="124"/>
      <x:c r="G2777" s="124"/>
      <x:c r="H2777" s="124"/>
      <x:c r="I2777" s="124"/>
      <x:c r="J2777" s="124"/>
      <x:c r="M2777" s="126"/>
      <x:c r="P2777" s="126"/>
      <x:c r="Q2777" s="126"/>
      <x:c r="R2777" s="126"/>
      <x:c r="S2777" s="124"/>
      <x:c r="T2777" s="124"/>
      <x:c r="U2777" s="124"/>
      <x:c r="V2777" s="124"/>
      <x:c r="W2777" s="124"/>
      <x:c r="X2777" s="124"/>
      <x:c r="AD2777"/>
      <x:c r="AE2777" s="145"/>
      <x:c r="AF2777" s="145"/>
      <x:c r="AG2777" s="145"/>
      <x:c r="AH2777" s="145"/>
      <x:c r="AI2777" s="145"/>
      <x:c r="AJ2777"/>
    </x:row>
    <x:row r="2778">
      <x:c r="F2778" s="124"/>
      <x:c r="G2778" s="124"/>
      <x:c r="H2778" s="124"/>
      <x:c r="I2778" s="124"/>
      <x:c r="J2778" s="124"/>
      <x:c r="M2778" s="126"/>
      <x:c r="P2778" s="126"/>
      <x:c r="Q2778" s="126"/>
      <x:c r="R2778" s="126"/>
      <x:c r="S2778" s="124"/>
      <x:c r="T2778" s="124"/>
      <x:c r="U2778" s="124"/>
      <x:c r="V2778" s="124"/>
      <x:c r="W2778" s="124"/>
      <x:c r="X2778" s="124"/>
      <x:c r="AD2778"/>
      <x:c r="AE2778" s="145"/>
      <x:c r="AF2778" s="145"/>
      <x:c r="AG2778" s="145"/>
      <x:c r="AH2778" s="145"/>
      <x:c r="AI2778" s="145"/>
      <x:c r="AJ2778"/>
    </x:row>
    <x:row r="2779">
      <x:c r="F2779" s="124"/>
      <x:c r="G2779" s="124"/>
      <x:c r="H2779" s="124"/>
      <x:c r="I2779" s="124"/>
      <x:c r="J2779" s="124"/>
      <x:c r="M2779" s="126"/>
      <x:c r="P2779" s="126"/>
      <x:c r="Q2779" s="126"/>
      <x:c r="R2779" s="126"/>
      <x:c r="S2779" s="124"/>
      <x:c r="T2779" s="124"/>
      <x:c r="U2779" s="124"/>
      <x:c r="V2779" s="124"/>
      <x:c r="W2779" s="124"/>
      <x:c r="X2779" s="124"/>
      <x:c r="AD2779"/>
      <x:c r="AE2779" s="145"/>
      <x:c r="AF2779" s="145"/>
      <x:c r="AG2779" s="145"/>
      <x:c r="AH2779" s="145"/>
      <x:c r="AI2779" s="145"/>
      <x:c r="AJ2779"/>
    </x:row>
    <x:row r="2780">
      <x:c r="F2780" s="124"/>
      <x:c r="G2780" s="124"/>
      <x:c r="H2780" s="124"/>
      <x:c r="I2780" s="124"/>
      <x:c r="J2780" s="124"/>
      <x:c r="M2780" s="126"/>
      <x:c r="P2780" s="126"/>
      <x:c r="Q2780" s="126"/>
      <x:c r="R2780" s="126"/>
      <x:c r="S2780" s="124"/>
      <x:c r="T2780" s="124"/>
      <x:c r="U2780" s="124"/>
      <x:c r="V2780" s="124"/>
      <x:c r="W2780" s="124"/>
      <x:c r="X2780" s="124"/>
      <x:c r="AD2780"/>
      <x:c r="AE2780" s="145"/>
      <x:c r="AF2780" s="145"/>
      <x:c r="AG2780" s="145"/>
      <x:c r="AH2780" s="145"/>
      <x:c r="AI2780" s="145"/>
      <x:c r="AJ2780"/>
    </x:row>
    <x:row r="2781">
      <x:c r="F2781" s="124"/>
      <x:c r="G2781" s="124"/>
      <x:c r="H2781" s="124"/>
      <x:c r="I2781" s="124"/>
      <x:c r="J2781" s="124"/>
      <x:c r="M2781" s="126"/>
      <x:c r="P2781" s="126"/>
      <x:c r="Q2781" s="126"/>
      <x:c r="R2781" s="126"/>
      <x:c r="S2781" s="124"/>
      <x:c r="T2781" s="124"/>
      <x:c r="U2781" s="124"/>
      <x:c r="V2781" s="124"/>
      <x:c r="W2781" s="124"/>
      <x:c r="X2781" s="124"/>
      <x:c r="AD2781"/>
      <x:c r="AE2781" s="145"/>
      <x:c r="AF2781" s="145"/>
      <x:c r="AG2781" s="145"/>
      <x:c r="AH2781" s="145"/>
      <x:c r="AI2781" s="145"/>
      <x:c r="AJ2781"/>
    </x:row>
    <x:row r="2782">
      <x:c r="F2782" s="124"/>
      <x:c r="G2782" s="124"/>
      <x:c r="H2782" s="124"/>
      <x:c r="I2782" s="124"/>
      <x:c r="J2782" s="124"/>
      <x:c r="M2782" s="126"/>
      <x:c r="P2782" s="126"/>
      <x:c r="Q2782" s="126"/>
      <x:c r="R2782" s="126"/>
      <x:c r="S2782" s="124"/>
      <x:c r="T2782" s="124"/>
      <x:c r="U2782" s="124"/>
      <x:c r="V2782" s="124"/>
      <x:c r="W2782" s="124"/>
      <x:c r="X2782" s="124"/>
      <x:c r="AD2782"/>
      <x:c r="AE2782" s="145"/>
      <x:c r="AF2782" s="145"/>
      <x:c r="AG2782" s="145"/>
      <x:c r="AH2782" s="145"/>
      <x:c r="AI2782" s="145"/>
      <x:c r="AJ2782"/>
    </x:row>
    <x:row r="2783">
      <x:c r="F2783" s="124"/>
      <x:c r="G2783" s="124"/>
      <x:c r="H2783" s="124"/>
      <x:c r="I2783" s="124"/>
      <x:c r="J2783" s="124"/>
      <x:c r="M2783" s="126"/>
      <x:c r="P2783" s="126"/>
      <x:c r="Q2783" s="126"/>
      <x:c r="R2783" s="126"/>
      <x:c r="S2783" s="124"/>
      <x:c r="T2783" s="124"/>
      <x:c r="U2783" s="124"/>
      <x:c r="V2783" s="124"/>
      <x:c r="W2783" s="124"/>
      <x:c r="X2783" s="124"/>
      <x:c r="AD2783"/>
      <x:c r="AE2783" s="145"/>
      <x:c r="AF2783" s="145"/>
      <x:c r="AG2783" s="145"/>
      <x:c r="AH2783" s="145"/>
      <x:c r="AI2783" s="145"/>
      <x:c r="AJ2783"/>
    </x:row>
    <x:row r="2784">
      <x:c r="F2784" s="124"/>
      <x:c r="G2784" s="124"/>
      <x:c r="H2784" s="124"/>
      <x:c r="I2784" s="124"/>
      <x:c r="J2784" s="124"/>
      <x:c r="M2784" s="126"/>
      <x:c r="P2784" s="126"/>
      <x:c r="Q2784" s="126"/>
      <x:c r="R2784" s="126"/>
      <x:c r="S2784" s="124"/>
      <x:c r="T2784" s="124"/>
      <x:c r="U2784" s="124"/>
      <x:c r="V2784" s="124"/>
      <x:c r="W2784" s="124"/>
      <x:c r="X2784" s="124"/>
      <x:c r="AD2784"/>
      <x:c r="AE2784" s="145"/>
      <x:c r="AF2784" s="145"/>
      <x:c r="AG2784" s="145"/>
      <x:c r="AH2784" s="145"/>
      <x:c r="AI2784" s="145"/>
      <x:c r="AJ2784"/>
    </x:row>
    <x:row r="2785">
      <x:c r="F2785" s="124"/>
      <x:c r="G2785" s="124"/>
      <x:c r="H2785" s="124"/>
      <x:c r="I2785" s="124"/>
      <x:c r="J2785" s="124"/>
      <x:c r="M2785" s="126"/>
      <x:c r="P2785" s="126"/>
      <x:c r="Q2785" s="126"/>
      <x:c r="R2785" s="126"/>
      <x:c r="S2785" s="124"/>
      <x:c r="T2785" s="124"/>
      <x:c r="U2785" s="124"/>
      <x:c r="V2785" s="124"/>
      <x:c r="W2785" s="124"/>
      <x:c r="X2785" s="124"/>
      <x:c r="AD2785"/>
      <x:c r="AE2785" s="145"/>
      <x:c r="AF2785" s="145"/>
      <x:c r="AG2785" s="145"/>
      <x:c r="AH2785" s="145"/>
      <x:c r="AI2785" s="145"/>
      <x:c r="AJ2785"/>
    </x:row>
    <x:row r="2786">
      <x:c r="F2786" s="124"/>
      <x:c r="G2786" s="124"/>
      <x:c r="H2786" s="124"/>
      <x:c r="I2786" s="124"/>
      <x:c r="J2786" s="124"/>
      <x:c r="M2786" s="126"/>
      <x:c r="P2786" s="126"/>
      <x:c r="Q2786" s="126"/>
      <x:c r="R2786" s="126"/>
      <x:c r="S2786" s="124"/>
      <x:c r="T2786" s="124"/>
      <x:c r="U2786" s="124"/>
      <x:c r="V2786" s="124"/>
      <x:c r="W2786" s="124"/>
      <x:c r="X2786" s="124"/>
      <x:c r="AD2786"/>
      <x:c r="AE2786" s="145"/>
      <x:c r="AF2786" s="145"/>
      <x:c r="AG2786" s="145"/>
      <x:c r="AH2786" s="145"/>
      <x:c r="AI2786" s="145"/>
      <x:c r="AJ2786"/>
    </x:row>
    <x:row r="2787">
      <x:c r="F2787" s="124"/>
      <x:c r="G2787" s="124"/>
      <x:c r="H2787" s="124"/>
      <x:c r="I2787" s="124"/>
      <x:c r="J2787" s="124"/>
      <x:c r="M2787" s="126"/>
      <x:c r="P2787" s="126"/>
      <x:c r="Q2787" s="126"/>
      <x:c r="R2787" s="126"/>
      <x:c r="S2787" s="124"/>
      <x:c r="T2787" s="124"/>
      <x:c r="U2787" s="124"/>
      <x:c r="V2787" s="124"/>
      <x:c r="W2787" s="124"/>
      <x:c r="X2787" s="124"/>
      <x:c r="AD2787"/>
      <x:c r="AE2787" s="145"/>
      <x:c r="AF2787" s="145"/>
      <x:c r="AG2787" s="145"/>
      <x:c r="AH2787" s="145"/>
      <x:c r="AI2787" s="145"/>
      <x:c r="AJ2787"/>
    </x:row>
    <x:row r="2788">
      <x:c r="F2788" s="124"/>
      <x:c r="G2788" s="124"/>
      <x:c r="H2788" s="124"/>
      <x:c r="I2788" s="124"/>
      <x:c r="J2788" s="124"/>
      <x:c r="M2788" s="126"/>
      <x:c r="P2788" s="126"/>
      <x:c r="Q2788" s="126"/>
      <x:c r="R2788" s="126"/>
      <x:c r="S2788" s="124"/>
      <x:c r="T2788" s="124"/>
      <x:c r="U2788" s="124"/>
      <x:c r="V2788" s="124"/>
      <x:c r="W2788" s="124"/>
      <x:c r="X2788" s="124"/>
      <x:c r="AD2788"/>
      <x:c r="AE2788" s="145"/>
      <x:c r="AF2788" s="145"/>
      <x:c r="AG2788" s="145"/>
      <x:c r="AH2788" s="145"/>
      <x:c r="AI2788" s="145"/>
      <x:c r="AJ2788"/>
    </x:row>
    <x:row r="2789">
      <x:c r="F2789" s="124"/>
      <x:c r="G2789" s="124"/>
      <x:c r="H2789" s="124"/>
      <x:c r="I2789" s="124"/>
      <x:c r="J2789" s="124"/>
      <x:c r="M2789" s="126"/>
      <x:c r="P2789" s="126"/>
      <x:c r="Q2789" s="126"/>
      <x:c r="R2789" s="126"/>
      <x:c r="S2789" s="124"/>
      <x:c r="T2789" s="124"/>
      <x:c r="U2789" s="124"/>
      <x:c r="V2789" s="124"/>
      <x:c r="W2789" s="124"/>
      <x:c r="X2789" s="124"/>
      <x:c r="AD2789"/>
      <x:c r="AE2789" s="145"/>
      <x:c r="AF2789" s="145"/>
      <x:c r="AG2789" s="145"/>
      <x:c r="AH2789" s="145"/>
      <x:c r="AI2789" s="145"/>
      <x:c r="AJ2789"/>
    </x:row>
    <x:row r="2790">
      <x:c r="F2790" s="124"/>
      <x:c r="G2790" s="124"/>
      <x:c r="H2790" s="124"/>
      <x:c r="I2790" s="124"/>
      <x:c r="J2790" s="124"/>
      <x:c r="M2790" s="126"/>
      <x:c r="P2790" s="126"/>
      <x:c r="Q2790" s="126"/>
      <x:c r="R2790" s="126"/>
      <x:c r="S2790" s="124"/>
      <x:c r="T2790" s="124"/>
      <x:c r="U2790" s="124"/>
      <x:c r="V2790" s="124"/>
      <x:c r="W2790" s="124"/>
      <x:c r="X2790" s="124"/>
      <x:c r="AD2790"/>
      <x:c r="AE2790" s="145"/>
      <x:c r="AF2790" s="145"/>
      <x:c r="AG2790" s="145"/>
      <x:c r="AH2790" s="145"/>
      <x:c r="AI2790" s="145"/>
      <x:c r="AJ2790"/>
    </x:row>
    <x:row r="2791">
      <x:c r="F2791" s="124"/>
      <x:c r="G2791" s="124"/>
      <x:c r="H2791" s="124"/>
      <x:c r="I2791" s="124"/>
      <x:c r="J2791" s="124"/>
      <x:c r="M2791" s="126"/>
      <x:c r="P2791" s="126"/>
      <x:c r="Q2791" s="126"/>
      <x:c r="R2791" s="126"/>
      <x:c r="S2791" s="124"/>
      <x:c r="T2791" s="124"/>
      <x:c r="U2791" s="124"/>
      <x:c r="V2791" s="124"/>
      <x:c r="W2791" s="124"/>
      <x:c r="X2791" s="124"/>
      <x:c r="AD2791"/>
      <x:c r="AE2791" s="145"/>
      <x:c r="AF2791" s="145"/>
      <x:c r="AG2791" s="145"/>
      <x:c r="AH2791" s="145"/>
      <x:c r="AI2791" s="145"/>
      <x:c r="AJ2791"/>
    </x:row>
    <x:row r="2792">
      <x:c r="F2792" s="124"/>
      <x:c r="G2792" s="124"/>
      <x:c r="H2792" s="124"/>
      <x:c r="I2792" s="124"/>
      <x:c r="J2792" s="124"/>
      <x:c r="M2792" s="126"/>
      <x:c r="P2792" s="126"/>
      <x:c r="Q2792" s="126"/>
      <x:c r="R2792" s="126"/>
      <x:c r="S2792" s="124"/>
      <x:c r="T2792" s="124"/>
      <x:c r="U2792" s="124"/>
      <x:c r="V2792" s="124"/>
      <x:c r="W2792" s="124"/>
      <x:c r="X2792" s="124"/>
      <x:c r="AD2792"/>
      <x:c r="AE2792" s="145"/>
      <x:c r="AF2792" s="145"/>
      <x:c r="AG2792" s="145"/>
      <x:c r="AH2792" s="145"/>
      <x:c r="AI2792" s="145"/>
      <x:c r="AJ2792"/>
    </x:row>
    <x:row r="2793">
      <x:c r="F2793" s="124"/>
      <x:c r="G2793" s="124"/>
      <x:c r="H2793" s="124"/>
      <x:c r="I2793" s="124"/>
      <x:c r="J2793" s="124"/>
      <x:c r="M2793" s="126"/>
      <x:c r="P2793" s="126"/>
      <x:c r="Q2793" s="126"/>
      <x:c r="R2793" s="126"/>
      <x:c r="S2793" s="124"/>
      <x:c r="T2793" s="124"/>
      <x:c r="U2793" s="124"/>
      <x:c r="V2793" s="124"/>
      <x:c r="W2793" s="124"/>
      <x:c r="X2793" s="124"/>
      <x:c r="AD2793"/>
      <x:c r="AE2793" s="145"/>
      <x:c r="AF2793" s="145"/>
      <x:c r="AG2793" s="145"/>
      <x:c r="AH2793" s="145"/>
      <x:c r="AI2793" s="145"/>
      <x:c r="AJ2793"/>
    </x:row>
    <x:row r="2794">
      <x:c r="F2794" s="124"/>
      <x:c r="G2794" s="124"/>
      <x:c r="H2794" s="124"/>
      <x:c r="I2794" s="124"/>
      <x:c r="J2794" s="124"/>
      <x:c r="M2794" s="126"/>
      <x:c r="P2794" s="126"/>
      <x:c r="Q2794" s="126"/>
      <x:c r="R2794" s="126"/>
      <x:c r="S2794" s="124"/>
      <x:c r="T2794" s="124"/>
      <x:c r="U2794" s="124"/>
      <x:c r="V2794" s="124"/>
      <x:c r="W2794" s="124"/>
      <x:c r="X2794" s="124"/>
      <x:c r="AD2794"/>
      <x:c r="AE2794" s="145"/>
      <x:c r="AF2794" s="145"/>
      <x:c r="AG2794" s="145"/>
      <x:c r="AH2794" s="145"/>
      <x:c r="AI2794" s="145"/>
      <x:c r="AJ2794"/>
    </x:row>
    <x:row r="2795">
      <x:c r="F2795" s="124"/>
      <x:c r="G2795" s="124"/>
      <x:c r="H2795" s="124"/>
      <x:c r="I2795" s="124"/>
      <x:c r="J2795" s="124"/>
      <x:c r="M2795" s="126"/>
      <x:c r="P2795" s="126"/>
      <x:c r="Q2795" s="126"/>
      <x:c r="R2795" s="126"/>
      <x:c r="S2795" s="124"/>
      <x:c r="T2795" s="124"/>
      <x:c r="U2795" s="124"/>
      <x:c r="V2795" s="124"/>
      <x:c r="W2795" s="124"/>
      <x:c r="X2795" s="124"/>
      <x:c r="AD2795"/>
      <x:c r="AE2795" s="145"/>
      <x:c r="AF2795" s="145"/>
      <x:c r="AG2795" s="145"/>
      <x:c r="AH2795" s="145"/>
      <x:c r="AI2795" s="145"/>
      <x:c r="AJ2795"/>
    </x:row>
    <x:row r="2796">
      <x:c r="F2796" s="124"/>
      <x:c r="G2796" s="124"/>
      <x:c r="H2796" s="124"/>
      <x:c r="I2796" s="124"/>
      <x:c r="J2796" s="124"/>
      <x:c r="M2796" s="126"/>
      <x:c r="P2796" s="126"/>
      <x:c r="Q2796" s="126"/>
      <x:c r="R2796" s="126"/>
      <x:c r="S2796" s="124"/>
      <x:c r="T2796" s="124"/>
      <x:c r="U2796" s="124"/>
      <x:c r="V2796" s="124"/>
      <x:c r="W2796" s="124"/>
      <x:c r="X2796" s="124"/>
      <x:c r="AD2796"/>
      <x:c r="AE2796" s="145"/>
      <x:c r="AF2796" s="145"/>
      <x:c r="AG2796" s="145"/>
      <x:c r="AH2796" s="145"/>
      <x:c r="AI2796" s="145"/>
      <x:c r="AJ2796"/>
    </x:row>
    <x:row r="2797">
      <x:c r="F2797" s="124"/>
      <x:c r="G2797" s="124"/>
      <x:c r="H2797" s="124"/>
      <x:c r="I2797" s="124"/>
      <x:c r="J2797" s="124"/>
      <x:c r="M2797" s="126"/>
      <x:c r="P2797" s="126"/>
      <x:c r="Q2797" s="126"/>
      <x:c r="R2797" s="126"/>
      <x:c r="S2797" s="124"/>
      <x:c r="T2797" s="124"/>
      <x:c r="U2797" s="124"/>
      <x:c r="V2797" s="124"/>
      <x:c r="W2797" s="124"/>
      <x:c r="X2797" s="124"/>
      <x:c r="AD2797"/>
      <x:c r="AE2797" s="145"/>
      <x:c r="AF2797" s="145"/>
      <x:c r="AG2797" s="145"/>
      <x:c r="AH2797" s="145"/>
      <x:c r="AI2797" s="145"/>
      <x:c r="AJ2797"/>
    </x:row>
    <x:row r="2798">
      <x:c r="F2798" s="124"/>
      <x:c r="G2798" s="124"/>
      <x:c r="H2798" s="124"/>
      <x:c r="I2798" s="124"/>
      <x:c r="J2798" s="124"/>
      <x:c r="M2798" s="126"/>
      <x:c r="P2798" s="126"/>
      <x:c r="Q2798" s="126"/>
      <x:c r="R2798" s="126"/>
      <x:c r="S2798" s="124"/>
      <x:c r="T2798" s="124"/>
      <x:c r="U2798" s="124"/>
      <x:c r="V2798" s="124"/>
      <x:c r="W2798" s="124"/>
      <x:c r="X2798" s="124"/>
      <x:c r="AD2798"/>
      <x:c r="AE2798" s="145"/>
      <x:c r="AF2798" s="145"/>
      <x:c r="AG2798" s="145"/>
      <x:c r="AH2798" s="145"/>
      <x:c r="AI2798" s="145"/>
      <x:c r="AJ2798"/>
    </x:row>
    <x:row r="2799">
      <x:c r="F2799" s="124"/>
      <x:c r="G2799" s="124"/>
      <x:c r="H2799" s="124"/>
      <x:c r="I2799" s="124"/>
      <x:c r="J2799" s="124"/>
      <x:c r="M2799" s="126"/>
      <x:c r="P2799" s="126"/>
      <x:c r="Q2799" s="126"/>
      <x:c r="R2799" s="126"/>
      <x:c r="S2799" s="124"/>
      <x:c r="T2799" s="124"/>
      <x:c r="U2799" s="124"/>
      <x:c r="V2799" s="124"/>
      <x:c r="W2799" s="124"/>
      <x:c r="X2799" s="124"/>
      <x:c r="AD2799"/>
      <x:c r="AE2799" s="145"/>
      <x:c r="AF2799" s="145"/>
      <x:c r="AG2799" s="145"/>
      <x:c r="AH2799" s="145"/>
      <x:c r="AI2799" s="145"/>
      <x:c r="AJ2799"/>
    </x:row>
    <x:row r="2800">
      <x:c r="F2800" s="124"/>
      <x:c r="G2800" s="124"/>
      <x:c r="H2800" s="124"/>
      <x:c r="I2800" s="124"/>
      <x:c r="J2800" s="124"/>
      <x:c r="M2800" s="126"/>
      <x:c r="P2800" s="126"/>
      <x:c r="Q2800" s="126"/>
      <x:c r="R2800" s="126"/>
      <x:c r="S2800" s="124"/>
      <x:c r="T2800" s="124"/>
      <x:c r="U2800" s="124"/>
      <x:c r="V2800" s="124"/>
      <x:c r="W2800" s="124"/>
      <x:c r="X2800" s="124"/>
      <x:c r="AD2800"/>
      <x:c r="AE2800" s="145"/>
      <x:c r="AF2800" s="145"/>
      <x:c r="AG2800" s="145"/>
      <x:c r="AH2800" s="145"/>
      <x:c r="AI2800" s="145"/>
      <x:c r="AJ2800"/>
    </x:row>
    <x:row r="2801">
      <x:c r="F2801" s="124"/>
      <x:c r="G2801" s="124"/>
      <x:c r="H2801" s="124"/>
      <x:c r="I2801" s="124"/>
      <x:c r="J2801" s="124"/>
      <x:c r="M2801" s="126"/>
      <x:c r="P2801" s="126"/>
      <x:c r="Q2801" s="126"/>
      <x:c r="R2801" s="126"/>
      <x:c r="S2801" s="124"/>
      <x:c r="T2801" s="124"/>
      <x:c r="U2801" s="124"/>
      <x:c r="V2801" s="124"/>
      <x:c r="W2801" s="124"/>
      <x:c r="X2801" s="124"/>
      <x:c r="AD2801"/>
      <x:c r="AE2801" s="145"/>
      <x:c r="AF2801" s="145"/>
      <x:c r="AG2801" s="145"/>
      <x:c r="AH2801" s="145"/>
      <x:c r="AI2801" s="145"/>
      <x:c r="AJ2801"/>
    </x:row>
    <x:row r="2802">
      <x:c r="F2802" s="124"/>
      <x:c r="G2802" s="124"/>
      <x:c r="H2802" s="124"/>
      <x:c r="I2802" s="124"/>
      <x:c r="J2802" s="124"/>
      <x:c r="M2802" s="126"/>
      <x:c r="P2802" s="126"/>
      <x:c r="Q2802" s="126"/>
      <x:c r="R2802" s="126"/>
      <x:c r="S2802" s="124"/>
      <x:c r="T2802" s="124"/>
      <x:c r="U2802" s="124"/>
      <x:c r="V2802" s="124"/>
      <x:c r="W2802" s="124"/>
      <x:c r="X2802" s="124"/>
      <x:c r="AD2802"/>
      <x:c r="AE2802" s="145"/>
      <x:c r="AF2802" s="145"/>
      <x:c r="AG2802" s="145"/>
      <x:c r="AH2802" s="145"/>
      <x:c r="AI2802" s="145"/>
      <x:c r="AJ2802"/>
    </x:row>
    <x:row r="2803">
      <x:c r="F2803" s="124"/>
      <x:c r="G2803" s="124"/>
      <x:c r="H2803" s="124"/>
      <x:c r="I2803" s="124"/>
      <x:c r="J2803" s="124"/>
      <x:c r="M2803" s="126"/>
      <x:c r="P2803" s="126"/>
      <x:c r="Q2803" s="126"/>
      <x:c r="R2803" s="126"/>
      <x:c r="S2803" s="124"/>
      <x:c r="T2803" s="124"/>
      <x:c r="U2803" s="124"/>
      <x:c r="V2803" s="124"/>
      <x:c r="W2803" s="124"/>
      <x:c r="X2803" s="124"/>
      <x:c r="AD2803"/>
      <x:c r="AE2803" s="145"/>
      <x:c r="AF2803" s="145"/>
      <x:c r="AG2803" s="145"/>
      <x:c r="AH2803" s="145"/>
      <x:c r="AI2803" s="145"/>
      <x:c r="AJ2803"/>
    </x:row>
    <x:row r="2804">
      <x:c r="F2804" s="124"/>
      <x:c r="G2804" s="124"/>
      <x:c r="H2804" s="124"/>
      <x:c r="I2804" s="124"/>
      <x:c r="J2804" s="124"/>
      <x:c r="M2804" s="126"/>
      <x:c r="P2804" s="126"/>
      <x:c r="Q2804" s="126"/>
      <x:c r="R2804" s="126"/>
      <x:c r="S2804" s="124"/>
      <x:c r="T2804" s="124"/>
      <x:c r="U2804" s="124"/>
      <x:c r="V2804" s="124"/>
      <x:c r="W2804" s="124"/>
      <x:c r="X2804" s="124"/>
      <x:c r="AD2804"/>
      <x:c r="AE2804" s="145"/>
      <x:c r="AF2804" s="145"/>
      <x:c r="AG2804" s="145"/>
      <x:c r="AH2804" s="145"/>
      <x:c r="AI2804" s="145"/>
      <x:c r="AJ2804"/>
    </x:row>
    <x:row r="2805">
      <x:c r="F2805" s="124"/>
      <x:c r="G2805" s="124"/>
      <x:c r="H2805" s="124"/>
      <x:c r="I2805" s="124"/>
      <x:c r="J2805" s="124"/>
      <x:c r="M2805" s="126"/>
      <x:c r="P2805" s="126"/>
      <x:c r="Q2805" s="126"/>
      <x:c r="R2805" s="126"/>
      <x:c r="S2805" s="124"/>
      <x:c r="T2805" s="124"/>
      <x:c r="U2805" s="124"/>
      <x:c r="V2805" s="124"/>
      <x:c r="W2805" s="124"/>
      <x:c r="X2805" s="124"/>
      <x:c r="AD2805"/>
      <x:c r="AE2805" s="145"/>
      <x:c r="AF2805" s="145"/>
      <x:c r="AG2805" s="145"/>
      <x:c r="AH2805" s="145"/>
      <x:c r="AI2805" s="145"/>
      <x:c r="AJ2805"/>
    </x:row>
    <x:row r="2806">
      <x:c r="F2806" s="124"/>
      <x:c r="G2806" s="124"/>
      <x:c r="H2806" s="124"/>
      <x:c r="I2806" s="124"/>
      <x:c r="J2806" s="124"/>
      <x:c r="M2806" s="126"/>
      <x:c r="P2806" s="126"/>
      <x:c r="Q2806" s="126"/>
      <x:c r="R2806" s="126"/>
      <x:c r="S2806" s="124"/>
      <x:c r="T2806" s="124"/>
      <x:c r="U2806" s="124"/>
      <x:c r="V2806" s="124"/>
      <x:c r="W2806" s="124"/>
      <x:c r="X2806" s="124"/>
      <x:c r="AD2806"/>
      <x:c r="AE2806" s="145"/>
      <x:c r="AF2806" s="145"/>
      <x:c r="AG2806" s="145"/>
      <x:c r="AH2806" s="145"/>
      <x:c r="AI2806" s="145"/>
      <x:c r="AJ2806"/>
    </x:row>
    <x:row r="2807">
      <x:c r="F2807" s="124"/>
      <x:c r="G2807" s="124"/>
      <x:c r="H2807" s="124"/>
      <x:c r="I2807" s="124"/>
      <x:c r="J2807" s="124"/>
      <x:c r="M2807" s="126"/>
      <x:c r="P2807" s="126"/>
      <x:c r="Q2807" s="126"/>
      <x:c r="R2807" s="126"/>
      <x:c r="S2807" s="124"/>
      <x:c r="T2807" s="124"/>
      <x:c r="U2807" s="124"/>
      <x:c r="V2807" s="124"/>
      <x:c r="W2807" s="124"/>
      <x:c r="X2807" s="124"/>
      <x:c r="AD2807"/>
      <x:c r="AE2807" s="145"/>
      <x:c r="AF2807" s="145"/>
      <x:c r="AG2807" s="145"/>
      <x:c r="AH2807" s="145"/>
      <x:c r="AI2807" s="145"/>
      <x:c r="AJ2807"/>
    </x:row>
    <x:row r="2808">
      <x:c r="F2808" s="124"/>
      <x:c r="G2808" s="124"/>
      <x:c r="H2808" s="124"/>
      <x:c r="I2808" s="124"/>
      <x:c r="J2808" s="124"/>
      <x:c r="M2808" s="126"/>
      <x:c r="P2808" s="126"/>
      <x:c r="Q2808" s="126"/>
      <x:c r="R2808" s="126"/>
      <x:c r="S2808" s="124"/>
      <x:c r="T2808" s="124"/>
      <x:c r="U2808" s="124"/>
      <x:c r="V2808" s="124"/>
      <x:c r="W2808" s="124"/>
      <x:c r="X2808" s="124"/>
      <x:c r="AD2808"/>
      <x:c r="AE2808" s="145"/>
      <x:c r="AF2808" s="145"/>
      <x:c r="AG2808" s="145"/>
      <x:c r="AH2808" s="145"/>
      <x:c r="AI2808" s="145"/>
      <x:c r="AJ2808"/>
    </x:row>
    <x:row r="2809">
      <x:c r="F2809" s="124"/>
      <x:c r="G2809" s="124"/>
      <x:c r="H2809" s="124"/>
      <x:c r="I2809" s="124"/>
      <x:c r="J2809" s="124"/>
      <x:c r="M2809" s="126"/>
      <x:c r="P2809" s="126"/>
      <x:c r="Q2809" s="126"/>
      <x:c r="R2809" s="126"/>
      <x:c r="S2809" s="124"/>
      <x:c r="T2809" s="124"/>
      <x:c r="U2809" s="124"/>
      <x:c r="V2809" s="124"/>
      <x:c r="W2809" s="124"/>
      <x:c r="X2809" s="124"/>
      <x:c r="AD2809"/>
      <x:c r="AE2809" s="145"/>
      <x:c r="AF2809" s="145"/>
      <x:c r="AG2809" s="145"/>
      <x:c r="AH2809" s="145"/>
      <x:c r="AI2809" s="145"/>
      <x:c r="AJ2809"/>
    </x:row>
    <x:row r="2810">
      <x:c r="F2810" s="124"/>
      <x:c r="G2810" s="124"/>
      <x:c r="H2810" s="124"/>
      <x:c r="I2810" s="124"/>
      <x:c r="J2810" s="124"/>
      <x:c r="M2810" s="126"/>
      <x:c r="P2810" s="126"/>
      <x:c r="Q2810" s="126"/>
      <x:c r="R2810" s="126"/>
      <x:c r="S2810" s="124"/>
      <x:c r="T2810" s="124"/>
      <x:c r="U2810" s="124"/>
      <x:c r="V2810" s="124"/>
      <x:c r="W2810" s="124"/>
      <x:c r="X2810" s="124"/>
      <x:c r="AD2810"/>
      <x:c r="AE2810" s="145"/>
      <x:c r="AF2810" s="145"/>
      <x:c r="AG2810" s="145"/>
      <x:c r="AH2810" s="145"/>
      <x:c r="AI2810" s="145"/>
      <x:c r="AJ2810"/>
    </x:row>
    <x:row r="2811">
      <x:c r="F2811" s="124"/>
      <x:c r="G2811" s="124"/>
      <x:c r="H2811" s="124"/>
      <x:c r="I2811" s="124"/>
      <x:c r="J2811" s="124"/>
      <x:c r="M2811" s="126"/>
      <x:c r="P2811" s="126"/>
      <x:c r="Q2811" s="126"/>
      <x:c r="R2811" s="126"/>
      <x:c r="S2811" s="124"/>
      <x:c r="T2811" s="124"/>
      <x:c r="U2811" s="124"/>
      <x:c r="V2811" s="124"/>
      <x:c r="W2811" s="124"/>
      <x:c r="X2811" s="124"/>
      <x:c r="AD2811"/>
      <x:c r="AE2811" s="145"/>
      <x:c r="AF2811" s="145"/>
      <x:c r="AG2811" s="145"/>
      <x:c r="AH2811" s="145"/>
      <x:c r="AI2811" s="145"/>
      <x:c r="AJ2811"/>
    </x:row>
    <x:row r="2812">
      <x:c r="F2812" s="124"/>
      <x:c r="G2812" s="124"/>
      <x:c r="H2812" s="124"/>
      <x:c r="I2812" s="124"/>
      <x:c r="J2812" s="124"/>
      <x:c r="M2812" s="126"/>
      <x:c r="P2812" s="126"/>
      <x:c r="Q2812" s="126"/>
      <x:c r="R2812" s="126"/>
      <x:c r="S2812" s="124"/>
      <x:c r="T2812" s="124"/>
      <x:c r="U2812" s="124"/>
      <x:c r="V2812" s="124"/>
      <x:c r="W2812" s="124"/>
      <x:c r="X2812" s="124"/>
      <x:c r="AD2812"/>
      <x:c r="AE2812" s="145"/>
      <x:c r="AF2812" s="145"/>
      <x:c r="AG2812" s="145"/>
      <x:c r="AH2812" s="145"/>
      <x:c r="AI2812" s="145"/>
      <x:c r="AJ2812"/>
    </x:row>
    <x:row r="2813">
      <x:c r="F2813" s="124"/>
      <x:c r="G2813" s="124"/>
      <x:c r="H2813" s="124"/>
      <x:c r="I2813" s="124"/>
      <x:c r="J2813" s="124"/>
      <x:c r="M2813" s="126"/>
      <x:c r="P2813" s="126"/>
      <x:c r="Q2813" s="126"/>
      <x:c r="R2813" s="126"/>
      <x:c r="S2813" s="124"/>
      <x:c r="T2813" s="124"/>
      <x:c r="U2813" s="124"/>
      <x:c r="V2813" s="124"/>
      <x:c r="W2813" s="124"/>
      <x:c r="X2813" s="124"/>
      <x:c r="AD2813"/>
      <x:c r="AE2813" s="145"/>
      <x:c r="AF2813" s="145"/>
      <x:c r="AG2813" s="145"/>
      <x:c r="AH2813" s="145"/>
      <x:c r="AI2813" s="145"/>
      <x:c r="AJ2813"/>
    </x:row>
    <x:row r="2814">
      <x:c r="F2814" s="124"/>
      <x:c r="G2814" s="124"/>
      <x:c r="H2814" s="124"/>
      <x:c r="I2814" s="124"/>
      <x:c r="J2814" s="124"/>
      <x:c r="M2814" s="126"/>
      <x:c r="P2814" s="126"/>
      <x:c r="Q2814" s="126"/>
      <x:c r="R2814" s="126"/>
      <x:c r="S2814" s="124"/>
      <x:c r="T2814" s="124"/>
      <x:c r="U2814" s="124"/>
      <x:c r="V2814" s="124"/>
      <x:c r="W2814" s="124"/>
      <x:c r="X2814" s="124"/>
      <x:c r="AD2814"/>
      <x:c r="AE2814" s="145"/>
      <x:c r="AF2814" s="145"/>
      <x:c r="AG2814" s="145"/>
      <x:c r="AH2814" s="145"/>
      <x:c r="AI2814" s="145"/>
      <x:c r="AJ2814"/>
    </x:row>
    <x:row r="2815">
      <x:c r="F2815" s="124"/>
      <x:c r="G2815" s="124"/>
      <x:c r="H2815" s="124"/>
      <x:c r="I2815" s="124"/>
      <x:c r="J2815" s="124"/>
      <x:c r="M2815" s="126"/>
      <x:c r="P2815" s="126"/>
      <x:c r="Q2815" s="126"/>
      <x:c r="R2815" s="126"/>
      <x:c r="S2815" s="124"/>
      <x:c r="T2815" s="124"/>
      <x:c r="U2815" s="124"/>
      <x:c r="V2815" s="124"/>
      <x:c r="W2815" s="124"/>
      <x:c r="X2815" s="124"/>
      <x:c r="AD2815"/>
      <x:c r="AE2815" s="145"/>
      <x:c r="AF2815" s="145"/>
      <x:c r="AG2815" s="145"/>
      <x:c r="AH2815" s="145"/>
      <x:c r="AI2815" s="145"/>
      <x:c r="AJ2815"/>
    </x:row>
    <x:row r="2816">
      <x:c r="F2816" s="124"/>
      <x:c r="G2816" s="124"/>
      <x:c r="H2816" s="124"/>
      <x:c r="I2816" s="124"/>
      <x:c r="J2816" s="124"/>
      <x:c r="M2816" s="126"/>
      <x:c r="P2816" s="126"/>
      <x:c r="Q2816" s="126"/>
      <x:c r="R2816" s="126"/>
      <x:c r="S2816" s="124"/>
      <x:c r="T2816" s="124"/>
      <x:c r="U2816" s="124"/>
      <x:c r="V2816" s="124"/>
      <x:c r="W2816" s="124"/>
      <x:c r="X2816" s="124"/>
      <x:c r="AD2816"/>
      <x:c r="AE2816" s="145"/>
      <x:c r="AF2816" s="145"/>
      <x:c r="AG2816" s="145"/>
      <x:c r="AH2816" s="145"/>
      <x:c r="AI2816" s="145"/>
      <x:c r="AJ2816"/>
    </x:row>
    <x:row r="2817">
      <x:c r="F2817" s="124"/>
      <x:c r="G2817" s="124"/>
      <x:c r="H2817" s="124"/>
      <x:c r="I2817" s="124"/>
      <x:c r="J2817" s="124"/>
      <x:c r="M2817" s="126"/>
      <x:c r="P2817" s="126"/>
      <x:c r="Q2817" s="126"/>
      <x:c r="R2817" s="126"/>
      <x:c r="S2817" s="124"/>
      <x:c r="T2817" s="124"/>
      <x:c r="U2817" s="124"/>
      <x:c r="V2817" s="124"/>
      <x:c r="W2817" s="124"/>
      <x:c r="X2817" s="124"/>
      <x:c r="AD2817"/>
      <x:c r="AE2817" s="145"/>
      <x:c r="AF2817" s="145"/>
      <x:c r="AG2817" s="145"/>
      <x:c r="AH2817" s="145"/>
      <x:c r="AI2817" s="145"/>
      <x:c r="AJ2817"/>
    </x:row>
    <x:row r="2818">
      <x:c r="F2818" s="124"/>
      <x:c r="G2818" s="124"/>
      <x:c r="H2818" s="124"/>
      <x:c r="I2818" s="124"/>
      <x:c r="J2818" s="124"/>
      <x:c r="M2818" s="126"/>
      <x:c r="P2818" s="126"/>
      <x:c r="Q2818" s="126"/>
      <x:c r="R2818" s="126"/>
      <x:c r="S2818" s="124"/>
      <x:c r="T2818" s="124"/>
      <x:c r="U2818" s="124"/>
      <x:c r="V2818" s="124"/>
      <x:c r="W2818" s="124"/>
      <x:c r="X2818" s="124"/>
      <x:c r="AD2818"/>
      <x:c r="AE2818" s="145"/>
      <x:c r="AF2818" s="145"/>
      <x:c r="AG2818" s="145"/>
      <x:c r="AH2818" s="145"/>
      <x:c r="AI2818" s="145"/>
      <x:c r="AJ2818"/>
    </x:row>
    <x:row r="2819">
      <x:c r="F2819" s="124"/>
      <x:c r="G2819" s="124"/>
      <x:c r="H2819" s="124"/>
      <x:c r="I2819" s="124"/>
      <x:c r="J2819" s="124"/>
      <x:c r="M2819" s="126"/>
      <x:c r="P2819" s="126"/>
      <x:c r="Q2819" s="126"/>
      <x:c r="R2819" s="126"/>
      <x:c r="S2819" s="124"/>
      <x:c r="T2819" s="124"/>
      <x:c r="U2819" s="124"/>
      <x:c r="V2819" s="124"/>
      <x:c r="W2819" s="124"/>
      <x:c r="X2819" s="124"/>
      <x:c r="AD2819"/>
      <x:c r="AE2819" s="145"/>
      <x:c r="AF2819" s="145"/>
      <x:c r="AG2819" s="145"/>
      <x:c r="AH2819" s="145"/>
      <x:c r="AI2819" s="145"/>
      <x:c r="AJ2819"/>
    </x:row>
    <x:row r="2820">
      <x:c r="F2820" s="124"/>
      <x:c r="G2820" s="124"/>
      <x:c r="H2820" s="124"/>
      <x:c r="I2820" s="124"/>
      <x:c r="J2820" s="124"/>
      <x:c r="M2820" s="126"/>
      <x:c r="P2820" s="126"/>
      <x:c r="Q2820" s="126"/>
      <x:c r="R2820" s="126"/>
      <x:c r="S2820" s="124"/>
      <x:c r="T2820" s="124"/>
      <x:c r="U2820" s="124"/>
      <x:c r="V2820" s="124"/>
      <x:c r="W2820" s="124"/>
      <x:c r="X2820" s="124"/>
      <x:c r="AD2820"/>
      <x:c r="AE2820" s="145"/>
      <x:c r="AF2820" s="145"/>
      <x:c r="AG2820" s="145"/>
      <x:c r="AH2820" s="145"/>
      <x:c r="AI2820" s="145"/>
      <x:c r="AJ2820"/>
    </x:row>
    <x:row r="2821">
      <x:c r="F2821" s="124"/>
      <x:c r="G2821" s="124"/>
      <x:c r="H2821" s="124"/>
      <x:c r="I2821" s="124"/>
      <x:c r="J2821" s="124"/>
      <x:c r="M2821" s="126"/>
      <x:c r="P2821" s="126"/>
      <x:c r="Q2821" s="126"/>
      <x:c r="R2821" s="126"/>
      <x:c r="S2821" s="124"/>
      <x:c r="T2821" s="124"/>
      <x:c r="U2821" s="124"/>
      <x:c r="V2821" s="124"/>
      <x:c r="W2821" s="124"/>
      <x:c r="X2821" s="124"/>
      <x:c r="AD2821"/>
      <x:c r="AE2821" s="145"/>
      <x:c r="AF2821" s="145"/>
      <x:c r="AG2821" s="145"/>
      <x:c r="AH2821" s="145"/>
      <x:c r="AI2821" s="145"/>
      <x:c r="AJ2821"/>
    </x:row>
    <x:row r="2822">
      <x:c r="F2822" s="124"/>
      <x:c r="G2822" s="124"/>
      <x:c r="H2822" s="124"/>
      <x:c r="I2822" s="124"/>
      <x:c r="J2822" s="124"/>
      <x:c r="M2822" s="126"/>
      <x:c r="P2822" s="126"/>
      <x:c r="Q2822" s="126"/>
      <x:c r="R2822" s="126"/>
      <x:c r="S2822" s="124"/>
      <x:c r="T2822" s="124"/>
      <x:c r="U2822" s="124"/>
      <x:c r="V2822" s="124"/>
      <x:c r="W2822" s="124"/>
      <x:c r="X2822" s="124"/>
      <x:c r="AD2822"/>
      <x:c r="AE2822" s="145"/>
      <x:c r="AF2822" s="145"/>
      <x:c r="AG2822" s="145"/>
      <x:c r="AH2822" s="145"/>
      <x:c r="AI2822" s="145"/>
      <x:c r="AJ2822"/>
    </x:row>
    <x:row r="2823">
      <x:c r="F2823" s="124"/>
      <x:c r="G2823" s="124"/>
      <x:c r="H2823" s="124"/>
      <x:c r="I2823" s="124"/>
      <x:c r="J2823" s="124"/>
      <x:c r="M2823" s="126"/>
      <x:c r="P2823" s="126"/>
      <x:c r="Q2823" s="126"/>
      <x:c r="R2823" s="126"/>
      <x:c r="S2823" s="124"/>
      <x:c r="T2823" s="124"/>
      <x:c r="U2823" s="124"/>
      <x:c r="V2823" s="124"/>
      <x:c r="W2823" s="124"/>
      <x:c r="X2823" s="124"/>
      <x:c r="AD2823"/>
      <x:c r="AE2823" s="145"/>
      <x:c r="AF2823" s="145"/>
      <x:c r="AG2823" s="145"/>
      <x:c r="AH2823" s="145"/>
      <x:c r="AI2823" s="145"/>
      <x:c r="AJ2823"/>
    </x:row>
    <x:row r="2824">
      <x:c r="F2824" s="124"/>
      <x:c r="G2824" s="124"/>
      <x:c r="H2824" s="124"/>
      <x:c r="I2824" s="124"/>
      <x:c r="J2824" s="124"/>
      <x:c r="M2824" s="126"/>
      <x:c r="P2824" s="126"/>
      <x:c r="Q2824" s="126"/>
      <x:c r="R2824" s="126"/>
      <x:c r="S2824" s="124"/>
      <x:c r="T2824" s="124"/>
      <x:c r="U2824" s="124"/>
      <x:c r="V2824" s="124"/>
      <x:c r="W2824" s="124"/>
      <x:c r="X2824" s="124"/>
      <x:c r="AD2824"/>
      <x:c r="AE2824" s="145"/>
      <x:c r="AF2824" s="145"/>
      <x:c r="AG2824" s="145"/>
      <x:c r="AH2824" s="145"/>
      <x:c r="AI2824" s="145"/>
      <x:c r="AJ2824"/>
    </x:row>
    <x:row r="2825">
      <x:c r="F2825" s="124"/>
      <x:c r="G2825" s="124"/>
      <x:c r="H2825" s="124"/>
      <x:c r="I2825" s="124"/>
      <x:c r="J2825" s="124"/>
      <x:c r="M2825" s="126"/>
      <x:c r="P2825" s="126"/>
      <x:c r="Q2825" s="126"/>
      <x:c r="R2825" s="126"/>
      <x:c r="S2825" s="124"/>
      <x:c r="T2825" s="124"/>
      <x:c r="U2825" s="124"/>
      <x:c r="V2825" s="124"/>
      <x:c r="W2825" s="124"/>
      <x:c r="X2825" s="124"/>
      <x:c r="AD2825"/>
      <x:c r="AE2825" s="145"/>
      <x:c r="AF2825" s="145"/>
      <x:c r="AG2825" s="145"/>
      <x:c r="AH2825" s="145"/>
      <x:c r="AI2825" s="145"/>
      <x:c r="AJ2825"/>
    </x:row>
    <x:row r="2826">
      <x:c r="F2826" s="124"/>
      <x:c r="G2826" s="124"/>
      <x:c r="H2826" s="124"/>
      <x:c r="I2826" s="124"/>
      <x:c r="J2826" s="124"/>
      <x:c r="M2826" s="126"/>
      <x:c r="P2826" s="126"/>
      <x:c r="Q2826" s="126"/>
      <x:c r="R2826" s="126"/>
      <x:c r="S2826" s="124"/>
      <x:c r="T2826" s="124"/>
      <x:c r="U2826" s="124"/>
      <x:c r="V2826" s="124"/>
      <x:c r="W2826" s="124"/>
      <x:c r="X2826" s="124"/>
      <x:c r="AD2826"/>
      <x:c r="AE2826" s="145"/>
      <x:c r="AF2826" s="145"/>
      <x:c r="AG2826" s="145"/>
      <x:c r="AH2826" s="145"/>
      <x:c r="AI2826" s="145"/>
      <x:c r="AJ2826"/>
    </x:row>
    <x:row r="2827">
      <x:c r="F2827" s="124"/>
      <x:c r="G2827" s="124"/>
      <x:c r="H2827" s="124"/>
      <x:c r="I2827" s="124"/>
      <x:c r="J2827" s="124"/>
      <x:c r="M2827" s="126"/>
      <x:c r="P2827" s="126"/>
      <x:c r="Q2827" s="126"/>
      <x:c r="R2827" s="126"/>
      <x:c r="S2827" s="124"/>
      <x:c r="T2827" s="124"/>
      <x:c r="U2827" s="124"/>
      <x:c r="V2827" s="124"/>
      <x:c r="W2827" s="124"/>
      <x:c r="X2827" s="124"/>
      <x:c r="AD2827"/>
      <x:c r="AE2827" s="145"/>
      <x:c r="AF2827" s="145"/>
      <x:c r="AG2827" s="145"/>
      <x:c r="AH2827" s="145"/>
      <x:c r="AI2827" s="145"/>
      <x:c r="AJ2827"/>
    </x:row>
    <x:row r="2828">
      <x:c r="F2828" s="124"/>
      <x:c r="G2828" s="124"/>
      <x:c r="H2828" s="124"/>
      <x:c r="I2828" s="124"/>
      <x:c r="J2828" s="124"/>
      <x:c r="M2828" s="126"/>
      <x:c r="P2828" s="126"/>
      <x:c r="Q2828" s="126"/>
      <x:c r="R2828" s="126"/>
      <x:c r="S2828" s="124"/>
      <x:c r="T2828" s="124"/>
      <x:c r="U2828" s="124"/>
      <x:c r="V2828" s="124"/>
      <x:c r="W2828" s="124"/>
      <x:c r="X2828" s="124"/>
      <x:c r="AD2828"/>
      <x:c r="AE2828" s="145"/>
      <x:c r="AF2828" s="145"/>
      <x:c r="AG2828" s="145"/>
      <x:c r="AH2828" s="145"/>
      <x:c r="AI2828" s="145"/>
      <x:c r="AJ2828"/>
    </x:row>
    <x:row r="2829">
      <x:c r="F2829" s="124"/>
      <x:c r="G2829" s="124"/>
      <x:c r="H2829" s="124"/>
      <x:c r="I2829" s="124"/>
      <x:c r="J2829" s="124"/>
      <x:c r="M2829" s="126"/>
      <x:c r="P2829" s="126"/>
      <x:c r="Q2829" s="126"/>
      <x:c r="R2829" s="126"/>
      <x:c r="S2829" s="124"/>
      <x:c r="T2829" s="124"/>
      <x:c r="U2829" s="124"/>
      <x:c r="V2829" s="124"/>
      <x:c r="W2829" s="124"/>
      <x:c r="X2829" s="124"/>
      <x:c r="AD2829"/>
      <x:c r="AE2829" s="145"/>
      <x:c r="AF2829" s="145"/>
      <x:c r="AG2829" s="145"/>
      <x:c r="AH2829" s="145"/>
      <x:c r="AI2829" s="145"/>
      <x:c r="AJ2829"/>
    </x:row>
    <x:row r="2830">
      <x:c r="F2830" s="124"/>
      <x:c r="G2830" s="124"/>
      <x:c r="H2830" s="124"/>
      <x:c r="I2830" s="124"/>
      <x:c r="J2830" s="124"/>
      <x:c r="M2830" s="126"/>
      <x:c r="P2830" s="126"/>
      <x:c r="Q2830" s="126"/>
      <x:c r="R2830" s="126"/>
      <x:c r="S2830" s="124"/>
      <x:c r="T2830" s="124"/>
      <x:c r="U2830" s="124"/>
      <x:c r="V2830" s="124"/>
      <x:c r="W2830" s="124"/>
      <x:c r="X2830" s="124"/>
      <x:c r="AD2830"/>
      <x:c r="AE2830" s="145"/>
      <x:c r="AF2830" s="145"/>
      <x:c r="AG2830" s="145"/>
      <x:c r="AH2830" s="145"/>
      <x:c r="AI2830" s="145"/>
      <x:c r="AJ2830"/>
    </x:row>
    <x:row r="2831">
      <x:c r="F2831" s="124"/>
      <x:c r="G2831" s="124"/>
      <x:c r="H2831" s="124"/>
      <x:c r="I2831" s="124"/>
      <x:c r="J2831" s="124"/>
      <x:c r="M2831" s="126"/>
      <x:c r="P2831" s="126"/>
      <x:c r="Q2831" s="126"/>
      <x:c r="R2831" s="126"/>
      <x:c r="S2831" s="124"/>
      <x:c r="T2831" s="124"/>
      <x:c r="U2831" s="124"/>
      <x:c r="V2831" s="124"/>
      <x:c r="W2831" s="124"/>
      <x:c r="X2831" s="124"/>
      <x:c r="AD2831"/>
      <x:c r="AE2831" s="145"/>
      <x:c r="AF2831" s="145"/>
      <x:c r="AG2831" s="145"/>
      <x:c r="AH2831" s="145"/>
      <x:c r="AI2831" s="145"/>
      <x:c r="AJ2831"/>
    </x:row>
    <x:row r="2832">
      <x:c r="F2832" s="124"/>
      <x:c r="G2832" s="124"/>
      <x:c r="H2832" s="124"/>
      <x:c r="I2832" s="124"/>
      <x:c r="J2832" s="124"/>
      <x:c r="M2832" s="126"/>
      <x:c r="P2832" s="126"/>
      <x:c r="Q2832" s="126"/>
      <x:c r="R2832" s="126"/>
      <x:c r="S2832" s="124"/>
      <x:c r="T2832" s="124"/>
      <x:c r="U2832" s="124"/>
      <x:c r="V2832" s="124"/>
      <x:c r="W2832" s="124"/>
      <x:c r="X2832" s="124"/>
      <x:c r="AD2832"/>
      <x:c r="AE2832" s="145"/>
      <x:c r="AF2832" s="145"/>
      <x:c r="AG2832" s="145"/>
      <x:c r="AH2832" s="145"/>
      <x:c r="AI2832" s="145"/>
      <x:c r="AJ2832"/>
    </x:row>
    <x:row r="2833">
      <x:c r="F2833" s="124"/>
      <x:c r="G2833" s="124"/>
      <x:c r="H2833" s="124"/>
      <x:c r="I2833" s="124"/>
      <x:c r="J2833" s="124"/>
      <x:c r="M2833" s="126"/>
      <x:c r="P2833" s="126"/>
      <x:c r="Q2833" s="126"/>
      <x:c r="R2833" s="126"/>
      <x:c r="S2833" s="124"/>
      <x:c r="T2833" s="124"/>
      <x:c r="U2833" s="124"/>
      <x:c r="V2833" s="124"/>
      <x:c r="W2833" s="124"/>
      <x:c r="X2833" s="124"/>
      <x:c r="AD2833"/>
      <x:c r="AE2833" s="145"/>
      <x:c r="AF2833" s="145"/>
      <x:c r="AG2833" s="145"/>
      <x:c r="AH2833" s="145"/>
      <x:c r="AI2833" s="145"/>
      <x:c r="AJ2833"/>
    </x:row>
    <x:row r="2834">
      <x:c r="F2834" s="124"/>
      <x:c r="G2834" s="124"/>
      <x:c r="H2834" s="124"/>
      <x:c r="I2834" s="124"/>
      <x:c r="J2834" s="124"/>
      <x:c r="M2834" s="126"/>
      <x:c r="P2834" s="126"/>
      <x:c r="Q2834" s="126"/>
      <x:c r="R2834" s="126"/>
      <x:c r="S2834" s="124"/>
      <x:c r="T2834" s="124"/>
      <x:c r="U2834" s="124"/>
      <x:c r="V2834" s="124"/>
      <x:c r="W2834" s="124"/>
      <x:c r="X2834" s="124"/>
      <x:c r="AD2834"/>
      <x:c r="AE2834" s="145"/>
      <x:c r="AF2834" s="145"/>
      <x:c r="AG2834" s="145"/>
      <x:c r="AH2834" s="145"/>
      <x:c r="AI2834" s="145"/>
      <x:c r="AJ2834"/>
    </x:row>
    <x:row r="2835">
      <x:c r="F2835" s="124"/>
      <x:c r="G2835" s="124"/>
      <x:c r="H2835" s="124"/>
      <x:c r="I2835" s="124"/>
      <x:c r="J2835" s="124"/>
      <x:c r="M2835" s="126"/>
      <x:c r="P2835" s="126"/>
      <x:c r="Q2835" s="126"/>
      <x:c r="R2835" s="126"/>
      <x:c r="S2835" s="124"/>
      <x:c r="T2835" s="124"/>
      <x:c r="U2835" s="124"/>
      <x:c r="V2835" s="124"/>
      <x:c r="W2835" s="124"/>
      <x:c r="X2835" s="124"/>
      <x:c r="AD2835"/>
      <x:c r="AE2835" s="145"/>
      <x:c r="AF2835" s="145"/>
      <x:c r="AG2835" s="145"/>
      <x:c r="AH2835" s="145"/>
      <x:c r="AI2835" s="145"/>
      <x:c r="AJ2835"/>
    </x:row>
    <x:row r="2836">
      <x:c r="F2836" s="124"/>
      <x:c r="G2836" s="124"/>
      <x:c r="H2836" s="124"/>
      <x:c r="I2836" s="124"/>
      <x:c r="J2836" s="124"/>
      <x:c r="M2836" s="126"/>
      <x:c r="P2836" s="126"/>
      <x:c r="Q2836" s="126"/>
      <x:c r="R2836" s="126"/>
      <x:c r="S2836" s="124"/>
      <x:c r="T2836" s="124"/>
      <x:c r="U2836" s="124"/>
      <x:c r="V2836" s="124"/>
      <x:c r="W2836" s="124"/>
      <x:c r="X2836" s="124"/>
      <x:c r="AD2836"/>
      <x:c r="AE2836" s="145"/>
      <x:c r="AF2836" s="145"/>
      <x:c r="AG2836" s="145"/>
      <x:c r="AH2836" s="145"/>
      <x:c r="AI2836" s="145"/>
      <x:c r="AJ2836"/>
    </x:row>
    <x:row r="2837">
      <x:c r="F2837" s="124"/>
      <x:c r="G2837" s="124"/>
      <x:c r="H2837" s="124"/>
      <x:c r="I2837" s="124"/>
      <x:c r="J2837" s="124"/>
      <x:c r="M2837" s="126"/>
      <x:c r="P2837" s="126"/>
      <x:c r="Q2837" s="126"/>
      <x:c r="R2837" s="126"/>
      <x:c r="S2837" s="124"/>
      <x:c r="T2837" s="124"/>
      <x:c r="U2837" s="124"/>
      <x:c r="V2837" s="124"/>
      <x:c r="W2837" s="124"/>
      <x:c r="X2837" s="124"/>
      <x:c r="AD2837"/>
      <x:c r="AE2837" s="145"/>
      <x:c r="AF2837" s="145"/>
      <x:c r="AG2837" s="145"/>
      <x:c r="AH2837" s="145"/>
      <x:c r="AI2837" s="145"/>
      <x:c r="AJ2837"/>
    </x:row>
    <x:row r="2838">
      <x:c r="F2838" s="124"/>
      <x:c r="G2838" s="124"/>
      <x:c r="H2838" s="124"/>
      <x:c r="I2838" s="124"/>
      <x:c r="J2838" s="124"/>
      <x:c r="M2838" s="126"/>
      <x:c r="P2838" s="126"/>
      <x:c r="Q2838" s="126"/>
      <x:c r="R2838" s="126"/>
      <x:c r="S2838" s="124"/>
      <x:c r="T2838" s="124"/>
      <x:c r="U2838" s="124"/>
      <x:c r="V2838" s="124"/>
      <x:c r="W2838" s="124"/>
      <x:c r="X2838" s="124"/>
      <x:c r="AD2838"/>
      <x:c r="AE2838" s="145"/>
      <x:c r="AF2838" s="145"/>
      <x:c r="AG2838" s="145"/>
      <x:c r="AH2838" s="145"/>
      <x:c r="AI2838" s="145"/>
      <x:c r="AJ2838"/>
    </x:row>
    <x:row r="2839">
      <x:c r="F2839" s="124"/>
      <x:c r="G2839" s="124"/>
      <x:c r="H2839" s="124"/>
      <x:c r="I2839" s="124"/>
      <x:c r="J2839" s="124"/>
      <x:c r="M2839" s="126"/>
      <x:c r="P2839" s="126"/>
      <x:c r="Q2839" s="126"/>
      <x:c r="R2839" s="126"/>
      <x:c r="S2839" s="124"/>
      <x:c r="T2839" s="124"/>
      <x:c r="U2839" s="124"/>
      <x:c r="V2839" s="124"/>
      <x:c r="W2839" s="124"/>
      <x:c r="X2839" s="124"/>
      <x:c r="AD2839"/>
      <x:c r="AE2839" s="145"/>
      <x:c r="AF2839" s="145"/>
      <x:c r="AG2839" s="145"/>
      <x:c r="AH2839" s="145"/>
      <x:c r="AI2839" s="145"/>
      <x:c r="AJ2839"/>
    </x:row>
    <x:row r="2840">
      <x:c r="F2840" s="124"/>
      <x:c r="G2840" s="124"/>
      <x:c r="H2840" s="124"/>
      <x:c r="I2840" s="124"/>
      <x:c r="J2840" s="124"/>
      <x:c r="M2840" s="126"/>
      <x:c r="P2840" s="126"/>
      <x:c r="Q2840" s="126"/>
      <x:c r="R2840" s="126"/>
      <x:c r="S2840" s="124"/>
      <x:c r="T2840" s="124"/>
      <x:c r="U2840" s="124"/>
      <x:c r="V2840" s="124"/>
      <x:c r="W2840" s="124"/>
      <x:c r="X2840" s="124"/>
      <x:c r="AD2840"/>
      <x:c r="AE2840" s="145"/>
      <x:c r="AF2840" s="145"/>
      <x:c r="AG2840" s="145"/>
      <x:c r="AH2840" s="145"/>
      <x:c r="AI2840" s="145"/>
      <x:c r="AJ2840"/>
    </x:row>
    <x:row r="2841">
      <x:c r="F2841" s="124"/>
      <x:c r="G2841" s="124"/>
      <x:c r="H2841" s="124"/>
      <x:c r="I2841" s="124"/>
      <x:c r="J2841" s="124"/>
      <x:c r="M2841" s="126"/>
      <x:c r="P2841" s="126"/>
      <x:c r="Q2841" s="126"/>
      <x:c r="R2841" s="126"/>
      <x:c r="S2841" s="124"/>
      <x:c r="T2841" s="124"/>
      <x:c r="U2841" s="124"/>
      <x:c r="V2841" s="124"/>
      <x:c r="W2841" s="124"/>
      <x:c r="X2841" s="124"/>
      <x:c r="AD2841"/>
      <x:c r="AE2841" s="145"/>
      <x:c r="AF2841" s="145"/>
      <x:c r="AG2841" s="145"/>
      <x:c r="AH2841" s="145"/>
      <x:c r="AI2841" s="145"/>
      <x:c r="AJ2841"/>
    </x:row>
    <x:row r="2842">
      <x:c r="F2842" s="124"/>
      <x:c r="G2842" s="124"/>
      <x:c r="H2842" s="124"/>
      <x:c r="I2842" s="124"/>
      <x:c r="J2842" s="124"/>
      <x:c r="M2842" s="126"/>
      <x:c r="P2842" s="126"/>
      <x:c r="Q2842" s="126"/>
      <x:c r="R2842" s="126"/>
      <x:c r="S2842" s="124"/>
      <x:c r="T2842" s="124"/>
      <x:c r="U2842" s="124"/>
      <x:c r="V2842" s="124"/>
      <x:c r="W2842" s="124"/>
      <x:c r="X2842" s="124"/>
      <x:c r="AD2842"/>
      <x:c r="AE2842" s="145"/>
      <x:c r="AF2842" s="145"/>
      <x:c r="AG2842" s="145"/>
      <x:c r="AH2842" s="145"/>
      <x:c r="AI2842" s="145"/>
      <x:c r="AJ2842"/>
    </x:row>
    <x:row r="2843">
      <x:c r="F2843" s="124"/>
      <x:c r="G2843" s="124"/>
      <x:c r="H2843" s="124"/>
      <x:c r="I2843" s="124"/>
      <x:c r="J2843" s="124"/>
      <x:c r="M2843" s="126"/>
      <x:c r="P2843" s="126"/>
      <x:c r="Q2843" s="126"/>
      <x:c r="R2843" s="126"/>
      <x:c r="S2843" s="124"/>
      <x:c r="T2843" s="124"/>
      <x:c r="U2843" s="124"/>
      <x:c r="V2843" s="124"/>
      <x:c r="W2843" s="124"/>
      <x:c r="X2843" s="124"/>
      <x:c r="AD2843"/>
      <x:c r="AE2843" s="145"/>
      <x:c r="AF2843" s="145"/>
      <x:c r="AG2843" s="145"/>
      <x:c r="AH2843" s="145"/>
      <x:c r="AI2843" s="145"/>
      <x:c r="AJ2843"/>
    </x:row>
    <x:row r="2844">
      <x:c r="F2844" s="124"/>
      <x:c r="G2844" s="124"/>
      <x:c r="H2844" s="124"/>
      <x:c r="I2844" s="124"/>
      <x:c r="J2844" s="124"/>
      <x:c r="M2844" s="126"/>
      <x:c r="P2844" s="126"/>
      <x:c r="Q2844" s="126"/>
      <x:c r="R2844" s="126"/>
      <x:c r="S2844" s="124"/>
      <x:c r="T2844" s="124"/>
      <x:c r="U2844" s="124"/>
      <x:c r="V2844" s="124"/>
      <x:c r="W2844" s="124"/>
      <x:c r="X2844" s="124"/>
      <x:c r="AD2844"/>
      <x:c r="AE2844" s="145"/>
      <x:c r="AF2844" s="145"/>
      <x:c r="AG2844" s="145"/>
      <x:c r="AH2844" s="145"/>
      <x:c r="AI2844" s="145"/>
      <x:c r="AJ2844"/>
    </x:row>
    <x:row r="2845">
      <x:c r="F2845" s="124"/>
      <x:c r="G2845" s="124"/>
      <x:c r="H2845" s="124"/>
      <x:c r="I2845" s="124"/>
      <x:c r="J2845" s="124"/>
      <x:c r="M2845" s="126"/>
      <x:c r="P2845" s="126"/>
      <x:c r="Q2845" s="126"/>
      <x:c r="R2845" s="126"/>
      <x:c r="S2845" s="124"/>
      <x:c r="T2845" s="124"/>
      <x:c r="U2845" s="124"/>
      <x:c r="V2845" s="124"/>
      <x:c r="W2845" s="124"/>
      <x:c r="X2845" s="124"/>
      <x:c r="AD2845"/>
      <x:c r="AE2845" s="145"/>
      <x:c r="AF2845" s="145"/>
      <x:c r="AG2845" s="145"/>
      <x:c r="AH2845" s="145"/>
      <x:c r="AI2845" s="145"/>
      <x:c r="AJ2845"/>
    </x:row>
    <x:row r="2846">
      <x:c r="F2846" s="124"/>
      <x:c r="G2846" s="124"/>
      <x:c r="H2846" s="124"/>
      <x:c r="I2846" s="124"/>
      <x:c r="J2846" s="124"/>
      <x:c r="M2846" s="126"/>
      <x:c r="P2846" s="126"/>
      <x:c r="Q2846" s="126"/>
      <x:c r="R2846" s="126"/>
      <x:c r="S2846" s="124"/>
      <x:c r="T2846" s="124"/>
      <x:c r="U2846" s="124"/>
      <x:c r="V2846" s="124"/>
      <x:c r="W2846" s="124"/>
      <x:c r="X2846" s="124"/>
      <x:c r="AD2846"/>
      <x:c r="AE2846" s="145"/>
      <x:c r="AF2846" s="145"/>
      <x:c r="AG2846" s="145"/>
      <x:c r="AH2846" s="145"/>
      <x:c r="AI2846" s="145"/>
      <x:c r="AJ2846"/>
    </x:row>
    <x:row r="2847">
      <x:c r="F2847" s="124"/>
      <x:c r="G2847" s="124"/>
      <x:c r="H2847" s="124"/>
      <x:c r="I2847" s="124"/>
      <x:c r="J2847" s="124"/>
      <x:c r="M2847" s="126"/>
      <x:c r="P2847" s="126"/>
      <x:c r="Q2847" s="126"/>
      <x:c r="R2847" s="126"/>
      <x:c r="S2847" s="124"/>
      <x:c r="T2847" s="124"/>
      <x:c r="U2847" s="124"/>
      <x:c r="V2847" s="124"/>
      <x:c r="W2847" s="124"/>
      <x:c r="X2847" s="124"/>
      <x:c r="AD2847"/>
      <x:c r="AE2847" s="145"/>
      <x:c r="AF2847" s="145"/>
      <x:c r="AG2847" s="145"/>
      <x:c r="AH2847" s="145"/>
      <x:c r="AI2847" s="145"/>
      <x:c r="AJ2847"/>
    </x:row>
    <x:row r="2848">
      <x:c r="F2848" s="124"/>
      <x:c r="G2848" s="124"/>
      <x:c r="H2848" s="124"/>
      <x:c r="I2848" s="124"/>
      <x:c r="J2848" s="124"/>
      <x:c r="M2848" s="126"/>
      <x:c r="P2848" s="126"/>
      <x:c r="Q2848" s="126"/>
      <x:c r="R2848" s="126"/>
      <x:c r="S2848" s="124"/>
      <x:c r="T2848" s="124"/>
      <x:c r="U2848" s="124"/>
      <x:c r="V2848" s="124"/>
      <x:c r="W2848" s="124"/>
      <x:c r="X2848" s="124"/>
      <x:c r="AD2848"/>
      <x:c r="AE2848" s="145"/>
      <x:c r="AF2848" s="145"/>
      <x:c r="AG2848" s="145"/>
      <x:c r="AH2848" s="145"/>
      <x:c r="AI2848" s="145"/>
      <x:c r="AJ2848"/>
    </x:row>
    <x:row r="2849">
      <x:c r="F2849" s="124"/>
      <x:c r="G2849" s="124"/>
      <x:c r="H2849" s="124"/>
      <x:c r="I2849" s="124"/>
      <x:c r="J2849" s="124"/>
      <x:c r="M2849" s="126"/>
      <x:c r="P2849" s="126"/>
      <x:c r="Q2849" s="126"/>
      <x:c r="R2849" s="126"/>
      <x:c r="S2849" s="124"/>
      <x:c r="T2849" s="124"/>
      <x:c r="U2849" s="124"/>
      <x:c r="V2849" s="124"/>
      <x:c r="W2849" s="124"/>
      <x:c r="X2849" s="124"/>
      <x:c r="AD2849"/>
      <x:c r="AE2849" s="145"/>
      <x:c r="AF2849" s="145"/>
      <x:c r="AG2849" s="145"/>
      <x:c r="AH2849" s="145"/>
      <x:c r="AI2849" s="145"/>
      <x:c r="AJ2849"/>
    </x:row>
    <x:row r="2850">
      <x:c r="F2850" s="124"/>
      <x:c r="G2850" s="124"/>
      <x:c r="H2850" s="124"/>
      <x:c r="I2850" s="124"/>
      <x:c r="J2850" s="124"/>
      <x:c r="M2850" s="126"/>
      <x:c r="P2850" s="126"/>
      <x:c r="Q2850" s="126"/>
      <x:c r="R2850" s="126"/>
      <x:c r="S2850" s="124"/>
      <x:c r="T2850" s="124"/>
      <x:c r="U2850" s="124"/>
      <x:c r="V2850" s="124"/>
      <x:c r="W2850" s="124"/>
      <x:c r="X2850" s="124"/>
      <x:c r="AD2850"/>
      <x:c r="AE2850" s="145"/>
      <x:c r="AF2850" s="145"/>
      <x:c r="AG2850" s="145"/>
      <x:c r="AH2850" s="145"/>
      <x:c r="AI2850" s="145"/>
      <x:c r="AJ2850"/>
    </x:row>
    <x:row r="2851">
      <x:c r="F2851" s="124"/>
      <x:c r="G2851" s="124"/>
      <x:c r="H2851" s="124"/>
      <x:c r="I2851" s="124"/>
      <x:c r="J2851" s="124"/>
      <x:c r="M2851" s="126"/>
      <x:c r="P2851" s="126"/>
      <x:c r="Q2851" s="126"/>
      <x:c r="R2851" s="126"/>
      <x:c r="S2851" s="124"/>
      <x:c r="T2851" s="124"/>
      <x:c r="U2851" s="124"/>
      <x:c r="V2851" s="124"/>
      <x:c r="W2851" s="124"/>
      <x:c r="X2851" s="124"/>
      <x:c r="AD2851"/>
      <x:c r="AE2851" s="145"/>
      <x:c r="AF2851" s="145"/>
      <x:c r="AG2851" s="145"/>
      <x:c r="AH2851" s="145"/>
      <x:c r="AI2851" s="145"/>
      <x:c r="AJ2851"/>
    </x:row>
    <x:row r="2852">
      <x:c r="F2852" s="124"/>
      <x:c r="G2852" s="124"/>
      <x:c r="H2852" s="124"/>
      <x:c r="I2852" s="124"/>
      <x:c r="J2852" s="124"/>
      <x:c r="M2852" s="126"/>
      <x:c r="P2852" s="126"/>
      <x:c r="Q2852" s="126"/>
      <x:c r="R2852" s="126"/>
      <x:c r="S2852" s="124"/>
      <x:c r="T2852" s="124"/>
      <x:c r="U2852" s="124"/>
      <x:c r="V2852" s="124"/>
      <x:c r="W2852" s="124"/>
      <x:c r="X2852" s="124"/>
      <x:c r="AD2852"/>
      <x:c r="AE2852" s="145"/>
      <x:c r="AF2852" s="145"/>
      <x:c r="AG2852" s="145"/>
      <x:c r="AH2852" s="145"/>
      <x:c r="AI2852" s="145"/>
      <x:c r="AJ2852"/>
    </x:row>
    <x:row r="2853">
      <x:c r="F2853" s="124"/>
      <x:c r="G2853" s="124"/>
      <x:c r="H2853" s="124"/>
      <x:c r="I2853" s="124"/>
      <x:c r="J2853" s="124"/>
      <x:c r="M2853" s="126"/>
      <x:c r="P2853" s="126"/>
      <x:c r="Q2853" s="126"/>
      <x:c r="R2853" s="126"/>
      <x:c r="S2853" s="124"/>
      <x:c r="T2853" s="124"/>
      <x:c r="U2853" s="124"/>
      <x:c r="V2853" s="124"/>
      <x:c r="W2853" s="124"/>
      <x:c r="X2853" s="124"/>
      <x:c r="AD2853"/>
      <x:c r="AE2853" s="145"/>
      <x:c r="AF2853" s="145"/>
      <x:c r="AG2853" s="145"/>
      <x:c r="AH2853" s="145"/>
      <x:c r="AI2853" s="145"/>
      <x:c r="AJ2853"/>
    </x:row>
    <x:row r="2854">
      <x:c r="F2854" s="124"/>
      <x:c r="G2854" s="124"/>
      <x:c r="H2854" s="124"/>
      <x:c r="I2854" s="124"/>
      <x:c r="J2854" s="124"/>
      <x:c r="M2854" s="126"/>
      <x:c r="P2854" s="126"/>
      <x:c r="Q2854" s="126"/>
      <x:c r="R2854" s="126"/>
      <x:c r="S2854" s="124"/>
      <x:c r="T2854" s="124"/>
      <x:c r="U2854" s="124"/>
      <x:c r="V2854" s="124"/>
      <x:c r="W2854" s="124"/>
      <x:c r="X2854" s="124"/>
      <x:c r="AD2854"/>
      <x:c r="AE2854" s="145"/>
      <x:c r="AF2854" s="145"/>
      <x:c r="AG2854" s="145"/>
      <x:c r="AH2854" s="145"/>
      <x:c r="AI2854" s="145"/>
      <x:c r="AJ2854"/>
    </x:row>
    <x:row r="2855">
      <x:c r="F2855" s="124"/>
      <x:c r="G2855" s="124"/>
      <x:c r="H2855" s="124"/>
      <x:c r="I2855" s="124"/>
      <x:c r="J2855" s="124"/>
      <x:c r="M2855" s="126"/>
      <x:c r="P2855" s="126"/>
      <x:c r="Q2855" s="126"/>
      <x:c r="R2855" s="126"/>
      <x:c r="S2855" s="124"/>
      <x:c r="T2855" s="124"/>
      <x:c r="U2855" s="124"/>
      <x:c r="V2855" s="124"/>
      <x:c r="W2855" s="124"/>
      <x:c r="X2855" s="124"/>
      <x:c r="AD2855"/>
      <x:c r="AE2855" s="145"/>
      <x:c r="AF2855" s="145"/>
      <x:c r="AG2855" s="145"/>
      <x:c r="AH2855" s="145"/>
      <x:c r="AI2855" s="145"/>
      <x:c r="AJ2855"/>
    </x:row>
    <x:row r="2856">
      <x:c r="F2856" s="124"/>
      <x:c r="G2856" s="124"/>
      <x:c r="H2856" s="124"/>
      <x:c r="I2856" s="124"/>
      <x:c r="J2856" s="124"/>
      <x:c r="M2856" s="126"/>
      <x:c r="P2856" s="126"/>
      <x:c r="Q2856" s="126"/>
      <x:c r="R2856" s="126"/>
      <x:c r="S2856" s="124"/>
      <x:c r="T2856" s="124"/>
      <x:c r="U2856" s="124"/>
      <x:c r="V2856" s="124"/>
      <x:c r="W2856" s="124"/>
      <x:c r="X2856" s="124"/>
      <x:c r="AD2856"/>
      <x:c r="AE2856" s="145"/>
      <x:c r="AF2856" s="145"/>
      <x:c r="AG2856" s="145"/>
      <x:c r="AH2856" s="145"/>
      <x:c r="AI2856" s="145"/>
      <x:c r="AJ2856"/>
    </x:row>
    <x:row r="2857">
      <x:c r="F2857" s="124"/>
      <x:c r="G2857" s="124"/>
      <x:c r="H2857" s="124"/>
      <x:c r="I2857" s="124"/>
      <x:c r="J2857" s="124"/>
      <x:c r="M2857" s="126"/>
      <x:c r="P2857" s="126"/>
      <x:c r="Q2857" s="126"/>
      <x:c r="R2857" s="126"/>
      <x:c r="S2857" s="124"/>
      <x:c r="T2857" s="124"/>
      <x:c r="U2857" s="124"/>
      <x:c r="V2857" s="124"/>
      <x:c r="W2857" s="124"/>
      <x:c r="X2857" s="124"/>
      <x:c r="AD2857"/>
      <x:c r="AE2857" s="145"/>
      <x:c r="AF2857" s="145"/>
      <x:c r="AG2857" s="145"/>
      <x:c r="AH2857" s="145"/>
      <x:c r="AI2857" s="145"/>
      <x:c r="AJ2857"/>
    </x:row>
    <x:row r="2858">
      <x:c r="F2858" s="124"/>
      <x:c r="G2858" s="124"/>
      <x:c r="H2858" s="124"/>
      <x:c r="I2858" s="124"/>
      <x:c r="J2858" s="124"/>
      <x:c r="M2858" s="126"/>
      <x:c r="P2858" s="126"/>
      <x:c r="Q2858" s="126"/>
      <x:c r="R2858" s="126"/>
      <x:c r="S2858" s="124"/>
      <x:c r="T2858" s="124"/>
      <x:c r="U2858" s="124"/>
      <x:c r="V2858" s="124"/>
      <x:c r="W2858" s="124"/>
      <x:c r="X2858" s="124"/>
      <x:c r="AD2858"/>
      <x:c r="AE2858" s="145"/>
      <x:c r="AF2858" s="145"/>
      <x:c r="AG2858" s="145"/>
      <x:c r="AH2858" s="145"/>
      <x:c r="AI2858" s="145"/>
      <x:c r="AJ2858"/>
    </x:row>
    <x:row r="2859">
      <x:c r="F2859" s="124"/>
      <x:c r="G2859" s="124"/>
      <x:c r="H2859" s="124"/>
      <x:c r="I2859" s="124"/>
      <x:c r="J2859" s="124"/>
      <x:c r="M2859" s="126"/>
      <x:c r="P2859" s="126"/>
      <x:c r="Q2859" s="126"/>
      <x:c r="R2859" s="126"/>
      <x:c r="S2859" s="124"/>
      <x:c r="T2859" s="124"/>
      <x:c r="U2859" s="124"/>
      <x:c r="V2859" s="124"/>
      <x:c r="W2859" s="124"/>
      <x:c r="X2859" s="124"/>
      <x:c r="AD2859"/>
      <x:c r="AE2859" s="145"/>
      <x:c r="AF2859" s="145"/>
      <x:c r="AG2859" s="145"/>
      <x:c r="AH2859" s="145"/>
      <x:c r="AI2859" s="145"/>
      <x:c r="AJ2859"/>
    </x:row>
    <x:row r="2860">
      <x:c r="F2860" s="124"/>
      <x:c r="G2860" s="124"/>
      <x:c r="H2860" s="124"/>
      <x:c r="I2860" s="124"/>
      <x:c r="J2860" s="124"/>
      <x:c r="M2860" s="126"/>
      <x:c r="P2860" s="126"/>
      <x:c r="Q2860" s="126"/>
      <x:c r="R2860" s="126"/>
      <x:c r="S2860" s="124"/>
      <x:c r="T2860" s="124"/>
      <x:c r="U2860" s="124"/>
      <x:c r="V2860" s="124"/>
      <x:c r="W2860" s="124"/>
      <x:c r="X2860" s="124"/>
      <x:c r="AD2860"/>
      <x:c r="AE2860" s="145"/>
      <x:c r="AF2860" s="145"/>
      <x:c r="AG2860" s="145"/>
      <x:c r="AH2860" s="145"/>
      <x:c r="AI2860" s="145"/>
      <x:c r="AJ2860"/>
    </x:row>
    <x:row r="2861">
      <x:c r="F2861" s="124"/>
      <x:c r="G2861" s="124"/>
      <x:c r="H2861" s="124"/>
      <x:c r="I2861" s="124"/>
      <x:c r="J2861" s="124"/>
      <x:c r="M2861" s="126"/>
      <x:c r="P2861" s="126"/>
      <x:c r="Q2861" s="126"/>
      <x:c r="R2861" s="126"/>
      <x:c r="S2861" s="124"/>
      <x:c r="T2861" s="124"/>
      <x:c r="U2861" s="124"/>
      <x:c r="V2861" s="124"/>
      <x:c r="W2861" s="124"/>
      <x:c r="X2861" s="124"/>
      <x:c r="AD2861"/>
      <x:c r="AE2861" s="145"/>
      <x:c r="AF2861" s="145"/>
      <x:c r="AG2861" s="145"/>
      <x:c r="AH2861" s="145"/>
      <x:c r="AI2861" s="145"/>
      <x:c r="AJ2861"/>
    </x:row>
    <x:row r="2862">
      <x:c r="F2862" s="124"/>
      <x:c r="G2862" s="124"/>
      <x:c r="H2862" s="124"/>
      <x:c r="I2862" s="124"/>
      <x:c r="J2862" s="124"/>
      <x:c r="M2862" s="126"/>
      <x:c r="P2862" s="126"/>
      <x:c r="Q2862" s="126"/>
      <x:c r="R2862" s="126"/>
      <x:c r="S2862" s="124"/>
      <x:c r="T2862" s="124"/>
      <x:c r="U2862" s="124"/>
      <x:c r="V2862" s="124"/>
      <x:c r="W2862" s="124"/>
      <x:c r="X2862" s="124"/>
      <x:c r="AD2862"/>
      <x:c r="AE2862" s="145"/>
      <x:c r="AF2862" s="145"/>
      <x:c r="AG2862" s="145"/>
      <x:c r="AH2862" s="145"/>
      <x:c r="AI2862" s="145"/>
      <x:c r="AJ2862"/>
    </x:row>
    <x:row r="2863">
      <x:c r="F2863" s="124"/>
      <x:c r="G2863" s="124"/>
      <x:c r="H2863" s="124"/>
      <x:c r="I2863" s="124"/>
      <x:c r="J2863" s="124"/>
      <x:c r="M2863" s="126"/>
      <x:c r="P2863" s="126"/>
      <x:c r="Q2863" s="126"/>
      <x:c r="R2863" s="126"/>
      <x:c r="S2863" s="124"/>
      <x:c r="T2863" s="124"/>
      <x:c r="U2863" s="124"/>
      <x:c r="V2863" s="124"/>
      <x:c r="W2863" s="124"/>
      <x:c r="X2863" s="124"/>
      <x:c r="AD2863"/>
      <x:c r="AE2863" s="145"/>
      <x:c r="AF2863" s="145"/>
      <x:c r="AG2863" s="145"/>
      <x:c r="AH2863" s="145"/>
      <x:c r="AI2863" s="145"/>
      <x:c r="AJ2863"/>
    </x:row>
    <x:row r="2864">
      <x:c r="F2864" s="124"/>
      <x:c r="G2864" s="124"/>
      <x:c r="H2864" s="124"/>
      <x:c r="I2864" s="124"/>
      <x:c r="J2864" s="124"/>
      <x:c r="M2864" s="126"/>
      <x:c r="P2864" s="126"/>
      <x:c r="Q2864" s="126"/>
      <x:c r="R2864" s="126"/>
      <x:c r="S2864" s="124"/>
      <x:c r="T2864" s="124"/>
      <x:c r="U2864" s="124"/>
      <x:c r="V2864" s="124"/>
      <x:c r="W2864" s="124"/>
      <x:c r="X2864" s="124"/>
      <x:c r="AD2864"/>
      <x:c r="AE2864" s="145"/>
      <x:c r="AF2864" s="145"/>
      <x:c r="AG2864" s="145"/>
      <x:c r="AH2864" s="145"/>
      <x:c r="AI2864" s="145"/>
      <x:c r="AJ2864"/>
    </x:row>
    <x:row r="2865">
      <x:c r="F2865" s="124"/>
      <x:c r="G2865" s="124"/>
      <x:c r="H2865" s="124"/>
      <x:c r="I2865" s="124"/>
      <x:c r="J2865" s="124"/>
      <x:c r="M2865" s="126"/>
      <x:c r="P2865" s="126"/>
      <x:c r="Q2865" s="126"/>
      <x:c r="R2865" s="126"/>
      <x:c r="S2865" s="124"/>
      <x:c r="T2865" s="124"/>
      <x:c r="U2865" s="124"/>
      <x:c r="V2865" s="124"/>
      <x:c r="W2865" s="124"/>
      <x:c r="X2865" s="124"/>
      <x:c r="AD2865"/>
      <x:c r="AE2865" s="145"/>
      <x:c r="AF2865" s="145"/>
      <x:c r="AG2865" s="145"/>
      <x:c r="AH2865" s="145"/>
      <x:c r="AI2865" s="145"/>
      <x:c r="AJ2865"/>
    </x:row>
    <x:row r="2866">
      <x:c r="F2866" s="124"/>
      <x:c r="G2866" s="124"/>
      <x:c r="H2866" s="124"/>
      <x:c r="I2866" s="124"/>
      <x:c r="J2866" s="124"/>
      <x:c r="M2866" s="126"/>
      <x:c r="P2866" s="126"/>
      <x:c r="Q2866" s="126"/>
      <x:c r="R2866" s="126"/>
      <x:c r="S2866" s="124"/>
      <x:c r="T2866" s="124"/>
      <x:c r="U2866" s="124"/>
      <x:c r="V2866" s="124"/>
      <x:c r="W2866" s="124"/>
      <x:c r="X2866" s="124"/>
      <x:c r="AD2866"/>
      <x:c r="AE2866" s="145"/>
      <x:c r="AF2866" s="145"/>
      <x:c r="AG2866" s="145"/>
      <x:c r="AH2866" s="145"/>
      <x:c r="AI2866" s="145"/>
      <x:c r="AJ2866"/>
    </x:row>
    <x:row r="2867">
      <x:c r="F2867" s="124"/>
      <x:c r="G2867" s="124"/>
      <x:c r="H2867" s="124"/>
      <x:c r="I2867" s="124"/>
      <x:c r="J2867" s="124"/>
      <x:c r="M2867" s="126"/>
      <x:c r="P2867" s="126"/>
      <x:c r="Q2867" s="126"/>
      <x:c r="R2867" s="126"/>
      <x:c r="S2867" s="124"/>
      <x:c r="T2867" s="124"/>
      <x:c r="U2867" s="124"/>
      <x:c r="V2867" s="124"/>
      <x:c r="W2867" s="124"/>
      <x:c r="X2867" s="124"/>
      <x:c r="AD2867"/>
      <x:c r="AE2867" s="145"/>
      <x:c r="AF2867" s="145"/>
      <x:c r="AG2867" s="145"/>
      <x:c r="AH2867" s="145"/>
      <x:c r="AI2867" s="145"/>
      <x:c r="AJ2867"/>
    </x:row>
    <x:row r="2868">
      <x:c r="F2868" s="124"/>
      <x:c r="G2868" s="124"/>
      <x:c r="H2868" s="124"/>
      <x:c r="I2868" s="124"/>
      <x:c r="J2868" s="124"/>
      <x:c r="M2868" s="126"/>
      <x:c r="P2868" s="126"/>
      <x:c r="Q2868" s="126"/>
      <x:c r="R2868" s="126"/>
      <x:c r="S2868" s="124"/>
      <x:c r="T2868" s="124"/>
      <x:c r="U2868" s="124"/>
      <x:c r="V2868" s="124"/>
      <x:c r="W2868" s="124"/>
      <x:c r="X2868" s="124"/>
      <x:c r="AD2868"/>
      <x:c r="AE2868" s="145"/>
      <x:c r="AF2868" s="145"/>
      <x:c r="AG2868" s="145"/>
      <x:c r="AH2868" s="145"/>
      <x:c r="AI2868" s="145"/>
      <x:c r="AJ2868"/>
    </x:row>
    <x:row r="2869">
      <x:c r="F2869" s="124"/>
      <x:c r="G2869" s="124"/>
      <x:c r="H2869" s="124"/>
      <x:c r="I2869" s="124"/>
      <x:c r="J2869" s="124"/>
      <x:c r="M2869" s="126"/>
      <x:c r="P2869" s="126"/>
      <x:c r="Q2869" s="126"/>
      <x:c r="R2869" s="126"/>
      <x:c r="S2869" s="124"/>
      <x:c r="T2869" s="124"/>
      <x:c r="U2869" s="124"/>
      <x:c r="V2869" s="124"/>
      <x:c r="W2869" s="124"/>
      <x:c r="X2869" s="124"/>
      <x:c r="AD2869"/>
      <x:c r="AE2869" s="145"/>
      <x:c r="AF2869" s="145"/>
      <x:c r="AG2869" s="145"/>
      <x:c r="AH2869" s="145"/>
      <x:c r="AI2869" s="145"/>
      <x:c r="AJ2869"/>
    </x:row>
    <x:row r="2870">
      <x:c r="F2870" s="124"/>
      <x:c r="G2870" s="124"/>
      <x:c r="H2870" s="124"/>
      <x:c r="I2870" s="124"/>
      <x:c r="J2870" s="124"/>
      <x:c r="M2870" s="126"/>
      <x:c r="P2870" s="126"/>
      <x:c r="Q2870" s="126"/>
      <x:c r="R2870" s="126"/>
      <x:c r="S2870" s="124"/>
      <x:c r="T2870" s="124"/>
      <x:c r="U2870" s="124"/>
      <x:c r="V2870" s="124"/>
      <x:c r="W2870" s="124"/>
      <x:c r="X2870" s="124"/>
      <x:c r="AD2870"/>
      <x:c r="AE2870" s="145"/>
      <x:c r="AF2870" s="145"/>
      <x:c r="AG2870" s="145"/>
      <x:c r="AH2870" s="145"/>
      <x:c r="AI2870" s="145"/>
      <x:c r="AJ2870"/>
    </x:row>
    <x:row r="2871">
      <x:c r="F2871" s="124"/>
      <x:c r="G2871" s="124"/>
      <x:c r="H2871" s="124"/>
      <x:c r="I2871" s="124"/>
      <x:c r="J2871" s="124"/>
      <x:c r="M2871" s="126"/>
      <x:c r="P2871" s="126"/>
      <x:c r="Q2871" s="126"/>
      <x:c r="R2871" s="126"/>
      <x:c r="S2871" s="124"/>
      <x:c r="T2871" s="124"/>
      <x:c r="U2871" s="124"/>
      <x:c r="V2871" s="124"/>
      <x:c r="W2871" s="124"/>
      <x:c r="X2871" s="124"/>
      <x:c r="AD2871"/>
      <x:c r="AE2871" s="145"/>
      <x:c r="AF2871" s="145"/>
      <x:c r="AG2871" s="145"/>
      <x:c r="AH2871" s="145"/>
      <x:c r="AI2871" s="145"/>
      <x:c r="AJ2871"/>
    </x:row>
    <x:row r="2872">
      <x:c r="F2872" s="124"/>
      <x:c r="G2872" s="124"/>
      <x:c r="H2872" s="124"/>
      <x:c r="I2872" s="124"/>
      <x:c r="J2872" s="124"/>
      <x:c r="M2872" s="126"/>
      <x:c r="P2872" s="126"/>
      <x:c r="Q2872" s="126"/>
      <x:c r="R2872" s="126"/>
      <x:c r="S2872" s="124"/>
      <x:c r="T2872" s="124"/>
      <x:c r="U2872" s="124"/>
      <x:c r="V2872" s="124"/>
      <x:c r="W2872" s="124"/>
      <x:c r="X2872" s="124"/>
      <x:c r="AD2872"/>
      <x:c r="AE2872" s="145"/>
      <x:c r="AF2872" s="145"/>
      <x:c r="AG2872" s="145"/>
      <x:c r="AH2872" s="145"/>
      <x:c r="AI2872" s="145"/>
      <x:c r="AJ2872"/>
    </x:row>
    <x:row r="2873">
      <x:c r="F2873" s="124"/>
      <x:c r="G2873" s="124"/>
      <x:c r="H2873" s="124"/>
      <x:c r="I2873" s="124"/>
      <x:c r="J2873" s="124"/>
      <x:c r="M2873" s="126"/>
      <x:c r="P2873" s="126"/>
      <x:c r="Q2873" s="126"/>
      <x:c r="R2873" s="126"/>
      <x:c r="S2873" s="124"/>
      <x:c r="T2873" s="124"/>
      <x:c r="U2873" s="124"/>
      <x:c r="V2873" s="124"/>
      <x:c r="W2873" s="124"/>
      <x:c r="X2873" s="124"/>
      <x:c r="AD2873"/>
      <x:c r="AE2873" s="145"/>
      <x:c r="AF2873" s="145"/>
      <x:c r="AG2873" s="145"/>
      <x:c r="AH2873" s="145"/>
      <x:c r="AI2873" s="145"/>
      <x:c r="AJ2873"/>
    </x:row>
    <x:row r="2874">
      <x:c r="F2874" s="124"/>
      <x:c r="G2874" s="124"/>
      <x:c r="H2874" s="124"/>
      <x:c r="I2874" s="124"/>
      <x:c r="J2874" s="124"/>
      <x:c r="M2874" s="126"/>
      <x:c r="P2874" s="126"/>
      <x:c r="Q2874" s="126"/>
      <x:c r="R2874" s="126"/>
      <x:c r="S2874" s="124"/>
      <x:c r="T2874" s="124"/>
      <x:c r="U2874" s="124"/>
      <x:c r="V2874" s="124"/>
      <x:c r="W2874" s="124"/>
      <x:c r="X2874" s="124"/>
      <x:c r="AD2874"/>
      <x:c r="AE2874" s="145"/>
      <x:c r="AF2874" s="145"/>
      <x:c r="AG2874" s="145"/>
      <x:c r="AH2874" s="145"/>
      <x:c r="AI2874" s="145"/>
      <x:c r="AJ2874"/>
    </x:row>
    <x:row r="2875">
      <x:c r="F2875" s="124"/>
      <x:c r="G2875" s="124"/>
      <x:c r="H2875" s="124"/>
      <x:c r="I2875" s="124"/>
      <x:c r="J2875" s="124"/>
      <x:c r="M2875" s="126"/>
      <x:c r="P2875" s="126"/>
      <x:c r="Q2875" s="126"/>
      <x:c r="R2875" s="126"/>
      <x:c r="S2875" s="124"/>
      <x:c r="T2875" s="124"/>
      <x:c r="U2875" s="124"/>
      <x:c r="V2875" s="124"/>
      <x:c r="W2875" s="124"/>
      <x:c r="X2875" s="124"/>
      <x:c r="AD2875"/>
      <x:c r="AE2875" s="145"/>
      <x:c r="AF2875" s="145"/>
      <x:c r="AG2875" s="145"/>
      <x:c r="AH2875" s="145"/>
      <x:c r="AI2875" s="145"/>
      <x:c r="AJ2875"/>
    </x:row>
    <x:row r="2876">
      <x:c r="F2876" s="124"/>
      <x:c r="G2876" s="124"/>
      <x:c r="H2876" s="124"/>
      <x:c r="I2876" s="124"/>
      <x:c r="J2876" s="124"/>
      <x:c r="M2876" s="126"/>
      <x:c r="P2876" s="126"/>
      <x:c r="Q2876" s="126"/>
      <x:c r="R2876" s="126"/>
      <x:c r="S2876" s="124"/>
      <x:c r="T2876" s="124"/>
      <x:c r="U2876" s="124"/>
      <x:c r="V2876" s="124"/>
      <x:c r="W2876" s="124"/>
      <x:c r="X2876" s="124"/>
      <x:c r="AD2876"/>
      <x:c r="AE2876" s="145"/>
      <x:c r="AF2876" s="145"/>
      <x:c r="AG2876" s="145"/>
      <x:c r="AH2876" s="145"/>
      <x:c r="AI2876" s="145"/>
      <x:c r="AJ2876"/>
    </x:row>
    <x:row r="2877">
      <x:c r="F2877" s="124"/>
      <x:c r="G2877" s="124"/>
      <x:c r="H2877" s="124"/>
      <x:c r="I2877" s="124"/>
      <x:c r="J2877" s="124"/>
      <x:c r="M2877" s="126"/>
      <x:c r="P2877" s="126"/>
      <x:c r="Q2877" s="126"/>
      <x:c r="R2877" s="126"/>
      <x:c r="S2877" s="124"/>
      <x:c r="T2877" s="124"/>
      <x:c r="U2877" s="124"/>
      <x:c r="V2877" s="124"/>
      <x:c r="W2877" s="124"/>
      <x:c r="X2877" s="124"/>
      <x:c r="AD2877"/>
      <x:c r="AE2877" s="145"/>
      <x:c r="AF2877" s="145"/>
      <x:c r="AG2877" s="145"/>
      <x:c r="AH2877" s="145"/>
      <x:c r="AI2877" s="145"/>
      <x:c r="AJ2877"/>
    </x:row>
    <x:row r="2878">
      <x:c r="F2878" s="124"/>
      <x:c r="G2878" s="124"/>
      <x:c r="H2878" s="124"/>
      <x:c r="I2878" s="124"/>
      <x:c r="J2878" s="124"/>
      <x:c r="M2878" s="126"/>
      <x:c r="P2878" s="126"/>
      <x:c r="Q2878" s="126"/>
      <x:c r="R2878" s="126"/>
      <x:c r="S2878" s="124"/>
      <x:c r="T2878" s="124"/>
      <x:c r="U2878" s="124"/>
      <x:c r="V2878" s="124"/>
      <x:c r="W2878" s="124"/>
      <x:c r="X2878" s="124"/>
      <x:c r="AD2878"/>
      <x:c r="AE2878" s="145"/>
      <x:c r="AF2878" s="145"/>
      <x:c r="AG2878" s="145"/>
      <x:c r="AH2878" s="145"/>
      <x:c r="AI2878" s="145"/>
      <x:c r="AJ2878"/>
    </x:row>
    <x:row r="2879">
      <x:c r="F2879" s="124"/>
      <x:c r="G2879" s="124"/>
      <x:c r="H2879" s="124"/>
      <x:c r="I2879" s="124"/>
      <x:c r="J2879" s="124"/>
      <x:c r="M2879" s="126"/>
      <x:c r="P2879" s="126"/>
      <x:c r="Q2879" s="126"/>
      <x:c r="R2879" s="126"/>
      <x:c r="S2879" s="124"/>
      <x:c r="T2879" s="124"/>
      <x:c r="U2879" s="124"/>
      <x:c r="V2879" s="124"/>
      <x:c r="W2879" s="124"/>
      <x:c r="X2879" s="124"/>
      <x:c r="AD2879"/>
      <x:c r="AE2879" s="145"/>
      <x:c r="AF2879" s="145"/>
      <x:c r="AG2879" s="145"/>
      <x:c r="AH2879" s="145"/>
      <x:c r="AI2879" s="145"/>
      <x:c r="AJ2879"/>
    </x:row>
    <x:row r="2880">
      <x:c r="F2880" s="124"/>
      <x:c r="G2880" s="124"/>
      <x:c r="H2880" s="124"/>
      <x:c r="I2880" s="124"/>
      <x:c r="J2880" s="124"/>
      <x:c r="M2880" s="126"/>
      <x:c r="P2880" s="126"/>
      <x:c r="Q2880" s="126"/>
      <x:c r="R2880" s="126"/>
      <x:c r="S2880" s="124"/>
      <x:c r="T2880" s="124"/>
      <x:c r="U2880" s="124"/>
      <x:c r="V2880" s="124"/>
      <x:c r="W2880" s="124"/>
      <x:c r="X2880" s="124"/>
      <x:c r="AD2880"/>
      <x:c r="AE2880" s="145"/>
      <x:c r="AF2880" s="145"/>
      <x:c r="AG2880" s="145"/>
      <x:c r="AH2880" s="145"/>
      <x:c r="AI2880" s="145"/>
      <x:c r="AJ2880"/>
    </x:row>
    <x:row r="2881">
      <x:c r="F2881" s="124"/>
      <x:c r="G2881" s="124"/>
      <x:c r="H2881" s="124"/>
      <x:c r="I2881" s="124"/>
      <x:c r="J2881" s="124"/>
      <x:c r="M2881" s="126"/>
      <x:c r="P2881" s="126"/>
      <x:c r="Q2881" s="126"/>
      <x:c r="R2881" s="126"/>
      <x:c r="S2881" s="124"/>
      <x:c r="T2881" s="124"/>
      <x:c r="U2881" s="124"/>
      <x:c r="V2881" s="124"/>
      <x:c r="W2881" s="124"/>
      <x:c r="X2881" s="124"/>
      <x:c r="AD2881"/>
      <x:c r="AE2881" s="145"/>
      <x:c r="AF2881" s="145"/>
      <x:c r="AG2881" s="145"/>
      <x:c r="AH2881" s="145"/>
      <x:c r="AI2881" s="145"/>
      <x:c r="AJ2881"/>
    </x:row>
    <x:row r="2882">
      <x:c r="F2882" s="124"/>
      <x:c r="G2882" s="124"/>
      <x:c r="H2882" s="124"/>
      <x:c r="I2882" s="124"/>
      <x:c r="J2882" s="124"/>
      <x:c r="M2882" s="126"/>
      <x:c r="P2882" s="126"/>
      <x:c r="Q2882" s="126"/>
      <x:c r="R2882" s="126"/>
      <x:c r="S2882" s="124"/>
      <x:c r="T2882" s="124"/>
      <x:c r="U2882" s="124"/>
      <x:c r="V2882" s="124"/>
      <x:c r="W2882" s="124"/>
      <x:c r="X2882" s="124"/>
      <x:c r="AD2882"/>
      <x:c r="AE2882" s="145"/>
      <x:c r="AF2882" s="145"/>
      <x:c r="AG2882" s="145"/>
      <x:c r="AH2882" s="145"/>
      <x:c r="AI2882" s="145"/>
      <x:c r="AJ2882"/>
    </x:row>
    <x:row r="2883">
      <x:c r="F2883" s="124"/>
      <x:c r="G2883" s="124"/>
      <x:c r="H2883" s="124"/>
      <x:c r="I2883" s="124"/>
      <x:c r="J2883" s="124"/>
      <x:c r="M2883" s="126"/>
      <x:c r="P2883" s="126"/>
      <x:c r="Q2883" s="126"/>
      <x:c r="R2883" s="126"/>
      <x:c r="S2883" s="124"/>
      <x:c r="T2883" s="124"/>
      <x:c r="U2883" s="124"/>
      <x:c r="V2883" s="124"/>
      <x:c r="W2883" s="124"/>
      <x:c r="X2883" s="124"/>
      <x:c r="AD2883"/>
      <x:c r="AE2883" s="145"/>
      <x:c r="AF2883" s="145"/>
      <x:c r="AG2883" s="145"/>
      <x:c r="AH2883" s="145"/>
      <x:c r="AI2883" s="145"/>
      <x:c r="AJ2883"/>
    </x:row>
    <x:row r="2884">
      <x:c r="F2884" s="124"/>
      <x:c r="G2884" s="124"/>
      <x:c r="H2884" s="124"/>
      <x:c r="I2884" s="124"/>
      <x:c r="J2884" s="124"/>
      <x:c r="M2884" s="126"/>
      <x:c r="P2884" s="126"/>
      <x:c r="Q2884" s="126"/>
      <x:c r="R2884" s="126"/>
      <x:c r="S2884" s="124"/>
      <x:c r="T2884" s="124"/>
      <x:c r="U2884" s="124"/>
      <x:c r="V2884" s="124"/>
      <x:c r="W2884" s="124"/>
      <x:c r="X2884" s="124"/>
      <x:c r="AD2884"/>
      <x:c r="AE2884" s="145"/>
      <x:c r="AF2884" s="145"/>
      <x:c r="AG2884" s="145"/>
      <x:c r="AH2884" s="145"/>
      <x:c r="AI2884" s="145"/>
      <x:c r="AJ2884"/>
    </x:row>
    <x:row r="2885">
      <x:c r="F2885" s="124"/>
      <x:c r="G2885" s="124"/>
      <x:c r="H2885" s="124"/>
      <x:c r="I2885" s="124"/>
      <x:c r="J2885" s="124"/>
      <x:c r="M2885" s="126"/>
      <x:c r="P2885" s="126"/>
      <x:c r="Q2885" s="126"/>
      <x:c r="R2885" s="126"/>
      <x:c r="S2885" s="124"/>
      <x:c r="T2885" s="124"/>
      <x:c r="U2885" s="124"/>
      <x:c r="V2885" s="124"/>
      <x:c r="W2885" s="124"/>
      <x:c r="X2885" s="124"/>
      <x:c r="AD2885"/>
      <x:c r="AE2885" s="145"/>
      <x:c r="AF2885" s="145"/>
      <x:c r="AG2885" s="145"/>
      <x:c r="AH2885" s="145"/>
      <x:c r="AI2885" s="145"/>
      <x:c r="AJ2885"/>
    </x:row>
    <x:row r="2886">
      <x:c r="F2886" s="124"/>
      <x:c r="G2886" s="124"/>
      <x:c r="H2886" s="124"/>
      <x:c r="I2886" s="124"/>
      <x:c r="J2886" s="124"/>
      <x:c r="M2886" s="126"/>
      <x:c r="P2886" s="126"/>
      <x:c r="Q2886" s="126"/>
      <x:c r="R2886" s="126"/>
      <x:c r="S2886" s="124"/>
      <x:c r="T2886" s="124"/>
      <x:c r="U2886" s="124"/>
      <x:c r="V2886" s="124"/>
      <x:c r="W2886" s="124"/>
      <x:c r="X2886" s="124"/>
      <x:c r="AD2886"/>
      <x:c r="AE2886" s="145"/>
      <x:c r="AF2886" s="145"/>
      <x:c r="AG2886" s="145"/>
      <x:c r="AH2886" s="145"/>
      <x:c r="AI2886" s="145"/>
      <x:c r="AJ2886"/>
    </x:row>
    <x:row r="2887">
      <x:c r="F2887" s="124"/>
      <x:c r="G2887" s="124"/>
      <x:c r="H2887" s="124"/>
      <x:c r="I2887" s="124"/>
      <x:c r="J2887" s="124"/>
      <x:c r="M2887" s="126"/>
      <x:c r="P2887" s="126"/>
      <x:c r="Q2887" s="126"/>
      <x:c r="R2887" s="126"/>
      <x:c r="S2887" s="124"/>
      <x:c r="T2887" s="124"/>
      <x:c r="U2887" s="124"/>
      <x:c r="V2887" s="124"/>
      <x:c r="W2887" s="124"/>
      <x:c r="X2887" s="124"/>
      <x:c r="AD2887"/>
      <x:c r="AE2887" s="145"/>
      <x:c r="AF2887" s="145"/>
      <x:c r="AG2887" s="145"/>
      <x:c r="AH2887" s="145"/>
      <x:c r="AI2887" s="145"/>
      <x:c r="AJ2887"/>
    </x:row>
    <x:row r="2888">
      <x:c r="F2888" s="124"/>
      <x:c r="G2888" s="124"/>
      <x:c r="H2888" s="124"/>
      <x:c r="I2888" s="124"/>
      <x:c r="J2888" s="124"/>
      <x:c r="M2888" s="126"/>
      <x:c r="P2888" s="126"/>
      <x:c r="Q2888" s="126"/>
      <x:c r="R2888" s="126"/>
      <x:c r="S2888" s="124"/>
      <x:c r="T2888" s="124"/>
      <x:c r="U2888" s="124"/>
      <x:c r="V2888" s="124"/>
      <x:c r="W2888" s="124"/>
      <x:c r="X2888" s="124"/>
      <x:c r="AD2888"/>
      <x:c r="AE2888" s="145"/>
      <x:c r="AF2888" s="145"/>
      <x:c r="AG2888" s="145"/>
      <x:c r="AH2888" s="145"/>
      <x:c r="AI2888" s="145"/>
      <x:c r="AJ2888"/>
    </x:row>
    <x:row r="2889">
      <x:c r="F2889" s="124"/>
      <x:c r="G2889" s="124"/>
      <x:c r="H2889" s="124"/>
      <x:c r="I2889" s="124"/>
      <x:c r="J2889" s="124"/>
      <x:c r="M2889" s="126"/>
      <x:c r="P2889" s="126"/>
      <x:c r="Q2889" s="126"/>
      <x:c r="R2889" s="126"/>
      <x:c r="S2889" s="124"/>
      <x:c r="T2889" s="124"/>
      <x:c r="U2889" s="124"/>
      <x:c r="V2889" s="124"/>
      <x:c r="W2889" s="124"/>
      <x:c r="X2889" s="124"/>
      <x:c r="AD2889"/>
      <x:c r="AE2889" s="145"/>
      <x:c r="AF2889" s="145"/>
      <x:c r="AG2889" s="145"/>
      <x:c r="AH2889" s="145"/>
      <x:c r="AI2889" s="145"/>
      <x:c r="AJ2889"/>
    </x:row>
    <x:row r="2890">
      <x:c r="F2890" s="124"/>
      <x:c r="G2890" s="124"/>
      <x:c r="H2890" s="124"/>
      <x:c r="I2890" s="124"/>
      <x:c r="J2890" s="124"/>
      <x:c r="M2890" s="126"/>
      <x:c r="P2890" s="126"/>
      <x:c r="Q2890" s="126"/>
      <x:c r="R2890" s="126"/>
      <x:c r="S2890" s="124"/>
      <x:c r="T2890" s="124"/>
      <x:c r="U2890" s="124"/>
      <x:c r="V2890" s="124"/>
      <x:c r="W2890" s="124"/>
      <x:c r="X2890" s="124"/>
      <x:c r="AD2890"/>
      <x:c r="AE2890" s="145"/>
      <x:c r="AF2890" s="145"/>
      <x:c r="AG2890" s="145"/>
      <x:c r="AH2890" s="145"/>
      <x:c r="AI2890" s="145"/>
      <x:c r="AJ2890"/>
    </x:row>
    <x:row r="2891">
      <x:c r="F2891" s="124"/>
      <x:c r="G2891" s="124"/>
      <x:c r="H2891" s="124"/>
      <x:c r="I2891" s="124"/>
      <x:c r="J2891" s="124"/>
      <x:c r="M2891" s="126"/>
      <x:c r="P2891" s="126"/>
      <x:c r="Q2891" s="126"/>
      <x:c r="R2891" s="126"/>
      <x:c r="S2891" s="124"/>
      <x:c r="T2891" s="124"/>
      <x:c r="U2891" s="124"/>
      <x:c r="V2891" s="124"/>
      <x:c r="W2891" s="124"/>
      <x:c r="X2891" s="124"/>
      <x:c r="AD2891"/>
      <x:c r="AE2891" s="145"/>
      <x:c r="AF2891" s="145"/>
      <x:c r="AG2891" s="145"/>
      <x:c r="AH2891" s="145"/>
      <x:c r="AI2891" s="145"/>
      <x:c r="AJ2891"/>
    </x:row>
    <x:row r="2892">
      <x:c r="F2892" s="124"/>
      <x:c r="G2892" s="124"/>
      <x:c r="H2892" s="124"/>
      <x:c r="I2892" s="124"/>
      <x:c r="J2892" s="124"/>
      <x:c r="M2892" s="126"/>
      <x:c r="P2892" s="126"/>
      <x:c r="Q2892" s="126"/>
      <x:c r="R2892" s="126"/>
      <x:c r="S2892" s="124"/>
      <x:c r="T2892" s="124"/>
      <x:c r="U2892" s="124"/>
      <x:c r="V2892" s="124"/>
      <x:c r="W2892" s="124"/>
      <x:c r="X2892" s="124"/>
      <x:c r="AD2892"/>
      <x:c r="AE2892" s="145"/>
      <x:c r="AF2892" s="145"/>
      <x:c r="AG2892" s="145"/>
      <x:c r="AH2892" s="145"/>
      <x:c r="AI2892" s="145"/>
      <x:c r="AJ2892"/>
    </x:row>
    <x:row r="2893">
      <x:c r="F2893" s="124"/>
      <x:c r="G2893" s="124"/>
      <x:c r="H2893" s="124"/>
      <x:c r="I2893" s="124"/>
      <x:c r="J2893" s="124"/>
      <x:c r="M2893" s="126"/>
      <x:c r="P2893" s="126"/>
      <x:c r="Q2893" s="126"/>
      <x:c r="R2893" s="126"/>
      <x:c r="S2893" s="124"/>
      <x:c r="T2893" s="124"/>
      <x:c r="U2893" s="124"/>
      <x:c r="V2893" s="124"/>
      <x:c r="W2893" s="124"/>
      <x:c r="X2893" s="124"/>
      <x:c r="AD2893"/>
      <x:c r="AE2893" s="145"/>
      <x:c r="AF2893" s="145"/>
      <x:c r="AG2893" s="145"/>
      <x:c r="AH2893" s="145"/>
      <x:c r="AI2893" s="145"/>
      <x:c r="AJ2893"/>
    </x:row>
    <x:row r="2894">
      <x:c r="F2894" s="124"/>
      <x:c r="G2894" s="124"/>
      <x:c r="H2894" s="124"/>
      <x:c r="I2894" s="124"/>
      <x:c r="J2894" s="124"/>
      <x:c r="M2894" s="126"/>
      <x:c r="P2894" s="126"/>
      <x:c r="Q2894" s="126"/>
      <x:c r="R2894" s="126"/>
      <x:c r="S2894" s="124"/>
      <x:c r="T2894" s="124"/>
      <x:c r="U2894" s="124"/>
      <x:c r="V2894" s="124"/>
      <x:c r="W2894" s="124"/>
      <x:c r="X2894" s="124"/>
      <x:c r="AD2894"/>
      <x:c r="AE2894" s="145"/>
      <x:c r="AF2894" s="145"/>
      <x:c r="AG2894" s="145"/>
      <x:c r="AH2894" s="145"/>
      <x:c r="AI2894" s="145"/>
      <x:c r="AJ2894"/>
    </x:row>
    <x:row r="2895">
      <x:c r="F2895" s="124"/>
      <x:c r="G2895" s="124"/>
      <x:c r="H2895" s="124"/>
      <x:c r="I2895" s="124"/>
      <x:c r="J2895" s="124"/>
      <x:c r="M2895" s="126"/>
      <x:c r="P2895" s="126"/>
      <x:c r="Q2895" s="126"/>
      <x:c r="R2895" s="126"/>
      <x:c r="S2895" s="124"/>
      <x:c r="T2895" s="124"/>
      <x:c r="U2895" s="124"/>
      <x:c r="V2895" s="124"/>
      <x:c r="W2895" s="124"/>
      <x:c r="X2895" s="124"/>
      <x:c r="AD2895"/>
      <x:c r="AE2895" s="145"/>
      <x:c r="AF2895" s="145"/>
      <x:c r="AG2895" s="145"/>
      <x:c r="AH2895" s="145"/>
      <x:c r="AI2895" s="145"/>
      <x:c r="AJ2895"/>
    </x:row>
    <x:row r="2896">
      <x:c r="F2896" s="124"/>
      <x:c r="G2896" s="124"/>
      <x:c r="H2896" s="124"/>
      <x:c r="I2896" s="124"/>
      <x:c r="J2896" s="124"/>
      <x:c r="M2896" s="126"/>
      <x:c r="P2896" s="126"/>
      <x:c r="Q2896" s="126"/>
      <x:c r="R2896" s="126"/>
      <x:c r="S2896" s="124"/>
      <x:c r="T2896" s="124"/>
      <x:c r="U2896" s="124"/>
      <x:c r="V2896" s="124"/>
      <x:c r="W2896" s="124"/>
      <x:c r="X2896" s="124"/>
      <x:c r="AD2896"/>
      <x:c r="AE2896" s="145"/>
      <x:c r="AF2896" s="145"/>
      <x:c r="AG2896" s="145"/>
      <x:c r="AH2896" s="145"/>
      <x:c r="AI2896" s="145"/>
      <x:c r="AJ2896"/>
    </x:row>
    <x:row r="2897">
      <x:c r="F2897" s="124"/>
      <x:c r="G2897" s="124"/>
      <x:c r="H2897" s="124"/>
      <x:c r="I2897" s="124"/>
      <x:c r="J2897" s="124"/>
      <x:c r="M2897" s="126"/>
      <x:c r="P2897" s="126"/>
      <x:c r="Q2897" s="126"/>
      <x:c r="R2897" s="126"/>
      <x:c r="S2897" s="124"/>
      <x:c r="T2897" s="124"/>
      <x:c r="U2897" s="124"/>
      <x:c r="V2897" s="124"/>
      <x:c r="W2897" s="124"/>
      <x:c r="X2897" s="124"/>
      <x:c r="AD2897"/>
      <x:c r="AE2897" s="145"/>
      <x:c r="AF2897" s="145"/>
      <x:c r="AG2897" s="145"/>
      <x:c r="AH2897" s="145"/>
      <x:c r="AI2897" s="145"/>
      <x:c r="AJ2897"/>
    </x:row>
    <x:row r="2898">
      <x:c r="F2898" s="124"/>
      <x:c r="G2898" s="124"/>
      <x:c r="H2898" s="124"/>
      <x:c r="I2898" s="124"/>
      <x:c r="J2898" s="124"/>
      <x:c r="M2898" s="126"/>
      <x:c r="P2898" s="126"/>
      <x:c r="Q2898" s="126"/>
      <x:c r="R2898" s="126"/>
      <x:c r="S2898" s="124"/>
      <x:c r="T2898" s="124"/>
      <x:c r="U2898" s="124"/>
      <x:c r="V2898" s="124"/>
      <x:c r="W2898" s="124"/>
      <x:c r="X2898" s="124"/>
      <x:c r="AD2898"/>
      <x:c r="AE2898" s="145"/>
      <x:c r="AF2898" s="145"/>
      <x:c r="AG2898" s="145"/>
      <x:c r="AH2898" s="145"/>
      <x:c r="AI2898" s="145"/>
      <x:c r="AJ2898"/>
    </x:row>
    <x:row r="2899">
      <x:c r="F2899" s="124"/>
      <x:c r="G2899" s="124"/>
      <x:c r="H2899" s="124"/>
      <x:c r="I2899" s="124"/>
      <x:c r="J2899" s="124"/>
      <x:c r="M2899" s="126"/>
      <x:c r="P2899" s="126"/>
      <x:c r="Q2899" s="126"/>
      <x:c r="R2899" s="126"/>
      <x:c r="S2899" s="124"/>
      <x:c r="T2899" s="124"/>
      <x:c r="U2899" s="124"/>
      <x:c r="V2899" s="124"/>
      <x:c r="W2899" s="124"/>
      <x:c r="X2899" s="124"/>
      <x:c r="AD2899"/>
      <x:c r="AE2899" s="145"/>
      <x:c r="AF2899" s="145"/>
      <x:c r="AG2899" s="145"/>
      <x:c r="AH2899" s="145"/>
      <x:c r="AI2899" s="145"/>
      <x:c r="AJ2899"/>
    </x:row>
    <x:row r="2900">
      <x:c r="F2900" s="124"/>
      <x:c r="G2900" s="124"/>
      <x:c r="H2900" s="124"/>
      <x:c r="I2900" s="124"/>
      <x:c r="J2900" s="124"/>
      <x:c r="M2900" s="126"/>
      <x:c r="P2900" s="126"/>
      <x:c r="Q2900" s="126"/>
      <x:c r="R2900" s="126"/>
      <x:c r="S2900" s="124"/>
      <x:c r="T2900" s="124"/>
      <x:c r="U2900" s="124"/>
      <x:c r="V2900" s="124"/>
      <x:c r="W2900" s="124"/>
      <x:c r="X2900" s="124"/>
      <x:c r="AD2900"/>
      <x:c r="AE2900" s="145"/>
      <x:c r="AF2900" s="145"/>
      <x:c r="AG2900" s="145"/>
      <x:c r="AH2900" s="145"/>
      <x:c r="AI2900" s="145"/>
      <x:c r="AJ2900"/>
    </x:row>
    <x:row r="2901">
      <x:c r="F2901" s="124"/>
      <x:c r="G2901" s="124"/>
      <x:c r="H2901" s="124"/>
      <x:c r="I2901" s="124"/>
      <x:c r="J2901" s="124"/>
      <x:c r="M2901" s="126"/>
      <x:c r="P2901" s="126"/>
      <x:c r="Q2901" s="126"/>
      <x:c r="R2901" s="126"/>
      <x:c r="S2901" s="124"/>
      <x:c r="T2901" s="124"/>
      <x:c r="U2901" s="124"/>
      <x:c r="V2901" s="124"/>
      <x:c r="W2901" s="124"/>
      <x:c r="X2901" s="124"/>
      <x:c r="AD2901"/>
      <x:c r="AE2901" s="145"/>
      <x:c r="AF2901" s="145"/>
      <x:c r="AG2901" s="145"/>
      <x:c r="AH2901" s="145"/>
      <x:c r="AI2901" s="145"/>
      <x:c r="AJ2901"/>
    </x:row>
    <x:row r="2902">
      <x:c r="F2902" s="124"/>
      <x:c r="G2902" s="124"/>
      <x:c r="H2902" s="124"/>
      <x:c r="I2902" s="124"/>
      <x:c r="J2902" s="124"/>
      <x:c r="M2902" s="126"/>
      <x:c r="P2902" s="126"/>
      <x:c r="Q2902" s="126"/>
      <x:c r="R2902" s="126"/>
      <x:c r="S2902" s="124"/>
      <x:c r="T2902" s="124"/>
      <x:c r="U2902" s="124"/>
      <x:c r="V2902" s="124"/>
      <x:c r="W2902" s="124"/>
      <x:c r="X2902" s="124"/>
      <x:c r="AD2902"/>
      <x:c r="AE2902" s="145"/>
      <x:c r="AF2902" s="145"/>
      <x:c r="AG2902" s="145"/>
      <x:c r="AH2902" s="145"/>
      <x:c r="AI2902" s="145"/>
      <x:c r="AJ2902"/>
    </x:row>
    <x:row r="2903">
      <x:c r="F2903" s="124"/>
      <x:c r="G2903" s="124"/>
      <x:c r="H2903" s="124"/>
      <x:c r="I2903" s="124"/>
      <x:c r="J2903" s="124"/>
      <x:c r="M2903" s="126"/>
      <x:c r="P2903" s="126"/>
      <x:c r="Q2903" s="126"/>
      <x:c r="R2903" s="126"/>
      <x:c r="S2903" s="124"/>
      <x:c r="T2903" s="124"/>
      <x:c r="U2903" s="124"/>
      <x:c r="V2903" s="124"/>
      <x:c r="W2903" s="124"/>
      <x:c r="X2903" s="124"/>
      <x:c r="AD2903"/>
      <x:c r="AE2903" s="145"/>
      <x:c r="AF2903" s="145"/>
      <x:c r="AG2903" s="145"/>
      <x:c r="AH2903" s="145"/>
      <x:c r="AI2903" s="145"/>
      <x:c r="AJ2903"/>
    </x:row>
    <x:row r="2904">
      <x:c r="F2904" s="124"/>
      <x:c r="G2904" s="124"/>
      <x:c r="H2904" s="124"/>
      <x:c r="I2904" s="124"/>
      <x:c r="J2904" s="124"/>
      <x:c r="M2904" s="126"/>
      <x:c r="P2904" s="126"/>
      <x:c r="Q2904" s="126"/>
      <x:c r="R2904" s="126"/>
      <x:c r="S2904" s="124"/>
      <x:c r="T2904" s="124"/>
      <x:c r="U2904" s="124"/>
      <x:c r="V2904" s="124"/>
      <x:c r="W2904" s="124"/>
      <x:c r="X2904" s="124"/>
      <x:c r="AD2904"/>
      <x:c r="AE2904" s="145"/>
      <x:c r="AF2904" s="145"/>
      <x:c r="AG2904" s="145"/>
      <x:c r="AH2904" s="145"/>
      <x:c r="AI2904" s="145"/>
      <x:c r="AJ2904"/>
    </x:row>
    <x:row r="2905">
      <x:c r="F2905" s="124"/>
      <x:c r="G2905" s="124"/>
      <x:c r="H2905" s="124"/>
      <x:c r="I2905" s="124"/>
      <x:c r="J2905" s="124"/>
      <x:c r="M2905" s="126"/>
      <x:c r="P2905" s="126"/>
      <x:c r="Q2905" s="126"/>
      <x:c r="R2905" s="126"/>
      <x:c r="S2905" s="124"/>
      <x:c r="T2905" s="124"/>
      <x:c r="U2905" s="124"/>
      <x:c r="V2905" s="124"/>
      <x:c r="W2905" s="124"/>
      <x:c r="X2905" s="124"/>
      <x:c r="AD2905"/>
      <x:c r="AE2905" s="145"/>
      <x:c r="AF2905" s="145"/>
      <x:c r="AG2905" s="145"/>
      <x:c r="AH2905" s="145"/>
      <x:c r="AI2905" s="145"/>
      <x:c r="AJ2905"/>
    </x:row>
    <x:row r="2906">
      <x:c r="F2906" s="124"/>
      <x:c r="G2906" s="124"/>
      <x:c r="H2906" s="124"/>
      <x:c r="I2906" s="124"/>
      <x:c r="J2906" s="124"/>
      <x:c r="M2906" s="126"/>
      <x:c r="P2906" s="126"/>
      <x:c r="Q2906" s="126"/>
      <x:c r="R2906" s="126"/>
      <x:c r="S2906" s="124"/>
      <x:c r="T2906" s="124"/>
      <x:c r="U2906" s="124"/>
      <x:c r="V2906" s="124"/>
      <x:c r="W2906" s="124"/>
      <x:c r="X2906" s="124"/>
      <x:c r="AD2906"/>
      <x:c r="AE2906" s="145"/>
      <x:c r="AF2906" s="145"/>
      <x:c r="AG2906" s="145"/>
      <x:c r="AH2906" s="145"/>
      <x:c r="AI2906" s="145"/>
      <x:c r="AJ2906"/>
    </x:row>
    <x:row r="2907">
      <x:c r="F2907" s="124"/>
      <x:c r="G2907" s="124"/>
      <x:c r="H2907" s="124"/>
      <x:c r="I2907" s="124"/>
      <x:c r="J2907" s="124"/>
      <x:c r="M2907" s="126"/>
      <x:c r="P2907" s="126"/>
      <x:c r="Q2907" s="126"/>
      <x:c r="R2907" s="126"/>
      <x:c r="S2907" s="124"/>
      <x:c r="T2907" s="124"/>
      <x:c r="U2907" s="124"/>
      <x:c r="V2907" s="124"/>
      <x:c r="W2907" s="124"/>
      <x:c r="X2907" s="124"/>
      <x:c r="AD2907"/>
      <x:c r="AE2907" s="145"/>
      <x:c r="AF2907" s="145"/>
      <x:c r="AG2907" s="145"/>
      <x:c r="AH2907" s="145"/>
      <x:c r="AI2907" s="145"/>
      <x:c r="AJ2907"/>
    </x:row>
    <x:row r="2908">
      <x:c r="F2908" s="124"/>
      <x:c r="G2908" s="124"/>
      <x:c r="H2908" s="124"/>
      <x:c r="I2908" s="124"/>
      <x:c r="J2908" s="124"/>
      <x:c r="M2908" s="126"/>
      <x:c r="P2908" s="126"/>
      <x:c r="Q2908" s="126"/>
      <x:c r="R2908" s="126"/>
      <x:c r="S2908" s="124"/>
      <x:c r="T2908" s="124"/>
      <x:c r="U2908" s="124"/>
      <x:c r="V2908" s="124"/>
      <x:c r="W2908" s="124"/>
      <x:c r="X2908" s="124"/>
      <x:c r="AD2908"/>
      <x:c r="AE2908" s="145"/>
      <x:c r="AF2908" s="145"/>
      <x:c r="AG2908" s="145"/>
      <x:c r="AH2908" s="145"/>
      <x:c r="AI2908" s="145"/>
      <x:c r="AJ2908"/>
    </x:row>
    <x:row r="2909">
      <x:c r="F2909" s="124"/>
      <x:c r="G2909" s="124"/>
      <x:c r="H2909" s="124"/>
      <x:c r="I2909" s="124"/>
      <x:c r="J2909" s="124"/>
      <x:c r="M2909" s="126"/>
      <x:c r="P2909" s="126"/>
      <x:c r="Q2909" s="126"/>
      <x:c r="R2909" s="126"/>
      <x:c r="S2909" s="124"/>
      <x:c r="T2909" s="124"/>
      <x:c r="U2909" s="124"/>
      <x:c r="V2909" s="124"/>
      <x:c r="W2909" s="124"/>
      <x:c r="X2909" s="124"/>
      <x:c r="AD2909"/>
      <x:c r="AE2909" s="145"/>
      <x:c r="AF2909" s="145"/>
      <x:c r="AG2909" s="145"/>
      <x:c r="AH2909" s="145"/>
      <x:c r="AI2909" s="145"/>
      <x:c r="AJ2909"/>
    </x:row>
    <x:row r="2910">
      <x:c r="F2910" s="124"/>
      <x:c r="G2910" s="124"/>
      <x:c r="H2910" s="124"/>
      <x:c r="I2910" s="124"/>
      <x:c r="J2910" s="124"/>
      <x:c r="M2910" s="126"/>
      <x:c r="P2910" s="126"/>
      <x:c r="Q2910" s="126"/>
      <x:c r="R2910" s="126"/>
      <x:c r="S2910" s="124"/>
      <x:c r="T2910" s="124"/>
      <x:c r="U2910" s="124"/>
      <x:c r="V2910" s="124"/>
      <x:c r="W2910" s="124"/>
      <x:c r="X2910" s="124"/>
      <x:c r="AD2910"/>
      <x:c r="AE2910" s="145"/>
      <x:c r="AF2910" s="145"/>
      <x:c r="AG2910" s="145"/>
      <x:c r="AH2910" s="145"/>
      <x:c r="AI2910" s="145"/>
      <x:c r="AJ2910"/>
    </x:row>
    <x:row r="2911">
      <x:c r="F2911" s="124"/>
      <x:c r="G2911" s="124"/>
      <x:c r="H2911" s="124"/>
      <x:c r="I2911" s="124"/>
      <x:c r="J2911" s="124"/>
      <x:c r="M2911" s="126"/>
      <x:c r="P2911" s="126"/>
      <x:c r="Q2911" s="126"/>
      <x:c r="R2911" s="126"/>
      <x:c r="S2911" s="124"/>
      <x:c r="T2911" s="124"/>
      <x:c r="U2911" s="124"/>
      <x:c r="V2911" s="124"/>
      <x:c r="W2911" s="124"/>
      <x:c r="X2911" s="124"/>
      <x:c r="AD2911"/>
      <x:c r="AE2911" s="145"/>
      <x:c r="AF2911" s="145"/>
      <x:c r="AG2911" s="145"/>
      <x:c r="AH2911" s="145"/>
      <x:c r="AI2911" s="145"/>
      <x:c r="AJ2911"/>
    </x:row>
    <x:row r="2912">
      <x:c r="F2912" s="124"/>
      <x:c r="G2912" s="124"/>
      <x:c r="H2912" s="124"/>
      <x:c r="I2912" s="124"/>
      <x:c r="J2912" s="124"/>
      <x:c r="M2912" s="126"/>
      <x:c r="P2912" s="126"/>
      <x:c r="Q2912" s="126"/>
      <x:c r="R2912" s="126"/>
      <x:c r="S2912" s="124"/>
      <x:c r="T2912" s="124"/>
      <x:c r="U2912" s="124"/>
      <x:c r="V2912" s="124"/>
      <x:c r="W2912" s="124"/>
      <x:c r="X2912" s="124"/>
      <x:c r="AD2912"/>
      <x:c r="AE2912" s="145"/>
      <x:c r="AF2912" s="145"/>
      <x:c r="AG2912" s="145"/>
      <x:c r="AH2912" s="145"/>
      <x:c r="AI2912" s="145"/>
      <x:c r="AJ2912"/>
    </x:row>
    <x:row r="2913">
      <x:c r="F2913" s="124"/>
      <x:c r="G2913" s="124"/>
      <x:c r="H2913" s="124"/>
      <x:c r="I2913" s="124"/>
      <x:c r="J2913" s="124"/>
      <x:c r="M2913" s="126"/>
      <x:c r="P2913" s="126"/>
      <x:c r="Q2913" s="126"/>
      <x:c r="R2913" s="126"/>
      <x:c r="S2913" s="124"/>
      <x:c r="T2913" s="124"/>
      <x:c r="U2913" s="124"/>
      <x:c r="V2913" s="124"/>
      <x:c r="W2913" s="124"/>
      <x:c r="X2913" s="124"/>
      <x:c r="AD2913"/>
      <x:c r="AE2913" s="145"/>
      <x:c r="AF2913" s="145"/>
      <x:c r="AG2913" s="145"/>
      <x:c r="AH2913" s="145"/>
      <x:c r="AI2913" s="145"/>
      <x:c r="AJ2913"/>
    </x:row>
    <x:row r="2914">
      <x:c r="F2914" s="124"/>
      <x:c r="G2914" s="124"/>
      <x:c r="H2914" s="124"/>
      <x:c r="I2914" s="124"/>
      <x:c r="J2914" s="124"/>
      <x:c r="M2914" s="126"/>
      <x:c r="P2914" s="126"/>
      <x:c r="Q2914" s="126"/>
      <x:c r="R2914" s="126"/>
      <x:c r="S2914" s="124"/>
      <x:c r="T2914" s="124"/>
      <x:c r="U2914" s="124"/>
      <x:c r="V2914" s="124"/>
      <x:c r="W2914" s="124"/>
      <x:c r="X2914" s="124"/>
      <x:c r="AD2914"/>
      <x:c r="AE2914" s="145"/>
      <x:c r="AF2914" s="145"/>
      <x:c r="AG2914" s="145"/>
      <x:c r="AH2914" s="145"/>
      <x:c r="AI2914" s="145"/>
      <x:c r="AJ2914"/>
    </x:row>
    <x:row r="2915">
      <x:c r="F2915" s="124"/>
      <x:c r="G2915" s="124"/>
      <x:c r="H2915" s="124"/>
      <x:c r="I2915" s="124"/>
      <x:c r="J2915" s="124"/>
      <x:c r="M2915" s="126"/>
      <x:c r="P2915" s="126"/>
      <x:c r="Q2915" s="126"/>
      <x:c r="R2915" s="126"/>
      <x:c r="S2915" s="124"/>
      <x:c r="T2915" s="124"/>
      <x:c r="U2915" s="124"/>
      <x:c r="V2915" s="124"/>
      <x:c r="W2915" s="124"/>
      <x:c r="X2915" s="124"/>
      <x:c r="AD2915"/>
      <x:c r="AE2915" s="145"/>
      <x:c r="AF2915" s="145"/>
      <x:c r="AG2915" s="145"/>
      <x:c r="AH2915" s="145"/>
      <x:c r="AI2915" s="145"/>
      <x:c r="AJ2915"/>
    </x:row>
    <x:row r="2916">
      <x:c r="F2916" s="124"/>
      <x:c r="G2916" s="124"/>
      <x:c r="H2916" s="124"/>
      <x:c r="I2916" s="124"/>
      <x:c r="J2916" s="124"/>
      <x:c r="M2916" s="126"/>
      <x:c r="P2916" s="126"/>
      <x:c r="Q2916" s="126"/>
      <x:c r="R2916" s="126"/>
      <x:c r="S2916" s="124"/>
      <x:c r="T2916" s="124"/>
      <x:c r="U2916" s="124"/>
      <x:c r="V2916" s="124"/>
      <x:c r="W2916" s="124"/>
      <x:c r="X2916" s="124"/>
      <x:c r="AD2916"/>
      <x:c r="AE2916" s="145"/>
      <x:c r="AF2916" s="145"/>
      <x:c r="AG2916" s="145"/>
      <x:c r="AH2916" s="145"/>
      <x:c r="AI2916" s="145"/>
      <x:c r="AJ2916"/>
    </x:row>
    <x:row r="2917">
      <x:c r="F2917" s="124"/>
      <x:c r="G2917" s="124"/>
      <x:c r="H2917" s="124"/>
      <x:c r="I2917" s="124"/>
      <x:c r="J2917" s="124"/>
      <x:c r="M2917" s="126"/>
      <x:c r="P2917" s="126"/>
      <x:c r="Q2917" s="126"/>
      <x:c r="R2917" s="126"/>
      <x:c r="S2917" s="124"/>
      <x:c r="T2917" s="124"/>
      <x:c r="U2917" s="124"/>
      <x:c r="V2917" s="124"/>
      <x:c r="W2917" s="124"/>
      <x:c r="X2917" s="124"/>
      <x:c r="AD2917"/>
      <x:c r="AE2917" s="145"/>
      <x:c r="AF2917" s="145"/>
      <x:c r="AG2917" s="145"/>
      <x:c r="AH2917" s="145"/>
      <x:c r="AI2917" s="145"/>
      <x:c r="AJ2917"/>
    </x:row>
    <x:row r="2918">
      <x:c r="F2918" s="124"/>
      <x:c r="G2918" s="124"/>
      <x:c r="H2918" s="124"/>
      <x:c r="I2918" s="124"/>
      <x:c r="J2918" s="124"/>
      <x:c r="M2918" s="126"/>
      <x:c r="P2918" s="126"/>
      <x:c r="Q2918" s="126"/>
      <x:c r="R2918" s="126"/>
      <x:c r="S2918" s="124"/>
      <x:c r="T2918" s="124"/>
      <x:c r="U2918" s="124"/>
      <x:c r="V2918" s="124"/>
      <x:c r="W2918" s="124"/>
      <x:c r="X2918" s="124"/>
      <x:c r="AD2918"/>
      <x:c r="AE2918" s="145"/>
      <x:c r="AF2918" s="145"/>
      <x:c r="AG2918" s="145"/>
      <x:c r="AH2918" s="145"/>
      <x:c r="AI2918" s="145"/>
      <x:c r="AJ2918"/>
    </x:row>
    <x:row r="2919">
      <x:c r="F2919" s="124"/>
      <x:c r="G2919" s="124"/>
      <x:c r="H2919" s="124"/>
      <x:c r="I2919" s="124"/>
      <x:c r="J2919" s="124"/>
      <x:c r="M2919" s="126"/>
      <x:c r="P2919" s="126"/>
      <x:c r="Q2919" s="126"/>
      <x:c r="R2919" s="126"/>
      <x:c r="S2919" s="124"/>
      <x:c r="T2919" s="124"/>
      <x:c r="U2919" s="124"/>
      <x:c r="V2919" s="124"/>
      <x:c r="W2919" s="124"/>
      <x:c r="X2919" s="124"/>
      <x:c r="AD2919"/>
      <x:c r="AE2919" s="145"/>
      <x:c r="AF2919" s="145"/>
      <x:c r="AG2919" s="145"/>
      <x:c r="AH2919" s="145"/>
      <x:c r="AI2919" s="145"/>
      <x:c r="AJ2919"/>
    </x:row>
    <x:row r="2920">
      <x:c r="F2920" s="124"/>
      <x:c r="G2920" s="124"/>
      <x:c r="H2920" s="124"/>
      <x:c r="I2920" s="124"/>
      <x:c r="J2920" s="124"/>
      <x:c r="M2920" s="126"/>
      <x:c r="P2920" s="126"/>
      <x:c r="Q2920" s="126"/>
      <x:c r="R2920" s="126"/>
      <x:c r="S2920" s="124"/>
      <x:c r="T2920" s="124"/>
      <x:c r="U2920" s="124"/>
      <x:c r="V2920" s="124"/>
      <x:c r="W2920" s="124"/>
      <x:c r="X2920" s="124"/>
      <x:c r="AD2920"/>
      <x:c r="AE2920" s="145"/>
      <x:c r="AF2920" s="145"/>
      <x:c r="AG2920" s="145"/>
      <x:c r="AH2920" s="145"/>
      <x:c r="AI2920" s="145"/>
      <x:c r="AJ2920"/>
    </x:row>
    <x:row r="2921">
      <x:c r="F2921" s="124"/>
      <x:c r="G2921" s="124"/>
      <x:c r="H2921" s="124"/>
      <x:c r="I2921" s="124"/>
      <x:c r="J2921" s="124"/>
      <x:c r="M2921" s="126"/>
      <x:c r="P2921" s="126"/>
      <x:c r="Q2921" s="126"/>
      <x:c r="R2921" s="126"/>
      <x:c r="S2921" s="124"/>
      <x:c r="T2921" s="124"/>
      <x:c r="U2921" s="124"/>
      <x:c r="V2921" s="124"/>
      <x:c r="W2921" s="124"/>
      <x:c r="X2921" s="124"/>
      <x:c r="AD2921"/>
      <x:c r="AE2921" s="145"/>
      <x:c r="AF2921" s="145"/>
      <x:c r="AG2921" s="145"/>
      <x:c r="AH2921" s="145"/>
      <x:c r="AI2921" s="145"/>
      <x:c r="AJ2921"/>
    </x:row>
    <x:row r="2922">
      <x:c r="F2922" s="124"/>
      <x:c r="G2922" s="124"/>
      <x:c r="H2922" s="124"/>
      <x:c r="I2922" s="124"/>
      <x:c r="J2922" s="124"/>
      <x:c r="M2922" s="126"/>
      <x:c r="P2922" s="126"/>
      <x:c r="Q2922" s="126"/>
      <x:c r="R2922" s="126"/>
      <x:c r="S2922" s="124"/>
      <x:c r="T2922" s="124"/>
      <x:c r="U2922" s="124"/>
      <x:c r="V2922" s="124"/>
      <x:c r="W2922" s="124"/>
      <x:c r="X2922" s="124"/>
      <x:c r="AD2922"/>
      <x:c r="AE2922" s="145"/>
      <x:c r="AF2922" s="145"/>
      <x:c r="AG2922" s="145"/>
      <x:c r="AH2922" s="145"/>
      <x:c r="AI2922" s="145"/>
      <x:c r="AJ2922"/>
    </x:row>
    <x:row r="2923">
      <x:c r="F2923" s="124"/>
      <x:c r="G2923" s="124"/>
      <x:c r="H2923" s="124"/>
      <x:c r="I2923" s="124"/>
      <x:c r="J2923" s="124"/>
      <x:c r="M2923" s="126"/>
      <x:c r="P2923" s="126"/>
      <x:c r="Q2923" s="126"/>
      <x:c r="R2923" s="126"/>
      <x:c r="S2923" s="124"/>
      <x:c r="T2923" s="124"/>
      <x:c r="U2923" s="124"/>
      <x:c r="V2923" s="124"/>
      <x:c r="W2923" s="124"/>
      <x:c r="X2923" s="124"/>
      <x:c r="AD2923"/>
      <x:c r="AE2923" s="145"/>
      <x:c r="AF2923" s="145"/>
      <x:c r="AG2923" s="145"/>
      <x:c r="AH2923" s="145"/>
      <x:c r="AI2923" s="145"/>
      <x:c r="AJ2923"/>
    </x:row>
    <x:row r="2924">
      <x:c r="F2924" s="124"/>
      <x:c r="G2924" s="124"/>
      <x:c r="H2924" s="124"/>
      <x:c r="I2924" s="124"/>
      <x:c r="J2924" s="124"/>
      <x:c r="M2924" s="126"/>
      <x:c r="P2924" s="126"/>
      <x:c r="Q2924" s="126"/>
      <x:c r="R2924" s="126"/>
      <x:c r="S2924" s="124"/>
      <x:c r="T2924" s="124"/>
      <x:c r="U2924" s="124"/>
      <x:c r="V2924" s="124"/>
      <x:c r="W2924" s="124"/>
      <x:c r="X2924" s="124"/>
      <x:c r="AD2924"/>
      <x:c r="AE2924" s="145"/>
      <x:c r="AF2924" s="145"/>
      <x:c r="AG2924" s="145"/>
      <x:c r="AH2924" s="145"/>
      <x:c r="AI2924" s="145"/>
      <x:c r="AJ2924"/>
    </x:row>
    <x:row r="2925">
      <x:c r="F2925" s="124"/>
      <x:c r="G2925" s="124"/>
      <x:c r="H2925" s="124"/>
      <x:c r="I2925" s="124"/>
      <x:c r="J2925" s="124"/>
      <x:c r="M2925" s="126"/>
      <x:c r="P2925" s="126"/>
      <x:c r="Q2925" s="126"/>
      <x:c r="R2925" s="126"/>
      <x:c r="S2925" s="124"/>
      <x:c r="T2925" s="124"/>
      <x:c r="U2925" s="124"/>
      <x:c r="V2925" s="124"/>
      <x:c r="W2925" s="124"/>
      <x:c r="X2925" s="124"/>
      <x:c r="AD2925"/>
      <x:c r="AE2925" s="145"/>
      <x:c r="AF2925" s="145"/>
      <x:c r="AG2925" s="145"/>
      <x:c r="AH2925" s="145"/>
      <x:c r="AI2925" s="145"/>
      <x:c r="AJ2925"/>
    </x:row>
    <x:row r="2926">
      <x:c r="F2926" s="124"/>
      <x:c r="G2926" s="124"/>
      <x:c r="H2926" s="124"/>
      <x:c r="I2926" s="124"/>
      <x:c r="J2926" s="124"/>
      <x:c r="M2926" s="126"/>
      <x:c r="P2926" s="126"/>
      <x:c r="Q2926" s="126"/>
      <x:c r="R2926" s="126"/>
      <x:c r="S2926" s="124"/>
      <x:c r="T2926" s="124"/>
      <x:c r="U2926" s="124"/>
      <x:c r="V2926" s="124"/>
      <x:c r="W2926" s="124"/>
      <x:c r="X2926" s="124"/>
      <x:c r="AD2926"/>
      <x:c r="AE2926" s="145"/>
      <x:c r="AF2926" s="145"/>
      <x:c r="AG2926" s="145"/>
      <x:c r="AH2926" s="145"/>
      <x:c r="AI2926" s="145"/>
      <x:c r="AJ2926"/>
    </x:row>
    <x:row r="2927">
      <x:c r="F2927" s="124"/>
      <x:c r="G2927" s="124"/>
      <x:c r="H2927" s="124"/>
      <x:c r="I2927" s="124"/>
      <x:c r="J2927" s="124"/>
      <x:c r="M2927" s="126"/>
      <x:c r="P2927" s="126"/>
      <x:c r="Q2927" s="126"/>
      <x:c r="R2927" s="126"/>
      <x:c r="S2927" s="124"/>
      <x:c r="T2927" s="124"/>
      <x:c r="U2927" s="124"/>
      <x:c r="V2927" s="124"/>
      <x:c r="W2927" s="124"/>
      <x:c r="X2927" s="124"/>
      <x:c r="AD2927"/>
      <x:c r="AE2927" s="145"/>
      <x:c r="AF2927" s="145"/>
      <x:c r="AG2927" s="145"/>
      <x:c r="AH2927" s="145"/>
      <x:c r="AI2927" s="145"/>
      <x:c r="AJ2927"/>
    </x:row>
    <x:row r="2928">
      <x:c r="F2928" s="124"/>
      <x:c r="G2928" s="124"/>
      <x:c r="H2928" s="124"/>
      <x:c r="I2928" s="124"/>
      <x:c r="J2928" s="124"/>
      <x:c r="M2928" s="126"/>
      <x:c r="P2928" s="126"/>
      <x:c r="Q2928" s="126"/>
      <x:c r="R2928" s="126"/>
      <x:c r="S2928" s="124"/>
      <x:c r="T2928" s="124"/>
      <x:c r="U2928" s="124"/>
      <x:c r="V2928" s="124"/>
      <x:c r="W2928" s="124"/>
      <x:c r="X2928" s="124"/>
      <x:c r="AD2928"/>
      <x:c r="AE2928" s="145"/>
      <x:c r="AF2928" s="145"/>
      <x:c r="AG2928" s="145"/>
      <x:c r="AH2928" s="145"/>
      <x:c r="AI2928" s="145"/>
      <x:c r="AJ2928"/>
    </x:row>
    <x:row r="2929">
      <x:c r="F2929" s="124"/>
      <x:c r="G2929" s="124"/>
      <x:c r="H2929" s="124"/>
      <x:c r="I2929" s="124"/>
      <x:c r="J2929" s="124"/>
      <x:c r="M2929" s="126"/>
      <x:c r="P2929" s="126"/>
      <x:c r="Q2929" s="126"/>
      <x:c r="R2929" s="126"/>
      <x:c r="S2929" s="124"/>
      <x:c r="T2929" s="124"/>
      <x:c r="U2929" s="124"/>
      <x:c r="V2929" s="124"/>
      <x:c r="W2929" s="124"/>
      <x:c r="X2929" s="124"/>
      <x:c r="AD2929"/>
      <x:c r="AE2929" s="145"/>
      <x:c r="AF2929" s="145"/>
      <x:c r="AG2929" s="145"/>
      <x:c r="AH2929" s="145"/>
      <x:c r="AI2929" s="145"/>
      <x:c r="AJ2929"/>
    </x:row>
    <x:row r="2930">
      <x:c r="F2930" s="124"/>
      <x:c r="G2930" s="124"/>
      <x:c r="H2930" s="124"/>
      <x:c r="I2930" s="124"/>
      <x:c r="J2930" s="124"/>
      <x:c r="M2930" s="126"/>
      <x:c r="P2930" s="126"/>
      <x:c r="Q2930" s="126"/>
      <x:c r="R2930" s="126"/>
      <x:c r="S2930" s="124"/>
      <x:c r="T2930" s="124"/>
      <x:c r="U2930" s="124"/>
      <x:c r="V2930" s="124"/>
      <x:c r="W2930" s="124"/>
      <x:c r="X2930" s="124"/>
      <x:c r="AD2930"/>
      <x:c r="AE2930" s="145"/>
      <x:c r="AF2930" s="145"/>
      <x:c r="AG2930" s="145"/>
      <x:c r="AH2930" s="145"/>
      <x:c r="AI2930" s="145"/>
      <x:c r="AJ2930"/>
    </x:row>
    <x:row r="2931">
      <x:c r="F2931" s="124"/>
      <x:c r="G2931" s="124"/>
      <x:c r="H2931" s="124"/>
      <x:c r="I2931" s="124"/>
      <x:c r="J2931" s="124"/>
      <x:c r="M2931" s="126"/>
      <x:c r="P2931" s="126"/>
      <x:c r="Q2931" s="126"/>
      <x:c r="R2931" s="126"/>
      <x:c r="S2931" s="124"/>
      <x:c r="T2931" s="124"/>
      <x:c r="U2931" s="124"/>
      <x:c r="V2931" s="124"/>
      <x:c r="W2931" s="124"/>
      <x:c r="X2931" s="124"/>
      <x:c r="AD2931"/>
      <x:c r="AE2931" s="145"/>
      <x:c r="AF2931" s="145"/>
      <x:c r="AG2931" s="145"/>
      <x:c r="AH2931" s="145"/>
      <x:c r="AI2931" s="145"/>
      <x:c r="AJ2931"/>
    </x:row>
    <x:row r="2932">
      <x:c r="F2932" s="124"/>
      <x:c r="G2932" s="124"/>
      <x:c r="H2932" s="124"/>
      <x:c r="I2932" s="124"/>
      <x:c r="J2932" s="124"/>
      <x:c r="M2932" s="126"/>
      <x:c r="P2932" s="126"/>
      <x:c r="Q2932" s="126"/>
      <x:c r="R2932" s="126"/>
      <x:c r="S2932" s="124"/>
      <x:c r="T2932" s="124"/>
      <x:c r="U2932" s="124"/>
      <x:c r="V2932" s="124"/>
      <x:c r="W2932" s="124"/>
      <x:c r="X2932" s="124"/>
      <x:c r="AD2932"/>
      <x:c r="AE2932" s="145"/>
      <x:c r="AF2932" s="145"/>
      <x:c r="AG2932" s="145"/>
      <x:c r="AH2932" s="145"/>
      <x:c r="AI2932" s="145"/>
      <x:c r="AJ2932"/>
    </x:row>
    <x:row r="2933">
      <x:c r="F2933" s="124"/>
      <x:c r="G2933" s="124"/>
      <x:c r="H2933" s="124"/>
      <x:c r="I2933" s="124"/>
      <x:c r="J2933" s="124"/>
      <x:c r="M2933" s="126"/>
      <x:c r="P2933" s="126"/>
      <x:c r="Q2933" s="126"/>
      <x:c r="R2933" s="126"/>
      <x:c r="S2933" s="124"/>
      <x:c r="T2933" s="124"/>
      <x:c r="U2933" s="124"/>
      <x:c r="V2933" s="124"/>
      <x:c r="W2933" s="124"/>
      <x:c r="X2933" s="124"/>
      <x:c r="AD2933"/>
      <x:c r="AE2933" s="145"/>
      <x:c r="AF2933" s="145"/>
      <x:c r="AG2933" s="145"/>
      <x:c r="AH2933" s="145"/>
      <x:c r="AI2933" s="145"/>
      <x:c r="AJ2933"/>
    </x:row>
    <x:row r="2934">
      <x:c r="F2934" s="124"/>
      <x:c r="G2934" s="124"/>
      <x:c r="H2934" s="124"/>
      <x:c r="I2934" s="124"/>
      <x:c r="J2934" s="124"/>
      <x:c r="M2934" s="126"/>
      <x:c r="P2934" s="126"/>
      <x:c r="Q2934" s="126"/>
      <x:c r="R2934" s="126"/>
      <x:c r="S2934" s="124"/>
      <x:c r="T2934" s="124"/>
      <x:c r="U2934" s="124"/>
      <x:c r="V2934" s="124"/>
      <x:c r="W2934" s="124"/>
      <x:c r="X2934" s="124"/>
      <x:c r="AD2934"/>
      <x:c r="AE2934" s="145"/>
      <x:c r="AF2934" s="145"/>
      <x:c r="AG2934" s="145"/>
      <x:c r="AH2934" s="145"/>
      <x:c r="AI2934" s="145"/>
      <x:c r="AJ2934"/>
    </x:row>
    <x:row r="2935">
      <x:c r="F2935" s="124"/>
      <x:c r="G2935" s="124"/>
      <x:c r="H2935" s="124"/>
      <x:c r="I2935" s="124"/>
      <x:c r="J2935" s="124"/>
      <x:c r="M2935" s="126"/>
      <x:c r="P2935" s="126"/>
      <x:c r="Q2935" s="126"/>
      <x:c r="R2935" s="126"/>
      <x:c r="S2935" s="124"/>
      <x:c r="T2935" s="124"/>
      <x:c r="U2935" s="124"/>
      <x:c r="V2935" s="124"/>
      <x:c r="W2935" s="124"/>
      <x:c r="X2935" s="124"/>
      <x:c r="AD2935"/>
      <x:c r="AE2935" s="145"/>
      <x:c r="AF2935" s="145"/>
      <x:c r="AG2935" s="145"/>
      <x:c r="AH2935" s="145"/>
      <x:c r="AI2935" s="145"/>
      <x:c r="AJ2935"/>
    </x:row>
    <x:row r="2936">
      <x:c r="F2936" s="124"/>
      <x:c r="G2936" s="124"/>
      <x:c r="H2936" s="124"/>
      <x:c r="I2936" s="124"/>
      <x:c r="J2936" s="124"/>
      <x:c r="M2936" s="126"/>
      <x:c r="P2936" s="126"/>
      <x:c r="Q2936" s="126"/>
      <x:c r="R2936" s="126"/>
      <x:c r="S2936" s="124"/>
      <x:c r="T2936" s="124"/>
      <x:c r="U2936" s="124"/>
      <x:c r="V2936" s="124"/>
      <x:c r="W2936" s="124"/>
      <x:c r="X2936" s="124"/>
      <x:c r="AD2936"/>
      <x:c r="AE2936" s="145"/>
      <x:c r="AF2936" s="145"/>
      <x:c r="AG2936" s="145"/>
      <x:c r="AH2936" s="145"/>
      <x:c r="AI2936" s="145"/>
      <x:c r="AJ2936"/>
    </x:row>
    <x:row r="2937">
      <x:c r="F2937" s="124"/>
      <x:c r="G2937" s="124"/>
      <x:c r="H2937" s="124"/>
      <x:c r="I2937" s="124"/>
      <x:c r="J2937" s="124"/>
      <x:c r="M2937" s="126"/>
      <x:c r="P2937" s="126"/>
      <x:c r="Q2937" s="126"/>
      <x:c r="R2937" s="126"/>
      <x:c r="S2937" s="124"/>
      <x:c r="T2937" s="124"/>
      <x:c r="U2937" s="124"/>
      <x:c r="V2937" s="124"/>
      <x:c r="W2937" s="124"/>
      <x:c r="X2937" s="124"/>
      <x:c r="AD2937"/>
      <x:c r="AE2937" s="145"/>
      <x:c r="AF2937" s="145"/>
      <x:c r="AG2937" s="145"/>
      <x:c r="AH2937" s="145"/>
      <x:c r="AI2937" s="145"/>
      <x:c r="AJ2937"/>
    </x:row>
    <x:row r="2938">
      <x:c r="F2938" s="124"/>
      <x:c r="G2938" s="124"/>
      <x:c r="H2938" s="124"/>
      <x:c r="I2938" s="124"/>
      <x:c r="J2938" s="124"/>
      <x:c r="M2938" s="126"/>
      <x:c r="P2938" s="126"/>
      <x:c r="Q2938" s="126"/>
      <x:c r="R2938" s="126"/>
      <x:c r="S2938" s="124"/>
      <x:c r="T2938" s="124"/>
      <x:c r="U2938" s="124"/>
      <x:c r="V2938" s="124"/>
      <x:c r="W2938" s="124"/>
      <x:c r="X2938" s="124"/>
      <x:c r="AD2938"/>
      <x:c r="AE2938" s="145"/>
      <x:c r="AF2938" s="145"/>
      <x:c r="AG2938" s="145"/>
      <x:c r="AH2938" s="145"/>
      <x:c r="AI2938" s="145"/>
      <x:c r="AJ2938"/>
    </x:row>
    <x:row r="2939">
      <x:c r="F2939" s="124"/>
      <x:c r="G2939" s="124"/>
      <x:c r="H2939" s="124"/>
      <x:c r="I2939" s="124"/>
      <x:c r="J2939" s="124"/>
      <x:c r="M2939" s="126"/>
      <x:c r="P2939" s="126"/>
      <x:c r="Q2939" s="126"/>
      <x:c r="R2939" s="126"/>
      <x:c r="S2939" s="124"/>
      <x:c r="T2939" s="124"/>
      <x:c r="U2939" s="124"/>
      <x:c r="V2939" s="124"/>
      <x:c r="W2939" s="124"/>
      <x:c r="X2939" s="124"/>
      <x:c r="AD2939"/>
      <x:c r="AE2939" s="145"/>
      <x:c r="AF2939" s="145"/>
      <x:c r="AG2939" s="145"/>
      <x:c r="AH2939" s="145"/>
      <x:c r="AI2939" s="145"/>
      <x:c r="AJ2939"/>
    </x:row>
    <x:row r="2940">
      <x:c r="F2940" s="124"/>
      <x:c r="G2940" s="124"/>
      <x:c r="H2940" s="124"/>
      <x:c r="I2940" s="124"/>
      <x:c r="J2940" s="124"/>
      <x:c r="M2940" s="126"/>
      <x:c r="P2940" s="126"/>
      <x:c r="Q2940" s="126"/>
      <x:c r="R2940" s="126"/>
      <x:c r="S2940" s="124"/>
      <x:c r="T2940" s="124"/>
      <x:c r="U2940" s="124"/>
      <x:c r="V2940" s="124"/>
      <x:c r="W2940" s="124"/>
      <x:c r="X2940" s="124"/>
      <x:c r="AD2940"/>
      <x:c r="AE2940" s="145"/>
      <x:c r="AF2940" s="145"/>
      <x:c r="AG2940" s="145"/>
      <x:c r="AH2940" s="145"/>
      <x:c r="AI2940" s="145"/>
      <x:c r="AJ2940"/>
    </x:row>
    <x:row r="2941">
      <x:c r="F2941" s="124"/>
      <x:c r="G2941" s="124"/>
      <x:c r="H2941" s="124"/>
      <x:c r="I2941" s="124"/>
      <x:c r="J2941" s="124"/>
      <x:c r="M2941" s="126"/>
      <x:c r="P2941" s="126"/>
      <x:c r="Q2941" s="126"/>
      <x:c r="R2941" s="126"/>
      <x:c r="S2941" s="124"/>
      <x:c r="T2941" s="124"/>
      <x:c r="U2941" s="124"/>
      <x:c r="V2941" s="124"/>
      <x:c r="W2941" s="124"/>
      <x:c r="X2941" s="124"/>
      <x:c r="AD2941"/>
      <x:c r="AE2941" s="145"/>
      <x:c r="AF2941" s="145"/>
      <x:c r="AG2941" s="145"/>
      <x:c r="AH2941" s="145"/>
      <x:c r="AI2941" s="145"/>
      <x:c r="AJ2941"/>
    </x:row>
    <x:row r="2942">
      <x:c r="F2942" s="124"/>
      <x:c r="G2942" s="124"/>
      <x:c r="H2942" s="124"/>
      <x:c r="I2942" s="124"/>
      <x:c r="J2942" s="124"/>
      <x:c r="M2942" s="126"/>
      <x:c r="P2942" s="126"/>
      <x:c r="Q2942" s="126"/>
      <x:c r="R2942" s="126"/>
      <x:c r="S2942" s="124"/>
      <x:c r="T2942" s="124"/>
      <x:c r="U2942" s="124"/>
      <x:c r="V2942" s="124"/>
      <x:c r="W2942" s="124"/>
      <x:c r="X2942" s="124"/>
      <x:c r="AD2942"/>
      <x:c r="AE2942" s="145"/>
      <x:c r="AF2942" s="145"/>
      <x:c r="AG2942" s="145"/>
      <x:c r="AH2942" s="145"/>
      <x:c r="AI2942" s="145"/>
      <x:c r="AJ2942"/>
    </x:row>
    <x:row r="2943">
      <x:c r="F2943" s="124"/>
      <x:c r="G2943" s="124"/>
      <x:c r="H2943" s="124"/>
      <x:c r="I2943" s="124"/>
      <x:c r="J2943" s="124"/>
      <x:c r="M2943" s="126"/>
      <x:c r="P2943" s="126"/>
      <x:c r="Q2943" s="126"/>
      <x:c r="R2943" s="126"/>
      <x:c r="S2943" s="124"/>
      <x:c r="T2943" s="124"/>
      <x:c r="U2943" s="124"/>
      <x:c r="V2943" s="124"/>
      <x:c r="W2943" s="124"/>
      <x:c r="X2943" s="124"/>
      <x:c r="AD2943"/>
      <x:c r="AE2943" s="145"/>
      <x:c r="AF2943" s="145"/>
      <x:c r="AG2943" s="145"/>
      <x:c r="AH2943" s="145"/>
      <x:c r="AI2943" s="145"/>
      <x:c r="AJ2943"/>
    </x:row>
    <x:row r="2944">
      <x:c r="F2944" s="124"/>
      <x:c r="G2944" s="124"/>
      <x:c r="H2944" s="124"/>
      <x:c r="I2944" s="124"/>
      <x:c r="J2944" s="124"/>
      <x:c r="M2944" s="126"/>
      <x:c r="P2944" s="126"/>
      <x:c r="Q2944" s="126"/>
      <x:c r="R2944" s="126"/>
      <x:c r="S2944" s="124"/>
      <x:c r="T2944" s="124"/>
      <x:c r="U2944" s="124"/>
      <x:c r="V2944" s="124"/>
      <x:c r="W2944" s="124"/>
      <x:c r="X2944" s="124"/>
      <x:c r="AD2944"/>
      <x:c r="AE2944" s="145"/>
      <x:c r="AF2944" s="145"/>
      <x:c r="AG2944" s="145"/>
      <x:c r="AH2944" s="145"/>
      <x:c r="AI2944" s="145"/>
      <x:c r="AJ2944"/>
    </x:row>
    <x:row r="2945">
      <x:c r="F2945" s="124"/>
      <x:c r="G2945" s="124"/>
      <x:c r="H2945" s="124"/>
      <x:c r="I2945" s="124"/>
      <x:c r="J2945" s="124"/>
      <x:c r="M2945" s="126"/>
      <x:c r="P2945" s="126"/>
      <x:c r="Q2945" s="126"/>
      <x:c r="R2945" s="126"/>
      <x:c r="S2945" s="124"/>
      <x:c r="T2945" s="124"/>
      <x:c r="U2945" s="124"/>
      <x:c r="V2945" s="124"/>
      <x:c r="W2945" s="124"/>
      <x:c r="X2945" s="124"/>
      <x:c r="AD2945"/>
      <x:c r="AE2945" s="145"/>
      <x:c r="AF2945" s="145"/>
      <x:c r="AG2945" s="145"/>
      <x:c r="AH2945" s="145"/>
      <x:c r="AI2945" s="145"/>
      <x:c r="AJ2945"/>
    </x:row>
    <x:row r="2946">
      <x:c r="F2946" s="124"/>
      <x:c r="G2946" s="124"/>
      <x:c r="H2946" s="124"/>
      <x:c r="I2946" s="124"/>
      <x:c r="J2946" s="124"/>
      <x:c r="M2946" s="126"/>
      <x:c r="P2946" s="126"/>
      <x:c r="Q2946" s="126"/>
      <x:c r="R2946" s="126"/>
      <x:c r="S2946" s="124"/>
      <x:c r="T2946" s="124"/>
      <x:c r="U2946" s="124"/>
      <x:c r="V2946" s="124"/>
      <x:c r="W2946" s="124"/>
      <x:c r="X2946" s="124"/>
      <x:c r="AD2946"/>
      <x:c r="AE2946" s="145"/>
      <x:c r="AF2946" s="145"/>
      <x:c r="AG2946" s="145"/>
      <x:c r="AH2946" s="145"/>
      <x:c r="AI2946" s="145"/>
      <x:c r="AJ2946"/>
    </x:row>
    <x:row r="2947">
      <x:c r="F2947" s="124"/>
      <x:c r="G2947" s="124"/>
      <x:c r="H2947" s="124"/>
      <x:c r="I2947" s="124"/>
      <x:c r="J2947" s="124"/>
      <x:c r="M2947" s="126"/>
      <x:c r="P2947" s="126"/>
      <x:c r="Q2947" s="126"/>
      <x:c r="R2947" s="126"/>
      <x:c r="S2947" s="124"/>
      <x:c r="T2947" s="124"/>
      <x:c r="U2947" s="124"/>
      <x:c r="V2947" s="124"/>
      <x:c r="W2947" s="124"/>
      <x:c r="X2947" s="124"/>
      <x:c r="AD2947"/>
      <x:c r="AE2947" s="145"/>
      <x:c r="AF2947" s="145"/>
      <x:c r="AG2947" s="145"/>
      <x:c r="AH2947" s="145"/>
      <x:c r="AI2947" s="145"/>
      <x:c r="AJ2947"/>
    </x:row>
    <x:row r="2948">
      <x:c r="F2948" s="124"/>
      <x:c r="G2948" s="124"/>
      <x:c r="H2948" s="124"/>
      <x:c r="I2948" s="124"/>
      <x:c r="J2948" s="124"/>
      <x:c r="M2948" s="126"/>
      <x:c r="P2948" s="126"/>
      <x:c r="Q2948" s="126"/>
      <x:c r="R2948" s="126"/>
      <x:c r="S2948" s="124"/>
      <x:c r="T2948" s="124"/>
      <x:c r="U2948" s="124"/>
      <x:c r="V2948" s="124"/>
      <x:c r="W2948" s="124"/>
      <x:c r="X2948" s="124"/>
      <x:c r="AD2948"/>
      <x:c r="AE2948" s="145"/>
      <x:c r="AF2948" s="145"/>
      <x:c r="AG2948" s="145"/>
      <x:c r="AH2948" s="145"/>
      <x:c r="AI2948" s="145"/>
      <x:c r="AJ2948"/>
    </x:row>
    <x:row r="2949">
      <x:c r="F2949" s="124"/>
      <x:c r="G2949" s="124"/>
      <x:c r="H2949" s="124"/>
      <x:c r="I2949" s="124"/>
      <x:c r="J2949" s="124"/>
      <x:c r="M2949" s="126"/>
      <x:c r="P2949" s="126"/>
      <x:c r="Q2949" s="126"/>
      <x:c r="R2949" s="126"/>
      <x:c r="S2949" s="124"/>
      <x:c r="T2949" s="124"/>
      <x:c r="U2949" s="124"/>
      <x:c r="V2949" s="124"/>
      <x:c r="W2949" s="124"/>
      <x:c r="X2949" s="124"/>
      <x:c r="AD2949"/>
      <x:c r="AE2949" s="145"/>
      <x:c r="AF2949" s="145"/>
      <x:c r="AG2949" s="145"/>
      <x:c r="AH2949" s="145"/>
      <x:c r="AI2949" s="145"/>
      <x:c r="AJ2949"/>
    </x:row>
    <x:row r="2950">
      <x:c r="F2950" s="124"/>
      <x:c r="G2950" s="124"/>
      <x:c r="H2950" s="124"/>
      <x:c r="I2950" s="124"/>
      <x:c r="J2950" s="124"/>
      <x:c r="M2950" s="126"/>
      <x:c r="P2950" s="126"/>
      <x:c r="Q2950" s="126"/>
      <x:c r="R2950" s="126"/>
      <x:c r="S2950" s="124"/>
      <x:c r="T2950" s="124"/>
      <x:c r="U2950" s="124"/>
      <x:c r="V2950" s="124"/>
      <x:c r="W2950" s="124"/>
      <x:c r="X2950" s="124"/>
      <x:c r="AD2950"/>
      <x:c r="AE2950" s="145"/>
      <x:c r="AF2950" s="145"/>
      <x:c r="AG2950" s="145"/>
      <x:c r="AH2950" s="145"/>
      <x:c r="AI2950" s="145"/>
      <x:c r="AJ2950"/>
    </x:row>
    <x:row r="2951">
      <x:c r="F2951" s="124"/>
      <x:c r="G2951" s="124"/>
      <x:c r="H2951" s="124"/>
      <x:c r="I2951" s="124"/>
      <x:c r="J2951" s="124"/>
      <x:c r="M2951" s="126"/>
      <x:c r="P2951" s="126"/>
      <x:c r="Q2951" s="126"/>
      <x:c r="R2951" s="126"/>
      <x:c r="S2951" s="124"/>
      <x:c r="T2951" s="124"/>
      <x:c r="U2951" s="124"/>
      <x:c r="V2951" s="124"/>
      <x:c r="W2951" s="124"/>
      <x:c r="X2951" s="124"/>
      <x:c r="AD2951"/>
      <x:c r="AE2951" s="145"/>
      <x:c r="AF2951" s="145"/>
      <x:c r="AG2951" s="145"/>
      <x:c r="AH2951" s="145"/>
      <x:c r="AI2951" s="145"/>
      <x:c r="AJ2951"/>
    </x:row>
    <x:row r="2952">
      <x:c r="F2952" s="124"/>
      <x:c r="G2952" s="124"/>
      <x:c r="H2952" s="124"/>
      <x:c r="I2952" s="124"/>
      <x:c r="J2952" s="124"/>
      <x:c r="M2952" s="126"/>
      <x:c r="P2952" s="126"/>
      <x:c r="Q2952" s="126"/>
      <x:c r="R2952" s="126"/>
      <x:c r="S2952" s="124"/>
      <x:c r="T2952" s="124"/>
      <x:c r="U2952" s="124"/>
      <x:c r="V2952" s="124"/>
      <x:c r="W2952" s="124"/>
      <x:c r="X2952" s="124"/>
      <x:c r="AD2952"/>
      <x:c r="AE2952" s="145"/>
      <x:c r="AF2952" s="145"/>
      <x:c r="AG2952" s="145"/>
      <x:c r="AH2952" s="145"/>
      <x:c r="AI2952" s="145"/>
      <x:c r="AJ2952"/>
    </x:row>
    <x:row r="2953">
      <x:c r="F2953" s="124"/>
      <x:c r="G2953" s="124"/>
      <x:c r="H2953" s="124"/>
      <x:c r="I2953" s="124"/>
      <x:c r="J2953" s="124"/>
      <x:c r="M2953" s="126"/>
      <x:c r="P2953" s="126"/>
      <x:c r="Q2953" s="126"/>
      <x:c r="R2953" s="126"/>
      <x:c r="S2953" s="124"/>
      <x:c r="T2953" s="124"/>
      <x:c r="U2953" s="124"/>
      <x:c r="V2953" s="124"/>
      <x:c r="W2953" s="124"/>
      <x:c r="X2953" s="124"/>
      <x:c r="AD2953"/>
      <x:c r="AE2953" s="145"/>
      <x:c r="AF2953" s="145"/>
      <x:c r="AG2953" s="145"/>
      <x:c r="AH2953" s="145"/>
      <x:c r="AI2953" s="145"/>
      <x:c r="AJ2953"/>
    </x:row>
    <x:row r="2954">
      <x:c r="F2954" s="124"/>
      <x:c r="G2954" s="124"/>
      <x:c r="H2954" s="124"/>
      <x:c r="I2954" s="124"/>
      <x:c r="J2954" s="124"/>
      <x:c r="M2954" s="126"/>
      <x:c r="P2954" s="126"/>
      <x:c r="Q2954" s="126"/>
      <x:c r="R2954" s="126"/>
      <x:c r="S2954" s="124"/>
      <x:c r="T2954" s="124"/>
      <x:c r="U2954" s="124"/>
      <x:c r="V2954" s="124"/>
      <x:c r="W2954" s="124"/>
      <x:c r="X2954" s="124"/>
      <x:c r="AD2954"/>
      <x:c r="AE2954" s="145"/>
      <x:c r="AF2954" s="145"/>
      <x:c r="AG2954" s="145"/>
      <x:c r="AH2954" s="145"/>
      <x:c r="AI2954" s="145"/>
      <x:c r="AJ2954"/>
    </x:row>
    <x:row r="2955">
      <x:c r="F2955" s="124"/>
      <x:c r="G2955" s="124"/>
      <x:c r="H2955" s="124"/>
      <x:c r="I2955" s="124"/>
      <x:c r="J2955" s="124"/>
      <x:c r="M2955" s="126"/>
      <x:c r="P2955" s="126"/>
      <x:c r="Q2955" s="126"/>
      <x:c r="R2955" s="126"/>
      <x:c r="S2955" s="124"/>
      <x:c r="T2955" s="124"/>
      <x:c r="U2955" s="124"/>
      <x:c r="V2955" s="124"/>
      <x:c r="W2955" s="124"/>
      <x:c r="X2955" s="124"/>
      <x:c r="AD2955"/>
      <x:c r="AE2955" s="145"/>
      <x:c r="AF2955" s="145"/>
      <x:c r="AG2955" s="145"/>
      <x:c r="AH2955" s="145"/>
      <x:c r="AI2955" s="145"/>
      <x:c r="AJ2955"/>
    </x:row>
    <x:row r="2956">
      <x:c r="F2956" s="124"/>
      <x:c r="G2956" s="124"/>
      <x:c r="H2956" s="124"/>
      <x:c r="I2956" s="124"/>
      <x:c r="J2956" s="124"/>
      <x:c r="M2956" s="126"/>
      <x:c r="P2956" s="126"/>
      <x:c r="Q2956" s="126"/>
      <x:c r="R2956" s="126"/>
      <x:c r="S2956" s="124"/>
      <x:c r="T2956" s="124"/>
      <x:c r="U2956" s="124"/>
      <x:c r="V2956" s="124"/>
      <x:c r="W2956" s="124"/>
      <x:c r="X2956" s="124"/>
      <x:c r="AD2956"/>
      <x:c r="AE2956" s="145"/>
      <x:c r="AF2956" s="145"/>
      <x:c r="AG2956" s="145"/>
      <x:c r="AH2956" s="145"/>
      <x:c r="AI2956" s="145"/>
      <x:c r="AJ2956"/>
    </x:row>
    <x:row r="2957">
      <x:c r="F2957" s="124"/>
      <x:c r="G2957" s="124"/>
      <x:c r="H2957" s="124"/>
      <x:c r="I2957" s="124"/>
      <x:c r="J2957" s="124"/>
      <x:c r="M2957" s="126"/>
      <x:c r="P2957" s="126"/>
      <x:c r="Q2957" s="126"/>
      <x:c r="R2957" s="126"/>
      <x:c r="S2957" s="124"/>
      <x:c r="T2957" s="124"/>
      <x:c r="U2957" s="124"/>
      <x:c r="V2957" s="124"/>
      <x:c r="W2957" s="124"/>
      <x:c r="X2957" s="124"/>
      <x:c r="AD2957"/>
      <x:c r="AE2957" s="145"/>
      <x:c r="AF2957" s="145"/>
      <x:c r="AG2957" s="145"/>
      <x:c r="AH2957" s="145"/>
      <x:c r="AI2957" s="145"/>
      <x:c r="AJ2957"/>
    </x:row>
    <x:row r="2958">
      <x:c r="F2958" s="124"/>
      <x:c r="G2958" s="124"/>
      <x:c r="H2958" s="124"/>
      <x:c r="I2958" s="124"/>
      <x:c r="J2958" s="124"/>
      <x:c r="M2958" s="126"/>
      <x:c r="P2958" s="126"/>
      <x:c r="Q2958" s="126"/>
      <x:c r="R2958" s="126"/>
      <x:c r="S2958" s="124"/>
      <x:c r="T2958" s="124"/>
      <x:c r="U2958" s="124"/>
      <x:c r="V2958" s="124"/>
      <x:c r="W2958" s="124"/>
      <x:c r="X2958" s="124"/>
      <x:c r="AD2958"/>
      <x:c r="AE2958" s="145"/>
      <x:c r="AF2958" s="145"/>
      <x:c r="AG2958" s="145"/>
      <x:c r="AH2958" s="145"/>
      <x:c r="AI2958" s="145"/>
      <x:c r="AJ2958"/>
    </x:row>
    <x:row r="2959">
      <x:c r="F2959" s="124"/>
      <x:c r="G2959" s="124"/>
      <x:c r="H2959" s="124"/>
      <x:c r="I2959" s="124"/>
      <x:c r="J2959" s="124"/>
      <x:c r="M2959" s="126"/>
      <x:c r="P2959" s="126"/>
      <x:c r="Q2959" s="126"/>
      <x:c r="R2959" s="126"/>
      <x:c r="S2959" s="124"/>
      <x:c r="T2959" s="124"/>
      <x:c r="U2959" s="124"/>
      <x:c r="V2959" s="124"/>
      <x:c r="W2959" s="124"/>
      <x:c r="X2959" s="124"/>
      <x:c r="AD2959"/>
      <x:c r="AE2959" s="145"/>
      <x:c r="AF2959" s="145"/>
      <x:c r="AG2959" s="145"/>
      <x:c r="AH2959" s="145"/>
      <x:c r="AI2959" s="145"/>
      <x:c r="AJ2959"/>
    </x:row>
    <x:row r="2960">
      <x:c r="F2960" s="124"/>
      <x:c r="G2960" s="124"/>
      <x:c r="H2960" s="124"/>
      <x:c r="I2960" s="124"/>
      <x:c r="J2960" s="124"/>
      <x:c r="M2960" s="126"/>
      <x:c r="P2960" s="126"/>
      <x:c r="Q2960" s="126"/>
      <x:c r="R2960" s="126"/>
      <x:c r="S2960" s="124"/>
      <x:c r="T2960" s="124"/>
      <x:c r="U2960" s="124"/>
      <x:c r="V2960" s="124"/>
      <x:c r="W2960" s="124"/>
      <x:c r="X2960" s="124"/>
      <x:c r="AD2960"/>
      <x:c r="AE2960" s="145"/>
      <x:c r="AF2960" s="145"/>
      <x:c r="AG2960" s="145"/>
      <x:c r="AH2960" s="145"/>
      <x:c r="AI2960" s="145"/>
      <x:c r="AJ2960"/>
    </x:row>
    <x:row r="2961">
      <x:c r="F2961" s="124"/>
      <x:c r="G2961" s="124"/>
      <x:c r="H2961" s="124"/>
      <x:c r="I2961" s="124"/>
      <x:c r="J2961" s="124"/>
      <x:c r="M2961" s="126"/>
      <x:c r="P2961" s="126"/>
      <x:c r="Q2961" s="126"/>
      <x:c r="R2961" s="126"/>
      <x:c r="S2961" s="124"/>
      <x:c r="T2961" s="124"/>
      <x:c r="U2961" s="124"/>
      <x:c r="V2961" s="124"/>
      <x:c r="W2961" s="124"/>
      <x:c r="X2961" s="124"/>
      <x:c r="AD2961"/>
      <x:c r="AE2961" s="145"/>
      <x:c r="AF2961" s="145"/>
      <x:c r="AG2961" s="145"/>
      <x:c r="AH2961" s="145"/>
      <x:c r="AI2961" s="145"/>
      <x:c r="AJ2961"/>
    </x:row>
    <x:row r="2962">
      <x:c r="F2962" s="124"/>
      <x:c r="G2962" s="124"/>
      <x:c r="H2962" s="124"/>
      <x:c r="I2962" s="124"/>
      <x:c r="J2962" s="124"/>
      <x:c r="M2962" s="126"/>
      <x:c r="P2962" s="126"/>
      <x:c r="Q2962" s="126"/>
      <x:c r="R2962" s="126"/>
      <x:c r="S2962" s="124"/>
      <x:c r="T2962" s="124"/>
      <x:c r="U2962" s="124"/>
      <x:c r="V2962" s="124"/>
      <x:c r="W2962" s="124"/>
      <x:c r="X2962" s="124"/>
      <x:c r="AD2962"/>
      <x:c r="AE2962" s="145"/>
      <x:c r="AF2962" s="145"/>
      <x:c r="AG2962" s="145"/>
      <x:c r="AH2962" s="145"/>
      <x:c r="AI2962" s="145"/>
      <x:c r="AJ2962"/>
    </x:row>
    <x:row r="2963">
      <x:c r="F2963" s="124"/>
      <x:c r="G2963" s="124"/>
      <x:c r="H2963" s="124"/>
      <x:c r="I2963" s="124"/>
      <x:c r="J2963" s="124"/>
      <x:c r="M2963" s="126"/>
      <x:c r="P2963" s="126"/>
      <x:c r="Q2963" s="126"/>
      <x:c r="R2963" s="126"/>
      <x:c r="S2963" s="124"/>
      <x:c r="T2963" s="124"/>
      <x:c r="U2963" s="124"/>
      <x:c r="V2963" s="124"/>
      <x:c r="W2963" s="124"/>
      <x:c r="X2963" s="124"/>
      <x:c r="AD2963"/>
      <x:c r="AE2963" s="145"/>
      <x:c r="AF2963" s="145"/>
      <x:c r="AG2963" s="145"/>
      <x:c r="AH2963" s="145"/>
      <x:c r="AI2963" s="145"/>
      <x:c r="AJ2963"/>
    </x:row>
    <x:row r="2964">
      <x:c r="F2964" s="124"/>
      <x:c r="G2964" s="124"/>
      <x:c r="H2964" s="124"/>
      <x:c r="I2964" s="124"/>
      <x:c r="J2964" s="124"/>
      <x:c r="M2964" s="126"/>
      <x:c r="P2964" s="126"/>
      <x:c r="Q2964" s="126"/>
      <x:c r="R2964" s="126"/>
      <x:c r="S2964" s="124"/>
      <x:c r="T2964" s="124"/>
      <x:c r="U2964" s="124"/>
      <x:c r="V2964" s="124"/>
      <x:c r="W2964" s="124"/>
      <x:c r="X2964" s="124"/>
      <x:c r="AD2964"/>
      <x:c r="AE2964" s="145"/>
      <x:c r="AF2964" s="145"/>
      <x:c r="AG2964" s="145"/>
      <x:c r="AH2964" s="145"/>
      <x:c r="AI2964" s="145"/>
      <x:c r="AJ2964"/>
    </x:row>
    <x:row r="2965">
      <x:c r="F2965" s="124"/>
      <x:c r="G2965" s="124"/>
      <x:c r="H2965" s="124"/>
      <x:c r="I2965" s="124"/>
      <x:c r="J2965" s="124"/>
      <x:c r="M2965" s="126"/>
      <x:c r="P2965" s="126"/>
      <x:c r="Q2965" s="126"/>
      <x:c r="R2965" s="126"/>
      <x:c r="S2965" s="124"/>
      <x:c r="T2965" s="124"/>
      <x:c r="U2965" s="124"/>
      <x:c r="V2965" s="124"/>
      <x:c r="W2965" s="124"/>
      <x:c r="X2965" s="124"/>
      <x:c r="AD2965"/>
      <x:c r="AE2965" s="145"/>
      <x:c r="AF2965" s="145"/>
      <x:c r="AG2965" s="145"/>
      <x:c r="AH2965" s="145"/>
      <x:c r="AI2965" s="145"/>
      <x:c r="AJ2965"/>
    </x:row>
    <x:row r="2966">
      <x:c r="F2966" s="124"/>
      <x:c r="G2966" s="124"/>
      <x:c r="H2966" s="124"/>
      <x:c r="I2966" s="124"/>
      <x:c r="J2966" s="124"/>
      <x:c r="M2966" s="126"/>
      <x:c r="P2966" s="126"/>
      <x:c r="Q2966" s="126"/>
      <x:c r="R2966" s="126"/>
      <x:c r="S2966" s="124"/>
      <x:c r="T2966" s="124"/>
      <x:c r="U2966" s="124"/>
      <x:c r="V2966" s="124"/>
      <x:c r="W2966" s="124"/>
      <x:c r="X2966" s="124"/>
      <x:c r="AD2966"/>
      <x:c r="AE2966" s="145"/>
      <x:c r="AF2966" s="145"/>
      <x:c r="AG2966" s="145"/>
      <x:c r="AH2966" s="145"/>
      <x:c r="AI2966" s="145"/>
      <x:c r="AJ2966"/>
    </x:row>
    <x:row r="2967">
      <x:c r="F2967" s="124"/>
      <x:c r="G2967" s="124"/>
      <x:c r="H2967" s="124"/>
      <x:c r="I2967" s="124"/>
      <x:c r="J2967" s="124"/>
      <x:c r="M2967" s="126"/>
      <x:c r="P2967" s="126"/>
      <x:c r="Q2967" s="126"/>
      <x:c r="R2967" s="126"/>
      <x:c r="S2967" s="124"/>
      <x:c r="T2967" s="124"/>
      <x:c r="U2967" s="124"/>
      <x:c r="V2967" s="124"/>
      <x:c r="W2967" s="124"/>
      <x:c r="X2967" s="124"/>
      <x:c r="AD2967"/>
      <x:c r="AE2967" s="145"/>
      <x:c r="AF2967" s="145"/>
      <x:c r="AG2967" s="145"/>
      <x:c r="AH2967" s="145"/>
      <x:c r="AI2967" s="145"/>
      <x:c r="AJ2967"/>
    </x:row>
    <x:row r="2968">
      <x:c r="F2968" s="124"/>
      <x:c r="G2968" s="124"/>
      <x:c r="H2968" s="124"/>
      <x:c r="I2968" s="124"/>
      <x:c r="J2968" s="124"/>
      <x:c r="M2968" s="126"/>
      <x:c r="P2968" s="126"/>
      <x:c r="Q2968" s="126"/>
      <x:c r="R2968" s="126"/>
      <x:c r="S2968" s="124"/>
      <x:c r="T2968" s="124"/>
      <x:c r="U2968" s="124"/>
      <x:c r="V2968" s="124"/>
      <x:c r="W2968" s="124"/>
      <x:c r="X2968" s="124"/>
      <x:c r="AD2968"/>
      <x:c r="AE2968" s="145"/>
      <x:c r="AF2968" s="145"/>
      <x:c r="AG2968" s="145"/>
      <x:c r="AH2968" s="145"/>
      <x:c r="AI2968" s="145"/>
      <x:c r="AJ2968"/>
    </x:row>
    <x:row r="2969">
      <x:c r="F2969" s="124"/>
      <x:c r="G2969" s="124"/>
      <x:c r="H2969" s="124"/>
      <x:c r="I2969" s="124"/>
      <x:c r="J2969" s="124"/>
      <x:c r="M2969" s="126"/>
      <x:c r="P2969" s="126"/>
      <x:c r="Q2969" s="126"/>
      <x:c r="R2969" s="126"/>
      <x:c r="S2969" s="124"/>
      <x:c r="T2969" s="124"/>
      <x:c r="U2969" s="124"/>
      <x:c r="V2969" s="124"/>
      <x:c r="W2969" s="124"/>
      <x:c r="X2969" s="124"/>
      <x:c r="AD2969"/>
      <x:c r="AE2969" s="145"/>
      <x:c r="AF2969" s="145"/>
      <x:c r="AG2969" s="145"/>
      <x:c r="AH2969" s="145"/>
      <x:c r="AI2969" s="145"/>
      <x:c r="AJ2969"/>
    </x:row>
    <x:row r="2970">
      <x:c r="F2970" s="124"/>
      <x:c r="G2970" s="124"/>
      <x:c r="H2970" s="124"/>
      <x:c r="I2970" s="124"/>
      <x:c r="J2970" s="124"/>
      <x:c r="M2970" s="126"/>
      <x:c r="P2970" s="126"/>
      <x:c r="Q2970" s="126"/>
      <x:c r="R2970" s="126"/>
      <x:c r="S2970" s="124"/>
      <x:c r="T2970" s="124"/>
      <x:c r="U2970" s="124"/>
      <x:c r="V2970" s="124"/>
      <x:c r="W2970" s="124"/>
      <x:c r="X2970" s="124"/>
      <x:c r="AD2970"/>
      <x:c r="AE2970" s="145"/>
      <x:c r="AF2970" s="145"/>
      <x:c r="AG2970" s="145"/>
      <x:c r="AH2970" s="145"/>
      <x:c r="AI2970" s="145"/>
      <x:c r="AJ2970"/>
    </x:row>
    <x:row r="2971">
      <x:c r="F2971" s="124"/>
      <x:c r="G2971" s="124"/>
      <x:c r="H2971" s="124"/>
      <x:c r="I2971" s="124"/>
      <x:c r="J2971" s="124"/>
      <x:c r="M2971" s="126"/>
      <x:c r="P2971" s="126"/>
      <x:c r="Q2971" s="126"/>
      <x:c r="R2971" s="126"/>
      <x:c r="S2971" s="124"/>
      <x:c r="T2971" s="124"/>
      <x:c r="U2971" s="124"/>
      <x:c r="V2971" s="124"/>
      <x:c r="W2971" s="124"/>
      <x:c r="X2971" s="124"/>
      <x:c r="AD2971"/>
      <x:c r="AE2971" s="145"/>
      <x:c r="AF2971" s="145"/>
      <x:c r="AG2971" s="145"/>
      <x:c r="AH2971" s="145"/>
      <x:c r="AI2971" s="145"/>
      <x:c r="AJ2971"/>
    </x:row>
    <x:row r="2972">
      <x:c r="F2972" s="124"/>
      <x:c r="G2972" s="124"/>
      <x:c r="H2972" s="124"/>
      <x:c r="I2972" s="124"/>
      <x:c r="J2972" s="124"/>
      <x:c r="M2972" s="126"/>
      <x:c r="P2972" s="126"/>
      <x:c r="Q2972" s="126"/>
      <x:c r="R2972" s="126"/>
      <x:c r="S2972" s="124"/>
      <x:c r="T2972" s="124"/>
      <x:c r="U2972" s="124"/>
      <x:c r="V2972" s="124"/>
      <x:c r="W2972" s="124"/>
      <x:c r="X2972" s="124"/>
      <x:c r="AD2972"/>
      <x:c r="AE2972" s="145"/>
      <x:c r="AF2972" s="145"/>
      <x:c r="AG2972" s="145"/>
      <x:c r="AH2972" s="145"/>
      <x:c r="AI2972" s="145"/>
      <x:c r="AJ2972"/>
    </x:row>
    <x:row r="2973">
      <x:c r="F2973" s="124"/>
      <x:c r="G2973" s="124"/>
      <x:c r="H2973" s="124"/>
      <x:c r="I2973" s="124"/>
      <x:c r="J2973" s="124"/>
      <x:c r="M2973" s="126"/>
      <x:c r="P2973" s="126"/>
      <x:c r="Q2973" s="126"/>
      <x:c r="R2973" s="126"/>
      <x:c r="S2973" s="124"/>
      <x:c r="T2973" s="124"/>
      <x:c r="U2973" s="124"/>
      <x:c r="V2973" s="124"/>
      <x:c r="W2973" s="124"/>
      <x:c r="X2973" s="124"/>
      <x:c r="AD2973"/>
      <x:c r="AE2973" s="145"/>
      <x:c r="AF2973" s="145"/>
      <x:c r="AG2973" s="145"/>
      <x:c r="AH2973" s="145"/>
      <x:c r="AI2973" s="145"/>
      <x:c r="AJ2973"/>
    </x:row>
    <x:row r="2974">
      <x:c r="F2974" s="124"/>
      <x:c r="G2974" s="124"/>
      <x:c r="H2974" s="124"/>
      <x:c r="I2974" s="124"/>
      <x:c r="J2974" s="124"/>
      <x:c r="M2974" s="126"/>
      <x:c r="P2974" s="126"/>
      <x:c r="Q2974" s="126"/>
      <x:c r="R2974" s="126"/>
      <x:c r="S2974" s="124"/>
      <x:c r="T2974" s="124"/>
      <x:c r="U2974" s="124"/>
      <x:c r="V2974" s="124"/>
      <x:c r="W2974" s="124"/>
      <x:c r="X2974" s="124"/>
      <x:c r="AD2974"/>
      <x:c r="AE2974" s="145"/>
      <x:c r="AF2974" s="145"/>
      <x:c r="AG2974" s="145"/>
      <x:c r="AH2974" s="145"/>
      <x:c r="AI2974" s="145"/>
      <x:c r="AJ2974"/>
    </x:row>
    <x:row r="2975">
      <x:c r="F2975" s="124"/>
      <x:c r="G2975" s="124"/>
      <x:c r="H2975" s="124"/>
      <x:c r="I2975" s="124"/>
      <x:c r="J2975" s="124"/>
      <x:c r="M2975" s="126"/>
      <x:c r="P2975" s="126"/>
      <x:c r="Q2975" s="126"/>
      <x:c r="R2975" s="126"/>
      <x:c r="S2975" s="124"/>
      <x:c r="T2975" s="124"/>
      <x:c r="U2975" s="124"/>
      <x:c r="V2975" s="124"/>
      <x:c r="W2975" s="124"/>
      <x:c r="X2975" s="124"/>
      <x:c r="AD2975"/>
      <x:c r="AE2975" s="145"/>
      <x:c r="AF2975" s="145"/>
      <x:c r="AG2975" s="145"/>
      <x:c r="AH2975" s="145"/>
      <x:c r="AI2975" s="145"/>
      <x:c r="AJ2975"/>
    </x:row>
    <x:row r="2976">
      <x:c r="F2976" s="124"/>
      <x:c r="G2976" s="124"/>
      <x:c r="H2976" s="124"/>
      <x:c r="I2976" s="124"/>
      <x:c r="J2976" s="124"/>
      <x:c r="M2976" s="126"/>
      <x:c r="P2976" s="126"/>
      <x:c r="Q2976" s="126"/>
      <x:c r="R2976" s="126"/>
      <x:c r="S2976" s="124"/>
      <x:c r="T2976" s="124"/>
      <x:c r="U2976" s="124"/>
      <x:c r="V2976" s="124"/>
      <x:c r="W2976" s="124"/>
      <x:c r="X2976" s="124"/>
      <x:c r="AD2976"/>
      <x:c r="AE2976" s="145"/>
      <x:c r="AF2976" s="145"/>
      <x:c r="AG2976" s="145"/>
      <x:c r="AH2976" s="145"/>
      <x:c r="AI2976" s="145"/>
      <x:c r="AJ2976"/>
    </x:row>
    <x:row r="2977">
      <x:c r="F2977" s="124"/>
      <x:c r="G2977" s="124"/>
      <x:c r="H2977" s="124"/>
      <x:c r="I2977" s="124"/>
      <x:c r="J2977" s="124"/>
      <x:c r="M2977" s="126"/>
      <x:c r="P2977" s="126"/>
      <x:c r="Q2977" s="126"/>
      <x:c r="R2977" s="126"/>
      <x:c r="S2977" s="124"/>
      <x:c r="T2977" s="124"/>
      <x:c r="U2977" s="124"/>
      <x:c r="V2977" s="124"/>
      <x:c r="W2977" s="124"/>
      <x:c r="X2977" s="124"/>
      <x:c r="AD2977"/>
      <x:c r="AE2977" s="145"/>
      <x:c r="AF2977" s="145"/>
      <x:c r="AG2977" s="145"/>
      <x:c r="AH2977" s="145"/>
      <x:c r="AI2977" s="145"/>
      <x:c r="AJ2977"/>
    </x:row>
    <x:row r="2978">
      <x:c r="F2978" s="124"/>
      <x:c r="G2978" s="124"/>
      <x:c r="H2978" s="124"/>
      <x:c r="I2978" s="124"/>
      <x:c r="J2978" s="124"/>
      <x:c r="M2978" s="126"/>
      <x:c r="P2978" s="126"/>
      <x:c r="Q2978" s="126"/>
      <x:c r="R2978" s="126"/>
      <x:c r="S2978" s="124"/>
      <x:c r="T2978" s="124"/>
      <x:c r="U2978" s="124"/>
      <x:c r="V2978" s="124"/>
      <x:c r="W2978" s="124"/>
      <x:c r="X2978" s="124"/>
      <x:c r="AD2978"/>
      <x:c r="AE2978" s="145"/>
      <x:c r="AF2978" s="145"/>
      <x:c r="AG2978" s="145"/>
      <x:c r="AH2978" s="145"/>
      <x:c r="AI2978" s="145"/>
      <x:c r="AJ2978"/>
    </x:row>
    <x:row r="2979">
      <x:c r="F2979" s="124"/>
      <x:c r="G2979" s="124"/>
      <x:c r="H2979" s="124"/>
      <x:c r="I2979" s="124"/>
      <x:c r="J2979" s="124"/>
      <x:c r="M2979" s="126"/>
      <x:c r="P2979" s="126"/>
      <x:c r="Q2979" s="126"/>
      <x:c r="R2979" s="126"/>
      <x:c r="S2979" s="124"/>
      <x:c r="T2979" s="124"/>
      <x:c r="U2979" s="124"/>
      <x:c r="V2979" s="124"/>
      <x:c r="W2979" s="124"/>
      <x:c r="X2979" s="124"/>
      <x:c r="AD2979"/>
      <x:c r="AE2979" s="145"/>
      <x:c r="AF2979" s="145"/>
      <x:c r="AG2979" s="145"/>
      <x:c r="AH2979" s="145"/>
      <x:c r="AI2979" s="145"/>
      <x:c r="AJ2979"/>
    </x:row>
    <x:row r="2980">
      <x:c r="F2980" s="124"/>
      <x:c r="G2980" s="124"/>
      <x:c r="H2980" s="124"/>
      <x:c r="I2980" s="124"/>
      <x:c r="J2980" s="124"/>
      <x:c r="M2980" s="126"/>
      <x:c r="P2980" s="126"/>
      <x:c r="Q2980" s="126"/>
      <x:c r="R2980" s="126"/>
      <x:c r="S2980" s="124"/>
      <x:c r="T2980" s="124"/>
      <x:c r="U2980" s="124"/>
      <x:c r="V2980" s="124"/>
      <x:c r="W2980" s="124"/>
      <x:c r="X2980" s="124"/>
      <x:c r="AD2980"/>
      <x:c r="AE2980" s="145"/>
      <x:c r="AF2980" s="145"/>
      <x:c r="AG2980" s="145"/>
      <x:c r="AH2980" s="145"/>
      <x:c r="AI2980" s="145"/>
      <x:c r="AJ2980"/>
    </x:row>
    <x:row r="2981">
      <x:c r="F2981" s="124"/>
      <x:c r="G2981" s="124"/>
      <x:c r="H2981" s="124"/>
      <x:c r="I2981" s="124"/>
      <x:c r="J2981" s="124"/>
      <x:c r="M2981" s="126"/>
      <x:c r="P2981" s="126"/>
      <x:c r="Q2981" s="126"/>
      <x:c r="R2981" s="126"/>
      <x:c r="S2981" s="124"/>
      <x:c r="T2981" s="124"/>
      <x:c r="U2981" s="124"/>
      <x:c r="V2981" s="124"/>
      <x:c r="W2981" s="124"/>
      <x:c r="X2981" s="124"/>
      <x:c r="AD2981"/>
      <x:c r="AE2981" s="145"/>
      <x:c r="AF2981" s="145"/>
      <x:c r="AG2981" s="145"/>
      <x:c r="AH2981" s="145"/>
      <x:c r="AI2981" s="145"/>
      <x:c r="AJ2981"/>
    </x:row>
    <x:row r="2982">
      <x:c r="F2982" s="124"/>
      <x:c r="G2982" s="124"/>
      <x:c r="H2982" s="124"/>
      <x:c r="I2982" s="124"/>
      <x:c r="J2982" s="124"/>
      <x:c r="M2982" s="126"/>
      <x:c r="P2982" s="126"/>
      <x:c r="Q2982" s="126"/>
      <x:c r="R2982" s="126"/>
      <x:c r="S2982" s="124"/>
      <x:c r="T2982" s="124"/>
      <x:c r="U2982" s="124"/>
      <x:c r="V2982" s="124"/>
      <x:c r="W2982" s="124"/>
      <x:c r="X2982" s="124"/>
      <x:c r="AD2982"/>
      <x:c r="AE2982" s="145"/>
      <x:c r="AF2982" s="145"/>
      <x:c r="AG2982" s="145"/>
      <x:c r="AH2982" s="145"/>
      <x:c r="AI2982" s="145"/>
      <x:c r="AJ2982"/>
    </x:row>
    <x:row r="2983">
      <x:c r="F2983" s="124"/>
      <x:c r="G2983" s="124"/>
      <x:c r="H2983" s="124"/>
      <x:c r="I2983" s="124"/>
      <x:c r="J2983" s="124"/>
      <x:c r="M2983" s="126"/>
      <x:c r="P2983" s="126"/>
      <x:c r="Q2983" s="126"/>
      <x:c r="R2983" s="126"/>
      <x:c r="S2983" s="124"/>
      <x:c r="T2983" s="124"/>
      <x:c r="U2983" s="124"/>
      <x:c r="V2983" s="124"/>
      <x:c r="W2983" s="124"/>
      <x:c r="X2983" s="124"/>
      <x:c r="AD2983"/>
      <x:c r="AE2983" s="145"/>
      <x:c r="AF2983" s="145"/>
      <x:c r="AG2983" s="145"/>
      <x:c r="AH2983" s="145"/>
      <x:c r="AI2983" s="145"/>
      <x:c r="AJ2983"/>
    </x:row>
    <x:row r="2984">
      <x:c r="F2984" s="124"/>
      <x:c r="G2984" s="124"/>
      <x:c r="H2984" s="124"/>
      <x:c r="I2984" s="124"/>
      <x:c r="J2984" s="124"/>
      <x:c r="M2984" s="126"/>
      <x:c r="P2984" s="126"/>
      <x:c r="Q2984" s="126"/>
      <x:c r="R2984" s="126"/>
      <x:c r="S2984" s="124"/>
      <x:c r="T2984" s="124"/>
      <x:c r="U2984" s="124"/>
      <x:c r="V2984" s="124"/>
      <x:c r="W2984" s="124"/>
      <x:c r="X2984" s="124"/>
      <x:c r="AD2984"/>
      <x:c r="AE2984" s="145"/>
      <x:c r="AF2984" s="145"/>
      <x:c r="AG2984" s="145"/>
      <x:c r="AH2984" s="145"/>
      <x:c r="AI2984" s="145"/>
      <x:c r="AJ2984"/>
    </x:row>
    <x:row r="2985">
      <x:c r="F2985" s="124"/>
      <x:c r="G2985" s="124"/>
      <x:c r="H2985" s="124"/>
      <x:c r="I2985" s="124"/>
      <x:c r="J2985" s="124"/>
      <x:c r="M2985" s="126"/>
      <x:c r="P2985" s="126"/>
      <x:c r="Q2985" s="126"/>
      <x:c r="R2985" s="126"/>
      <x:c r="S2985" s="124"/>
      <x:c r="T2985" s="124"/>
      <x:c r="U2985" s="124"/>
      <x:c r="V2985" s="124"/>
      <x:c r="W2985" s="124"/>
      <x:c r="X2985" s="124"/>
      <x:c r="AD2985"/>
      <x:c r="AE2985" s="145"/>
      <x:c r="AF2985" s="145"/>
      <x:c r="AG2985" s="145"/>
      <x:c r="AH2985" s="145"/>
      <x:c r="AI2985" s="145"/>
      <x:c r="AJ2985"/>
    </x:row>
    <x:row r="2986">
      <x:c r="F2986" s="124"/>
      <x:c r="G2986" s="124"/>
      <x:c r="H2986" s="124"/>
      <x:c r="I2986" s="124"/>
      <x:c r="J2986" s="124"/>
      <x:c r="M2986" s="126"/>
      <x:c r="P2986" s="126"/>
      <x:c r="Q2986" s="126"/>
      <x:c r="R2986" s="126"/>
      <x:c r="S2986" s="124"/>
      <x:c r="T2986" s="124"/>
      <x:c r="U2986" s="124"/>
      <x:c r="V2986" s="124"/>
      <x:c r="W2986" s="124"/>
      <x:c r="X2986" s="124"/>
      <x:c r="AD2986"/>
      <x:c r="AE2986" s="145"/>
      <x:c r="AF2986" s="145"/>
      <x:c r="AG2986" s="145"/>
      <x:c r="AH2986" s="145"/>
      <x:c r="AI2986" s="145"/>
      <x:c r="AJ2986"/>
    </x:row>
    <x:row r="2987">
      <x:c r="F2987" s="124"/>
      <x:c r="G2987" s="124"/>
      <x:c r="H2987" s="124"/>
      <x:c r="I2987" s="124"/>
      <x:c r="J2987" s="124"/>
      <x:c r="M2987" s="126"/>
      <x:c r="P2987" s="126"/>
      <x:c r="Q2987" s="126"/>
      <x:c r="R2987" s="126"/>
      <x:c r="S2987" s="124"/>
      <x:c r="T2987" s="124"/>
      <x:c r="U2987" s="124"/>
      <x:c r="V2987" s="124"/>
      <x:c r="W2987" s="124"/>
      <x:c r="X2987" s="124"/>
      <x:c r="AD2987"/>
      <x:c r="AE2987" s="145"/>
      <x:c r="AF2987" s="145"/>
      <x:c r="AG2987" s="145"/>
      <x:c r="AH2987" s="145"/>
      <x:c r="AI2987" s="145"/>
      <x:c r="AJ2987"/>
    </x:row>
    <x:row r="2988">
      <x:c r="F2988" s="124"/>
      <x:c r="G2988" s="124"/>
      <x:c r="H2988" s="124"/>
      <x:c r="I2988" s="124"/>
      <x:c r="J2988" s="124"/>
      <x:c r="M2988" s="126"/>
      <x:c r="P2988" s="126"/>
      <x:c r="Q2988" s="126"/>
      <x:c r="R2988" s="126"/>
      <x:c r="S2988" s="124"/>
      <x:c r="T2988" s="124"/>
      <x:c r="U2988" s="124"/>
      <x:c r="V2988" s="124"/>
      <x:c r="W2988" s="124"/>
      <x:c r="X2988" s="124"/>
      <x:c r="AD2988"/>
      <x:c r="AE2988" s="145"/>
      <x:c r="AF2988" s="145"/>
      <x:c r="AG2988" s="145"/>
      <x:c r="AH2988" s="145"/>
      <x:c r="AI2988" s="145"/>
      <x:c r="AJ2988"/>
    </x:row>
    <x:row r="2989">
      <x:c r="F2989" s="124"/>
      <x:c r="G2989" s="124"/>
      <x:c r="H2989" s="124"/>
      <x:c r="I2989" s="124"/>
      <x:c r="J2989" s="124"/>
      <x:c r="M2989" s="126"/>
      <x:c r="P2989" s="126"/>
      <x:c r="Q2989" s="126"/>
      <x:c r="R2989" s="126"/>
      <x:c r="S2989" s="124"/>
      <x:c r="T2989" s="124"/>
      <x:c r="U2989" s="124"/>
      <x:c r="V2989" s="124"/>
      <x:c r="W2989" s="124"/>
      <x:c r="X2989" s="124"/>
      <x:c r="AD2989"/>
      <x:c r="AE2989" s="145"/>
      <x:c r="AF2989" s="145"/>
      <x:c r="AG2989" s="145"/>
      <x:c r="AH2989" s="145"/>
      <x:c r="AI2989" s="145"/>
      <x:c r="AJ2989"/>
    </x:row>
    <x:row r="2990">
      <x:c r="F2990" s="124"/>
      <x:c r="G2990" s="124"/>
      <x:c r="H2990" s="124"/>
      <x:c r="I2990" s="124"/>
      <x:c r="J2990" s="124"/>
      <x:c r="M2990" s="126"/>
      <x:c r="P2990" s="126"/>
      <x:c r="Q2990" s="126"/>
      <x:c r="R2990" s="126"/>
      <x:c r="S2990" s="124"/>
      <x:c r="T2990" s="124"/>
      <x:c r="U2990" s="124"/>
      <x:c r="V2990" s="124"/>
      <x:c r="W2990" s="124"/>
      <x:c r="X2990" s="124"/>
      <x:c r="AD2990"/>
      <x:c r="AE2990" s="145"/>
      <x:c r="AF2990" s="145"/>
      <x:c r="AG2990" s="145"/>
      <x:c r="AH2990" s="145"/>
      <x:c r="AI2990" s="145"/>
      <x:c r="AJ2990"/>
    </x:row>
    <x:row r="2991">
      <x:c r="F2991" s="124"/>
      <x:c r="G2991" s="124"/>
      <x:c r="H2991" s="124"/>
      <x:c r="I2991" s="124"/>
      <x:c r="J2991" s="124"/>
      <x:c r="M2991" s="126"/>
      <x:c r="P2991" s="126"/>
      <x:c r="Q2991" s="126"/>
      <x:c r="R2991" s="126"/>
      <x:c r="S2991" s="124"/>
      <x:c r="T2991" s="124"/>
      <x:c r="U2991" s="124"/>
      <x:c r="V2991" s="124"/>
      <x:c r="W2991" s="124"/>
      <x:c r="X2991" s="124"/>
      <x:c r="AD2991"/>
      <x:c r="AE2991" s="145"/>
      <x:c r="AF2991" s="145"/>
      <x:c r="AG2991" s="145"/>
      <x:c r="AH2991" s="145"/>
      <x:c r="AI2991" s="145"/>
      <x:c r="AJ2991"/>
    </x:row>
    <x:row r="2992">
      <x:c r="F2992" s="124"/>
      <x:c r="G2992" s="124"/>
      <x:c r="H2992" s="124"/>
      <x:c r="I2992" s="124"/>
      <x:c r="J2992" s="124"/>
      <x:c r="M2992" s="126"/>
      <x:c r="P2992" s="126"/>
      <x:c r="Q2992" s="126"/>
      <x:c r="R2992" s="126"/>
      <x:c r="S2992" s="124"/>
      <x:c r="T2992" s="124"/>
      <x:c r="U2992" s="124"/>
      <x:c r="V2992" s="124"/>
      <x:c r="W2992" s="124"/>
      <x:c r="X2992" s="124"/>
      <x:c r="AD2992"/>
      <x:c r="AE2992" s="145"/>
      <x:c r="AF2992" s="145"/>
      <x:c r="AG2992" s="145"/>
      <x:c r="AH2992" s="145"/>
      <x:c r="AI2992" s="145"/>
      <x:c r="AJ2992"/>
    </x:row>
    <x:row r="2993">
      <x:c r="F2993" s="124"/>
      <x:c r="G2993" s="124"/>
      <x:c r="H2993" s="124"/>
      <x:c r="I2993" s="124"/>
      <x:c r="J2993" s="124"/>
      <x:c r="M2993" s="126"/>
      <x:c r="P2993" s="126"/>
      <x:c r="Q2993" s="126"/>
      <x:c r="R2993" s="126"/>
      <x:c r="S2993" s="124"/>
      <x:c r="T2993" s="124"/>
      <x:c r="U2993" s="124"/>
      <x:c r="V2993" s="124"/>
      <x:c r="W2993" s="124"/>
      <x:c r="X2993" s="124"/>
      <x:c r="AD2993"/>
      <x:c r="AE2993" s="145"/>
      <x:c r="AF2993" s="145"/>
      <x:c r="AG2993" s="145"/>
      <x:c r="AH2993" s="145"/>
      <x:c r="AI2993" s="145"/>
      <x:c r="AJ2993"/>
    </x:row>
    <x:row r="2994">
      <x:c r="F2994" s="124"/>
      <x:c r="G2994" s="124"/>
      <x:c r="H2994" s="124"/>
      <x:c r="I2994" s="124"/>
      <x:c r="J2994" s="124"/>
      <x:c r="M2994" s="126"/>
      <x:c r="P2994" s="126"/>
      <x:c r="Q2994" s="126"/>
      <x:c r="R2994" s="126"/>
      <x:c r="S2994" s="124"/>
      <x:c r="T2994" s="124"/>
      <x:c r="U2994" s="124"/>
      <x:c r="V2994" s="124"/>
      <x:c r="W2994" s="124"/>
      <x:c r="X2994" s="124"/>
      <x:c r="AD2994"/>
      <x:c r="AE2994" s="145"/>
      <x:c r="AF2994" s="145"/>
      <x:c r="AG2994" s="145"/>
      <x:c r="AH2994" s="145"/>
      <x:c r="AI2994" s="145"/>
      <x:c r="AJ2994"/>
    </x:row>
    <x:row r="2995">
      <x:c r="F2995" s="124"/>
      <x:c r="G2995" s="124"/>
      <x:c r="H2995" s="124"/>
      <x:c r="I2995" s="124"/>
      <x:c r="J2995" s="124"/>
      <x:c r="M2995" s="126"/>
      <x:c r="P2995" s="126"/>
      <x:c r="Q2995" s="126"/>
      <x:c r="R2995" s="126"/>
      <x:c r="S2995" s="124"/>
      <x:c r="T2995" s="124"/>
      <x:c r="U2995" s="124"/>
      <x:c r="V2995" s="124"/>
      <x:c r="W2995" s="124"/>
      <x:c r="X2995" s="124"/>
      <x:c r="AD2995"/>
      <x:c r="AE2995" s="145"/>
      <x:c r="AF2995" s="145"/>
      <x:c r="AG2995" s="145"/>
      <x:c r="AH2995" s="145"/>
      <x:c r="AI2995" s="145"/>
      <x:c r="AJ2995"/>
    </x:row>
    <x:row r="2996">
      <x:c r="F2996" s="124"/>
      <x:c r="G2996" s="124"/>
      <x:c r="H2996" s="124"/>
      <x:c r="I2996" s="124"/>
      <x:c r="J2996" s="124"/>
      <x:c r="M2996" s="126"/>
      <x:c r="P2996" s="126"/>
      <x:c r="Q2996" s="126"/>
      <x:c r="R2996" s="126"/>
      <x:c r="S2996" s="124"/>
      <x:c r="T2996" s="124"/>
      <x:c r="U2996" s="124"/>
      <x:c r="V2996" s="124"/>
      <x:c r="W2996" s="124"/>
      <x:c r="X2996" s="124"/>
      <x:c r="AD2996"/>
      <x:c r="AE2996" s="145"/>
      <x:c r="AF2996" s="145"/>
      <x:c r="AG2996" s="145"/>
      <x:c r="AH2996" s="145"/>
      <x:c r="AI2996" s="145"/>
      <x:c r="AJ2996"/>
    </x:row>
    <x:row r="2997">
      <x:c r="F2997" s="124"/>
      <x:c r="G2997" s="124"/>
      <x:c r="H2997" s="124"/>
      <x:c r="I2997" s="124"/>
      <x:c r="J2997" s="124"/>
      <x:c r="M2997" s="126"/>
      <x:c r="P2997" s="126"/>
      <x:c r="Q2997" s="126"/>
      <x:c r="R2997" s="126"/>
      <x:c r="S2997" s="124"/>
      <x:c r="T2997" s="124"/>
      <x:c r="U2997" s="124"/>
      <x:c r="V2997" s="124"/>
      <x:c r="W2997" s="124"/>
      <x:c r="X2997" s="124"/>
      <x:c r="AD2997"/>
      <x:c r="AE2997" s="145"/>
      <x:c r="AF2997" s="145"/>
      <x:c r="AG2997" s="145"/>
      <x:c r="AH2997" s="145"/>
      <x:c r="AI2997" s="145"/>
      <x:c r="AJ2997"/>
    </x:row>
    <x:row r="2998">
      <x:c r="F2998" s="124"/>
      <x:c r="G2998" s="124"/>
      <x:c r="H2998" s="124"/>
      <x:c r="I2998" s="124"/>
      <x:c r="J2998" s="124"/>
      <x:c r="M2998" s="126"/>
      <x:c r="P2998" s="126"/>
      <x:c r="Q2998" s="126"/>
      <x:c r="R2998" s="126"/>
      <x:c r="S2998" s="124"/>
      <x:c r="T2998" s="124"/>
      <x:c r="U2998" s="124"/>
      <x:c r="V2998" s="124"/>
      <x:c r="W2998" s="124"/>
      <x:c r="X2998" s="124"/>
      <x:c r="AD2998"/>
      <x:c r="AE2998" s="145"/>
      <x:c r="AF2998" s="145"/>
      <x:c r="AG2998" s="145"/>
      <x:c r="AH2998" s="145"/>
      <x:c r="AI2998" s="145"/>
      <x:c r="AJ2998"/>
    </x:row>
    <x:row r="2999">
      <x:c r="F2999" s="124"/>
      <x:c r="G2999" s="124"/>
      <x:c r="H2999" s="124"/>
      <x:c r="I2999" s="124"/>
      <x:c r="J2999" s="124"/>
      <x:c r="M2999" s="126"/>
      <x:c r="P2999" s="126"/>
      <x:c r="Q2999" s="126"/>
      <x:c r="R2999" s="126"/>
      <x:c r="S2999" s="124"/>
      <x:c r="T2999" s="124"/>
      <x:c r="U2999" s="124"/>
      <x:c r="V2999" s="124"/>
      <x:c r="W2999" s="124"/>
      <x:c r="X2999" s="124"/>
      <x:c r="AD2999"/>
      <x:c r="AE2999" s="145"/>
      <x:c r="AF2999" s="145"/>
      <x:c r="AG2999" s="145"/>
      <x:c r="AH2999" s="145"/>
      <x:c r="AI2999" s="145"/>
      <x:c r="AJ2999"/>
    </x:row>
    <x:row r="3000">
      <x:c r="F3000" s="124"/>
      <x:c r="G3000" s="124"/>
      <x:c r="H3000" s="124"/>
      <x:c r="I3000" s="124"/>
      <x:c r="J3000" s="124"/>
      <x:c r="M3000" s="126"/>
      <x:c r="P3000" s="126"/>
      <x:c r="Q3000" s="126"/>
      <x:c r="R3000" s="126"/>
      <x:c r="S3000" s="124"/>
      <x:c r="T3000" s="124"/>
      <x:c r="U3000" s="124"/>
      <x:c r="V3000" s="124"/>
      <x:c r="W3000" s="124"/>
      <x:c r="X3000" s="124"/>
      <x:c r="AD3000"/>
      <x:c r="AE3000" s="145"/>
      <x:c r="AF3000" s="145"/>
      <x:c r="AG3000" s="145"/>
      <x:c r="AH3000" s="145"/>
      <x:c r="AI3000" s="145"/>
      <x:c r="AJ3000"/>
    </x:row>
    <x:row r="3001">
      <x:c r="F3001" s="124"/>
      <x:c r="G3001" s="124"/>
      <x:c r="H3001" s="124"/>
      <x:c r="I3001" s="124"/>
      <x:c r="J3001" s="124"/>
      <x:c r="M3001" s="126"/>
      <x:c r="P3001" s="126"/>
      <x:c r="Q3001" s="126"/>
      <x:c r="R3001" s="126"/>
      <x:c r="S3001" s="124"/>
      <x:c r="T3001" s="124"/>
      <x:c r="U3001" s="124"/>
      <x:c r="V3001" s="124"/>
      <x:c r="W3001" s="124"/>
      <x:c r="X3001" s="124"/>
      <x:c r="AD3001"/>
      <x:c r="AE3001" s="145"/>
      <x:c r="AF3001" s="145"/>
      <x:c r="AG3001" s="145"/>
      <x:c r="AH3001" s="145"/>
      <x:c r="AI3001" s="145"/>
      <x:c r="AJ3001"/>
    </x:row>
    <x:row r="3002">
      <x:c r="F3002" s="124"/>
      <x:c r="G3002" s="124"/>
      <x:c r="H3002" s="124"/>
      <x:c r="I3002" s="124"/>
      <x:c r="J3002" s="124"/>
      <x:c r="M3002" s="126"/>
      <x:c r="P3002" s="126"/>
      <x:c r="Q3002" s="126"/>
      <x:c r="R3002" s="126"/>
      <x:c r="S3002" s="124"/>
      <x:c r="T3002" s="124"/>
      <x:c r="U3002" s="124"/>
      <x:c r="V3002" s="124"/>
      <x:c r="W3002" s="124"/>
      <x:c r="X3002" s="124"/>
      <x:c r="AD3002"/>
      <x:c r="AE3002" s="145"/>
      <x:c r="AF3002" s="145"/>
      <x:c r="AG3002" s="145"/>
      <x:c r="AH3002" s="145"/>
      <x:c r="AI3002" s="145"/>
      <x:c r="AJ3002"/>
    </x:row>
    <x:row r="3003">
      <x:c r="F3003" s="124"/>
      <x:c r="G3003" s="124"/>
      <x:c r="H3003" s="124"/>
      <x:c r="I3003" s="124"/>
      <x:c r="J3003" s="124"/>
      <x:c r="M3003" s="126"/>
      <x:c r="P3003" s="126"/>
      <x:c r="Q3003" s="126"/>
      <x:c r="R3003" s="126"/>
      <x:c r="S3003" s="124"/>
      <x:c r="T3003" s="124"/>
      <x:c r="U3003" s="124"/>
      <x:c r="V3003" s="124"/>
      <x:c r="W3003" s="124"/>
      <x:c r="X3003" s="124"/>
      <x:c r="AD3003"/>
      <x:c r="AE3003" s="145"/>
      <x:c r="AF3003" s="145"/>
      <x:c r="AG3003" s="145"/>
      <x:c r="AH3003" s="145"/>
      <x:c r="AI3003" s="145"/>
      <x:c r="AJ3003"/>
    </x:row>
    <x:row r="3004">
      <x:c r="F3004" s="124"/>
      <x:c r="G3004" s="124"/>
      <x:c r="H3004" s="124"/>
      <x:c r="I3004" s="124"/>
      <x:c r="J3004" s="124"/>
      <x:c r="M3004" s="126"/>
      <x:c r="P3004" s="126"/>
      <x:c r="Q3004" s="126"/>
      <x:c r="R3004" s="126"/>
      <x:c r="S3004" s="124"/>
      <x:c r="T3004" s="124"/>
      <x:c r="U3004" s="124"/>
      <x:c r="V3004" s="124"/>
      <x:c r="W3004" s="124"/>
      <x:c r="X3004" s="124"/>
      <x:c r="AD3004"/>
      <x:c r="AE3004" s="145"/>
      <x:c r="AF3004" s="145"/>
      <x:c r="AG3004" s="145"/>
      <x:c r="AH3004" s="145"/>
      <x:c r="AI3004" s="145"/>
      <x:c r="AJ3004"/>
    </x:row>
    <x:row r="3005">
      <x:c r="F3005" s="124"/>
      <x:c r="G3005" s="124"/>
      <x:c r="H3005" s="124"/>
      <x:c r="I3005" s="124"/>
      <x:c r="J3005" s="124"/>
      <x:c r="M3005" s="126"/>
      <x:c r="P3005" s="126"/>
      <x:c r="Q3005" s="126"/>
      <x:c r="R3005" s="126"/>
      <x:c r="S3005" s="124"/>
      <x:c r="T3005" s="124"/>
      <x:c r="U3005" s="124"/>
      <x:c r="V3005" s="124"/>
      <x:c r="W3005" s="124"/>
      <x:c r="X3005" s="124"/>
      <x:c r="AD3005"/>
      <x:c r="AE3005" s="145"/>
      <x:c r="AF3005" s="145"/>
      <x:c r="AG3005" s="145"/>
      <x:c r="AH3005" s="145"/>
      <x:c r="AI3005" s="145"/>
      <x:c r="AJ3005"/>
    </x:row>
    <x:row r="3006">
      <x:c r="F3006" s="124"/>
      <x:c r="G3006" s="124"/>
      <x:c r="H3006" s="124"/>
      <x:c r="I3006" s="124"/>
      <x:c r="J3006" s="124"/>
      <x:c r="M3006" s="126"/>
      <x:c r="P3006" s="126"/>
      <x:c r="Q3006" s="126"/>
      <x:c r="R3006" s="126"/>
      <x:c r="S3006" s="124"/>
      <x:c r="T3006" s="124"/>
      <x:c r="U3006" s="124"/>
      <x:c r="V3006" s="124"/>
      <x:c r="W3006" s="124"/>
      <x:c r="X3006" s="124"/>
      <x:c r="AD3006"/>
      <x:c r="AE3006" s="145"/>
      <x:c r="AF3006" s="145"/>
      <x:c r="AG3006" s="145"/>
      <x:c r="AH3006" s="145"/>
      <x:c r="AI3006" s="145"/>
      <x:c r="AJ3006"/>
    </x:row>
    <x:row r="3007">
      <x:c r="F3007" s="124"/>
      <x:c r="G3007" s="124"/>
      <x:c r="H3007" s="124"/>
      <x:c r="I3007" s="124"/>
      <x:c r="J3007" s="124"/>
      <x:c r="M3007" s="126"/>
      <x:c r="P3007" s="126"/>
      <x:c r="Q3007" s="126"/>
      <x:c r="R3007" s="126"/>
      <x:c r="S3007" s="124"/>
      <x:c r="T3007" s="124"/>
      <x:c r="U3007" s="124"/>
      <x:c r="V3007" s="124"/>
      <x:c r="W3007" s="124"/>
      <x:c r="X3007" s="124"/>
      <x:c r="AD3007"/>
      <x:c r="AE3007" s="145"/>
      <x:c r="AF3007" s="145"/>
      <x:c r="AG3007" s="145"/>
      <x:c r="AH3007" s="145"/>
      <x:c r="AI3007" s="145"/>
      <x:c r="AJ3007"/>
    </x:row>
    <x:row r="3008">
      <x:c r="F3008" s="124"/>
      <x:c r="G3008" s="124"/>
      <x:c r="H3008" s="124"/>
      <x:c r="I3008" s="124"/>
      <x:c r="J3008" s="124"/>
      <x:c r="M3008" s="126"/>
      <x:c r="P3008" s="126"/>
      <x:c r="Q3008" s="126"/>
      <x:c r="R3008" s="126"/>
      <x:c r="S3008" s="124"/>
      <x:c r="T3008" s="124"/>
      <x:c r="U3008" s="124"/>
      <x:c r="V3008" s="124"/>
      <x:c r="W3008" s="124"/>
      <x:c r="X3008" s="124"/>
      <x:c r="AD3008"/>
      <x:c r="AE3008" s="145"/>
      <x:c r="AF3008" s="145"/>
      <x:c r="AG3008" s="145"/>
      <x:c r="AH3008" s="145"/>
      <x:c r="AI3008" s="145"/>
      <x:c r="AJ3008"/>
    </x:row>
    <x:row r="3009">
      <x:c r="F3009" s="124"/>
      <x:c r="G3009" s="124"/>
      <x:c r="H3009" s="124"/>
      <x:c r="I3009" s="124"/>
      <x:c r="J3009" s="124"/>
      <x:c r="M3009" s="126"/>
      <x:c r="P3009" s="126"/>
      <x:c r="Q3009" s="126"/>
      <x:c r="R3009" s="126"/>
      <x:c r="S3009" s="124"/>
      <x:c r="T3009" s="124"/>
      <x:c r="U3009" s="124"/>
      <x:c r="V3009" s="124"/>
      <x:c r="W3009" s="124"/>
      <x:c r="X3009" s="124"/>
      <x:c r="AD3009"/>
      <x:c r="AE3009" s="145"/>
      <x:c r="AF3009" s="145"/>
      <x:c r="AG3009" s="145"/>
      <x:c r="AH3009" s="145"/>
      <x:c r="AI3009" s="145"/>
      <x:c r="AJ3009"/>
    </x:row>
    <x:row r="3010">
      <x:c r="F3010" s="124"/>
      <x:c r="G3010" s="124"/>
      <x:c r="H3010" s="124"/>
      <x:c r="I3010" s="124"/>
      <x:c r="J3010" s="124"/>
      <x:c r="M3010" s="126"/>
      <x:c r="P3010" s="126"/>
      <x:c r="Q3010" s="126"/>
      <x:c r="R3010" s="126"/>
      <x:c r="S3010" s="124"/>
      <x:c r="T3010" s="124"/>
      <x:c r="U3010" s="124"/>
      <x:c r="V3010" s="124"/>
      <x:c r="W3010" s="124"/>
      <x:c r="X3010" s="124"/>
      <x:c r="AD3010"/>
      <x:c r="AE3010" s="145"/>
      <x:c r="AF3010" s="145"/>
      <x:c r="AG3010" s="145"/>
      <x:c r="AH3010" s="145"/>
      <x:c r="AI3010" s="145"/>
      <x:c r="AJ3010"/>
    </x:row>
    <x:row r="3011">
      <x:c r="F3011" s="124"/>
      <x:c r="G3011" s="124"/>
      <x:c r="H3011" s="124"/>
      <x:c r="I3011" s="124"/>
      <x:c r="J3011" s="124"/>
      <x:c r="M3011" s="126"/>
      <x:c r="P3011" s="126"/>
      <x:c r="Q3011" s="126"/>
      <x:c r="R3011" s="126"/>
      <x:c r="S3011" s="124"/>
      <x:c r="T3011" s="124"/>
      <x:c r="U3011" s="124"/>
      <x:c r="V3011" s="124"/>
      <x:c r="W3011" s="124"/>
      <x:c r="X3011" s="124"/>
      <x:c r="AD3011"/>
      <x:c r="AE3011" s="145"/>
      <x:c r="AF3011" s="145"/>
      <x:c r="AG3011" s="145"/>
      <x:c r="AH3011" s="145"/>
      <x:c r="AI3011" s="145"/>
      <x:c r="AJ3011"/>
    </x:row>
    <x:row r="3012">
      <x:c r="F3012" s="124"/>
      <x:c r="G3012" s="124"/>
      <x:c r="H3012" s="124"/>
      <x:c r="I3012" s="124"/>
      <x:c r="J3012" s="124"/>
      <x:c r="M3012" s="126"/>
      <x:c r="P3012" s="126"/>
      <x:c r="Q3012" s="126"/>
      <x:c r="R3012" s="126"/>
      <x:c r="S3012" s="124"/>
      <x:c r="T3012" s="124"/>
      <x:c r="U3012" s="124"/>
      <x:c r="V3012" s="124"/>
      <x:c r="W3012" s="124"/>
      <x:c r="X3012" s="124"/>
      <x:c r="AD3012"/>
      <x:c r="AE3012" s="145"/>
      <x:c r="AF3012" s="145"/>
      <x:c r="AG3012" s="145"/>
      <x:c r="AH3012" s="145"/>
      <x:c r="AI3012" s="145"/>
      <x:c r="AJ3012"/>
    </x:row>
    <x:row r="3013">
      <x:c r="F3013" s="124"/>
      <x:c r="G3013" s="124"/>
      <x:c r="H3013" s="124"/>
      <x:c r="I3013" s="124"/>
      <x:c r="J3013" s="124"/>
      <x:c r="M3013" s="126"/>
      <x:c r="P3013" s="126"/>
      <x:c r="Q3013" s="126"/>
      <x:c r="R3013" s="126"/>
      <x:c r="S3013" s="124"/>
      <x:c r="T3013" s="124"/>
      <x:c r="U3013" s="124"/>
      <x:c r="V3013" s="124"/>
      <x:c r="W3013" s="124"/>
      <x:c r="X3013" s="124"/>
      <x:c r="AD3013"/>
      <x:c r="AE3013" s="145"/>
      <x:c r="AF3013" s="145"/>
      <x:c r="AG3013" s="145"/>
      <x:c r="AH3013" s="145"/>
      <x:c r="AI3013" s="145"/>
      <x:c r="AJ3013"/>
    </x:row>
    <x:row r="3014">
      <x:c r="F3014" s="124"/>
      <x:c r="G3014" s="124"/>
      <x:c r="H3014" s="124"/>
      <x:c r="I3014" s="124"/>
      <x:c r="J3014" s="124"/>
      <x:c r="M3014" s="126"/>
      <x:c r="P3014" s="126"/>
      <x:c r="Q3014" s="126"/>
      <x:c r="R3014" s="126"/>
      <x:c r="S3014" s="124"/>
      <x:c r="T3014" s="124"/>
      <x:c r="U3014" s="124"/>
      <x:c r="V3014" s="124"/>
      <x:c r="W3014" s="124"/>
      <x:c r="X3014" s="124"/>
      <x:c r="AD3014"/>
      <x:c r="AE3014" s="145"/>
      <x:c r="AF3014" s="145"/>
      <x:c r="AG3014" s="145"/>
      <x:c r="AH3014" s="145"/>
      <x:c r="AI3014" s="145"/>
      <x:c r="AJ3014"/>
    </x:row>
    <x:row r="3015">
      <x:c r="F3015" s="124"/>
      <x:c r="G3015" s="124"/>
      <x:c r="H3015" s="124"/>
      <x:c r="I3015" s="124"/>
      <x:c r="J3015" s="124"/>
      <x:c r="M3015" s="126"/>
      <x:c r="P3015" s="126"/>
      <x:c r="Q3015" s="126"/>
      <x:c r="R3015" s="126"/>
      <x:c r="S3015" s="124"/>
      <x:c r="T3015" s="124"/>
      <x:c r="U3015" s="124"/>
      <x:c r="V3015" s="124"/>
      <x:c r="W3015" s="124"/>
      <x:c r="X3015" s="124"/>
      <x:c r="AD3015"/>
      <x:c r="AE3015" s="145"/>
      <x:c r="AF3015" s="145"/>
      <x:c r="AG3015" s="145"/>
      <x:c r="AH3015" s="145"/>
      <x:c r="AI3015" s="145"/>
      <x:c r="AJ3015"/>
    </x:row>
    <x:row r="3016">
      <x:c r="F3016" s="124"/>
      <x:c r="G3016" s="124"/>
      <x:c r="H3016" s="124"/>
      <x:c r="I3016" s="124"/>
      <x:c r="J3016" s="124"/>
      <x:c r="M3016" s="126"/>
      <x:c r="P3016" s="126"/>
      <x:c r="Q3016" s="126"/>
      <x:c r="R3016" s="126"/>
      <x:c r="S3016" s="124"/>
      <x:c r="T3016" s="124"/>
      <x:c r="U3016" s="124"/>
      <x:c r="V3016" s="124"/>
      <x:c r="W3016" s="124"/>
      <x:c r="X3016" s="124"/>
      <x:c r="AD3016"/>
      <x:c r="AE3016" s="145"/>
      <x:c r="AF3016" s="145"/>
      <x:c r="AG3016" s="145"/>
      <x:c r="AH3016" s="145"/>
      <x:c r="AI3016" s="145"/>
      <x:c r="AJ3016"/>
    </x:row>
    <x:row r="3017">
      <x:c r="F3017" s="124"/>
      <x:c r="G3017" s="124"/>
      <x:c r="H3017" s="124"/>
      <x:c r="I3017" s="124"/>
      <x:c r="J3017" s="124"/>
      <x:c r="M3017" s="126"/>
      <x:c r="P3017" s="126"/>
      <x:c r="Q3017" s="126"/>
      <x:c r="R3017" s="126"/>
      <x:c r="S3017" s="124"/>
      <x:c r="T3017" s="124"/>
      <x:c r="U3017" s="124"/>
      <x:c r="V3017" s="124"/>
      <x:c r="W3017" s="124"/>
      <x:c r="X3017" s="124"/>
      <x:c r="AD3017"/>
      <x:c r="AE3017" s="145"/>
      <x:c r="AF3017" s="145"/>
      <x:c r="AG3017" s="145"/>
      <x:c r="AH3017" s="145"/>
      <x:c r="AI3017" s="145"/>
      <x:c r="AJ3017"/>
    </x:row>
    <x:row r="3018">
      <x:c r="F3018" s="124"/>
      <x:c r="G3018" s="124"/>
      <x:c r="H3018" s="124"/>
      <x:c r="I3018" s="124"/>
      <x:c r="J3018" s="124"/>
      <x:c r="M3018" s="126"/>
      <x:c r="P3018" s="126"/>
      <x:c r="Q3018" s="126"/>
      <x:c r="R3018" s="126"/>
      <x:c r="S3018" s="124"/>
      <x:c r="T3018" s="124"/>
      <x:c r="U3018" s="124"/>
      <x:c r="V3018" s="124"/>
      <x:c r="W3018" s="124"/>
      <x:c r="X3018" s="124"/>
      <x:c r="AD3018"/>
      <x:c r="AE3018" s="145"/>
      <x:c r="AF3018" s="145"/>
      <x:c r="AG3018" s="145"/>
      <x:c r="AH3018" s="145"/>
      <x:c r="AI3018" s="145"/>
      <x:c r="AJ3018"/>
    </x:row>
    <x:row r="3019">
      <x:c r="F3019" s="124"/>
      <x:c r="G3019" s="124"/>
      <x:c r="H3019" s="124"/>
      <x:c r="I3019" s="124"/>
      <x:c r="J3019" s="124"/>
      <x:c r="M3019" s="126"/>
      <x:c r="P3019" s="126"/>
      <x:c r="Q3019" s="126"/>
      <x:c r="R3019" s="126"/>
      <x:c r="S3019" s="124"/>
      <x:c r="T3019" s="124"/>
      <x:c r="U3019" s="124"/>
      <x:c r="V3019" s="124"/>
      <x:c r="W3019" s="124"/>
      <x:c r="X3019" s="124"/>
      <x:c r="AD3019"/>
      <x:c r="AE3019" s="145"/>
      <x:c r="AF3019" s="145"/>
      <x:c r="AG3019" s="145"/>
      <x:c r="AH3019" s="145"/>
      <x:c r="AI3019" s="145"/>
      <x:c r="AJ3019"/>
    </x:row>
    <x:row r="3020">
      <x:c r="F3020" s="124"/>
      <x:c r="G3020" s="124"/>
      <x:c r="H3020" s="124"/>
      <x:c r="I3020" s="124"/>
      <x:c r="J3020" s="124"/>
      <x:c r="M3020" s="126"/>
      <x:c r="P3020" s="126"/>
      <x:c r="Q3020" s="126"/>
      <x:c r="R3020" s="126"/>
      <x:c r="S3020" s="124"/>
      <x:c r="T3020" s="124"/>
      <x:c r="U3020" s="124"/>
      <x:c r="V3020" s="124"/>
      <x:c r="W3020" s="124"/>
      <x:c r="X3020" s="124"/>
      <x:c r="AD3020"/>
      <x:c r="AE3020" s="145"/>
      <x:c r="AF3020" s="145"/>
      <x:c r="AG3020" s="145"/>
      <x:c r="AH3020" s="145"/>
      <x:c r="AI3020" s="145"/>
      <x:c r="AJ3020"/>
    </x:row>
    <x:row r="3021">
      <x:c r="F3021" s="124"/>
      <x:c r="G3021" s="124"/>
      <x:c r="H3021" s="124"/>
      <x:c r="I3021" s="124"/>
      <x:c r="J3021" s="124"/>
      <x:c r="M3021" s="126"/>
      <x:c r="P3021" s="126"/>
      <x:c r="Q3021" s="126"/>
      <x:c r="R3021" s="126"/>
      <x:c r="S3021" s="124"/>
      <x:c r="T3021" s="124"/>
      <x:c r="U3021" s="124"/>
      <x:c r="V3021" s="124"/>
      <x:c r="W3021" s="124"/>
      <x:c r="X3021" s="124"/>
      <x:c r="AD3021"/>
      <x:c r="AE3021" s="145"/>
      <x:c r="AF3021" s="145"/>
      <x:c r="AG3021" s="145"/>
      <x:c r="AH3021" s="145"/>
      <x:c r="AI3021" s="145"/>
      <x:c r="AJ3021"/>
    </x:row>
    <x:row r="3022">
      <x:c r="F3022" s="124"/>
      <x:c r="G3022" s="124"/>
      <x:c r="H3022" s="124"/>
      <x:c r="I3022" s="124"/>
      <x:c r="J3022" s="124"/>
      <x:c r="M3022" s="126"/>
      <x:c r="P3022" s="126"/>
      <x:c r="Q3022" s="126"/>
      <x:c r="R3022" s="126"/>
      <x:c r="S3022" s="124"/>
      <x:c r="T3022" s="124"/>
      <x:c r="U3022" s="124"/>
      <x:c r="V3022" s="124"/>
      <x:c r="W3022" s="124"/>
      <x:c r="X3022" s="124"/>
      <x:c r="AD3022"/>
      <x:c r="AE3022" s="145"/>
      <x:c r="AF3022" s="145"/>
      <x:c r="AG3022" s="145"/>
      <x:c r="AH3022" s="145"/>
      <x:c r="AI3022" s="145"/>
      <x:c r="AJ3022"/>
    </x:row>
    <x:row r="3023">
      <x:c r="F3023" s="124"/>
      <x:c r="G3023" s="124"/>
      <x:c r="H3023" s="124"/>
      <x:c r="I3023" s="124"/>
      <x:c r="J3023" s="124"/>
      <x:c r="M3023" s="126"/>
      <x:c r="P3023" s="126"/>
      <x:c r="Q3023" s="126"/>
      <x:c r="R3023" s="126"/>
      <x:c r="S3023" s="124"/>
      <x:c r="T3023" s="124"/>
      <x:c r="U3023" s="124"/>
      <x:c r="V3023" s="124"/>
      <x:c r="W3023" s="124"/>
      <x:c r="X3023" s="124"/>
      <x:c r="AD3023"/>
      <x:c r="AE3023" s="145"/>
      <x:c r="AF3023" s="145"/>
      <x:c r="AG3023" s="145"/>
      <x:c r="AH3023" s="145"/>
      <x:c r="AI3023" s="145"/>
      <x:c r="AJ3023"/>
    </x:row>
    <x:row r="3024">
      <x:c r="F3024" s="124"/>
      <x:c r="G3024" s="124"/>
      <x:c r="H3024" s="124"/>
      <x:c r="I3024" s="124"/>
      <x:c r="J3024" s="124"/>
      <x:c r="M3024" s="126"/>
      <x:c r="P3024" s="126"/>
      <x:c r="Q3024" s="126"/>
      <x:c r="R3024" s="126"/>
      <x:c r="S3024" s="124"/>
      <x:c r="T3024" s="124"/>
      <x:c r="U3024" s="124"/>
      <x:c r="V3024" s="124"/>
      <x:c r="W3024" s="124"/>
      <x:c r="X3024" s="124"/>
      <x:c r="AD3024"/>
      <x:c r="AE3024" s="145"/>
      <x:c r="AF3024" s="145"/>
      <x:c r="AG3024" s="145"/>
      <x:c r="AH3024" s="145"/>
      <x:c r="AI3024" s="145"/>
      <x:c r="AJ3024"/>
    </x:row>
    <x:row r="3025">
      <x:c r="F3025" s="124"/>
      <x:c r="G3025" s="124"/>
      <x:c r="H3025" s="124"/>
      <x:c r="I3025" s="124"/>
      <x:c r="J3025" s="124"/>
      <x:c r="M3025" s="126"/>
      <x:c r="P3025" s="126"/>
      <x:c r="Q3025" s="126"/>
      <x:c r="R3025" s="126"/>
      <x:c r="S3025" s="124"/>
      <x:c r="T3025" s="124"/>
      <x:c r="U3025" s="124"/>
      <x:c r="V3025" s="124"/>
      <x:c r="W3025" s="124"/>
      <x:c r="X3025" s="124"/>
      <x:c r="AD3025"/>
      <x:c r="AE3025" s="145"/>
      <x:c r="AF3025" s="145"/>
      <x:c r="AG3025" s="145"/>
      <x:c r="AH3025" s="145"/>
      <x:c r="AI3025" s="145"/>
      <x:c r="AJ3025"/>
    </x:row>
    <x:row r="3026">
      <x:c r="F3026" s="124"/>
      <x:c r="G3026" s="124"/>
      <x:c r="H3026" s="124"/>
      <x:c r="I3026" s="124"/>
      <x:c r="J3026" s="124"/>
      <x:c r="M3026" s="126"/>
      <x:c r="P3026" s="126"/>
      <x:c r="Q3026" s="126"/>
      <x:c r="R3026" s="126"/>
      <x:c r="S3026" s="124"/>
      <x:c r="T3026" s="124"/>
      <x:c r="U3026" s="124"/>
      <x:c r="V3026" s="124"/>
      <x:c r="W3026" s="124"/>
      <x:c r="X3026" s="124"/>
      <x:c r="AD3026"/>
      <x:c r="AE3026" s="145"/>
      <x:c r="AF3026" s="145"/>
      <x:c r="AG3026" s="145"/>
      <x:c r="AH3026" s="145"/>
      <x:c r="AI3026" s="145"/>
      <x:c r="AJ3026"/>
    </x:row>
    <x:row r="3027">
      <x:c r="F3027" s="124"/>
      <x:c r="G3027" s="124"/>
      <x:c r="H3027" s="124"/>
      <x:c r="I3027" s="124"/>
      <x:c r="J3027" s="124"/>
      <x:c r="M3027" s="126"/>
      <x:c r="P3027" s="126"/>
      <x:c r="Q3027" s="126"/>
      <x:c r="R3027" s="126"/>
      <x:c r="S3027" s="124"/>
      <x:c r="T3027" s="124"/>
      <x:c r="U3027" s="124"/>
      <x:c r="V3027" s="124"/>
      <x:c r="W3027" s="124"/>
      <x:c r="X3027" s="124"/>
      <x:c r="AD3027"/>
      <x:c r="AE3027" s="145"/>
      <x:c r="AF3027" s="145"/>
      <x:c r="AG3027" s="145"/>
      <x:c r="AH3027" s="145"/>
      <x:c r="AI3027" s="145"/>
      <x:c r="AJ3027"/>
    </x:row>
    <x:row r="3028">
      <x:c r="F3028" s="124"/>
      <x:c r="G3028" s="124"/>
      <x:c r="H3028" s="124"/>
      <x:c r="I3028" s="124"/>
      <x:c r="J3028" s="124"/>
      <x:c r="M3028" s="126"/>
      <x:c r="P3028" s="126"/>
      <x:c r="Q3028" s="126"/>
      <x:c r="R3028" s="126"/>
      <x:c r="S3028" s="124"/>
      <x:c r="T3028" s="124"/>
      <x:c r="U3028" s="124"/>
      <x:c r="V3028" s="124"/>
      <x:c r="W3028" s="124"/>
      <x:c r="X3028" s="124"/>
      <x:c r="AD3028"/>
      <x:c r="AE3028" s="145"/>
      <x:c r="AF3028" s="145"/>
      <x:c r="AG3028" s="145"/>
      <x:c r="AH3028" s="145"/>
      <x:c r="AI3028" s="145"/>
      <x:c r="AJ3028"/>
    </x:row>
    <x:row r="3029">
      <x:c r="F3029" s="124"/>
      <x:c r="G3029" s="124"/>
      <x:c r="H3029" s="124"/>
      <x:c r="I3029" s="124"/>
      <x:c r="J3029" s="124"/>
      <x:c r="M3029" s="126"/>
      <x:c r="P3029" s="126"/>
      <x:c r="Q3029" s="126"/>
      <x:c r="R3029" s="126"/>
      <x:c r="S3029" s="124"/>
      <x:c r="T3029" s="124"/>
      <x:c r="U3029" s="124"/>
      <x:c r="V3029" s="124"/>
      <x:c r="W3029" s="124"/>
      <x:c r="X3029" s="124"/>
      <x:c r="AD3029"/>
      <x:c r="AE3029" s="145"/>
      <x:c r="AF3029" s="145"/>
      <x:c r="AG3029" s="145"/>
      <x:c r="AH3029" s="145"/>
      <x:c r="AI3029" s="145"/>
      <x:c r="AJ3029"/>
    </x:row>
    <x:row r="3030">
      <x:c r="F3030" s="124"/>
      <x:c r="G3030" s="124"/>
      <x:c r="H3030" s="124"/>
      <x:c r="I3030" s="124"/>
      <x:c r="J3030" s="124"/>
      <x:c r="M3030" s="126"/>
      <x:c r="P3030" s="126"/>
      <x:c r="Q3030" s="126"/>
      <x:c r="R3030" s="126"/>
      <x:c r="S3030" s="124"/>
      <x:c r="T3030" s="124"/>
      <x:c r="U3030" s="124"/>
      <x:c r="V3030" s="124"/>
      <x:c r="W3030" s="124"/>
      <x:c r="X3030" s="124"/>
      <x:c r="AD3030"/>
      <x:c r="AE3030" s="145"/>
      <x:c r="AF3030" s="145"/>
      <x:c r="AG3030" s="145"/>
      <x:c r="AH3030" s="145"/>
      <x:c r="AI3030" s="145"/>
      <x:c r="AJ3030"/>
    </x:row>
    <x:row r="3031">
      <x:c r="F3031" s="124"/>
      <x:c r="G3031" s="124"/>
      <x:c r="H3031" s="124"/>
      <x:c r="I3031" s="124"/>
      <x:c r="J3031" s="124"/>
      <x:c r="M3031" s="126"/>
      <x:c r="P3031" s="126"/>
      <x:c r="Q3031" s="126"/>
      <x:c r="R3031" s="126"/>
      <x:c r="S3031" s="124"/>
      <x:c r="T3031" s="124"/>
      <x:c r="U3031" s="124"/>
      <x:c r="V3031" s="124"/>
      <x:c r="W3031" s="124"/>
      <x:c r="X3031" s="124"/>
      <x:c r="AD3031"/>
      <x:c r="AE3031" s="145"/>
      <x:c r="AF3031" s="145"/>
      <x:c r="AG3031" s="145"/>
      <x:c r="AH3031" s="145"/>
      <x:c r="AI3031" s="145"/>
      <x:c r="AJ3031"/>
    </x:row>
    <x:row r="3032">
      <x:c r="F3032" s="124"/>
      <x:c r="G3032" s="124"/>
      <x:c r="H3032" s="124"/>
      <x:c r="I3032" s="124"/>
      <x:c r="J3032" s="124"/>
      <x:c r="M3032" s="126"/>
      <x:c r="P3032" s="126"/>
      <x:c r="Q3032" s="126"/>
      <x:c r="R3032" s="126"/>
      <x:c r="S3032" s="124"/>
      <x:c r="T3032" s="124"/>
      <x:c r="U3032" s="124"/>
      <x:c r="V3032" s="124"/>
      <x:c r="W3032" s="124"/>
      <x:c r="X3032" s="124"/>
      <x:c r="AD3032"/>
      <x:c r="AE3032" s="145"/>
      <x:c r="AF3032" s="145"/>
      <x:c r="AG3032" s="145"/>
      <x:c r="AH3032" s="145"/>
      <x:c r="AI3032" s="145"/>
      <x:c r="AJ3032"/>
    </x:row>
    <x:row r="3033">
      <x:c r="F3033" s="124"/>
      <x:c r="G3033" s="124"/>
      <x:c r="H3033" s="124"/>
      <x:c r="I3033" s="124"/>
      <x:c r="J3033" s="124"/>
      <x:c r="M3033" s="126"/>
      <x:c r="P3033" s="126"/>
      <x:c r="Q3033" s="126"/>
      <x:c r="R3033" s="126"/>
      <x:c r="S3033" s="124"/>
      <x:c r="T3033" s="124"/>
      <x:c r="U3033" s="124"/>
      <x:c r="V3033" s="124"/>
      <x:c r="W3033" s="124"/>
      <x:c r="X3033" s="124"/>
      <x:c r="AD3033"/>
      <x:c r="AE3033" s="145"/>
      <x:c r="AF3033" s="145"/>
      <x:c r="AG3033" s="145"/>
      <x:c r="AH3033" s="145"/>
      <x:c r="AI3033" s="145"/>
      <x:c r="AJ3033"/>
    </x:row>
    <x:row r="3034">
      <x:c r="F3034" s="124"/>
      <x:c r="G3034" s="124"/>
      <x:c r="H3034" s="124"/>
      <x:c r="I3034" s="124"/>
      <x:c r="J3034" s="124"/>
      <x:c r="M3034" s="126"/>
      <x:c r="P3034" s="126"/>
      <x:c r="Q3034" s="126"/>
      <x:c r="R3034" s="126"/>
      <x:c r="S3034" s="124"/>
      <x:c r="T3034" s="124"/>
      <x:c r="U3034" s="124"/>
      <x:c r="V3034" s="124"/>
      <x:c r="W3034" s="124"/>
      <x:c r="X3034" s="124"/>
      <x:c r="AD3034"/>
      <x:c r="AE3034" s="145"/>
      <x:c r="AF3034" s="145"/>
      <x:c r="AG3034" s="145"/>
      <x:c r="AH3034" s="145"/>
      <x:c r="AI3034" s="145"/>
      <x:c r="AJ3034"/>
    </x:row>
    <x:row r="3035">
      <x:c r="F3035" s="124"/>
      <x:c r="G3035" s="124"/>
      <x:c r="H3035" s="124"/>
      <x:c r="I3035" s="124"/>
      <x:c r="J3035" s="124"/>
      <x:c r="M3035" s="126"/>
      <x:c r="P3035" s="126"/>
      <x:c r="Q3035" s="126"/>
      <x:c r="R3035" s="126"/>
      <x:c r="S3035" s="124"/>
      <x:c r="T3035" s="124"/>
      <x:c r="U3035" s="124"/>
      <x:c r="V3035" s="124"/>
      <x:c r="W3035" s="124"/>
      <x:c r="X3035" s="124"/>
      <x:c r="AD3035"/>
      <x:c r="AE3035" s="145"/>
      <x:c r="AF3035" s="145"/>
      <x:c r="AG3035" s="145"/>
      <x:c r="AH3035" s="145"/>
      <x:c r="AI3035" s="145"/>
      <x:c r="AJ3035"/>
    </x:row>
    <x:row r="3036">
      <x:c r="F3036" s="124"/>
      <x:c r="G3036" s="124"/>
      <x:c r="H3036" s="124"/>
      <x:c r="I3036" s="124"/>
      <x:c r="J3036" s="124"/>
      <x:c r="M3036" s="126"/>
      <x:c r="P3036" s="126"/>
      <x:c r="Q3036" s="126"/>
      <x:c r="R3036" s="126"/>
      <x:c r="S3036" s="124"/>
      <x:c r="T3036" s="124"/>
      <x:c r="U3036" s="124"/>
      <x:c r="V3036" s="124"/>
      <x:c r="W3036" s="124"/>
      <x:c r="X3036" s="124"/>
      <x:c r="AD3036"/>
      <x:c r="AE3036" s="145"/>
      <x:c r="AF3036" s="145"/>
      <x:c r="AG3036" s="145"/>
      <x:c r="AH3036" s="145"/>
      <x:c r="AI3036" s="145"/>
      <x:c r="AJ3036"/>
    </x:row>
    <x:row r="3037">
      <x:c r="F3037" s="124"/>
      <x:c r="G3037" s="124"/>
      <x:c r="H3037" s="124"/>
      <x:c r="I3037" s="124"/>
      <x:c r="J3037" s="124"/>
      <x:c r="M3037" s="126"/>
      <x:c r="P3037" s="126"/>
      <x:c r="Q3037" s="126"/>
      <x:c r="R3037" s="126"/>
      <x:c r="S3037" s="124"/>
      <x:c r="T3037" s="124"/>
      <x:c r="U3037" s="124"/>
      <x:c r="V3037" s="124"/>
      <x:c r="W3037" s="124"/>
      <x:c r="X3037" s="124"/>
      <x:c r="AD3037"/>
      <x:c r="AE3037" s="145"/>
      <x:c r="AF3037" s="145"/>
      <x:c r="AG3037" s="145"/>
      <x:c r="AH3037" s="145"/>
      <x:c r="AI3037" s="145"/>
      <x:c r="AJ3037"/>
    </x:row>
    <x:row r="3038">
      <x:c r="F3038" s="124"/>
      <x:c r="G3038" s="124"/>
      <x:c r="H3038" s="124"/>
      <x:c r="I3038" s="124"/>
      <x:c r="J3038" s="124"/>
      <x:c r="M3038" s="126"/>
      <x:c r="P3038" s="126"/>
      <x:c r="Q3038" s="126"/>
      <x:c r="R3038" s="126"/>
      <x:c r="S3038" s="124"/>
      <x:c r="T3038" s="124"/>
      <x:c r="U3038" s="124"/>
      <x:c r="V3038" s="124"/>
      <x:c r="W3038" s="124"/>
      <x:c r="X3038" s="124"/>
      <x:c r="AD3038"/>
      <x:c r="AE3038" s="145"/>
      <x:c r="AF3038" s="145"/>
      <x:c r="AG3038" s="145"/>
      <x:c r="AH3038" s="145"/>
      <x:c r="AI3038" s="145"/>
      <x:c r="AJ3038"/>
    </x:row>
    <x:row r="3039">
      <x:c r="F3039" s="124"/>
      <x:c r="G3039" s="124"/>
      <x:c r="H3039" s="124"/>
      <x:c r="I3039" s="124"/>
      <x:c r="J3039" s="124"/>
      <x:c r="M3039" s="126"/>
      <x:c r="P3039" s="126"/>
      <x:c r="Q3039" s="126"/>
      <x:c r="R3039" s="126"/>
      <x:c r="S3039" s="124"/>
      <x:c r="T3039" s="124"/>
      <x:c r="U3039" s="124"/>
      <x:c r="V3039" s="124"/>
      <x:c r="W3039" s="124"/>
      <x:c r="X3039" s="124"/>
      <x:c r="AD3039"/>
      <x:c r="AE3039" s="145"/>
      <x:c r="AF3039" s="145"/>
      <x:c r="AG3039" s="145"/>
      <x:c r="AH3039" s="145"/>
      <x:c r="AI3039" s="145"/>
      <x:c r="AJ3039"/>
    </x:row>
    <x:row r="3040">
      <x:c r="F3040" s="124"/>
      <x:c r="G3040" s="124"/>
      <x:c r="H3040" s="124"/>
      <x:c r="I3040" s="124"/>
      <x:c r="J3040" s="124"/>
      <x:c r="M3040" s="126"/>
      <x:c r="P3040" s="126"/>
      <x:c r="Q3040" s="126"/>
      <x:c r="R3040" s="126"/>
      <x:c r="S3040" s="124"/>
      <x:c r="T3040" s="124"/>
      <x:c r="U3040" s="124"/>
      <x:c r="V3040" s="124"/>
      <x:c r="W3040" s="124"/>
      <x:c r="X3040" s="124"/>
      <x:c r="AD3040"/>
      <x:c r="AE3040" s="145"/>
      <x:c r="AF3040" s="145"/>
      <x:c r="AG3040" s="145"/>
      <x:c r="AH3040" s="145"/>
      <x:c r="AI3040" s="145"/>
      <x:c r="AJ3040"/>
    </x:row>
    <x:row r="3041">
      <x:c r="F3041" s="124"/>
      <x:c r="G3041" s="124"/>
      <x:c r="H3041" s="124"/>
      <x:c r="I3041" s="124"/>
      <x:c r="J3041" s="124"/>
      <x:c r="M3041" s="126"/>
      <x:c r="P3041" s="126"/>
      <x:c r="Q3041" s="126"/>
      <x:c r="R3041" s="126"/>
      <x:c r="S3041" s="124"/>
      <x:c r="T3041" s="124"/>
      <x:c r="U3041" s="124"/>
      <x:c r="V3041" s="124"/>
      <x:c r="W3041" s="124"/>
      <x:c r="X3041" s="124"/>
      <x:c r="AD3041"/>
      <x:c r="AE3041" s="145"/>
      <x:c r="AF3041" s="145"/>
      <x:c r="AG3041" s="145"/>
      <x:c r="AH3041" s="145"/>
      <x:c r="AI3041" s="145"/>
      <x:c r="AJ3041"/>
    </x:row>
    <x:row r="3042">
      <x:c r="F3042" s="124"/>
      <x:c r="G3042" s="124"/>
      <x:c r="H3042" s="124"/>
      <x:c r="I3042" s="124"/>
      <x:c r="J3042" s="124"/>
      <x:c r="M3042" s="126"/>
      <x:c r="P3042" s="126"/>
      <x:c r="Q3042" s="126"/>
      <x:c r="R3042" s="126"/>
      <x:c r="S3042" s="124"/>
      <x:c r="T3042" s="124"/>
      <x:c r="U3042" s="124"/>
      <x:c r="V3042" s="124"/>
      <x:c r="W3042" s="124"/>
      <x:c r="X3042" s="124"/>
      <x:c r="AD3042"/>
      <x:c r="AE3042" s="145"/>
      <x:c r="AF3042" s="145"/>
      <x:c r="AG3042" s="145"/>
      <x:c r="AH3042" s="145"/>
      <x:c r="AI3042" s="145"/>
      <x:c r="AJ3042"/>
    </x:row>
    <x:row r="3043">
      <x:c r="F3043" s="124"/>
      <x:c r="G3043" s="124"/>
      <x:c r="H3043" s="124"/>
      <x:c r="I3043" s="124"/>
      <x:c r="J3043" s="124"/>
      <x:c r="M3043" s="126"/>
      <x:c r="P3043" s="126"/>
      <x:c r="Q3043" s="126"/>
      <x:c r="R3043" s="126"/>
      <x:c r="S3043" s="124"/>
      <x:c r="T3043" s="124"/>
      <x:c r="U3043" s="124"/>
      <x:c r="V3043" s="124"/>
      <x:c r="W3043" s="124"/>
      <x:c r="X3043" s="124"/>
      <x:c r="AD3043"/>
      <x:c r="AE3043" s="145"/>
      <x:c r="AF3043" s="145"/>
      <x:c r="AG3043" s="145"/>
      <x:c r="AH3043" s="145"/>
      <x:c r="AI3043" s="145"/>
      <x:c r="AJ3043"/>
    </x:row>
    <x:row r="3044">
      <x:c r="F3044" s="124"/>
      <x:c r="G3044" s="124"/>
      <x:c r="H3044" s="124"/>
      <x:c r="I3044" s="124"/>
      <x:c r="J3044" s="124"/>
      <x:c r="M3044" s="126"/>
      <x:c r="P3044" s="126"/>
      <x:c r="Q3044" s="126"/>
      <x:c r="R3044" s="126"/>
      <x:c r="S3044" s="124"/>
      <x:c r="T3044" s="124"/>
      <x:c r="U3044" s="124"/>
      <x:c r="V3044" s="124"/>
      <x:c r="W3044" s="124"/>
      <x:c r="X3044" s="124"/>
      <x:c r="AD3044"/>
      <x:c r="AE3044" s="145"/>
      <x:c r="AF3044" s="145"/>
      <x:c r="AG3044" s="145"/>
      <x:c r="AH3044" s="145"/>
      <x:c r="AI3044" s="145"/>
      <x:c r="AJ3044"/>
    </x:row>
    <x:row r="3045">
      <x:c r="F3045" s="124"/>
      <x:c r="G3045" s="124"/>
      <x:c r="H3045" s="124"/>
      <x:c r="I3045" s="124"/>
      <x:c r="J3045" s="124"/>
      <x:c r="M3045" s="126"/>
      <x:c r="P3045" s="126"/>
      <x:c r="Q3045" s="126"/>
      <x:c r="R3045" s="126"/>
      <x:c r="S3045" s="124"/>
      <x:c r="T3045" s="124"/>
      <x:c r="U3045" s="124"/>
      <x:c r="V3045" s="124"/>
      <x:c r="W3045" s="124"/>
      <x:c r="X3045" s="124"/>
      <x:c r="AD3045"/>
      <x:c r="AE3045" s="145"/>
      <x:c r="AF3045" s="145"/>
      <x:c r="AG3045" s="145"/>
      <x:c r="AH3045" s="145"/>
      <x:c r="AI3045" s="145"/>
      <x:c r="AJ3045"/>
    </x:row>
    <x:row r="3046">
      <x:c r="F3046" s="124"/>
      <x:c r="G3046" s="124"/>
      <x:c r="H3046" s="124"/>
      <x:c r="I3046" s="124"/>
      <x:c r="J3046" s="124"/>
      <x:c r="M3046" s="126"/>
      <x:c r="P3046" s="126"/>
      <x:c r="Q3046" s="126"/>
      <x:c r="R3046" s="126"/>
      <x:c r="S3046" s="124"/>
      <x:c r="T3046" s="124"/>
      <x:c r="U3046" s="124"/>
      <x:c r="V3046" s="124"/>
      <x:c r="W3046" s="124"/>
      <x:c r="X3046" s="124"/>
      <x:c r="AD3046"/>
      <x:c r="AE3046" s="145"/>
      <x:c r="AF3046" s="145"/>
      <x:c r="AG3046" s="145"/>
      <x:c r="AH3046" s="145"/>
      <x:c r="AI3046" s="145"/>
      <x:c r="AJ3046"/>
    </x:row>
    <x:row r="3047">
      <x:c r="F3047" s="124"/>
      <x:c r="G3047" s="124"/>
      <x:c r="H3047" s="124"/>
      <x:c r="I3047" s="124"/>
      <x:c r="J3047" s="124"/>
      <x:c r="M3047" s="126"/>
      <x:c r="P3047" s="126"/>
      <x:c r="Q3047" s="126"/>
      <x:c r="R3047" s="126"/>
      <x:c r="S3047" s="124"/>
      <x:c r="T3047" s="124"/>
      <x:c r="U3047" s="124"/>
      <x:c r="V3047" s="124"/>
      <x:c r="W3047" s="124"/>
      <x:c r="X3047" s="124"/>
      <x:c r="AD3047"/>
      <x:c r="AE3047" s="145"/>
      <x:c r="AF3047" s="145"/>
      <x:c r="AG3047" s="145"/>
      <x:c r="AH3047" s="145"/>
      <x:c r="AI3047" s="145"/>
      <x:c r="AJ3047"/>
    </x:row>
    <x:row r="3048">
      <x:c r="F3048" s="124"/>
      <x:c r="G3048" s="124"/>
      <x:c r="H3048" s="124"/>
      <x:c r="I3048" s="124"/>
      <x:c r="J3048" s="124"/>
      <x:c r="M3048" s="126"/>
      <x:c r="P3048" s="126"/>
      <x:c r="Q3048" s="126"/>
      <x:c r="R3048" s="126"/>
      <x:c r="S3048" s="124"/>
      <x:c r="T3048" s="124"/>
      <x:c r="U3048" s="124"/>
      <x:c r="V3048" s="124"/>
      <x:c r="W3048" s="124"/>
      <x:c r="X3048" s="124"/>
      <x:c r="AD3048"/>
      <x:c r="AE3048" s="145"/>
      <x:c r="AF3048" s="145"/>
      <x:c r="AG3048" s="145"/>
      <x:c r="AH3048" s="145"/>
      <x:c r="AI3048" s="145"/>
      <x:c r="AJ3048"/>
    </x:row>
    <x:row r="3049">
      <x:c r="F3049" s="124"/>
      <x:c r="G3049" s="124"/>
      <x:c r="H3049" s="124"/>
      <x:c r="I3049" s="124"/>
      <x:c r="J3049" s="124"/>
      <x:c r="M3049" s="126"/>
      <x:c r="P3049" s="126"/>
      <x:c r="Q3049" s="126"/>
      <x:c r="R3049" s="126"/>
      <x:c r="S3049" s="124"/>
      <x:c r="T3049" s="124"/>
      <x:c r="U3049" s="124"/>
      <x:c r="V3049" s="124"/>
      <x:c r="W3049" s="124"/>
      <x:c r="X3049" s="124"/>
      <x:c r="AD3049"/>
      <x:c r="AE3049" s="145"/>
      <x:c r="AF3049" s="145"/>
      <x:c r="AG3049" s="145"/>
      <x:c r="AH3049" s="145"/>
      <x:c r="AI3049" s="145"/>
      <x:c r="AJ3049"/>
    </x:row>
    <x:row r="3050">
      <x:c r="F3050" s="124"/>
      <x:c r="G3050" s="124"/>
      <x:c r="H3050" s="124"/>
      <x:c r="I3050" s="124"/>
      <x:c r="J3050" s="124"/>
      <x:c r="M3050" s="126"/>
      <x:c r="P3050" s="126"/>
      <x:c r="Q3050" s="126"/>
      <x:c r="R3050" s="126"/>
      <x:c r="S3050" s="124"/>
      <x:c r="T3050" s="124"/>
      <x:c r="U3050" s="124"/>
      <x:c r="V3050" s="124"/>
      <x:c r="W3050" s="124"/>
      <x:c r="X3050" s="124"/>
      <x:c r="AD3050"/>
      <x:c r="AE3050" s="145"/>
      <x:c r="AF3050" s="145"/>
      <x:c r="AG3050" s="145"/>
      <x:c r="AH3050" s="145"/>
      <x:c r="AI3050" s="145"/>
      <x:c r="AJ3050"/>
    </x:row>
    <x:row r="3051">
      <x:c r="F3051" s="124"/>
      <x:c r="G3051" s="124"/>
      <x:c r="H3051" s="124"/>
      <x:c r="I3051" s="124"/>
      <x:c r="J3051" s="124"/>
      <x:c r="M3051" s="126"/>
      <x:c r="P3051" s="126"/>
      <x:c r="Q3051" s="126"/>
      <x:c r="R3051" s="126"/>
      <x:c r="S3051" s="124"/>
      <x:c r="T3051" s="124"/>
      <x:c r="U3051" s="124"/>
      <x:c r="V3051" s="124"/>
      <x:c r="W3051" s="124"/>
      <x:c r="X3051" s="124"/>
      <x:c r="AD3051"/>
      <x:c r="AE3051" s="145"/>
      <x:c r="AF3051" s="145"/>
      <x:c r="AG3051" s="145"/>
      <x:c r="AH3051" s="145"/>
      <x:c r="AI3051" s="145"/>
      <x:c r="AJ3051"/>
    </x:row>
    <x:row r="3052">
      <x:c r="F3052" s="124"/>
      <x:c r="G3052" s="124"/>
      <x:c r="H3052" s="124"/>
      <x:c r="I3052" s="124"/>
      <x:c r="J3052" s="124"/>
      <x:c r="M3052" s="126"/>
      <x:c r="P3052" s="126"/>
      <x:c r="Q3052" s="126"/>
      <x:c r="R3052" s="126"/>
      <x:c r="S3052" s="124"/>
      <x:c r="T3052" s="124"/>
      <x:c r="U3052" s="124"/>
      <x:c r="V3052" s="124"/>
      <x:c r="W3052" s="124"/>
      <x:c r="X3052" s="124"/>
      <x:c r="AD3052"/>
      <x:c r="AE3052" s="145"/>
      <x:c r="AF3052" s="145"/>
      <x:c r="AG3052" s="145"/>
      <x:c r="AH3052" s="145"/>
      <x:c r="AI3052" s="145"/>
      <x:c r="AJ3052"/>
    </x:row>
    <x:row r="3053">
      <x:c r="F3053" s="124"/>
      <x:c r="G3053" s="124"/>
      <x:c r="H3053" s="124"/>
      <x:c r="I3053" s="124"/>
      <x:c r="J3053" s="124"/>
      <x:c r="M3053" s="126"/>
      <x:c r="P3053" s="126"/>
      <x:c r="Q3053" s="126"/>
      <x:c r="R3053" s="126"/>
      <x:c r="S3053" s="124"/>
      <x:c r="T3053" s="124"/>
      <x:c r="U3053" s="124"/>
      <x:c r="V3053" s="124"/>
      <x:c r="W3053" s="124"/>
      <x:c r="X3053" s="124"/>
      <x:c r="AD3053"/>
      <x:c r="AE3053" s="145"/>
      <x:c r="AF3053" s="145"/>
      <x:c r="AG3053" s="145"/>
      <x:c r="AH3053" s="145"/>
      <x:c r="AI3053" s="145"/>
      <x:c r="AJ3053"/>
    </x:row>
    <x:row r="3054">
      <x:c r="F3054" s="124"/>
      <x:c r="G3054" s="124"/>
      <x:c r="H3054" s="124"/>
      <x:c r="I3054" s="124"/>
      <x:c r="J3054" s="124"/>
      <x:c r="M3054" s="126"/>
      <x:c r="P3054" s="126"/>
      <x:c r="Q3054" s="126"/>
      <x:c r="R3054" s="126"/>
      <x:c r="S3054" s="124"/>
      <x:c r="T3054" s="124"/>
      <x:c r="U3054" s="124"/>
      <x:c r="V3054" s="124"/>
      <x:c r="W3054" s="124"/>
      <x:c r="X3054" s="124"/>
      <x:c r="AD3054"/>
      <x:c r="AE3054" s="145"/>
      <x:c r="AF3054" s="145"/>
      <x:c r="AG3054" s="145"/>
      <x:c r="AH3054" s="145"/>
      <x:c r="AI3054" s="145"/>
      <x:c r="AJ3054"/>
    </x:row>
    <x:row r="3055">
      <x:c r="F3055" s="124"/>
      <x:c r="G3055" s="124"/>
      <x:c r="H3055" s="124"/>
      <x:c r="I3055" s="124"/>
      <x:c r="J3055" s="124"/>
      <x:c r="M3055" s="126"/>
      <x:c r="P3055" s="126"/>
      <x:c r="Q3055" s="126"/>
      <x:c r="R3055" s="126"/>
      <x:c r="S3055" s="124"/>
      <x:c r="T3055" s="124"/>
      <x:c r="U3055" s="124"/>
      <x:c r="V3055" s="124"/>
      <x:c r="W3055" s="124"/>
      <x:c r="X3055" s="124"/>
      <x:c r="AD3055"/>
      <x:c r="AE3055" s="145"/>
      <x:c r="AF3055" s="145"/>
      <x:c r="AG3055" s="145"/>
      <x:c r="AH3055" s="145"/>
      <x:c r="AI3055" s="145"/>
      <x:c r="AJ3055"/>
    </x:row>
    <x:row r="3056">
      <x:c r="F3056" s="124"/>
      <x:c r="G3056" s="124"/>
      <x:c r="H3056" s="124"/>
      <x:c r="I3056" s="124"/>
      <x:c r="J3056" s="124"/>
      <x:c r="M3056" s="126"/>
      <x:c r="P3056" s="126"/>
      <x:c r="Q3056" s="126"/>
      <x:c r="R3056" s="126"/>
      <x:c r="S3056" s="124"/>
      <x:c r="T3056" s="124"/>
      <x:c r="U3056" s="124"/>
      <x:c r="V3056" s="124"/>
      <x:c r="W3056" s="124"/>
      <x:c r="X3056" s="124"/>
      <x:c r="AD3056"/>
      <x:c r="AE3056" s="145"/>
      <x:c r="AF3056" s="145"/>
      <x:c r="AG3056" s="145"/>
      <x:c r="AH3056" s="145"/>
      <x:c r="AI3056" s="145"/>
      <x:c r="AJ3056"/>
    </x:row>
    <x:row r="3057">
      <x:c r="F3057" s="124"/>
      <x:c r="G3057" s="124"/>
      <x:c r="H3057" s="124"/>
      <x:c r="I3057" s="124"/>
      <x:c r="J3057" s="124"/>
      <x:c r="M3057" s="126"/>
      <x:c r="P3057" s="126"/>
      <x:c r="Q3057" s="126"/>
      <x:c r="R3057" s="126"/>
      <x:c r="S3057" s="124"/>
      <x:c r="T3057" s="124"/>
      <x:c r="U3057" s="124"/>
      <x:c r="V3057" s="124"/>
      <x:c r="W3057" s="124"/>
      <x:c r="X3057" s="124"/>
      <x:c r="AD3057"/>
      <x:c r="AE3057" s="145"/>
      <x:c r="AF3057" s="145"/>
      <x:c r="AG3057" s="145"/>
      <x:c r="AH3057" s="145"/>
      <x:c r="AI3057" s="145"/>
      <x:c r="AJ3057"/>
    </x:row>
    <x:row r="3058">
      <x:c r="F3058" s="124"/>
      <x:c r="G3058" s="124"/>
      <x:c r="H3058" s="124"/>
      <x:c r="I3058" s="124"/>
      <x:c r="J3058" s="124"/>
      <x:c r="M3058" s="126"/>
      <x:c r="P3058" s="126"/>
      <x:c r="Q3058" s="126"/>
      <x:c r="R3058" s="126"/>
      <x:c r="S3058" s="124"/>
      <x:c r="T3058" s="124"/>
      <x:c r="U3058" s="124"/>
      <x:c r="V3058" s="124"/>
      <x:c r="W3058" s="124"/>
      <x:c r="X3058" s="124"/>
      <x:c r="AD3058"/>
      <x:c r="AE3058" s="145"/>
      <x:c r="AF3058" s="145"/>
      <x:c r="AG3058" s="145"/>
      <x:c r="AH3058" s="145"/>
      <x:c r="AI3058" s="145"/>
      <x:c r="AJ3058"/>
    </x:row>
    <x:row r="3059">
      <x:c r="F3059" s="124"/>
      <x:c r="G3059" s="124"/>
      <x:c r="H3059" s="124"/>
      <x:c r="I3059" s="124"/>
      <x:c r="J3059" s="124"/>
      <x:c r="M3059" s="126"/>
      <x:c r="P3059" s="126"/>
      <x:c r="Q3059" s="126"/>
      <x:c r="R3059" s="126"/>
      <x:c r="S3059" s="124"/>
      <x:c r="T3059" s="124"/>
      <x:c r="U3059" s="124"/>
      <x:c r="V3059" s="124"/>
      <x:c r="W3059" s="124"/>
      <x:c r="X3059" s="124"/>
      <x:c r="AD3059"/>
      <x:c r="AE3059" s="145"/>
      <x:c r="AF3059" s="145"/>
      <x:c r="AG3059" s="145"/>
      <x:c r="AH3059" s="145"/>
      <x:c r="AI3059" s="145"/>
      <x:c r="AJ3059"/>
    </x:row>
    <x:row r="3060">
      <x:c r="F3060" s="124"/>
      <x:c r="G3060" s="124"/>
      <x:c r="H3060" s="124"/>
      <x:c r="I3060" s="124"/>
      <x:c r="J3060" s="124"/>
      <x:c r="M3060" s="126"/>
      <x:c r="P3060" s="126"/>
      <x:c r="Q3060" s="126"/>
      <x:c r="R3060" s="126"/>
      <x:c r="S3060" s="124"/>
      <x:c r="T3060" s="124"/>
      <x:c r="U3060" s="124"/>
      <x:c r="V3060" s="124"/>
      <x:c r="W3060" s="124"/>
      <x:c r="X3060" s="124"/>
      <x:c r="AD3060"/>
      <x:c r="AE3060" s="145"/>
      <x:c r="AF3060" s="145"/>
      <x:c r="AG3060" s="145"/>
      <x:c r="AH3060" s="145"/>
      <x:c r="AI3060" s="145"/>
      <x:c r="AJ3060"/>
    </x:row>
    <x:row r="3061">
      <x:c r="F3061" s="124"/>
      <x:c r="G3061" s="124"/>
      <x:c r="H3061" s="124"/>
      <x:c r="I3061" s="124"/>
      <x:c r="J3061" s="124"/>
      <x:c r="M3061" s="126"/>
      <x:c r="P3061" s="126"/>
      <x:c r="Q3061" s="126"/>
      <x:c r="R3061" s="126"/>
      <x:c r="S3061" s="124"/>
      <x:c r="T3061" s="124"/>
      <x:c r="U3061" s="124"/>
      <x:c r="V3061" s="124"/>
      <x:c r="W3061" s="124"/>
      <x:c r="X3061" s="124"/>
      <x:c r="AD3061"/>
      <x:c r="AE3061" s="145"/>
      <x:c r="AF3061" s="145"/>
      <x:c r="AG3061" s="145"/>
      <x:c r="AH3061" s="145"/>
      <x:c r="AI3061" s="145"/>
      <x:c r="AJ3061"/>
    </x:row>
    <x:row r="3062">
      <x:c r="F3062" s="124"/>
      <x:c r="G3062" s="124"/>
      <x:c r="H3062" s="124"/>
      <x:c r="I3062" s="124"/>
      <x:c r="J3062" s="124"/>
      <x:c r="M3062" s="126"/>
      <x:c r="P3062" s="126"/>
      <x:c r="Q3062" s="126"/>
      <x:c r="R3062" s="126"/>
      <x:c r="S3062" s="124"/>
      <x:c r="T3062" s="124"/>
      <x:c r="U3062" s="124"/>
      <x:c r="V3062" s="124"/>
      <x:c r="W3062" s="124"/>
      <x:c r="X3062" s="124"/>
      <x:c r="AD3062"/>
      <x:c r="AE3062" s="145"/>
      <x:c r="AF3062" s="145"/>
      <x:c r="AG3062" s="145"/>
      <x:c r="AH3062" s="145"/>
      <x:c r="AI3062" s="145"/>
      <x:c r="AJ3062"/>
    </x:row>
    <x:row r="3063">
      <x:c r="F3063" s="124"/>
      <x:c r="G3063" s="124"/>
      <x:c r="H3063" s="124"/>
      <x:c r="I3063" s="124"/>
      <x:c r="J3063" s="124"/>
      <x:c r="M3063" s="126"/>
      <x:c r="P3063" s="126"/>
      <x:c r="Q3063" s="126"/>
      <x:c r="R3063" s="126"/>
      <x:c r="S3063" s="124"/>
      <x:c r="T3063" s="124"/>
      <x:c r="U3063" s="124"/>
      <x:c r="V3063" s="124"/>
      <x:c r="W3063" s="124"/>
      <x:c r="X3063" s="124"/>
      <x:c r="AD3063"/>
      <x:c r="AE3063" s="145"/>
      <x:c r="AF3063" s="145"/>
      <x:c r="AG3063" s="145"/>
      <x:c r="AH3063" s="145"/>
      <x:c r="AI3063" s="145"/>
      <x:c r="AJ3063"/>
    </x:row>
    <x:row r="3064">
      <x:c r="F3064" s="124"/>
      <x:c r="G3064" s="124"/>
      <x:c r="H3064" s="124"/>
      <x:c r="I3064" s="124"/>
      <x:c r="J3064" s="124"/>
      <x:c r="M3064" s="126"/>
      <x:c r="P3064" s="126"/>
      <x:c r="Q3064" s="126"/>
      <x:c r="R3064" s="126"/>
      <x:c r="S3064" s="124"/>
      <x:c r="T3064" s="124"/>
      <x:c r="U3064" s="124"/>
      <x:c r="V3064" s="124"/>
      <x:c r="W3064" s="124"/>
      <x:c r="X3064" s="124"/>
      <x:c r="AD3064"/>
      <x:c r="AE3064" s="145"/>
      <x:c r="AF3064" s="145"/>
      <x:c r="AG3064" s="145"/>
      <x:c r="AH3064" s="145"/>
      <x:c r="AI3064" s="145"/>
      <x:c r="AJ3064"/>
    </x:row>
    <x:row r="3065">
      <x:c r="F3065" s="124"/>
      <x:c r="G3065" s="124"/>
      <x:c r="H3065" s="124"/>
      <x:c r="I3065" s="124"/>
      <x:c r="J3065" s="124"/>
      <x:c r="M3065" s="126"/>
      <x:c r="P3065" s="126"/>
      <x:c r="Q3065" s="126"/>
      <x:c r="R3065" s="126"/>
      <x:c r="S3065" s="124"/>
      <x:c r="T3065" s="124"/>
      <x:c r="U3065" s="124"/>
      <x:c r="V3065" s="124"/>
      <x:c r="W3065" s="124"/>
      <x:c r="X3065" s="124"/>
      <x:c r="AD3065"/>
      <x:c r="AE3065" s="145"/>
      <x:c r="AF3065" s="145"/>
      <x:c r="AG3065" s="145"/>
      <x:c r="AH3065" s="145"/>
      <x:c r="AI3065" s="145"/>
      <x:c r="AJ3065"/>
    </x:row>
    <x:row r="3066">
      <x:c r="F3066" s="124"/>
      <x:c r="G3066" s="124"/>
      <x:c r="H3066" s="124"/>
      <x:c r="I3066" s="124"/>
      <x:c r="J3066" s="124"/>
      <x:c r="M3066" s="126"/>
      <x:c r="P3066" s="126"/>
      <x:c r="Q3066" s="126"/>
      <x:c r="R3066" s="126"/>
      <x:c r="S3066" s="124"/>
      <x:c r="T3066" s="124"/>
      <x:c r="U3066" s="124"/>
      <x:c r="V3066" s="124"/>
      <x:c r="W3066" s="124"/>
      <x:c r="X3066" s="124"/>
      <x:c r="AD3066"/>
      <x:c r="AE3066" s="145"/>
      <x:c r="AF3066" s="145"/>
      <x:c r="AG3066" s="145"/>
      <x:c r="AH3066" s="145"/>
      <x:c r="AI3066" s="145"/>
      <x:c r="AJ3066"/>
    </x:row>
    <x:row r="3067">
      <x:c r="F3067" s="124"/>
      <x:c r="G3067" s="124"/>
      <x:c r="H3067" s="124"/>
      <x:c r="I3067" s="124"/>
      <x:c r="J3067" s="124"/>
      <x:c r="M3067" s="126"/>
      <x:c r="P3067" s="126"/>
      <x:c r="Q3067" s="126"/>
      <x:c r="R3067" s="126"/>
      <x:c r="S3067" s="124"/>
      <x:c r="T3067" s="124"/>
      <x:c r="U3067" s="124"/>
      <x:c r="V3067" s="124"/>
      <x:c r="W3067" s="124"/>
      <x:c r="X3067" s="124"/>
      <x:c r="AD3067"/>
      <x:c r="AE3067" s="145"/>
      <x:c r="AF3067" s="145"/>
      <x:c r="AG3067" s="145"/>
      <x:c r="AH3067" s="145"/>
      <x:c r="AI3067" s="145"/>
      <x:c r="AJ3067"/>
    </x:row>
    <x:row r="3068">
      <x:c r="F3068" s="124"/>
      <x:c r="G3068" s="124"/>
      <x:c r="H3068" s="124"/>
      <x:c r="I3068" s="124"/>
      <x:c r="J3068" s="124"/>
      <x:c r="M3068" s="126"/>
      <x:c r="P3068" s="126"/>
      <x:c r="Q3068" s="126"/>
      <x:c r="R3068" s="126"/>
      <x:c r="S3068" s="124"/>
      <x:c r="T3068" s="124"/>
      <x:c r="U3068" s="124"/>
      <x:c r="V3068" s="124"/>
      <x:c r="W3068" s="124"/>
      <x:c r="X3068" s="124"/>
      <x:c r="AD3068"/>
      <x:c r="AE3068" s="145"/>
      <x:c r="AF3068" s="145"/>
      <x:c r="AG3068" s="145"/>
      <x:c r="AH3068" s="145"/>
      <x:c r="AI3068" s="145"/>
      <x:c r="AJ3068"/>
    </x:row>
    <x:row r="3069">
      <x:c r="F3069" s="124"/>
      <x:c r="G3069" s="124"/>
      <x:c r="H3069" s="124"/>
      <x:c r="I3069" s="124"/>
      <x:c r="J3069" s="124"/>
      <x:c r="M3069" s="126"/>
      <x:c r="P3069" s="126"/>
      <x:c r="Q3069" s="126"/>
      <x:c r="R3069" s="126"/>
      <x:c r="S3069" s="124"/>
      <x:c r="T3069" s="124"/>
      <x:c r="U3069" s="124"/>
      <x:c r="V3069" s="124"/>
      <x:c r="W3069" s="124"/>
      <x:c r="X3069" s="124"/>
      <x:c r="AD3069"/>
      <x:c r="AE3069" s="145"/>
      <x:c r="AF3069" s="145"/>
      <x:c r="AG3069" s="145"/>
      <x:c r="AH3069" s="145"/>
      <x:c r="AI3069" s="145"/>
      <x:c r="AJ3069"/>
    </x:row>
    <x:row r="3070">
      <x:c r="F3070" s="124"/>
      <x:c r="G3070" s="124"/>
      <x:c r="H3070" s="124"/>
      <x:c r="I3070" s="124"/>
      <x:c r="J3070" s="124"/>
      <x:c r="M3070" s="126"/>
      <x:c r="P3070" s="126"/>
      <x:c r="Q3070" s="126"/>
      <x:c r="R3070" s="126"/>
      <x:c r="S3070" s="124"/>
      <x:c r="T3070" s="124"/>
      <x:c r="U3070" s="124"/>
      <x:c r="V3070" s="124"/>
      <x:c r="W3070" s="124"/>
      <x:c r="X3070" s="124"/>
      <x:c r="AD3070"/>
      <x:c r="AE3070" s="145"/>
      <x:c r="AF3070" s="145"/>
      <x:c r="AG3070" s="145"/>
      <x:c r="AH3070" s="145"/>
      <x:c r="AI3070" s="145"/>
      <x:c r="AJ3070"/>
    </x:row>
    <x:row r="3071">
      <x:c r="F3071" s="124"/>
      <x:c r="G3071" s="124"/>
      <x:c r="H3071" s="124"/>
      <x:c r="I3071" s="124"/>
      <x:c r="J3071" s="124"/>
      <x:c r="M3071" s="126"/>
      <x:c r="P3071" s="126"/>
      <x:c r="Q3071" s="126"/>
      <x:c r="R3071" s="126"/>
      <x:c r="S3071" s="124"/>
      <x:c r="T3071" s="124"/>
      <x:c r="U3071" s="124"/>
      <x:c r="V3071" s="124"/>
      <x:c r="W3071" s="124"/>
      <x:c r="X3071" s="124"/>
      <x:c r="AD3071"/>
      <x:c r="AE3071" s="145"/>
      <x:c r="AF3071" s="145"/>
      <x:c r="AG3071" s="145"/>
      <x:c r="AH3071" s="145"/>
      <x:c r="AI3071" s="145"/>
      <x:c r="AJ3071"/>
    </x:row>
    <x:row r="3072">
      <x:c r="F3072" s="124"/>
      <x:c r="G3072" s="124"/>
      <x:c r="H3072" s="124"/>
      <x:c r="I3072" s="124"/>
      <x:c r="J3072" s="124"/>
      <x:c r="M3072" s="126"/>
      <x:c r="P3072" s="126"/>
      <x:c r="Q3072" s="126"/>
      <x:c r="R3072" s="126"/>
      <x:c r="S3072" s="124"/>
      <x:c r="T3072" s="124"/>
      <x:c r="U3072" s="124"/>
      <x:c r="V3072" s="124"/>
      <x:c r="W3072" s="124"/>
      <x:c r="X3072" s="124"/>
      <x:c r="AD3072"/>
      <x:c r="AE3072" s="145"/>
      <x:c r="AF3072" s="145"/>
      <x:c r="AG3072" s="145"/>
      <x:c r="AH3072" s="145"/>
      <x:c r="AI3072" s="145"/>
      <x:c r="AJ3072"/>
    </x:row>
    <x:row r="3073">
      <x:c r="F3073" s="124"/>
      <x:c r="G3073" s="124"/>
      <x:c r="H3073" s="124"/>
      <x:c r="I3073" s="124"/>
      <x:c r="J3073" s="124"/>
      <x:c r="M3073" s="126"/>
      <x:c r="P3073" s="126"/>
      <x:c r="Q3073" s="126"/>
      <x:c r="R3073" s="126"/>
      <x:c r="S3073" s="124"/>
      <x:c r="T3073" s="124"/>
      <x:c r="U3073" s="124"/>
      <x:c r="V3073" s="124"/>
      <x:c r="W3073" s="124"/>
      <x:c r="X3073" s="124"/>
      <x:c r="AD3073"/>
      <x:c r="AE3073" s="145"/>
      <x:c r="AF3073" s="145"/>
      <x:c r="AG3073" s="145"/>
      <x:c r="AH3073" s="145"/>
      <x:c r="AI3073" s="145"/>
      <x:c r="AJ3073"/>
    </x:row>
    <x:row r="3074">
      <x:c r="F3074" s="124"/>
      <x:c r="G3074" s="124"/>
      <x:c r="H3074" s="124"/>
      <x:c r="I3074" s="124"/>
      <x:c r="J3074" s="124"/>
      <x:c r="M3074" s="126"/>
      <x:c r="P3074" s="126"/>
      <x:c r="Q3074" s="126"/>
      <x:c r="R3074" s="126"/>
      <x:c r="S3074" s="124"/>
      <x:c r="T3074" s="124"/>
      <x:c r="U3074" s="124"/>
      <x:c r="V3074" s="124"/>
      <x:c r="W3074" s="124"/>
      <x:c r="X3074" s="124"/>
      <x:c r="AD3074"/>
      <x:c r="AE3074" s="145"/>
      <x:c r="AF3074" s="145"/>
      <x:c r="AG3074" s="145"/>
      <x:c r="AH3074" s="145"/>
      <x:c r="AI3074" s="145"/>
      <x:c r="AJ3074"/>
    </x:row>
    <x:row r="3075">
      <x:c r="F3075" s="124"/>
      <x:c r="G3075" s="124"/>
      <x:c r="H3075" s="124"/>
      <x:c r="I3075" s="124"/>
      <x:c r="J3075" s="124"/>
      <x:c r="M3075" s="126"/>
      <x:c r="P3075" s="126"/>
      <x:c r="Q3075" s="126"/>
      <x:c r="R3075" s="126"/>
      <x:c r="S3075" s="124"/>
      <x:c r="T3075" s="124"/>
      <x:c r="U3075" s="124"/>
      <x:c r="V3075" s="124"/>
      <x:c r="W3075" s="124"/>
      <x:c r="X3075" s="124"/>
      <x:c r="AD3075"/>
      <x:c r="AE3075" s="145"/>
      <x:c r="AF3075" s="145"/>
      <x:c r="AG3075" s="145"/>
      <x:c r="AH3075" s="145"/>
      <x:c r="AI3075" s="145"/>
      <x:c r="AJ3075"/>
    </x:row>
    <x:row r="3076">
      <x:c r="F3076" s="124"/>
      <x:c r="G3076" s="124"/>
      <x:c r="H3076" s="124"/>
      <x:c r="I3076" s="124"/>
      <x:c r="J3076" s="124"/>
      <x:c r="M3076" s="126"/>
      <x:c r="P3076" s="126"/>
      <x:c r="Q3076" s="126"/>
      <x:c r="R3076" s="126"/>
      <x:c r="S3076" s="124"/>
      <x:c r="T3076" s="124"/>
      <x:c r="U3076" s="124"/>
      <x:c r="V3076" s="124"/>
      <x:c r="W3076" s="124"/>
      <x:c r="X3076" s="124"/>
      <x:c r="AD3076"/>
      <x:c r="AE3076" s="145"/>
      <x:c r="AF3076" s="145"/>
      <x:c r="AG3076" s="145"/>
      <x:c r="AH3076" s="145"/>
      <x:c r="AI3076" s="145"/>
      <x:c r="AJ3076"/>
    </x:row>
    <x:row r="3077">
      <x:c r="F3077" s="124"/>
      <x:c r="G3077" s="124"/>
      <x:c r="H3077" s="124"/>
      <x:c r="I3077" s="124"/>
      <x:c r="J3077" s="124"/>
      <x:c r="M3077" s="126"/>
      <x:c r="P3077" s="126"/>
      <x:c r="Q3077" s="126"/>
      <x:c r="R3077" s="126"/>
      <x:c r="S3077" s="124"/>
      <x:c r="T3077" s="124"/>
      <x:c r="U3077" s="124"/>
      <x:c r="V3077" s="124"/>
      <x:c r="W3077" s="124"/>
      <x:c r="X3077" s="124"/>
      <x:c r="AD3077"/>
      <x:c r="AE3077" s="145"/>
      <x:c r="AF3077" s="145"/>
      <x:c r="AG3077" s="145"/>
      <x:c r="AH3077" s="145"/>
      <x:c r="AI3077" s="145"/>
      <x:c r="AJ3077"/>
    </x:row>
    <x:row r="3078">
      <x:c r="F3078" s="124"/>
      <x:c r="G3078" s="124"/>
      <x:c r="H3078" s="124"/>
      <x:c r="I3078" s="124"/>
      <x:c r="J3078" s="124"/>
      <x:c r="M3078" s="126"/>
      <x:c r="P3078" s="126"/>
      <x:c r="Q3078" s="126"/>
      <x:c r="R3078" s="126"/>
      <x:c r="S3078" s="124"/>
      <x:c r="T3078" s="124"/>
      <x:c r="U3078" s="124"/>
      <x:c r="V3078" s="124"/>
      <x:c r="W3078" s="124"/>
      <x:c r="X3078" s="124"/>
      <x:c r="AD3078"/>
      <x:c r="AE3078" s="145"/>
      <x:c r="AF3078" s="145"/>
      <x:c r="AG3078" s="145"/>
      <x:c r="AH3078" s="145"/>
      <x:c r="AI3078" s="145"/>
      <x:c r="AJ3078"/>
    </x:row>
    <x:row r="3079">
      <x:c r="F3079" s="124"/>
      <x:c r="G3079" s="124"/>
      <x:c r="H3079" s="124"/>
      <x:c r="I3079" s="124"/>
      <x:c r="J3079" s="124"/>
      <x:c r="M3079" s="126"/>
      <x:c r="P3079" s="126"/>
      <x:c r="Q3079" s="126"/>
      <x:c r="R3079" s="126"/>
      <x:c r="S3079" s="124"/>
      <x:c r="T3079" s="124"/>
      <x:c r="U3079" s="124"/>
      <x:c r="V3079" s="124"/>
      <x:c r="W3079" s="124"/>
      <x:c r="X3079" s="124"/>
      <x:c r="AD3079"/>
      <x:c r="AE3079" s="145"/>
      <x:c r="AF3079" s="145"/>
      <x:c r="AG3079" s="145"/>
      <x:c r="AH3079" s="145"/>
      <x:c r="AI3079" s="145"/>
      <x:c r="AJ3079"/>
    </x:row>
    <x:row r="3080">
      <x:c r="F3080" s="124"/>
      <x:c r="G3080" s="124"/>
      <x:c r="H3080" s="124"/>
      <x:c r="I3080" s="124"/>
      <x:c r="J3080" s="124"/>
      <x:c r="M3080" s="126"/>
      <x:c r="P3080" s="126"/>
      <x:c r="Q3080" s="126"/>
      <x:c r="R3080" s="126"/>
      <x:c r="S3080" s="124"/>
      <x:c r="T3080" s="124"/>
      <x:c r="U3080" s="124"/>
      <x:c r="V3080" s="124"/>
      <x:c r="W3080" s="124"/>
      <x:c r="X3080" s="124"/>
      <x:c r="AD3080"/>
      <x:c r="AE3080" s="145"/>
      <x:c r="AF3080" s="145"/>
      <x:c r="AG3080" s="145"/>
      <x:c r="AH3080" s="145"/>
      <x:c r="AI3080" s="145"/>
      <x:c r="AJ3080"/>
    </x:row>
    <x:row r="3081">
      <x:c r="F3081" s="124"/>
      <x:c r="G3081" s="124"/>
      <x:c r="H3081" s="124"/>
      <x:c r="I3081" s="124"/>
      <x:c r="J3081" s="124"/>
      <x:c r="M3081" s="126"/>
      <x:c r="P3081" s="126"/>
      <x:c r="Q3081" s="126"/>
      <x:c r="R3081" s="126"/>
      <x:c r="S3081" s="124"/>
      <x:c r="T3081" s="124"/>
      <x:c r="U3081" s="124"/>
      <x:c r="V3081" s="124"/>
      <x:c r="W3081" s="124"/>
      <x:c r="X3081" s="124"/>
      <x:c r="AD3081"/>
      <x:c r="AE3081" s="145"/>
      <x:c r="AF3081" s="145"/>
      <x:c r="AG3081" s="145"/>
      <x:c r="AH3081" s="145"/>
      <x:c r="AI3081" s="145"/>
      <x:c r="AJ3081"/>
    </x:row>
    <x:row r="3082">
      <x:c r="F3082" s="124"/>
      <x:c r="G3082" s="124"/>
      <x:c r="H3082" s="124"/>
      <x:c r="I3082" s="124"/>
      <x:c r="J3082" s="124"/>
      <x:c r="M3082" s="126"/>
      <x:c r="P3082" s="126"/>
      <x:c r="Q3082" s="126"/>
      <x:c r="R3082" s="126"/>
      <x:c r="S3082" s="124"/>
      <x:c r="T3082" s="124"/>
      <x:c r="U3082" s="124"/>
      <x:c r="V3082" s="124"/>
      <x:c r="W3082" s="124"/>
      <x:c r="X3082" s="124"/>
      <x:c r="AD3082"/>
      <x:c r="AE3082" s="145"/>
      <x:c r="AF3082" s="145"/>
      <x:c r="AG3082" s="145"/>
      <x:c r="AH3082" s="145"/>
      <x:c r="AI3082" s="145"/>
      <x:c r="AJ3082"/>
    </x:row>
    <x:row r="3083">
      <x:c r="F3083" s="124"/>
      <x:c r="G3083" s="124"/>
      <x:c r="H3083" s="124"/>
      <x:c r="I3083" s="124"/>
      <x:c r="J3083" s="124"/>
      <x:c r="M3083" s="126"/>
      <x:c r="P3083" s="126"/>
      <x:c r="Q3083" s="126"/>
      <x:c r="R3083" s="126"/>
      <x:c r="S3083" s="124"/>
      <x:c r="T3083" s="124"/>
      <x:c r="U3083" s="124"/>
      <x:c r="V3083" s="124"/>
      <x:c r="W3083" s="124"/>
      <x:c r="X3083" s="124"/>
      <x:c r="AD3083"/>
      <x:c r="AE3083" s="145"/>
      <x:c r="AF3083" s="145"/>
      <x:c r="AG3083" s="145"/>
      <x:c r="AH3083" s="145"/>
      <x:c r="AI3083" s="145"/>
      <x:c r="AJ3083"/>
    </x:row>
    <x:row r="3084">
      <x:c r="F3084" s="124"/>
      <x:c r="G3084" s="124"/>
      <x:c r="H3084" s="124"/>
      <x:c r="I3084" s="124"/>
      <x:c r="J3084" s="124"/>
      <x:c r="M3084" s="126"/>
      <x:c r="P3084" s="126"/>
      <x:c r="Q3084" s="126"/>
      <x:c r="R3084" s="126"/>
      <x:c r="S3084" s="124"/>
      <x:c r="T3084" s="124"/>
      <x:c r="U3084" s="124"/>
      <x:c r="V3084" s="124"/>
      <x:c r="W3084" s="124"/>
      <x:c r="X3084" s="124"/>
      <x:c r="AD3084"/>
      <x:c r="AE3084" s="145"/>
      <x:c r="AF3084" s="145"/>
      <x:c r="AG3084" s="145"/>
      <x:c r="AH3084" s="145"/>
      <x:c r="AI3084" s="145"/>
      <x:c r="AJ3084"/>
    </x:row>
    <x:row r="3085">
      <x:c r="F3085" s="124"/>
      <x:c r="G3085" s="124"/>
      <x:c r="H3085" s="124"/>
      <x:c r="I3085" s="124"/>
      <x:c r="J3085" s="124"/>
      <x:c r="M3085" s="126"/>
      <x:c r="P3085" s="126"/>
      <x:c r="Q3085" s="126"/>
      <x:c r="R3085" s="126"/>
      <x:c r="S3085" s="124"/>
      <x:c r="T3085" s="124"/>
      <x:c r="U3085" s="124"/>
      <x:c r="V3085" s="124"/>
      <x:c r="W3085" s="124"/>
      <x:c r="X3085" s="124"/>
      <x:c r="AD3085"/>
      <x:c r="AE3085" s="145"/>
      <x:c r="AF3085" s="145"/>
      <x:c r="AG3085" s="145"/>
      <x:c r="AH3085" s="145"/>
      <x:c r="AI3085" s="145"/>
      <x:c r="AJ3085"/>
    </x:row>
    <x:row r="3086">
      <x:c r="F3086" s="124"/>
      <x:c r="G3086" s="124"/>
      <x:c r="H3086" s="124"/>
      <x:c r="I3086" s="124"/>
      <x:c r="J3086" s="124"/>
      <x:c r="M3086" s="126"/>
      <x:c r="P3086" s="126"/>
      <x:c r="Q3086" s="126"/>
      <x:c r="R3086" s="126"/>
      <x:c r="S3086" s="124"/>
      <x:c r="T3086" s="124"/>
      <x:c r="U3086" s="124"/>
      <x:c r="V3086" s="124"/>
      <x:c r="W3086" s="124"/>
      <x:c r="X3086" s="124"/>
      <x:c r="AD3086"/>
      <x:c r="AE3086" s="145"/>
      <x:c r="AF3086" s="145"/>
      <x:c r="AG3086" s="145"/>
      <x:c r="AH3086" s="145"/>
      <x:c r="AI3086" s="145"/>
      <x:c r="AJ3086"/>
    </x:row>
    <x:row r="3087">
      <x:c r="F3087" s="124"/>
      <x:c r="G3087" s="124"/>
      <x:c r="H3087" s="124"/>
      <x:c r="I3087" s="124"/>
      <x:c r="J3087" s="124"/>
      <x:c r="M3087" s="126"/>
      <x:c r="P3087" s="126"/>
      <x:c r="Q3087" s="126"/>
      <x:c r="R3087" s="126"/>
      <x:c r="S3087" s="124"/>
      <x:c r="T3087" s="124"/>
      <x:c r="U3087" s="124"/>
      <x:c r="V3087" s="124"/>
      <x:c r="W3087" s="124"/>
      <x:c r="X3087" s="124"/>
      <x:c r="AD3087"/>
      <x:c r="AE3087" s="145"/>
      <x:c r="AF3087" s="145"/>
      <x:c r="AG3087" s="145"/>
      <x:c r="AH3087" s="145"/>
      <x:c r="AI3087" s="145"/>
      <x:c r="AJ3087"/>
    </x:row>
    <x:row r="3088">
      <x:c r="F3088" s="124"/>
      <x:c r="G3088" s="124"/>
      <x:c r="H3088" s="124"/>
      <x:c r="I3088" s="124"/>
      <x:c r="J3088" s="124"/>
      <x:c r="M3088" s="126"/>
      <x:c r="P3088" s="126"/>
      <x:c r="Q3088" s="126"/>
      <x:c r="R3088" s="126"/>
      <x:c r="S3088" s="124"/>
      <x:c r="T3088" s="124"/>
      <x:c r="U3088" s="124"/>
      <x:c r="V3088" s="124"/>
      <x:c r="W3088" s="124"/>
      <x:c r="X3088" s="124"/>
      <x:c r="AD3088"/>
      <x:c r="AE3088" s="145"/>
      <x:c r="AF3088" s="145"/>
      <x:c r="AG3088" s="145"/>
      <x:c r="AH3088" s="145"/>
      <x:c r="AI3088" s="145"/>
      <x:c r="AJ3088"/>
    </x:row>
    <x:row r="3089">
      <x:c r="F3089" s="124"/>
      <x:c r="G3089" s="124"/>
      <x:c r="H3089" s="124"/>
      <x:c r="I3089" s="124"/>
      <x:c r="J3089" s="124"/>
      <x:c r="M3089" s="126"/>
      <x:c r="P3089" s="126"/>
      <x:c r="Q3089" s="126"/>
      <x:c r="R3089" s="126"/>
      <x:c r="S3089" s="124"/>
      <x:c r="T3089" s="124"/>
      <x:c r="U3089" s="124"/>
      <x:c r="V3089" s="124"/>
      <x:c r="W3089" s="124"/>
      <x:c r="X3089" s="124"/>
      <x:c r="AD3089"/>
      <x:c r="AE3089" s="145"/>
      <x:c r="AF3089" s="145"/>
      <x:c r="AG3089" s="145"/>
      <x:c r="AH3089" s="145"/>
      <x:c r="AI3089" s="145"/>
      <x:c r="AJ3089"/>
    </x:row>
    <x:row r="3090">
      <x:c r="F3090" s="124"/>
      <x:c r="G3090" s="124"/>
      <x:c r="H3090" s="124"/>
      <x:c r="I3090" s="124"/>
      <x:c r="J3090" s="124"/>
      <x:c r="M3090" s="126"/>
      <x:c r="P3090" s="126"/>
      <x:c r="Q3090" s="126"/>
      <x:c r="R3090" s="126"/>
      <x:c r="S3090" s="124"/>
      <x:c r="T3090" s="124"/>
      <x:c r="U3090" s="124"/>
      <x:c r="V3090" s="124"/>
      <x:c r="W3090" s="124"/>
      <x:c r="X3090" s="124"/>
      <x:c r="AD3090"/>
      <x:c r="AE3090" s="145"/>
      <x:c r="AF3090" s="145"/>
      <x:c r="AG3090" s="145"/>
      <x:c r="AH3090" s="145"/>
      <x:c r="AI3090" s="145"/>
      <x:c r="AJ3090"/>
    </x:row>
    <x:row r="3091">
      <x:c r="F3091" s="124"/>
      <x:c r="G3091" s="124"/>
      <x:c r="H3091" s="124"/>
      <x:c r="I3091" s="124"/>
      <x:c r="J3091" s="124"/>
      <x:c r="M3091" s="126"/>
      <x:c r="P3091" s="126"/>
      <x:c r="Q3091" s="126"/>
      <x:c r="R3091" s="126"/>
      <x:c r="S3091" s="124"/>
      <x:c r="T3091" s="124"/>
      <x:c r="U3091" s="124"/>
      <x:c r="V3091" s="124"/>
      <x:c r="W3091" s="124"/>
      <x:c r="X3091" s="124"/>
      <x:c r="AD3091"/>
      <x:c r="AE3091" s="145"/>
      <x:c r="AF3091" s="145"/>
      <x:c r="AG3091" s="145"/>
      <x:c r="AH3091" s="145"/>
      <x:c r="AI3091" s="145"/>
      <x:c r="AJ3091"/>
    </x:row>
    <x:row r="3092">
      <x:c r="F3092" s="124"/>
      <x:c r="G3092" s="124"/>
      <x:c r="H3092" s="124"/>
      <x:c r="I3092" s="124"/>
      <x:c r="J3092" s="124"/>
      <x:c r="M3092" s="126"/>
      <x:c r="P3092" s="126"/>
      <x:c r="Q3092" s="126"/>
      <x:c r="R3092" s="126"/>
      <x:c r="S3092" s="124"/>
      <x:c r="T3092" s="124"/>
      <x:c r="U3092" s="124"/>
      <x:c r="V3092" s="124"/>
      <x:c r="W3092" s="124"/>
      <x:c r="X3092" s="124"/>
      <x:c r="AD3092"/>
      <x:c r="AE3092" s="145"/>
      <x:c r="AF3092" s="145"/>
      <x:c r="AG3092" s="145"/>
      <x:c r="AH3092" s="145"/>
      <x:c r="AI3092" s="145"/>
      <x:c r="AJ3092"/>
    </x:row>
    <x:row r="3093">
      <x:c r="F3093" s="124"/>
      <x:c r="G3093" s="124"/>
      <x:c r="H3093" s="124"/>
      <x:c r="I3093" s="124"/>
      <x:c r="J3093" s="124"/>
      <x:c r="M3093" s="126"/>
      <x:c r="P3093" s="126"/>
      <x:c r="Q3093" s="126"/>
      <x:c r="R3093" s="126"/>
      <x:c r="S3093" s="124"/>
      <x:c r="T3093" s="124"/>
      <x:c r="U3093" s="124"/>
      <x:c r="V3093" s="124"/>
      <x:c r="W3093" s="124"/>
      <x:c r="X3093" s="124"/>
      <x:c r="AD3093"/>
      <x:c r="AE3093" s="145"/>
      <x:c r="AF3093" s="145"/>
      <x:c r="AG3093" s="145"/>
      <x:c r="AH3093" s="145"/>
      <x:c r="AI3093" s="145"/>
      <x:c r="AJ3093"/>
    </x:row>
    <x:row r="3094">
      <x:c r="F3094" s="124"/>
      <x:c r="G3094" s="124"/>
      <x:c r="H3094" s="124"/>
      <x:c r="I3094" s="124"/>
      <x:c r="J3094" s="124"/>
      <x:c r="M3094" s="126"/>
      <x:c r="P3094" s="126"/>
      <x:c r="Q3094" s="126"/>
      <x:c r="R3094" s="126"/>
      <x:c r="S3094" s="124"/>
      <x:c r="T3094" s="124"/>
      <x:c r="U3094" s="124"/>
      <x:c r="V3094" s="124"/>
      <x:c r="W3094" s="124"/>
      <x:c r="X3094" s="124"/>
      <x:c r="AD3094"/>
      <x:c r="AE3094" s="145"/>
      <x:c r="AF3094" s="145"/>
      <x:c r="AG3094" s="145"/>
      <x:c r="AH3094" s="145"/>
      <x:c r="AI3094" s="145"/>
      <x:c r="AJ3094"/>
    </x:row>
    <x:row r="3095">
      <x:c r="F3095" s="124"/>
      <x:c r="G3095" s="124"/>
      <x:c r="H3095" s="124"/>
      <x:c r="I3095" s="124"/>
      <x:c r="J3095" s="124"/>
      <x:c r="M3095" s="126"/>
      <x:c r="P3095" s="126"/>
      <x:c r="Q3095" s="126"/>
      <x:c r="R3095" s="126"/>
      <x:c r="S3095" s="124"/>
      <x:c r="T3095" s="124"/>
      <x:c r="U3095" s="124"/>
      <x:c r="V3095" s="124"/>
      <x:c r="W3095" s="124"/>
      <x:c r="X3095" s="124"/>
      <x:c r="AD3095"/>
      <x:c r="AE3095" s="145"/>
      <x:c r="AF3095" s="145"/>
      <x:c r="AG3095" s="145"/>
      <x:c r="AH3095" s="145"/>
      <x:c r="AI3095" s="145"/>
      <x:c r="AJ3095"/>
    </x:row>
    <x:row r="3096">
      <x:c r="F3096" s="124"/>
      <x:c r="G3096" s="124"/>
      <x:c r="H3096" s="124"/>
      <x:c r="I3096" s="124"/>
      <x:c r="J3096" s="124"/>
      <x:c r="M3096" s="126"/>
      <x:c r="P3096" s="126"/>
      <x:c r="Q3096" s="126"/>
      <x:c r="R3096" s="126"/>
      <x:c r="S3096" s="124"/>
      <x:c r="T3096" s="124"/>
      <x:c r="U3096" s="124"/>
      <x:c r="V3096" s="124"/>
      <x:c r="W3096" s="124"/>
      <x:c r="X3096" s="124"/>
      <x:c r="AD3096"/>
      <x:c r="AE3096" s="145"/>
      <x:c r="AF3096" s="145"/>
      <x:c r="AG3096" s="145"/>
      <x:c r="AH3096" s="145"/>
      <x:c r="AI3096" s="145"/>
      <x:c r="AJ3096"/>
    </x:row>
    <x:row r="3097">
      <x:c r="F3097" s="124"/>
      <x:c r="G3097" s="124"/>
      <x:c r="H3097" s="124"/>
      <x:c r="I3097" s="124"/>
      <x:c r="J3097" s="124"/>
      <x:c r="M3097" s="126"/>
      <x:c r="P3097" s="126"/>
      <x:c r="Q3097" s="126"/>
      <x:c r="R3097" s="126"/>
      <x:c r="S3097" s="124"/>
      <x:c r="T3097" s="124"/>
      <x:c r="U3097" s="124"/>
      <x:c r="V3097" s="124"/>
      <x:c r="W3097" s="124"/>
      <x:c r="X3097" s="124"/>
      <x:c r="AD3097"/>
      <x:c r="AE3097" s="145"/>
      <x:c r="AF3097" s="145"/>
      <x:c r="AG3097" s="145"/>
      <x:c r="AH3097" s="145"/>
      <x:c r="AI3097" s="145"/>
      <x:c r="AJ3097"/>
    </x:row>
    <x:row r="3098">
      <x:c r="F3098" s="124"/>
      <x:c r="G3098" s="124"/>
      <x:c r="H3098" s="124"/>
      <x:c r="I3098" s="124"/>
      <x:c r="J3098" s="124"/>
      <x:c r="M3098" s="126"/>
      <x:c r="P3098" s="126"/>
      <x:c r="Q3098" s="126"/>
      <x:c r="R3098" s="126"/>
      <x:c r="S3098" s="124"/>
      <x:c r="T3098" s="124"/>
      <x:c r="U3098" s="124"/>
      <x:c r="V3098" s="124"/>
      <x:c r="W3098" s="124"/>
      <x:c r="X3098" s="124"/>
      <x:c r="AD3098"/>
      <x:c r="AE3098" s="145"/>
      <x:c r="AF3098" s="145"/>
      <x:c r="AG3098" s="145"/>
      <x:c r="AH3098" s="145"/>
      <x:c r="AI3098" s="145"/>
      <x:c r="AJ3098"/>
    </x:row>
    <x:row r="3099">
      <x:c r="F3099" s="124"/>
      <x:c r="G3099" s="124"/>
      <x:c r="H3099" s="124"/>
      <x:c r="I3099" s="124"/>
      <x:c r="J3099" s="124"/>
      <x:c r="M3099" s="126"/>
      <x:c r="P3099" s="126"/>
      <x:c r="Q3099" s="126"/>
      <x:c r="R3099" s="126"/>
      <x:c r="S3099" s="124"/>
      <x:c r="T3099" s="124"/>
      <x:c r="U3099" s="124"/>
      <x:c r="V3099" s="124"/>
      <x:c r="W3099" s="124"/>
      <x:c r="X3099" s="124"/>
      <x:c r="AD3099"/>
      <x:c r="AE3099" s="145"/>
      <x:c r="AF3099" s="145"/>
      <x:c r="AG3099" s="145"/>
      <x:c r="AH3099" s="145"/>
      <x:c r="AI3099" s="145"/>
      <x:c r="AJ3099"/>
    </x:row>
    <x:row r="3100">
      <x:c r="F3100" s="124"/>
      <x:c r="G3100" s="124"/>
      <x:c r="H3100" s="124"/>
      <x:c r="I3100" s="124"/>
      <x:c r="J3100" s="124"/>
      <x:c r="M3100" s="126"/>
      <x:c r="P3100" s="126"/>
      <x:c r="Q3100" s="126"/>
      <x:c r="R3100" s="126"/>
      <x:c r="S3100" s="124"/>
      <x:c r="T3100" s="124"/>
      <x:c r="U3100" s="124"/>
      <x:c r="V3100" s="124"/>
      <x:c r="W3100" s="124"/>
      <x:c r="X3100" s="124"/>
      <x:c r="AD3100"/>
      <x:c r="AE3100" s="145"/>
      <x:c r="AF3100" s="145"/>
      <x:c r="AG3100" s="145"/>
      <x:c r="AH3100" s="145"/>
      <x:c r="AI3100" s="145"/>
      <x:c r="AJ3100"/>
    </x:row>
    <x:row r="3101">
      <x:c r="F3101" s="124"/>
      <x:c r="G3101" s="124"/>
      <x:c r="H3101" s="124"/>
      <x:c r="I3101" s="124"/>
      <x:c r="J3101" s="124"/>
      <x:c r="M3101" s="126"/>
      <x:c r="P3101" s="126"/>
      <x:c r="Q3101" s="126"/>
      <x:c r="R3101" s="126"/>
      <x:c r="S3101" s="124"/>
      <x:c r="T3101" s="124"/>
      <x:c r="U3101" s="124"/>
      <x:c r="V3101" s="124"/>
      <x:c r="W3101" s="124"/>
      <x:c r="X3101" s="124"/>
      <x:c r="AD3101"/>
      <x:c r="AE3101" s="145"/>
      <x:c r="AF3101" s="145"/>
      <x:c r="AG3101" s="145"/>
      <x:c r="AH3101" s="145"/>
      <x:c r="AI3101" s="145"/>
      <x:c r="AJ3101"/>
    </x:row>
    <x:row r="3102">
      <x:c r="F3102" s="124"/>
      <x:c r="G3102" s="124"/>
      <x:c r="H3102" s="124"/>
      <x:c r="I3102" s="124"/>
      <x:c r="J3102" s="124"/>
      <x:c r="M3102" s="126"/>
      <x:c r="P3102" s="126"/>
      <x:c r="Q3102" s="126"/>
      <x:c r="R3102" s="126"/>
      <x:c r="S3102" s="124"/>
      <x:c r="T3102" s="124"/>
      <x:c r="U3102" s="124"/>
      <x:c r="V3102" s="124"/>
      <x:c r="W3102" s="124"/>
      <x:c r="X3102" s="124"/>
      <x:c r="AD3102"/>
      <x:c r="AE3102" s="145"/>
      <x:c r="AF3102" s="145"/>
      <x:c r="AG3102" s="145"/>
      <x:c r="AH3102" s="145"/>
      <x:c r="AI3102" s="145"/>
      <x:c r="AJ3102"/>
    </x:row>
    <x:row r="3103">
      <x:c r="F3103" s="124"/>
      <x:c r="G3103" s="124"/>
      <x:c r="H3103" s="124"/>
      <x:c r="I3103" s="124"/>
      <x:c r="J3103" s="124"/>
      <x:c r="M3103" s="126"/>
      <x:c r="P3103" s="126"/>
      <x:c r="Q3103" s="126"/>
      <x:c r="R3103" s="126"/>
      <x:c r="S3103" s="124"/>
      <x:c r="T3103" s="124"/>
      <x:c r="U3103" s="124"/>
      <x:c r="V3103" s="124"/>
      <x:c r="W3103" s="124"/>
      <x:c r="X3103" s="124"/>
      <x:c r="AD3103"/>
      <x:c r="AE3103" s="145"/>
      <x:c r="AF3103" s="145"/>
      <x:c r="AG3103" s="145"/>
      <x:c r="AH3103" s="145"/>
      <x:c r="AI3103" s="145"/>
      <x:c r="AJ3103"/>
    </x:row>
    <x:row r="3104">
      <x:c r="F3104" s="124"/>
      <x:c r="G3104" s="124"/>
      <x:c r="H3104" s="124"/>
      <x:c r="I3104" s="124"/>
      <x:c r="J3104" s="124"/>
      <x:c r="M3104" s="126"/>
      <x:c r="P3104" s="126"/>
      <x:c r="Q3104" s="126"/>
      <x:c r="R3104" s="126"/>
      <x:c r="S3104" s="124"/>
      <x:c r="T3104" s="124"/>
      <x:c r="U3104" s="124"/>
      <x:c r="V3104" s="124"/>
      <x:c r="W3104" s="124"/>
      <x:c r="X3104" s="124"/>
      <x:c r="AD3104"/>
      <x:c r="AE3104" s="145"/>
      <x:c r="AF3104" s="145"/>
      <x:c r="AG3104" s="145"/>
      <x:c r="AH3104" s="145"/>
      <x:c r="AI3104" s="145"/>
      <x:c r="AJ3104"/>
    </x:row>
    <x:row r="3105">
      <x:c r="F3105" s="124"/>
      <x:c r="G3105" s="124"/>
      <x:c r="H3105" s="124"/>
      <x:c r="I3105" s="124"/>
      <x:c r="J3105" s="124"/>
      <x:c r="M3105" s="126"/>
      <x:c r="P3105" s="126"/>
      <x:c r="Q3105" s="126"/>
      <x:c r="R3105" s="126"/>
      <x:c r="S3105" s="124"/>
      <x:c r="T3105" s="124"/>
      <x:c r="U3105" s="124"/>
      <x:c r="V3105" s="124"/>
      <x:c r="W3105" s="124"/>
      <x:c r="X3105" s="124"/>
      <x:c r="AD3105"/>
      <x:c r="AE3105" s="145"/>
      <x:c r="AF3105" s="145"/>
      <x:c r="AG3105" s="145"/>
      <x:c r="AH3105" s="145"/>
      <x:c r="AI3105" s="145"/>
      <x:c r="AJ3105"/>
    </x:row>
    <x:row r="3106">
      <x:c r="F3106" s="124"/>
      <x:c r="G3106" s="124"/>
      <x:c r="H3106" s="124"/>
      <x:c r="I3106" s="124"/>
      <x:c r="J3106" s="124"/>
      <x:c r="M3106" s="126"/>
      <x:c r="P3106" s="126"/>
      <x:c r="Q3106" s="126"/>
      <x:c r="R3106" s="126"/>
      <x:c r="S3106" s="124"/>
      <x:c r="T3106" s="124"/>
      <x:c r="U3106" s="124"/>
      <x:c r="V3106" s="124"/>
      <x:c r="W3106" s="124"/>
      <x:c r="X3106" s="124"/>
      <x:c r="AD3106"/>
      <x:c r="AE3106" s="145"/>
      <x:c r="AF3106" s="145"/>
      <x:c r="AG3106" s="145"/>
      <x:c r="AH3106" s="145"/>
      <x:c r="AI3106" s="145"/>
      <x:c r="AJ3106"/>
    </x:row>
    <x:row r="3107">
      <x:c r="F3107" s="124"/>
      <x:c r="G3107" s="124"/>
      <x:c r="H3107" s="124"/>
      <x:c r="I3107" s="124"/>
      <x:c r="J3107" s="124"/>
      <x:c r="M3107" s="126"/>
      <x:c r="P3107" s="126"/>
      <x:c r="Q3107" s="126"/>
      <x:c r="R3107" s="126"/>
      <x:c r="S3107" s="124"/>
      <x:c r="T3107" s="124"/>
      <x:c r="U3107" s="124"/>
      <x:c r="V3107" s="124"/>
      <x:c r="W3107" s="124"/>
      <x:c r="X3107" s="124"/>
      <x:c r="AD3107"/>
      <x:c r="AE3107" s="145"/>
      <x:c r="AF3107" s="145"/>
      <x:c r="AG3107" s="145"/>
      <x:c r="AH3107" s="145"/>
      <x:c r="AI3107" s="145"/>
      <x:c r="AJ3107"/>
    </x:row>
    <x:row r="3108">
      <x:c r="F3108" s="124"/>
      <x:c r="G3108" s="124"/>
      <x:c r="H3108" s="124"/>
      <x:c r="I3108" s="124"/>
      <x:c r="J3108" s="124"/>
      <x:c r="M3108" s="126"/>
      <x:c r="P3108" s="126"/>
      <x:c r="Q3108" s="126"/>
      <x:c r="R3108" s="126"/>
      <x:c r="S3108" s="124"/>
      <x:c r="T3108" s="124"/>
      <x:c r="U3108" s="124"/>
      <x:c r="V3108" s="124"/>
      <x:c r="W3108" s="124"/>
      <x:c r="X3108" s="124"/>
      <x:c r="AD3108"/>
      <x:c r="AE3108" s="145"/>
      <x:c r="AF3108" s="145"/>
      <x:c r="AG3108" s="145"/>
      <x:c r="AH3108" s="145"/>
      <x:c r="AI3108" s="145"/>
      <x:c r="AJ3108"/>
    </x:row>
    <x:row r="3109">
      <x:c r="F3109" s="124"/>
      <x:c r="G3109" s="124"/>
      <x:c r="H3109" s="124"/>
      <x:c r="I3109" s="124"/>
      <x:c r="J3109" s="124"/>
      <x:c r="M3109" s="126"/>
      <x:c r="P3109" s="126"/>
      <x:c r="Q3109" s="126"/>
      <x:c r="R3109" s="126"/>
      <x:c r="S3109" s="124"/>
      <x:c r="T3109" s="124"/>
      <x:c r="U3109" s="124"/>
      <x:c r="V3109" s="124"/>
      <x:c r="W3109" s="124"/>
      <x:c r="X3109" s="124"/>
      <x:c r="AD3109"/>
      <x:c r="AE3109" s="145"/>
      <x:c r="AF3109" s="145"/>
      <x:c r="AG3109" s="145"/>
      <x:c r="AH3109" s="145"/>
      <x:c r="AI3109" s="145"/>
      <x:c r="AJ3109"/>
    </x:row>
    <x:row r="3110">
      <x:c r="F3110" s="124"/>
      <x:c r="G3110" s="124"/>
      <x:c r="H3110" s="124"/>
      <x:c r="I3110" s="124"/>
      <x:c r="J3110" s="124"/>
      <x:c r="M3110" s="126"/>
      <x:c r="P3110" s="126"/>
      <x:c r="Q3110" s="126"/>
      <x:c r="R3110" s="126"/>
      <x:c r="S3110" s="124"/>
      <x:c r="T3110" s="124"/>
      <x:c r="U3110" s="124"/>
      <x:c r="V3110" s="124"/>
      <x:c r="W3110" s="124"/>
      <x:c r="X3110" s="124"/>
      <x:c r="AD3110"/>
      <x:c r="AE3110" s="145"/>
      <x:c r="AF3110" s="145"/>
      <x:c r="AG3110" s="145"/>
      <x:c r="AH3110" s="145"/>
      <x:c r="AI3110" s="145"/>
      <x:c r="AJ3110"/>
    </x:row>
    <x:row r="3111">
      <x:c r="F3111" s="124"/>
      <x:c r="G3111" s="124"/>
      <x:c r="H3111" s="124"/>
      <x:c r="I3111" s="124"/>
      <x:c r="J3111" s="124"/>
      <x:c r="M3111" s="126"/>
      <x:c r="P3111" s="126"/>
      <x:c r="Q3111" s="126"/>
      <x:c r="R3111" s="126"/>
      <x:c r="S3111" s="124"/>
      <x:c r="T3111" s="124"/>
      <x:c r="U3111" s="124"/>
      <x:c r="V3111" s="124"/>
      <x:c r="W3111" s="124"/>
      <x:c r="X3111" s="124"/>
      <x:c r="AD3111"/>
      <x:c r="AE3111" s="145"/>
      <x:c r="AF3111" s="145"/>
      <x:c r="AG3111" s="145"/>
      <x:c r="AH3111" s="145"/>
      <x:c r="AI3111" s="145"/>
      <x:c r="AJ3111"/>
    </x:row>
    <x:row r="3112">
      <x:c r="F3112" s="124"/>
      <x:c r="G3112" s="124"/>
      <x:c r="H3112" s="124"/>
      <x:c r="I3112" s="124"/>
      <x:c r="J3112" s="124"/>
      <x:c r="M3112" s="126"/>
      <x:c r="P3112" s="126"/>
      <x:c r="Q3112" s="126"/>
      <x:c r="R3112" s="126"/>
      <x:c r="S3112" s="124"/>
      <x:c r="T3112" s="124"/>
      <x:c r="U3112" s="124"/>
      <x:c r="V3112" s="124"/>
      <x:c r="W3112" s="124"/>
      <x:c r="X3112" s="124"/>
      <x:c r="AD3112"/>
      <x:c r="AE3112" s="145"/>
      <x:c r="AF3112" s="145"/>
      <x:c r="AG3112" s="145"/>
      <x:c r="AH3112" s="145"/>
      <x:c r="AI3112" s="145"/>
      <x:c r="AJ3112"/>
    </x:row>
    <x:row r="3113">
      <x:c r="F3113" s="124"/>
      <x:c r="G3113" s="124"/>
      <x:c r="H3113" s="124"/>
      <x:c r="I3113" s="124"/>
      <x:c r="J3113" s="124"/>
      <x:c r="M3113" s="126"/>
      <x:c r="P3113" s="126"/>
      <x:c r="Q3113" s="126"/>
      <x:c r="R3113" s="126"/>
      <x:c r="S3113" s="124"/>
      <x:c r="T3113" s="124"/>
      <x:c r="U3113" s="124"/>
      <x:c r="V3113" s="124"/>
      <x:c r="W3113" s="124"/>
      <x:c r="X3113" s="124"/>
      <x:c r="AD3113"/>
      <x:c r="AE3113" s="145"/>
      <x:c r="AF3113" s="145"/>
      <x:c r="AG3113" s="145"/>
      <x:c r="AH3113" s="145"/>
      <x:c r="AI3113" s="145"/>
      <x:c r="AJ3113"/>
    </x:row>
    <x:row r="3114">
      <x:c r="F3114" s="124"/>
      <x:c r="G3114" s="124"/>
      <x:c r="H3114" s="124"/>
      <x:c r="I3114" s="124"/>
      <x:c r="J3114" s="124"/>
      <x:c r="M3114" s="126"/>
      <x:c r="P3114" s="126"/>
      <x:c r="Q3114" s="126"/>
      <x:c r="R3114" s="126"/>
      <x:c r="S3114" s="124"/>
      <x:c r="T3114" s="124"/>
      <x:c r="U3114" s="124"/>
      <x:c r="V3114" s="124"/>
      <x:c r="W3114" s="124"/>
      <x:c r="X3114" s="124"/>
      <x:c r="AD3114"/>
      <x:c r="AE3114" s="145"/>
      <x:c r="AF3114" s="145"/>
      <x:c r="AG3114" s="145"/>
      <x:c r="AH3114" s="145"/>
      <x:c r="AI3114" s="145"/>
      <x:c r="AJ3114"/>
    </x:row>
    <x:row r="3115">
      <x:c r="F3115" s="124"/>
      <x:c r="G3115" s="124"/>
      <x:c r="H3115" s="124"/>
      <x:c r="I3115" s="124"/>
      <x:c r="J3115" s="124"/>
      <x:c r="M3115" s="126"/>
      <x:c r="P3115" s="126"/>
      <x:c r="Q3115" s="126"/>
      <x:c r="R3115" s="126"/>
      <x:c r="S3115" s="124"/>
      <x:c r="T3115" s="124"/>
      <x:c r="U3115" s="124"/>
      <x:c r="V3115" s="124"/>
      <x:c r="W3115" s="124"/>
      <x:c r="X3115" s="124"/>
      <x:c r="AD3115"/>
      <x:c r="AE3115" s="145"/>
      <x:c r="AF3115" s="145"/>
      <x:c r="AG3115" s="145"/>
      <x:c r="AH3115" s="145"/>
      <x:c r="AI3115" s="145"/>
      <x:c r="AJ3115"/>
    </x:row>
    <x:row r="3116">
      <x:c r="F3116" s="124"/>
      <x:c r="G3116" s="124"/>
      <x:c r="H3116" s="124"/>
      <x:c r="I3116" s="124"/>
      <x:c r="J3116" s="124"/>
      <x:c r="M3116" s="126"/>
      <x:c r="P3116" s="126"/>
      <x:c r="Q3116" s="126"/>
      <x:c r="R3116" s="126"/>
      <x:c r="S3116" s="124"/>
      <x:c r="T3116" s="124"/>
      <x:c r="U3116" s="124"/>
      <x:c r="V3116" s="124"/>
      <x:c r="W3116" s="124"/>
      <x:c r="X3116" s="124"/>
      <x:c r="AD3116"/>
      <x:c r="AE3116" s="145"/>
      <x:c r="AF3116" s="145"/>
      <x:c r="AG3116" s="145"/>
      <x:c r="AH3116" s="145"/>
      <x:c r="AI3116" s="145"/>
      <x:c r="AJ3116"/>
    </x:row>
    <x:row r="3117">
      <x:c r="F3117" s="124"/>
      <x:c r="G3117" s="124"/>
      <x:c r="H3117" s="124"/>
      <x:c r="I3117" s="124"/>
      <x:c r="J3117" s="124"/>
      <x:c r="M3117" s="126"/>
      <x:c r="P3117" s="126"/>
      <x:c r="Q3117" s="126"/>
      <x:c r="R3117" s="126"/>
      <x:c r="S3117" s="124"/>
      <x:c r="T3117" s="124"/>
      <x:c r="U3117" s="124"/>
      <x:c r="V3117" s="124"/>
      <x:c r="W3117" s="124"/>
      <x:c r="X3117" s="124"/>
      <x:c r="AD3117"/>
      <x:c r="AE3117" s="145"/>
      <x:c r="AF3117" s="145"/>
      <x:c r="AG3117" s="145"/>
      <x:c r="AH3117" s="145"/>
      <x:c r="AI3117" s="145"/>
      <x:c r="AJ3117"/>
    </x:row>
    <x:row r="3118">
      <x:c r="F3118" s="124"/>
      <x:c r="G3118" s="124"/>
      <x:c r="H3118" s="124"/>
      <x:c r="I3118" s="124"/>
      <x:c r="J3118" s="124"/>
      <x:c r="M3118" s="126"/>
      <x:c r="P3118" s="126"/>
      <x:c r="Q3118" s="126"/>
      <x:c r="R3118" s="126"/>
      <x:c r="S3118" s="124"/>
      <x:c r="T3118" s="124"/>
      <x:c r="U3118" s="124"/>
      <x:c r="V3118" s="124"/>
      <x:c r="W3118" s="124"/>
      <x:c r="X3118" s="124"/>
      <x:c r="AD3118"/>
      <x:c r="AE3118" s="145"/>
      <x:c r="AF3118" s="145"/>
      <x:c r="AG3118" s="145"/>
      <x:c r="AH3118" s="145"/>
      <x:c r="AI3118" s="145"/>
      <x:c r="AJ3118"/>
    </x:row>
    <x:row r="3119">
      <x:c r="F3119" s="124"/>
      <x:c r="G3119" s="124"/>
      <x:c r="H3119" s="124"/>
      <x:c r="I3119" s="124"/>
      <x:c r="J3119" s="124"/>
      <x:c r="M3119" s="126"/>
      <x:c r="P3119" s="126"/>
      <x:c r="Q3119" s="126"/>
      <x:c r="R3119" s="126"/>
      <x:c r="S3119" s="124"/>
      <x:c r="T3119" s="124"/>
      <x:c r="U3119" s="124"/>
      <x:c r="V3119" s="124"/>
      <x:c r="W3119" s="124"/>
      <x:c r="X3119" s="124"/>
      <x:c r="AD3119"/>
      <x:c r="AE3119" s="145"/>
      <x:c r="AF3119" s="145"/>
      <x:c r="AG3119" s="145"/>
      <x:c r="AH3119" s="145"/>
      <x:c r="AI3119" s="145"/>
      <x:c r="AJ3119"/>
    </x:row>
    <x:row r="3120">
      <x:c r="F3120" s="124"/>
      <x:c r="G3120" s="124"/>
      <x:c r="H3120" s="124"/>
      <x:c r="I3120" s="124"/>
      <x:c r="J3120" s="124"/>
      <x:c r="M3120" s="126"/>
      <x:c r="P3120" s="126"/>
      <x:c r="Q3120" s="126"/>
      <x:c r="R3120" s="126"/>
      <x:c r="S3120" s="124"/>
      <x:c r="T3120" s="124"/>
      <x:c r="U3120" s="124"/>
      <x:c r="V3120" s="124"/>
      <x:c r="W3120" s="124"/>
      <x:c r="X3120" s="124"/>
      <x:c r="AD3120"/>
      <x:c r="AE3120" s="145"/>
      <x:c r="AF3120" s="145"/>
      <x:c r="AG3120" s="145"/>
      <x:c r="AH3120" s="145"/>
      <x:c r="AI3120" s="145"/>
      <x:c r="AJ3120"/>
    </x:row>
    <x:row r="3121">
      <x:c r="F3121" s="124"/>
      <x:c r="G3121" s="124"/>
      <x:c r="H3121" s="124"/>
      <x:c r="I3121" s="124"/>
      <x:c r="J3121" s="124"/>
      <x:c r="M3121" s="126"/>
      <x:c r="P3121" s="126"/>
      <x:c r="Q3121" s="126"/>
      <x:c r="R3121" s="126"/>
      <x:c r="S3121" s="124"/>
      <x:c r="T3121" s="124"/>
      <x:c r="U3121" s="124"/>
      <x:c r="V3121" s="124"/>
      <x:c r="W3121" s="124"/>
      <x:c r="X3121" s="124"/>
      <x:c r="AD3121"/>
      <x:c r="AE3121" s="145"/>
      <x:c r="AF3121" s="145"/>
      <x:c r="AG3121" s="145"/>
      <x:c r="AH3121" s="145"/>
      <x:c r="AI3121" s="145"/>
      <x:c r="AJ3121"/>
    </x:row>
    <x:row r="3122">
      <x:c r="F3122" s="124"/>
      <x:c r="G3122" s="124"/>
      <x:c r="H3122" s="124"/>
      <x:c r="I3122" s="124"/>
      <x:c r="J3122" s="124"/>
      <x:c r="M3122" s="126"/>
      <x:c r="P3122" s="126"/>
      <x:c r="Q3122" s="126"/>
      <x:c r="R3122" s="126"/>
      <x:c r="S3122" s="124"/>
      <x:c r="T3122" s="124"/>
      <x:c r="U3122" s="124"/>
      <x:c r="V3122" s="124"/>
      <x:c r="W3122" s="124"/>
      <x:c r="X3122" s="124"/>
      <x:c r="AD3122"/>
      <x:c r="AE3122" s="145"/>
      <x:c r="AF3122" s="145"/>
      <x:c r="AG3122" s="145"/>
      <x:c r="AH3122" s="145"/>
      <x:c r="AI3122" s="145"/>
      <x:c r="AJ3122"/>
    </x:row>
    <x:row r="3123">
      <x:c r="F3123" s="124"/>
      <x:c r="G3123" s="124"/>
      <x:c r="H3123" s="124"/>
      <x:c r="I3123" s="124"/>
      <x:c r="J3123" s="124"/>
      <x:c r="M3123" s="126"/>
      <x:c r="P3123" s="126"/>
      <x:c r="Q3123" s="126"/>
      <x:c r="R3123" s="126"/>
      <x:c r="S3123" s="124"/>
      <x:c r="T3123" s="124"/>
      <x:c r="U3123" s="124"/>
      <x:c r="V3123" s="124"/>
      <x:c r="W3123" s="124"/>
      <x:c r="X3123" s="124"/>
      <x:c r="AD3123"/>
      <x:c r="AE3123" s="145"/>
      <x:c r="AF3123" s="145"/>
      <x:c r="AG3123" s="145"/>
      <x:c r="AH3123" s="145"/>
      <x:c r="AI3123" s="145"/>
      <x:c r="AJ3123"/>
    </x:row>
    <x:row r="3124">
      <x:c r="F3124" s="124"/>
      <x:c r="G3124" s="124"/>
      <x:c r="H3124" s="124"/>
      <x:c r="I3124" s="124"/>
      <x:c r="J3124" s="124"/>
      <x:c r="M3124" s="126"/>
      <x:c r="P3124" s="126"/>
      <x:c r="Q3124" s="126"/>
      <x:c r="R3124" s="126"/>
      <x:c r="S3124" s="124"/>
      <x:c r="T3124" s="124"/>
      <x:c r="U3124" s="124"/>
      <x:c r="V3124" s="124"/>
      <x:c r="W3124" s="124"/>
      <x:c r="X3124" s="124"/>
      <x:c r="AD3124"/>
      <x:c r="AE3124" s="145"/>
      <x:c r="AF3124" s="145"/>
      <x:c r="AG3124" s="145"/>
      <x:c r="AH3124" s="145"/>
      <x:c r="AI3124" s="145"/>
      <x:c r="AJ3124"/>
    </x:row>
    <x:row r="3125">
      <x:c r="F3125" s="124"/>
      <x:c r="G3125" s="124"/>
      <x:c r="H3125" s="124"/>
      <x:c r="I3125" s="124"/>
      <x:c r="J3125" s="124"/>
      <x:c r="M3125" s="126"/>
      <x:c r="P3125" s="126"/>
      <x:c r="Q3125" s="126"/>
      <x:c r="R3125" s="126"/>
      <x:c r="S3125" s="124"/>
      <x:c r="T3125" s="124"/>
      <x:c r="U3125" s="124"/>
      <x:c r="V3125" s="124"/>
      <x:c r="W3125" s="124"/>
      <x:c r="X3125" s="124"/>
      <x:c r="AD3125"/>
      <x:c r="AE3125" s="145"/>
      <x:c r="AF3125" s="145"/>
      <x:c r="AG3125" s="145"/>
      <x:c r="AH3125" s="145"/>
      <x:c r="AI3125" s="145"/>
      <x:c r="AJ3125"/>
    </x:row>
    <x:row r="3126">
      <x:c r="F3126" s="124"/>
      <x:c r="G3126" s="124"/>
      <x:c r="H3126" s="124"/>
      <x:c r="I3126" s="124"/>
      <x:c r="J3126" s="124"/>
      <x:c r="M3126" s="126"/>
      <x:c r="P3126" s="126"/>
      <x:c r="Q3126" s="126"/>
      <x:c r="R3126" s="126"/>
      <x:c r="S3126" s="124"/>
      <x:c r="T3126" s="124"/>
      <x:c r="U3126" s="124"/>
      <x:c r="V3126" s="124"/>
      <x:c r="W3126" s="124"/>
      <x:c r="X3126" s="124"/>
      <x:c r="AD3126"/>
      <x:c r="AE3126" s="145"/>
      <x:c r="AF3126" s="145"/>
      <x:c r="AG3126" s="145"/>
      <x:c r="AH3126" s="145"/>
      <x:c r="AI3126" s="145"/>
      <x:c r="AJ3126"/>
    </x:row>
    <x:row r="3127">
      <x:c r="F3127" s="124"/>
      <x:c r="G3127" s="124"/>
      <x:c r="H3127" s="124"/>
      <x:c r="I3127" s="124"/>
      <x:c r="J3127" s="124"/>
      <x:c r="M3127" s="126"/>
      <x:c r="P3127" s="126"/>
      <x:c r="Q3127" s="126"/>
      <x:c r="R3127" s="126"/>
      <x:c r="S3127" s="124"/>
      <x:c r="T3127" s="124"/>
      <x:c r="U3127" s="124"/>
      <x:c r="V3127" s="124"/>
      <x:c r="W3127" s="124"/>
      <x:c r="X3127" s="124"/>
      <x:c r="AD3127"/>
      <x:c r="AE3127" s="145"/>
      <x:c r="AF3127" s="145"/>
      <x:c r="AG3127" s="145"/>
      <x:c r="AH3127" s="145"/>
      <x:c r="AI3127" s="145"/>
      <x:c r="AJ3127"/>
    </x:row>
    <x:row r="3128">
      <x:c r="F3128" s="124"/>
      <x:c r="G3128" s="124"/>
      <x:c r="H3128" s="124"/>
      <x:c r="I3128" s="124"/>
      <x:c r="J3128" s="124"/>
      <x:c r="M3128" s="126"/>
      <x:c r="P3128" s="126"/>
      <x:c r="Q3128" s="126"/>
      <x:c r="R3128" s="126"/>
      <x:c r="S3128" s="124"/>
      <x:c r="T3128" s="124"/>
      <x:c r="U3128" s="124"/>
      <x:c r="V3128" s="124"/>
      <x:c r="W3128" s="124"/>
      <x:c r="X3128" s="124"/>
      <x:c r="AD3128"/>
      <x:c r="AE3128" s="145"/>
      <x:c r="AF3128" s="145"/>
      <x:c r="AG3128" s="145"/>
      <x:c r="AH3128" s="145"/>
      <x:c r="AI3128" s="145"/>
      <x:c r="AJ3128"/>
    </x:row>
    <x:row r="3129">
      <x:c r="F3129" s="124"/>
      <x:c r="G3129" s="124"/>
      <x:c r="H3129" s="124"/>
      <x:c r="I3129" s="124"/>
      <x:c r="J3129" s="124"/>
      <x:c r="M3129" s="126"/>
      <x:c r="P3129" s="126"/>
      <x:c r="Q3129" s="126"/>
      <x:c r="R3129" s="126"/>
      <x:c r="S3129" s="124"/>
      <x:c r="T3129" s="124"/>
      <x:c r="U3129" s="124"/>
      <x:c r="V3129" s="124"/>
      <x:c r="W3129" s="124"/>
      <x:c r="X3129" s="124"/>
      <x:c r="AD3129"/>
      <x:c r="AE3129" s="145"/>
      <x:c r="AF3129" s="145"/>
      <x:c r="AG3129" s="145"/>
      <x:c r="AH3129" s="145"/>
      <x:c r="AI3129" s="145"/>
      <x:c r="AJ3129"/>
    </x:row>
    <x:row r="3130">
      <x:c r="F3130" s="124"/>
      <x:c r="G3130" s="124"/>
      <x:c r="H3130" s="124"/>
      <x:c r="I3130" s="124"/>
      <x:c r="J3130" s="124"/>
      <x:c r="M3130" s="126"/>
      <x:c r="P3130" s="126"/>
      <x:c r="Q3130" s="126"/>
      <x:c r="R3130" s="126"/>
      <x:c r="S3130" s="124"/>
      <x:c r="T3130" s="124"/>
      <x:c r="U3130" s="124"/>
      <x:c r="V3130" s="124"/>
      <x:c r="W3130" s="124"/>
      <x:c r="X3130" s="124"/>
      <x:c r="AD3130"/>
      <x:c r="AE3130" s="145"/>
      <x:c r="AF3130" s="145"/>
      <x:c r="AG3130" s="145"/>
      <x:c r="AH3130" s="145"/>
      <x:c r="AI3130" s="145"/>
      <x:c r="AJ3130"/>
    </x:row>
    <x:row r="3131">
      <x:c r="F3131" s="124"/>
      <x:c r="G3131" s="124"/>
      <x:c r="H3131" s="124"/>
      <x:c r="I3131" s="124"/>
      <x:c r="J3131" s="124"/>
      <x:c r="M3131" s="126"/>
      <x:c r="P3131" s="126"/>
      <x:c r="Q3131" s="126"/>
      <x:c r="R3131" s="126"/>
      <x:c r="S3131" s="124"/>
      <x:c r="T3131" s="124"/>
      <x:c r="U3131" s="124"/>
      <x:c r="V3131" s="124"/>
      <x:c r="W3131" s="124"/>
      <x:c r="X3131" s="124"/>
      <x:c r="AD3131"/>
      <x:c r="AE3131" s="145"/>
      <x:c r="AF3131" s="145"/>
      <x:c r="AG3131" s="145"/>
      <x:c r="AH3131" s="145"/>
      <x:c r="AI3131" s="145"/>
      <x:c r="AJ3131"/>
    </x:row>
    <x:row r="3132">
      <x:c r="F3132" s="124"/>
      <x:c r="G3132" s="124"/>
      <x:c r="H3132" s="124"/>
      <x:c r="I3132" s="124"/>
      <x:c r="J3132" s="124"/>
      <x:c r="M3132" s="126"/>
      <x:c r="P3132" s="126"/>
      <x:c r="Q3132" s="126"/>
      <x:c r="R3132" s="126"/>
      <x:c r="S3132" s="124"/>
      <x:c r="T3132" s="124"/>
      <x:c r="U3132" s="124"/>
      <x:c r="V3132" s="124"/>
      <x:c r="W3132" s="124"/>
      <x:c r="X3132" s="124"/>
      <x:c r="AD3132"/>
      <x:c r="AE3132" s="145"/>
      <x:c r="AF3132" s="145"/>
      <x:c r="AG3132" s="145"/>
      <x:c r="AH3132" s="145"/>
      <x:c r="AI3132" s="145"/>
      <x:c r="AJ3132"/>
    </x:row>
    <x:row r="3133">
      <x:c r="F3133" s="124"/>
      <x:c r="G3133" s="124"/>
      <x:c r="H3133" s="124"/>
      <x:c r="I3133" s="124"/>
      <x:c r="J3133" s="124"/>
      <x:c r="M3133" s="126"/>
      <x:c r="P3133" s="126"/>
      <x:c r="Q3133" s="126"/>
      <x:c r="R3133" s="126"/>
      <x:c r="S3133" s="124"/>
      <x:c r="T3133" s="124"/>
      <x:c r="U3133" s="124"/>
      <x:c r="V3133" s="124"/>
      <x:c r="W3133" s="124"/>
      <x:c r="X3133" s="124"/>
      <x:c r="AD3133"/>
      <x:c r="AE3133" s="145"/>
      <x:c r="AF3133" s="145"/>
      <x:c r="AG3133" s="145"/>
      <x:c r="AH3133" s="145"/>
      <x:c r="AI3133" s="145"/>
      <x:c r="AJ3133"/>
    </x:row>
    <x:row r="3134">
      <x:c r="F3134" s="124"/>
      <x:c r="G3134" s="124"/>
      <x:c r="H3134" s="124"/>
      <x:c r="I3134" s="124"/>
      <x:c r="J3134" s="124"/>
      <x:c r="M3134" s="126"/>
      <x:c r="P3134" s="126"/>
      <x:c r="Q3134" s="126"/>
      <x:c r="R3134" s="126"/>
      <x:c r="S3134" s="124"/>
      <x:c r="T3134" s="124"/>
      <x:c r="U3134" s="124"/>
      <x:c r="V3134" s="124"/>
      <x:c r="W3134" s="124"/>
      <x:c r="X3134" s="124"/>
      <x:c r="AD3134"/>
      <x:c r="AE3134" s="145"/>
      <x:c r="AF3134" s="145"/>
      <x:c r="AG3134" s="145"/>
      <x:c r="AH3134" s="145"/>
      <x:c r="AI3134" s="145"/>
      <x:c r="AJ3134"/>
    </x:row>
    <x:row r="3135">
      <x:c r="F3135" s="124"/>
      <x:c r="G3135" s="124"/>
      <x:c r="H3135" s="124"/>
      <x:c r="I3135" s="124"/>
      <x:c r="J3135" s="124"/>
      <x:c r="M3135" s="126"/>
      <x:c r="P3135" s="126"/>
      <x:c r="Q3135" s="126"/>
      <x:c r="R3135" s="126"/>
      <x:c r="S3135" s="124"/>
      <x:c r="T3135" s="124"/>
      <x:c r="U3135" s="124"/>
      <x:c r="V3135" s="124"/>
      <x:c r="W3135" s="124"/>
      <x:c r="X3135" s="124"/>
      <x:c r="AD3135"/>
      <x:c r="AE3135" s="145"/>
      <x:c r="AF3135" s="145"/>
      <x:c r="AG3135" s="145"/>
      <x:c r="AH3135" s="145"/>
      <x:c r="AI3135" s="145"/>
      <x:c r="AJ3135"/>
    </x:row>
    <x:row r="3136">
      <x:c r="F3136" s="124"/>
      <x:c r="G3136" s="124"/>
      <x:c r="H3136" s="124"/>
      <x:c r="I3136" s="124"/>
      <x:c r="J3136" s="124"/>
      <x:c r="M3136" s="126"/>
      <x:c r="P3136" s="126"/>
      <x:c r="Q3136" s="126"/>
      <x:c r="R3136" s="126"/>
      <x:c r="S3136" s="124"/>
      <x:c r="T3136" s="124"/>
      <x:c r="U3136" s="124"/>
      <x:c r="V3136" s="124"/>
      <x:c r="W3136" s="124"/>
      <x:c r="X3136" s="124"/>
      <x:c r="AD3136"/>
      <x:c r="AE3136" s="145"/>
      <x:c r="AF3136" s="145"/>
      <x:c r="AG3136" s="145"/>
      <x:c r="AH3136" s="145"/>
      <x:c r="AI3136" s="145"/>
      <x:c r="AJ3136"/>
    </x:row>
    <x:row r="3137">
      <x:c r="F3137" s="124"/>
      <x:c r="G3137" s="124"/>
      <x:c r="H3137" s="124"/>
      <x:c r="I3137" s="124"/>
      <x:c r="J3137" s="124"/>
      <x:c r="M3137" s="126"/>
      <x:c r="P3137" s="126"/>
      <x:c r="Q3137" s="126"/>
      <x:c r="R3137" s="126"/>
      <x:c r="S3137" s="124"/>
      <x:c r="T3137" s="124"/>
      <x:c r="U3137" s="124"/>
      <x:c r="V3137" s="124"/>
      <x:c r="W3137" s="124"/>
      <x:c r="X3137" s="124"/>
      <x:c r="AD3137"/>
      <x:c r="AE3137" s="145"/>
      <x:c r="AF3137" s="145"/>
      <x:c r="AG3137" s="145"/>
      <x:c r="AH3137" s="145"/>
      <x:c r="AI3137" s="145"/>
      <x:c r="AJ3137"/>
    </x:row>
    <x:row r="3138">
      <x:c r="F3138" s="124"/>
      <x:c r="G3138" s="124"/>
      <x:c r="H3138" s="124"/>
      <x:c r="I3138" s="124"/>
      <x:c r="J3138" s="124"/>
      <x:c r="M3138" s="126"/>
      <x:c r="P3138" s="126"/>
      <x:c r="Q3138" s="126"/>
      <x:c r="R3138" s="126"/>
      <x:c r="S3138" s="124"/>
      <x:c r="T3138" s="124"/>
      <x:c r="U3138" s="124"/>
      <x:c r="V3138" s="124"/>
      <x:c r="W3138" s="124"/>
      <x:c r="X3138" s="124"/>
      <x:c r="AD3138"/>
      <x:c r="AE3138" s="145"/>
      <x:c r="AF3138" s="145"/>
      <x:c r="AG3138" s="145"/>
      <x:c r="AH3138" s="145"/>
      <x:c r="AI3138" s="145"/>
      <x:c r="AJ3138"/>
    </x:row>
    <x:row r="3139">
      <x:c r="F3139" s="124"/>
      <x:c r="G3139" s="124"/>
      <x:c r="H3139" s="124"/>
      <x:c r="I3139" s="124"/>
      <x:c r="J3139" s="124"/>
      <x:c r="M3139" s="126"/>
      <x:c r="P3139" s="126"/>
      <x:c r="Q3139" s="126"/>
      <x:c r="R3139" s="126"/>
      <x:c r="S3139" s="124"/>
      <x:c r="T3139" s="124"/>
      <x:c r="U3139" s="124"/>
      <x:c r="V3139" s="124"/>
      <x:c r="W3139" s="124"/>
      <x:c r="X3139" s="124"/>
      <x:c r="AD3139"/>
      <x:c r="AE3139" s="145"/>
      <x:c r="AF3139" s="145"/>
      <x:c r="AG3139" s="145"/>
      <x:c r="AH3139" s="145"/>
      <x:c r="AI3139" s="145"/>
      <x:c r="AJ3139"/>
    </x:row>
    <x:row r="3140">
      <x:c r="F3140" s="124"/>
      <x:c r="G3140" s="124"/>
      <x:c r="H3140" s="124"/>
      <x:c r="I3140" s="124"/>
      <x:c r="J3140" s="124"/>
      <x:c r="M3140" s="126"/>
      <x:c r="P3140" s="126"/>
      <x:c r="Q3140" s="126"/>
      <x:c r="R3140" s="126"/>
      <x:c r="S3140" s="124"/>
      <x:c r="T3140" s="124"/>
      <x:c r="U3140" s="124"/>
      <x:c r="V3140" s="124"/>
      <x:c r="W3140" s="124"/>
      <x:c r="X3140" s="124"/>
      <x:c r="AD3140"/>
      <x:c r="AE3140" s="145"/>
      <x:c r="AF3140" s="145"/>
      <x:c r="AG3140" s="145"/>
      <x:c r="AH3140" s="145"/>
      <x:c r="AI3140" s="145"/>
      <x:c r="AJ3140"/>
    </x:row>
    <x:row r="3141">
      <x:c r="F3141" s="124"/>
      <x:c r="G3141" s="124"/>
      <x:c r="H3141" s="124"/>
      <x:c r="I3141" s="124"/>
      <x:c r="J3141" s="124"/>
      <x:c r="M3141" s="126"/>
      <x:c r="P3141" s="126"/>
      <x:c r="Q3141" s="126"/>
      <x:c r="R3141" s="126"/>
      <x:c r="S3141" s="124"/>
      <x:c r="T3141" s="124"/>
      <x:c r="U3141" s="124"/>
      <x:c r="V3141" s="124"/>
      <x:c r="W3141" s="124"/>
      <x:c r="X3141" s="124"/>
      <x:c r="AD3141"/>
      <x:c r="AE3141" s="145"/>
      <x:c r="AF3141" s="145"/>
      <x:c r="AG3141" s="145"/>
      <x:c r="AH3141" s="145"/>
      <x:c r="AI3141" s="145"/>
      <x:c r="AJ3141"/>
    </x:row>
    <x:row r="3142">
      <x:c r="F3142" s="124"/>
      <x:c r="G3142" s="124"/>
      <x:c r="H3142" s="124"/>
      <x:c r="I3142" s="124"/>
      <x:c r="J3142" s="124"/>
      <x:c r="M3142" s="126"/>
      <x:c r="P3142" s="126"/>
      <x:c r="Q3142" s="126"/>
      <x:c r="R3142" s="126"/>
      <x:c r="S3142" s="124"/>
      <x:c r="T3142" s="124"/>
      <x:c r="U3142" s="124"/>
      <x:c r="V3142" s="124"/>
      <x:c r="W3142" s="124"/>
      <x:c r="X3142" s="124"/>
      <x:c r="AD3142"/>
      <x:c r="AE3142" s="145"/>
      <x:c r="AF3142" s="145"/>
      <x:c r="AG3142" s="145"/>
      <x:c r="AH3142" s="145"/>
      <x:c r="AI3142" s="145"/>
      <x:c r="AJ3142"/>
    </x:row>
    <x:row r="3143">
      <x:c r="F3143" s="124"/>
      <x:c r="G3143" s="124"/>
      <x:c r="H3143" s="124"/>
      <x:c r="I3143" s="124"/>
      <x:c r="J3143" s="124"/>
      <x:c r="M3143" s="126"/>
      <x:c r="P3143" s="126"/>
      <x:c r="Q3143" s="126"/>
      <x:c r="R3143" s="126"/>
      <x:c r="S3143" s="124"/>
      <x:c r="T3143" s="124"/>
      <x:c r="U3143" s="124"/>
      <x:c r="V3143" s="124"/>
      <x:c r="W3143" s="124"/>
      <x:c r="X3143" s="124"/>
      <x:c r="AD3143"/>
      <x:c r="AE3143" s="145"/>
      <x:c r="AF3143" s="145"/>
      <x:c r="AG3143" s="145"/>
      <x:c r="AH3143" s="145"/>
      <x:c r="AI3143" s="145"/>
      <x:c r="AJ3143"/>
    </x:row>
    <x:row r="3144">
      <x:c r="F3144" s="124"/>
      <x:c r="G3144" s="124"/>
      <x:c r="H3144" s="124"/>
      <x:c r="I3144" s="124"/>
      <x:c r="J3144" s="124"/>
      <x:c r="M3144" s="126"/>
      <x:c r="P3144" s="126"/>
      <x:c r="Q3144" s="126"/>
      <x:c r="R3144" s="126"/>
      <x:c r="S3144" s="124"/>
      <x:c r="T3144" s="124"/>
      <x:c r="U3144" s="124"/>
      <x:c r="V3144" s="124"/>
      <x:c r="W3144" s="124"/>
      <x:c r="X3144" s="124"/>
      <x:c r="AD3144"/>
      <x:c r="AE3144" s="145"/>
      <x:c r="AF3144" s="145"/>
      <x:c r="AG3144" s="145"/>
      <x:c r="AH3144" s="145"/>
      <x:c r="AI3144" s="145"/>
      <x:c r="AJ3144"/>
    </x:row>
    <x:row r="3145">
      <x:c r="F3145" s="124"/>
      <x:c r="G3145" s="124"/>
      <x:c r="H3145" s="124"/>
      <x:c r="I3145" s="124"/>
      <x:c r="J3145" s="124"/>
      <x:c r="M3145" s="126"/>
      <x:c r="P3145" s="126"/>
      <x:c r="Q3145" s="126"/>
      <x:c r="R3145" s="126"/>
      <x:c r="S3145" s="124"/>
      <x:c r="T3145" s="124"/>
      <x:c r="U3145" s="124"/>
      <x:c r="V3145" s="124"/>
      <x:c r="W3145" s="124"/>
      <x:c r="X3145" s="124"/>
      <x:c r="AD3145"/>
      <x:c r="AE3145" s="145"/>
      <x:c r="AF3145" s="145"/>
      <x:c r="AG3145" s="145"/>
      <x:c r="AH3145" s="145"/>
      <x:c r="AI3145" s="145"/>
      <x:c r="AJ3145"/>
    </x:row>
    <x:row r="3146">
      <x:c r="F3146" s="124"/>
      <x:c r="G3146" s="124"/>
      <x:c r="H3146" s="124"/>
      <x:c r="I3146" s="124"/>
      <x:c r="J3146" s="124"/>
      <x:c r="M3146" s="126"/>
      <x:c r="P3146" s="126"/>
      <x:c r="Q3146" s="126"/>
      <x:c r="R3146" s="126"/>
      <x:c r="S3146" s="124"/>
      <x:c r="T3146" s="124"/>
      <x:c r="U3146" s="124"/>
      <x:c r="V3146" s="124"/>
      <x:c r="W3146" s="124"/>
      <x:c r="X3146" s="124"/>
      <x:c r="AD3146"/>
      <x:c r="AE3146" s="145"/>
      <x:c r="AF3146" s="145"/>
      <x:c r="AG3146" s="145"/>
      <x:c r="AH3146" s="145"/>
      <x:c r="AI3146" s="145"/>
      <x:c r="AJ3146"/>
    </x:row>
    <x:row r="3147">
      <x:c r="F3147" s="124"/>
      <x:c r="G3147" s="124"/>
      <x:c r="H3147" s="124"/>
      <x:c r="I3147" s="124"/>
      <x:c r="J3147" s="124"/>
      <x:c r="M3147" s="126"/>
      <x:c r="P3147" s="126"/>
      <x:c r="Q3147" s="126"/>
      <x:c r="R3147" s="126"/>
      <x:c r="S3147" s="124"/>
      <x:c r="T3147" s="124"/>
      <x:c r="U3147" s="124"/>
      <x:c r="V3147" s="124"/>
      <x:c r="W3147" s="124"/>
      <x:c r="X3147" s="124"/>
      <x:c r="AD3147"/>
      <x:c r="AE3147" s="145"/>
      <x:c r="AF3147" s="145"/>
      <x:c r="AG3147" s="145"/>
      <x:c r="AH3147" s="145"/>
      <x:c r="AI3147" s="145"/>
      <x:c r="AJ3147"/>
    </x:row>
    <x:row r="3148">
      <x:c r="F3148" s="124"/>
      <x:c r="G3148" s="124"/>
      <x:c r="H3148" s="124"/>
      <x:c r="I3148" s="124"/>
      <x:c r="J3148" s="124"/>
      <x:c r="M3148" s="126"/>
      <x:c r="P3148" s="126"/>
      <x:c r="Q3148" s="126"/>
      <x:c r="R3148" s="126"/>
      <x:c r="S3148" s="124"/>
      <x:c r="T3148" s="124"/>
      <x:c r="U3148" s="124"/>
      <x:c r="V3148" s="124"/>
      <x:c r="W3148" s="124"/>
      <x:c r="X3148" s="124"/>
      <x:c r="AD3148"/>
      <x:c r="AE3148" s="145"/>
      <x:c r="AF3148" s="145"/>
      <x:c r="AG3148" s="145"/>
      <x:c r="AH3148" s="145"/>
      <x:c r="AI3148" s="145"/>
      <x:c r="AJ3148"/>
    </x:row>
    <x:row r="3149">
      <x:c r="F3149" s="124"/>
      <x:c r="G3149" s="124"/>
      <x:c r="H3149" s="124"/>
      <x:c r="I3149" s="124"/>
      <x:c r="J3149" s="124"/>
      <x:c r="M3149" s="126"/>
      <x:c r="P3149" s="126"/>
      <x:c r="Q3149" s="126"/>
      <x:c r="R3149" s="126"/>
      <x:c r="S3149" s="124"/>
      <x:c r="T3149" s="124"/>
      <x:c r="U3149" s="124"/>
      <x:c r="V3149" s="124"/>
      <x:c r="W3149" s="124"/>
      <x:c r="X3149" s="124"/>
      <x:c r="AD3149"/>
      <x:c r="AE3149" s="145"/>
      <x:c r="AF3149" s="145"/>
      <x:c r="AG3149" s="145"/>
      <x:c r="AH3149" s="145"/>
      <x:c r="AI3149" s="145"/>
      <x:c r="AJ3149"/>
    </x:row>
    <x:row r="3150">
      <x:c r="F3150" s="124"/>
      <x:c r="G3150" s="124"/>
      <x:c r="H3150" s="124"/>
      <x:c r="I3150" s="124"/>
      <x:c r="J3150" s="124"/>
      <x:c r="M3150" s="126"/>
      <x:c r="P3150" s="126"/>
      <x:c r="Q3150" s="126"/>
      <x:c r="R3150" s="126"/>
      <x:c r="S3150" s="124"/>
      <x:c r="T3150" s="124"/>
      <x:c r="U3150" s="124"/>
      <x:c r="V3150" s="124"/>
      <x:c r="W3150" s="124"/>
      <x:c r="X3150" s="124"/>
      <x:c r="AD3150"/>
      <x:c r="AE3150" s="145"/>
      <x:c r="AF3150" s="145"/>
      <x:c r="AG3150" s="145"/>
      <x:c r="AH3150" s="145"/>
      <x:c r="AI3150" s="145"/>
      <x:c r="AJ3150"/>
    </x:row>
    <x:row r="3151">
      <x:c r="F3151" s="124"/>
      <x:c r="G3151" s="124"/>
      <x:c r="H3151" s="124"/>
      <x:c r="I3151" s="124"/>
      <x:c r="J3151" s="124"/>
      <x:c r="M3151" s="126"/>
      <x:c r="P3151" s="126"/>
      <x:c r="Q3151" s="126"/>
      <x:c r="R3151" s="126"/>
      <x:c r="S3151" s="124"/>
      <x:c r="T3151" s="124"/>
      <x:c r="U3151" s="124"/>
      <x:c r="V3151" s="124"/>
      <x:c r="W3151" s="124"/>
      <x:c r="X3151" s="124"/>
      <x:c r="AD3151"/>
      <x:c r="AE3151" s="145"/>
      <x:c r="AF3151" s="145"/>
      <x:c r="AG3151" s="145"/>
      <x:c r="AH3151" s="145"/>
      <x:c r="AI3151" s="145"/>
      <x:c r="AJ3151"/>
    </x:row>
    <x:row r="3152">
      <x:c r="F3152" s="124"/>
      <x:c r="G3152" s="124"/>
      <x:c r="H3152" s="124"/>
      <x:c r="I3152" s="124"/>
      <x:c r="J3152" s="124"/>
      <x:c r="M3152" s="126"/>
      <x:c r="P3152" s="126"/>
      <x:c r="Q3152" s="126"/>
      <x:c r="R3152" s="126"/>
      <x:c r="S3152" s="124"/>
      <x:c r="T3152" s="124"/>
      <x:c r="U3152" s="124"/>
      <x:c r="V3152" s="124"/>
      <x:c r="W3152" s="124"/>
      <x:c r="X3152" s="124"/>
      <x:c r="AD3152"/>
      <x:c r="AE3152" s="145"/>
      <x:c r="AF3152" s="145"/>
      <x:c r="AG3152" s="145"/>
      <x:c r="AH3152" s="145"/>
      <x:c r="AI3152" s="145"/>
      <x:c r="AJ3152"/>
    </x:row>
    <x:row r="3153">
      <x:c r="F3153" s="124"/>
      <x:c r="G3153" s="124"/>
      <x:c r="H3153" s="124"/>
      <x:c r="I3153" s="124"/>
      <x:c r="J3153" s="124"/>
      <x:c r="M3153" s="126"/>
      <x:c r="P3153" s="126"/>
      <x:c r="Q3153" s="126"/>
      <x:c r="R3153" s="126"/>
      <x:c r="S3153" s="124"/>
      <x:c r="T3153" s="124"/>
      <x:c r="U3153" s="124"/>
      <x:c r="V3153" s="124"/>
      <x:c r="W3153" s="124"/>
      <x:c r="X3153" s="124"/>
      <x:c r="AD3153"/>
      <x:c r="AE3153" s="145"/>
      <x:c r="AF3153" s="145"/>
      <x:c r="AG3153" s="145"/>
      <x:c r="AH3153" s="145"/>
      <x:c r="AI3153" s="145"/>
      <x:c r="AJ3153"/>
    </x:row>
    <x:row r="3154">
      <x:c r="F3154" s="124"/>
      <x:c r="G3154" s="124"/>
      <x:c r="H3154" s="124"/>
      <x:c r="I3154" s="124"/>
      <x:c r="J3154" s="124"/>
      <x:c r="M3154" s="126"/>
      <x:c r="P3154" s="126"/>
      <x:c r="Q3154" s="126"/>
      <x:c r="R3154" s="126"/>
      <x:c r="S3154" s="124"/>
      <x:c r="T3154" s="124"/>
      <x:c r="U3154" s="124"/>
      <x:c r="V3154" s="124"/>
      <x:c r="W3154" s="124"/>
      <x:c r="X3154" s="124"/>
      <x:c r="AD3154"/>
      <x:c r="AE3154" s="145"/>
      <x:c r="AF3154" s="145"/>
      <x:c r="AG3154" s="145"/>
      <x:c r="AH3154" s="145"/>
      <x:c r="AI3154" s="145"/>
      <x:c r="AJ3154"/>
    </x:row>
    <x:row r="3155">
      <x:c r="F3155" s="124"/>
      <x:c r="G3155" s="124"/>
      <x:c r="H3155" s="124"/>
      <x:c r="I3155" s="124"/>
      <x:c r="J3155" s="124"/>
      <x:c r="M3155" s="126"/>
      <x:c r="P3155" s="126"/>
      <x:c r="Q3155" s="126"/>
      <x:c r="R3155" s="126"/>
      <x:c r="S3155" s="124"/>
      <x:c r="T3155" s="124"/>
      <x:c r="U3155" s="124"/>
      <x:c r="V3155" s="124"/>
      <x:c r="W3155" s="124"/>
      <x:c r="X3155" s="124"/>
      <x:c r="AD3155"/>
      <x:c r="AE3155" s="145"/>
      <x:c r="AF3155" s="145"/>
      <x:c r="AG3155" s="145"/>
      <x:c r="AH3155" s="145"/>
      <x:c r="AI3155" s="145"/>
      <x:c r="AJ3155"/>
    </x:row>
    <x:row r="3156">
      <x:c r="F3156" s="124"/>
      <x:c r="G3156" s="124"/>
      <x:c r="H3156" s="124"/>
      <x:c r="I3156" s="124"/>
      <x:c r="J3156" s="124"/>
      <x:c r="M3156" s="126"/>
      <x:c r="P3156" s="126"/>
      <x:c r="Q3156" s="126"/>
      <x:c r="R3156" s="126"/>
      <x:c r="S3156" s="124"/>
      <x:c r="T3156" s="124"/>
      <x:c r="U3156" s="124"/>
      <x:c r="V3156" s="124"/>
      <x:c r="W3156" s="124"/>
      <x:c r="X3156" s="124"/>
      <x:c r="AD3156"/>
      <x:c r="AE3156" s="145"/>
      <x:c r="AF3156" s="145"/>
      <x:c r="AG3156" s="145"/>
      <x:c r="AH3156" s="145"/>
      <x:c r="AI3156" s="145"/>
      <x:c r="AJ3156"/>
    </x:row>
    <x:row r="3157">
      <x:c r="F3157" s="124"/>
      <x:c r="G3157" s="124"/>
      <x:c r="H3157" s="124"/>
      <x:c r="I3157" s="124"/>
      <x:c r="J3157" s="124"/>
      <x:c r="M3157" s="126"/>
      <x:c r="P3157" s="126"/>
      <x:c r="Q3157" s="126"/>
      <x:c r="R3157" s="126"/>
      <x:c r="S3157" s="124"/>
      <x:c r="T3157" s="124"/>
      <x:c r="U3157" s="124"/>
      <x:c r="V3157" s="124"/>
      <x:c r="W3157" s="124"/>
      <x:c r="X3157" s="124"/>
      <x:c r="AD3157"/>
      <x:c r="AE3157" s="145"/>
      <x:c r="AF3157" s="145"/>
      <x:c r="AG3157" s="145"/>
      <x:c r="AH3157" s="145"/>
      <x:c r="AI3157" s="145"/>
      <x:c r="AJ3157"/>
    </x:row>
    <x:row r="3158">
      <x:c r="F3158" s="124"/>
      <x:c r="G3158" s="124"/>
      <x:c r="H3158" s="124"/>
      <x:c r="I3158" s="124"/>
      <x:c r="J3158" s="124"/>
      <x:c r="M3158" s="126"/>
      <x:c r="P3158" s="126"/>
      <x:c r="Q3158" s="126"/>
      <x:c r="R3158" s="126"/>
      <x:c r="S3158" s="124"/>
      <x:c r="T3158" s="124"/>
      <x:c r="U3158" s="124"/>
      <x:c r="V3158" s="124"/>
      <x:c r="W3158" s="124"/>
      <x:c r="X3158" s="124"/>
      <x:c r="AD3158"/>
      <x:c r="AE3158" s="145"/>
      <x:c r="AF3158" s="145"/>
      <x:c r="AG3158" s="145"/>
      <x:c r="AH3158" s="145"/>
      <x:c r="AI3158" s="145"/>
      <x:c r="AJ3158"/>
    </x:row>
    <x:row r="3159">
      <x:c r="F3159" s="124"/>
      <x:c r="G3159" s="124"/>
      <x:c r="H3159" s="124"/>
      <x:c r="I3159" s="124"/>
      <x:c r="J3159" s="124"/>
      <x:c r="M3159" s="126"/>
      <x:c r="P3159" s="126"/>
      <x:c r="Q3159" s="126"/>
      <x:c r="R3159" s="126"/>
      <x:c r="S3159" s="124"/>
      <x:c r="T3159" s="124"/>
      <x:c r="U3159" s="124"/>
      <x:c r="V3159" s="124"/>
      <x:c r="W3159" s="124"/>
      <x:c r="X3159" s="124"/>
      <x:c r="AD3159"/>
      <x:c r="AE3159" s="145"/>
      <x:c r="AF3159" s="145"/>
      <x:c r="AG3159" s="145"/>
      <x:c r="AH3159" s="145"/>
      <x:c r="AI3159" s="145"/>
      <x:c r="AJ3159"/>
    </x:row>
    <x:row r="3160">
      <x:c r="F3160" s="124"/>
      <x:c r="G3160" s="124"/>
      <x:c r="H3160" s="124"/>
      <x:c r="I3160" s="124"/>
      <x:c r="J3160" s="124"/>
      <x:c r="M3160" s="126"/>
      <x:c r="P3160" s="126"/>
      <x:c r="Q3160" s="126"/>
      <x:c r="R3160" s="126"/>
      <x:c r="S3160" s="124"/>
      <x:c r="T3160" s="124"/>
      <x:c r="U3160" s="124"/>
      <x:c r="V3160" s="124"/>
      <x:c r="W3160" s="124"/>
      <x:c r="X3160" s="124"/>
      <x:c r="AD3160"/>
      <x:c r="AE3160" s="145"/>
      <x:c r="AF3160" s="145"/>
      <x:c r="AG3160" s="145"/>
      <x:c r="AH3160" s="145"/>
      <x:c r="AI3160" s="145"/>
      <x:c r="AJ3160"/>
    </x:row>
    <x:row r="3161">
      <x:c r="F3161" s="124"/>
      <x:c r="G3161" s="124"/>
      <x:c r="H3161" s="124"/>
      <x:c r="I3161" s="124"/>
      <x:c r="J3161" s="124"/>
      <x:c r="M3161" s="126"/>
      <x:c r="P3161" s="126"/>
      <x:c r="Q3161" s="126"/>
      <x:c r="R3161" s="126"/>
      <x:c r="S3161" s="124"/>
      <x:c r="T3161" s="124"/>
      <x:c r="U3161" s="124"/>
      <x:c r="V3161" s="124"/>
      <x:c r="W3161" s="124"/>
      <x:c r="X3161" s="124"/>
      <x:c r="AD3161"/>
      <x:c r="AE3161" s="145"/>
      <x:c r="AF3161" s="145"/>
      <x:c r="AG3161" s="145"/>
      <x:c r="AH3161" s="145"/>
      <x:c r="AI3161" s="145"/>
      <x:c r="AJ3161"/>
    </x:row>
    <x:row r="3162">
      <x:c r="F3162" s="124"/>
      <x:c r="G3162" s="124"/>
      <x:c r="H3162" s="124"/>
      <x:c r="I3162" s="124"/>
      <x:c r="J3162" s="124"/>
      <x:c r="M3162" s="126"/>
      <x:c r="P3162" s="126"/>
      <x:c r="Q3162" s="126"/>
      <x:c r="R3162" s="126"/>
      <x:c r="S3162" s="124"/>
      <x:c r="T3162" s="124"/>
      <x:c r="U3162" s="124"/>
      <x:c r="V3162" s="124"/>
      <x:c r="W3162" s="124"/>
      <x:c r="X3162" s="124"/>
      <x:c r="AD3162"/>
      <x:c r="AE3162" s="145"/>
      <x:c r="AF3162" s="145"/>
      <x:c r="AG3162" s="145"/>
      <x:c r="AH3162" s="145"/>
      <x:c r="AI3162" s="145"/>
      <x:c r="AJ3162"/>
    </x:row>
    <x:row r="3163">
      <x:c r="F3163" s="124"/>
      <x:c r="G3163" s="124"/>
      <x:c r="H3163" s="124"/>
      <x:c r="I3163" s="124"/>
      <x:c r="J3163" s="124"/>
      <x:c r="M3163" s="126"/>
      <x:c r="P3163" s="126"/>
      <x:c r="Q3163" s="126"/>
      <x:c r="R3163" s="126"/>
      <x:c r="S3163" s="124"/>
      <x:c r="T3163" s="124"/>
      <x:c r="U3163" s="124"/>
      <x:c r="V3163" s="124"/>
      <x:c r="W3163" s="124"/>
      <x:c r="X3163" s="124"/>
      <x:c r="AD3163"/>
      <x:c r="AE3163" s="145"/>
      <x:c r="AF3163" s="145"/>
      <x:c r="AG3163" s="145"/>
      <x:c r="AH3163" s="145"/>
      <x:c r="AI3163" s="145"/>
      <x:c r="AJ3163"/>
    </x:row>
    <x:row r="3164">
      <x:c r="F3164" s="124"/>
      <x:c r="G3164" s="124"/>
      <x:c r="H3164" s="124"/>
      <x:c r="I3164" s="124"/>
      <x:c r="J3164" s="124"/>
      <x:c r="M3164" s="126"/>
      <x:c r="P3164" s="126"/>
      <x:c r="Q3164" s="126"/>
      <x:c r="R3164" s="126"/>
      <x:c r="S3164" s="124"/>
      <x:c r="T3164" s="124"/>
      <x:c r="U3164" s="124"/>
      <x:c r="V3164" s="124"/>
      <x:c r="W3164" s="124"/>
      <x:c r="X3164" s="124"/>
      <x:c r="AD3164"/>
      <x:c r="AE3164" s="145"/>
      <x:c r="AF3164" s="145"/>
      <x:c r="AG3164" s="145"/>
      <x:c r="AH3164" s="145"/>
      <x:c r="AI3164" s="145"/>
      <x:c r="AJ3164"/>
    </x:row>
    <x:row r="3165">
      <x:c r="F3165" s="124"/>
      <x:c r="G3165" s="124"/>
      <x:c r="H3165" s="124"/>
      <x:c r="I3165" s="124"/>
      <x:c r="J3165" s="124"/>
      <x:c r="M3165" s="126"/>
      <x:c r="P3165" s="126"/>
      <x:c r="Q3165" s="126"/>
      <x:c r="R3165" s="126"/>
      <x:c r="S3165" s="124"/>
      <x:c r="T3165" s="124"/>
      <x:c r="U3165" s="124"/>
      <x:c r="V3165" s="124"/>
      <x:c r="W3165" s="124"/>
      <x:c r="X3165" s="124"/>
      <x:c r="AD3165"/>
      <x:c r="AE3165" s="145"/>
      <x:c r="AF3165" s="145"/>
      <x:c r="AG3165" s="145"/>
      <x:c r="AH3165" s="145"/>
      <x:c r="AI3165" s="145"/>
      <x:c r="AJ3165"/>
    </x:row>
    <x:row r="3166">
      <x:c r="F3166" s="124"/>
      <x:c r="G3166" s="124"/>
      <x:c r="H3166" s="124"/>
      <x:c r="I3166" s="124"/>
      <x:c r="J3166" s="124"/>
      <x:c r="M3166" s="126"/>
      <x:c r="P3166" s="126"/>
      <x:c r="Q3166" s="126"/>
      <x:c r="R3166" s="126"/>
      <x:c r="S3166" s="124"/>
      <x:c r="T3166" s="124"/>
      <x:c r="U3166" s="124"/>
      <x:c r="V3166" s="124"/>
      <x:c r="W3166" s="124"/>
      <x:c r="X3166" s="124"/>
      <x:c r="AD3166"/>
      <x:c r="AE3166" s="145"/>
      <x:c r="AF3166" s="145"/>
      <x:c r="AG3166" s="145"/>
      <x:c r="AH3166" s="145"/>
      <x:c r="AI3166" s="145"/>
      <x:c r="AJ3166"/>
    </x:row>
    <x:row r="3167">
      <x:c r="F3167" s="124"/>
      <x:c r="G3167" s="124"/>
      <x:c r="H3167" s="124"/>
      <x:c r="I3167" s="124"/>
      <x:c r="J3167" s="124"/>
      <x:c r="M3167" s="126"/>
      <x:c r="P3167" s="126"/>
      <x:c r="Q3167" s="126"/>
      <x:c r="R3167" s="126"/>
      <x:c r="S3167" s="124"/>
      <x:c r="T3167" s="124"/>
      <x:c r="U3167" s="124"/>
      <x:c r="V3167" s="124"/>
      <x:c r="W3167" s="124"/>
      <x:c r="X3167" s="124"/>
      <x:c r="AD3167"/>
      <x:c r="AE3167" s="145"/>
      <x:c r="AF3167" s="145"/>
      <x:c r="AG3167" s="145"/>
      <x:c r="AH3167" s="145"/>
      <x:c r="AI3167" s="145"/>
      <x:c r="AJ3167"/>
    </x:row>
    <x:row r="3168">
      <x:c r="F3168" s="124"/>
      <x:c r="G3168" s="124"/>
      <x:c r="H3168" s="124"/>
      <x:c r="I3168" s="124"/>
      <x:c r="J3168" s="124"/>
      <x:c r="M3168" s="126"/>
      <x:c r="P3168" s="126"/>
      <x:c r="Q3168" s="126"/>
      <x:c r="R3168" s="126"/>
      <x:c r="S3168" s="124"/>
      <x:c r="T3168" s="124"/>
      <x:c r="U3168" s="124"/>
      <x:c r="V3168" s="124"/>
      <x:c r="W3168" s="124"/>
      <x:c r="X3168" s="124"/>
      <x:c r="AD3168"/>
      <x:c r="AE3168" s="145"/>
      <x:c r="AF3168" s="145"/>
      <x:c r="AG3168" s="145"/>
      <x:c r="AH3168" s="145"/>
      <x:c r="AI3168" s="145"/>
      <x:c r="AJ3168"/>
    </x:row>
    <x:row r="3169">
      <x:c r="F3169" s="124"/>
      <x:c r="G3169" s="124"/>
      <x:c r="H3169" s="124"/>
      <x:c r="I3169" s="124"/>
      <x:c r="J3169" s="124"/>
      <x:c r="M3169" s="126"/>
      <x:c r="P3169" s="126"/>
      <x:c r="Q3169" s="126"/>
      <x:c r="R3169" s="126"/>
      <x:c r="S3169" s="124"/>
      <x:c r="T3169" s="124"/>
      <x:c r="U3169" s="124"/>
      <x:c r="V3169" s="124"/>
      <x:c r="W3169" s="124"/>
      <x:c r="X3169" s="124"/>
      <x:c r="AD3169"/>
      <x:c r="AE3169" s="145"/>
      <x:c r="AF3169" s="145"/>
      <x:c r="AG3169" s="145"/>
      <x:c r="AH3169" s="145"/>
      <x:c r="AI3169" s="145"/>
      <x:c r="AJ3169"/>
    </x:row>
    <x:row r="3170">
      <x:c r="F3170" s="124"/>
      <x:c r="G3170" s="124"/>
      <x:c r="H3170" s="124"/>
      <x:c r="I3170" s="124"/>
      <x:c r="J3170" s="124"/>
      <x:c r="M3170" s="126"/>
      <x:c r="P3170" s="126"/>
      <x:c r="Q3170" s="126"/>
      <x:c r="R3170" s="126"/>
      <x:c r="S3170" s="124"/>
      <x:c r="T3170" s="124"/>
      <x:c r="U3170" s="124"/>
      <x:c r="V3170" s="124"/>
      <x:c r="W3170" s="124"/>
      <x:c r="X3170" s="124"/>
      <x:c r="AD3170"/>
      <x:c r="AE3170" s="145"/>
      <x:c r="AF3170" s="145"/>
      <x:c r="AG3170" s="145"/>
      <x:c r="AH3170" s="145"/>
      <x:c r="AI3170" s="145"/>
      <x:c r="AJ3170"/>
    </x:row>
    <x:row r="3171">
      <x:c r="F3171" s="124"/>
      <x:c r="G3171" s="124"/>
      <x:c r="H3171" s="124"/>
      <x:c r="I3171" s="124"/>
      <x:c r="J3171" s="124"/>
      <x:c r="M3171" s="126"/>
      <x:c r="P3171" s="126"/>
      <x:c r="Q3171" s="126"/>
      <x:c r="R3171" s="126"/>
      <x:c r="S3171" s="124"/>
      <x:c r="T3171" s="124"/>
      <x:c r="U3171" s="124"/>
      <x:c r="V3171" s="124"/>
      <x:c r="W3171" s="124"/>
      <x:c r="X3171" s="124"/>
      <x:c r="AD3171"/>
      <x:c r="AE3171" s="145"/>
      <x:c r="AF3171" s="145"/>
      <x:c r="AG3171" s="145"/>
      <x:c r="AH3171" s="145"/>
      <x:c r="AI3171" s="145"/>
      <x:c r="AJ3171"/>
    </x:row>
    <x:row r="3172">
      <x:c r="F3172" s="124"/>
      <x:c r="G3172" s="124"/>
      <x:c r="H3172" s="124"/>
      <x:c r="I3172" s="124"/>
      <x:c r="J3172" s="124"/>
      <x:c r="M3172" s="126"/>
      <x:c r="P3172" s="126"/>
      <x:c r="Q3172" s="126"/>
      <x:c r="R3172" s="126"/>
      <x:c r="S3172" s="124"/>
      <x:c r="T3172" s="124"/>
      <x:c r="U3172" s="124"/>
      <x:c r="V3172" s="124"/>
      <x:c r="W3172" s="124"/>
      <x:c r="X3172" s="124"/>
      <x:c r="AD3172"/>
      <x:c r="AE3172" s="145"/>
      <x:c r="AF3172" s="145"/>
      <x:c r="AG3172" s="145"/>
      <x:c r="AH3172" s="145"/>
      <x:c r="AI3172" s="145"/>
      <x:c r="AJ3172"/>
    </x:row>
    <x:row r="3173">
      <x:c r="F3173" s="124"/>
      <x:c r="G3173" s="124"/>
      <x:c r="H3173" s="124"/>
      <x:c r="I3173" s="124"/>
      <x:c r="J3173" s="124"/>
      <x:c r="M3173" s="126"/>
      <x:c r="P3173" s="126"/>
      <x:c r="Q3173" s="126"/>
      <x:c r="R3173" s="126"/>
      <x:c r="S3173" s="124"/>
      <x:c r="T3173" s="124"/>
      <x:c r="U3173" s="124"/>
      <x:c r="V3173" s="124"/>
      <x:c r="W3173" s="124"/>
      <x:c r="X3173" s="124"/>
      <x:c r="AD3173"/>
      <x:c r="AE3173" s="145"/>
      <x:c r="AF3173" s="145"/>
      <x:c r="AG3173" s="145"/>
      <x:c r="AH3173" s="145"/>
      <x:c r="AI3173" s="145"/>
      <x:c r="AJ3173"/>
    </x:row>
    <x:row r="3174">
      <x:c r="F3174" s="124"/>
      <x:c r="G3174" s="124"/>
      <x:c r="H3174" s="124"/>
      <x:c r="I3174" s="124"/>
      <x:c r="J3174" s="124"/>
      <x:c r="M3174" s="126"/>
      <x:c r="P3174" s="126"/>
      <x:c r="Q3174" s="126"/>
      <x:c r="R3174" s="126"/>
      <x:c r="S3174" s="124"/>
      <x:c r="T3174" s="124"/>
      <x:c r="U3174" s="124"/>
      <x:c r="V3174" s="124"/>
      <x:c r="W3174" s="124"/>
      <x:c r="X3174" s="124"/>
      <x:c r="AD3174"/>
      <x:c r="AE3174" s="145"/>
      <x:c r="AF3174" s="145"/>
      <x:c r="AG3174" s="145"/>
      <x:c r="AH3174" s="145"/>
      <x:c r="AI3174" s="145"/>
      <x:c r="AJ3174"/>
    </x:row>
    <x:row r="3175">
      <x:c r="F3175" s="124"/>
      <x:c r="G3175" s="124"/>
      <x:c r="H3175" s="124"/>
      <x:c r="I3175" s="124"/>
      <x:c r="J3175" s="124"/>
      <x:c r="M3175" s="126"/>
      <x:c r="P3175" s="126"/>
      <x:c r="Q3175" s="126"/>
      <x:c r="R3175" s="126"/>
      <x:c r="S3175" s="124"/>
      <x:c r="T3175" s="124"/>
      <x:c r="U3175" s="124"/>
      <x:c r="V3175" s="124"/>
      <x:c r="W3175" s="124"/>
      <x:c r="X3175" s="124"/>
      <x:c r="AD3175"/>
      <x:c r="AE3175" s="145"/>
      <x:c r="AF3175" s="145"/>
      <x:c r="AG3175" s="145"/>
      <x:c r="AH3175" s="145"/>
      <x:c r="AI3175" s="145"/>
      <x:c r="AJ3175"/>
    </x:row>
    <x:row r="3176">
      <x:c r="F3176" s="124"/>
      <x:c r="G3176" s="124"/>
      <x:c r="H3176" s="124"/>
      <x:c r="I3176" s="124"/>
      <x:c r="J3176" s="124"/>
      <x:c r="M3176" s="126"/>
      <x:c r="P3176" s="126"/>
      <x:c r="Q3176" s="126"/>
      <x:c r="R3176" s="126"/>
      <x:c r="S3176" s="124"/>
      <x:c r="T3176" s="124"/>
      <x:c r="U3176" s="124"/>
      <x:c r="V3176" s="124"/>
      <x:c r="W3176" s="124"/>
      <x:c r="X3176" s="124"/>
      <x:c r="AD3176"/>
      <x:c r="AE3176" s="145"/>
      <x:c r="AF3176" s="145"/>
      <x:c r="AG3176" s="145"/>
      <x:c r="AH3176" s="145"/>
      <x:c r="AI3176" s="145"/>
      <x:c r="AJ3176"/>
    </x:row>
    <x:row r="3177">
      <x:c r="F3177" s="124"/>
      <x:c r="G3177" s="124"/>
      <x:c r="H3177" s="124"/>
      <x:c r="I3177" s="124"/>
      <x:c r="J3177" s="124"/>
      <x:c r="M3177" s="126"/>
      <x:c r="P3177" s="126"/>
      <x:c r="Q3177" s="126"/>
      <x:c r="R3177" s="126"/>
      <x:c r="S3177" s="124"/>
      <x:c r="T3177" s="124"/>
      <x:c r="U3177" s="124"/>
      <x:c r="V3177" s="124"/>
      <x:c r="W3177" s="124"/>
      <x:c r="X3177" s="124"/>
      <x:c r="AD3177"/>
      <x:c r="AE3177" s="145"/>
      <x:c r="AF3177" s="145"/>
      <x:c r="AG3177" s="145"/>
      <x:c r="AH3177" s="145"/>
      <x:c r="AI3177" s="145"/>
      <x:c r="AJ3177"/>
    </x:row>
    <x:row r="3178">
      <x:c r="F3178" s="124"/>
      <x:c r="G3178" s="124"/>
      <x:c r="H3178" s="124"/>
      <x:c r="I3178" s="124"/>
      <x:c r="J3178" s="124"/>
      <x:c r="M3178" s="126"/>
      <x:c r="P3178" s="126"/>
      <x:c r="Q3178" s="126"/>
      <x:c r="R3178" s="126"/>
      <x:c r="S3178" s="124"/>
      <x:c r="T3178" s="124"/>
      <x:c r="U3178" s="124"/>
      <x:c r="V3178" s="124"/>
      <x:c r="W3178" s="124"/>
      <x:c r="X3178" s="124"/>
      <x:c r="AD3178"/>
      <x:c r="AE3178" s="145"/>
      <x:c r="AF3178" s="145"/>
      <x:c r="AG3178" s="145"/>
      <x:c r="AH3178" s="145"/>
      <x:c r="AI3178" s="145"/>
      <x:c r="AJ3178"/>
    </x:row>
    <x:row r="3179">
      <x:c r="F3179" s="124"/>
      <x:c r="G3179" s="124"/>
      <x:c r="H3179" s="124"/>
      <x:c r="I3179" s="124"/>
      <x:c r="J3179" s="124"/>
      <x:c r="M3179" s="126"/>
      <x:c r="P3179" s="126"/>
      <x:c r="Q3179" s="126"/>
      <x:c r="R3179" s="126"/>
      <x:c r="S3179" s="124"/>
      <x:c r="T3179" s="124"/>
      <x:c r="U3179" s="124"/>
      <x:c r="V3179" s="124"/>
      <x:c r="W3179" s="124"/>
      <x:c r="X3179" s="124"/>
      <x:c r="AD3179"/>
      <x:c r="AE3179" s="145"/>
      <x:c r="AF3179" s="145"/>
      <x:c r="AG3179" s="145"/>
      <x:c r="AH3179" s="145"/>
      <x:c r="AI3179" s="145"/>
      <x:c r="AJ3179"/>
    </x:row>
    <x:row r="3180">
      <x:c r="F3180" s="124"/>
      <x:c r="G3180" s="124"/>
      <x:c r="H3180" s="124"/>
      <x:c r="I3180" s="124"/>
      <x:c r="J3180" s="124"/>
      <x:c r="M3180" s="126"/>
      <x:c r="P3180" s="126"/>
      <x:c r="Q3180" s="126"/>
      <x:c r="R3180" s="126"/>
      <x:c r="S3180" s="124"/>
      <x:c r="T3180" s="124"/>
      <x:c r="U3180" s="124"/>
      <x:c r="V3180" s="124"/>
      <x:c r="W3180" s="124"/>
      <x:c r="X3180" s="124"/>
      <x:c r="AD3180"/>
      <x:c r="AE3180" s="145"/>
      <x:c r="AF3180" s="145"/>
      <x:c r="AG3180" s="145"/>
      <x:c r="AH3180" s="145"/>
      <x:c r="AI3180" s="145"/>
      <x:c r="AJ3180"/>
    </x:row>
    <x:row r="3181">
      <x:c r="F3181" s="124"/>
      <x:c r="G3181" s="124"/>
      <x:c r="H3181" s="124"/>
      <x:c r="I3181" s="124"/>
      <x:c r="J3181" s="124"/>
      <x:c r="M3181" s="126"/>
      <x:c r="P3181" s="126"/>
      <x:c r="Q3181" s="126"/>
      <x:c r="R3181" s="126"/>
      <x:c r="S3181" s="124"/>
      <x:c r="T3181" s="124"/>
      <x:c r="U3181" s="124"/>
      <x:c r="V3181" s="124"/>
      <x:c r="W3181" s="124"/>
      <x:c r="X3181" s="124"/>
      <x:c r="AD3181"/>
      <x:c r="AE3181" s="145"/>
      <x:c r="AF3181" s="145"/>
      <x:c r="AG3181" s="145"/>
      <x:c r="AH3181" s="145"/>
      <x:c r="AI3181" s="145"/>
      <x:c r="AJ3181"/>
    </x:row>
    <x:row r="3182">
      <x:c r="F3182" s="124"/>
      <x:c r="G3182" s="124"/>
      <x:c r="H3182" s="124"/>
      <x:c r="I3182" s="124"/>
      <x:c r="J3182" s="124"/>
      <x:c r="M3182" s="126"/>
      <x:c r="P3182" s="126"/>
      <x:c r="Q3182" s="126"/>
      <x:c r="R3182" s="126"/>
      <x:c r="S3182" s="124"/>
      <x:c r="T3182" s="124"/>
      <x:c r="U3182" s="124"/>
      <x:c r="V3182" s="124"/>
      <x:c r="W3182" s="124"/>
      <x:c r="X3182" s="124"/>
      <x:c r="AD3182"/>
      <x:c r="AE3182" s="145"/>
      <x:c r="AF3182" s="145"/>
      <x:c r="AG3182" s="145"/>
      <x:c r="AH3182" s="145"/>
      <x:c r="AI3182" s="145"/>
      <x:c r="AJ3182"/>
    </x:row>
    <x:row r="3183">
      <x:c r="F3183" s="124"/>
      <x:c r="G3183" s="124"/>
      <x:c r="H3183" s="124"/>
      <x:c r="I3183" s="124"/>
      <x:c r="J3183" s="124"/>
      <x:c r="M3183" s="126"/>
      <x:c r="P3183" s="126"/>
      <x:c r="Q3183" s="126"/>
      <x:c r="R3183" s="126"/>
      <x:c r="S3183" s="124"/>
      <x:c r="T3183" s="124"/>
      <x:c r="U3183" s="124"/>
      <x:c r="V3183" s="124"/>
      <x:c r="W3183" s="124"/>
      <x:c r="X3183" s="124"/>
      <x:c r="AD3183"/>
      <x:c r="AE3183" s="145"/>
      <x:c r="AF3183" s="145"/>
      <x:c r="AG3183" s="145"/>
      <x:c r="AH3183" s="145"/>
      <x:c r="AI3183" s="145"/>
      <x:c r="AJ3183"/>
    </x:row>
    <x:row r="3184">
      <x:c r="F3184" s="124"/>
      <x:c r="G3184" s="124"/>
      <x:c r="H3184" s="124"/>
      <x:c r="I3184" s="124"/>
      <x:c r="J3184" s="124"/>
      <x:c r="M3184" s="126"/>
      <x:c r="P3184" s="126"/>
      <x:c r="Q3184" s="126"/>
      <x:c r="R3184" s="126"/>
      <x:c r="S3184" s="124"/>
      <x:c r="T3184" s="124"/>
      <x:c r="U3184" s="124"/>
      <x:c r="V3184" s="124"/>
      <x:c r="W3184" s="124"/>
      <x:c r="X3184" s="124"/>
      <x:c r="AD3184"/>
      <x:c r="AE3184" s="145"/>
      <x:c r="AF3184" s="145"/>
      <x:c r="AG3184" s="145"/>
      <x:c r="AH3184" s="145"/>
      <x:c r="AI3184" s="145"/>
      <x:c r="AJ3184"/>
    </x:row>
    <x:row r="3185">
      <x:c r="F3185" s="124"/>
      <x:c r="G3185" s="124"/>
      <x:c r="H3185" s="124"/>
      <x:c r="I3185" s="124"/>
      <x:c r="J3185" s="124"/>
      <x:c r="M3185" s="126"/>
      <x:c r="P3185" s="126"/>
      <x:c r="Q3185" s="126"/>
      <x:c r="R3185" s="126"/>
      <x:c r="S3185" s="124"/>
      <x:c r="T3185" s="124"/>
      <x:c r="U3185" s="124"/>
      <x:c r="V3185" s="124"/>
      <x:c r="W3185" s="124"/>
      <x:c r="X3185" s="124"/>
      <x:c r="AD3185"/>
      <x:c r="AE3185" s="145"/>
      <x:c r="AF3185" s="145"/>
      <x:c r="AG3185" s="145"/>
      <x:c r="AH3185" s="145"/>
      <x:c r="AI3185" s="145"/>
      <x:c r="AJ3185"/>
    </x:row>
    <x:row r="3186">
      <x:c r="F3186" s="124"/>
      <x:c r="G3186" s="124"/>
      <x:c r="H3186" s="124"/>
      <x:c r="I3186" s="124"/>
      <x:c r="J3186" s="124"/>
      <x:c r="M3186" s="126"/>
      <x:c r="P3186" s="126"/>
      <x:c r="Q3186" s="126"/>
      <x:c r="R3186" s="126"/>
      <x:c r="S3186" s="124"/>
      <x:c r="T3186" s="124"/>
      <x:c r="U3186" s="124"/>
      <x:c r="V3186" s="124"/>
      <x:c r="W3186" s="124"/>
      <x:c r="X3186" s="124"/>
      <x:c r="AD3186"/>
      <x:c r="AE3186" s="145"/>
      <x:c r="AF3186" s="145"/>
      <x:c r="AG3186" s="145"/>
      <x:c r="AH3186" s="145"/>
      <x:c r="AI3186" s="145"/>
      <x:c r="AJ3186"/>
    </x:row>
    <x:row r="3187">
      <x:c r="F3187" s="124"/>
      <x:c r="G3187" s="124"/>
      <x:c r="H3187" s="124"/>
      <x:c r="I3187" s="124"/>
      <x:c r="J3187" s="124"/>
      <x:c r="M3187" s="126"/>
      <x:c r="P3187" s="126"/>
      <x:c r="Q3187" s="126"/>
      <x:c r="R3187" s="126"/>
      <x:c r="S3187" s="124"/>
      <x:c r="T3187" s="124"/>
      <x:c r="U3187" s="124"/>
      <x:c r="V3187" s="124"/>
      <x:c r="W3187" s="124"/>
      <x:c r="X3187" s="124"/>
      <x:c r="AD3187"/>
      <x:c r="AE3187" s="145"/>
      <x:c r="AF3187" s="145"/>
      <x:c r="AG3187" s="145"/>
      <x:c r="AH3187" s="145"/>
      <x:c r="AI3187" s="145"/>
      <x:c r="AJ3187"/>
    </x:row>
    <x:row r="3188">
      <x:c r="F3188" s="124"/>
      <x:c r="G3188" s="124"/>
      <x:c r="H3188" s="124"/>
      <x:c r="I3188" s="124"/>
      <x:c r="J3188" s="124"/>
      <x:c r="M3188" s="126"/>
      <x:c r="P3188" s="126"/>
      <x:c r="Q3188" s="126"/>
      <x:c r="R3188" s="126"/>
      <x:c r="S3188" s="124"/>
      <x:c r="T3188" s="124"/>
      <x:c r="U3188" s="124"/>
      <x:c r="V3188" s="124"/>
      <x:c r="W3188" s="124"/>
      <x:c r="X3188" s="124"/>
      <x:c r="AD3188"/>
      <x:c r="AE3188" s="145"/>
      <x:c r="AF3188" s="145"/>
      <x:c r="AG3188" s="145"/>
      <x:c r="AH3188" s="145"/>
      <x:c r="AI3188" s="145"/>
      <x:c r="AJ3188"/>
    </x:row>
    <x:row r="3189">
      <x:c r="F3189" s="124"/>
      <x:c r="G3189" s="124"/>
      <x:c r="H3189" s="124"/>
      <x:c r="I3189" s="124"/>
      <x:c r="J3189" s="124"/>
      <x:c r="M3189" s="126"/>
      <x:c r="P3189" s="126"/>
      <x:c r="Q3189" s="126"/>
      <x:c r="R3189" s="126"/>
      <x:c r="S3189" s="124"/>
      <x:c r="T3189" s="124"/>
      <x:c r="U3189" s="124"/>
      <x:c r="V3189" s="124"/>
      <x:c r="W3189" s="124"/>
      <x:c r="X3189" s="124"/>
      <x:c r="AD3189"/>
      <x:c r="AE3189" s="145"/>
      <x:c r="AF3189" s="145"/>
      <x:c r="AG3189" s="145"/>
      <x:c r="AH3189" s="145"/>
      <x:c r="AI3189" s="145"/>
      <x:c r="AJ3189"/>
    </x:row>
    <x:row r="3190">
      <x:c r="F3190" s="124"/>
      <x:c r="G3190" s="124"/>
      <x:c r="H3190" s="124"/>
      <x:c r="I3190" s="124"/>
      <x:c r="J3190" s="124"/>
      <x:c r="M3190" s="126"/>
      <x:c r="P3190" s="126"/>
      <x:c r="Q3190" s="126"/>
      <x:c r="R3190" s="126"/>
      <x:c r="S3190" s="124"/>
      <x:c r="T3190" s="124"/>
      <x:c r="U3190" s="124"/>
      <x:c r="V3190" s="124"/>
      <x:c r="W3190" s="124"/>
      <x:c r="X3190" s="124"/>
      <x:c r="AD3190"/>
      <x:c r="AE3190" s="145"/>
      <x:c r="AF3190" s="145"/>
      <x:c r="AG3190" s="145"/>
      <x:c r="AH3190" s="145"/>
      <x:c r="AI3190" s="145"/>
      <x:c r="AJ3190"/>
    </x:row>
    <x:row r="3191">
      <x:c r="F3191" s="124"/>
      <x:c r="G3191" s="124"/>
      <x:c r="H3191" s="124"/>
      <x:c r="I3191" s="124"/>
      <x:c r="J3191" s="124"/>
      <x:c r="M3191" s="126"/>
      <x:c r="P3191" s="126"/>
      <x:c r="Q3191" s="126"/>
      <x:c r="R3191" s="126"/>
      <x:c r="S3191" s="124"/>
      <x:c r="T3191" s="124"/>
      <x:c r="U3191" s="124"/>
      <x:c r="V3191" s="124"/>
      <x:c r="W3191" s="124"/>
      <x:c r="X3191" s="124"/>
      <x:c r="AD3191"/>
      <x:c r="AE3191" s="145"/>
      <x:c r="AF3191" s="145"/>
      <x:c r="AG3191" s="145"/>
      <x:c r="AH3191" s="145"/>
      <x:c r="AI3191" s="145"/>
      <x:c r="AJ3191"/>
    </x:row>
    <x:row r="3192">
      <x:c r="F3192" s="124"/>
      <x:c r="G3192" s="124"/>
      <x:c r="H3192" s="124"/>
      <x:c r="I3192" s="124"/>
      <x:c r="J3192" s="124"/>
      <x:c r="M3192" s="126"/>
      <x:c r="P3192" s="126"/>
      <x:c r="Q3192" s="126"/>
      <x:c r="R3192" s="126"/>
      <x:c r="S3192" s="124"/>
      <x:c r="T3192" s="124"/>
      <x:c r="U3192" s="124"/>
      <x:c r="V3192" s="124"/>
      <x:c r="W3192" s="124"/>
      <x:c r="X3192" s="124"/>
      <x:c r="AD3192"/>
      <x:c r="AE3192" s="145"/>
      <x:c r="AF3192" s="145"/>
      <x:c r="AG3192" s="145"/>
      <x:c r="AH3192" s="145"/>
      <x:c r="AI3192" s="145"/>
      <x:c r="AJ3192"/>
    </x:row>
    <x:row r="3193">
      <x:c r="F3193" s="124"/>
      <x:c r="G3193" s="124"/>
      <x:c r="H3193" s="124"/>
      <x:c r="I3193" s="124"/>
      <x:c r="J3193" s="124"/>
      <x:c r="M3193" s="126"/>
      <x:c r="P3193" s="126"/>
      <x:c r="Q3193" s="126"/>
      <x:c r="R3193" s="126"/>
      <x:c r="S3193" s="124"/>
      <x:c r="T3193" s="124"/>
      <x:c r="U3193" s="124"/>
      <x:c r="V3193" s="124"/>
      <x:c r="W3193" s="124"/>
      <x:c r="X3193" s="124"/>
      <x:c r="AD3193"/>
      <x:c r="AE3193" s="145"/>
      <x:c r="AF3193" s="145"/>
      <x:c r="AG3193" s="145"/>
      <x:c r="AH3193" s="145"/>
      <x:c r="AI3193" s="145"/>
      <x:c r="AJ3193"/>
    </x:row>
    <x:row r="3194">
      <x:c r="F3194" s="124"/>
      <x:c r="G3194" s="124"/>
      <x:c r="H3194" s="124"/>
      <x:c r="I3194" s="124"/>
      <x:c r="J3194" s="124"/>
      <x:c r="M3194" s="126"/>
      <x:c r="P3194" s="126"/>
      <x:c r="Q3194" s="126"/>
      <x:c r="R3194" s="126"/>
      <x:c r="S3194" s="124"/>
      <x:c r="T3194" s="124"/>
      <x:c r="U3194" s="124"/>
      <x:c r="V3194" s="124"/>
      <x:c r="W3194" s="124"/>
      <x:c r="X3194" s="124"/>
      <x:c r="AD3194"/>
      <x:c r="AE3194" s="145"/>
      <x:c r="AF3194" s="145"/>
      <x:c r="AG3194" s="145"/>
      <x:c r="AH3194" s="145"/>
      <x:c r="AI3194" s="145"/>
      <x:c r="AJ3194"/>
    </x:row>
    <x:row r="3195">
      <x:c r="F3195" s="124"/>
      <x:c r="G3195" s="124"/>
      <x:c r="H3195" s="124"/>
      <x:c r="I3195" s="124"/>
      <x:c r="J3195" s="124"/>
      <x:c r="M3195" s="126"/>
      <x:c r="P3195" s="126"/>
      <x:c r="Q3195" s="126"/>
      <x:c r="R3195" s="126"/>
      <x:c r="S3195" s="124"/>
      <x:c r="T3195" s="124"/>
      <x:c r="U3195" s="124"/>
      <x:c r="V3195" s="124"/>
      <x:c r="W3195" s="124"/>
      <x:c r="X3195" s="124"/>
      <x:c r="AD3195"/>
      <x:c r="AE3195" s="145"/>
      <x:c r="AF3195" s="145"/>
      <x:c r="AG3195" s="145"/>
      <x:c r="AH3195" s="145"/>
      <x:c r="AI3195" s="145"/>
      <x:c r="AJ3195"/>
    </x:row>
    <x:row r="3196">
      <x:c r="F3196" s="124"/>
      <x:c r="G3196" s="124"/>
      <x:c r="H3196" s="124"/>
      <x:c r="I3196" s="124"/>
      <x:c r="J3196" s="124"/>
      <x:c r="M3196" s="126"/>
      <x:c r="P3196" s="126"/>
      <x:c r="Q3196" s="126"/>
      <x:c r="R3196" s="126"/>
      <x:c r="S3196" s="124"/>
      <x:c r="T3196" s="124"/>
      <x:c r="U3196" s="124"/>
      <x:c r="V3196" s="124"/>
      <x:c r="W3196" s="124"/>
      <x:c r="X3196" s="124"/>
      <x:c r="AD3196"/>
      <x:c r="AE3196" s="145"/>
      <x:c r="AF3196" s="145"/>
      <x:c r="AG3196" s="145"/>
      <x:c r="AH3196" s="145"/>
      <x:c r="AI3196" s="145"/>
      <x:c r="AJ3196"/>
    </x:row>
    <x:row r="3197">
      <x:c r="F3197" s="124"/>
      <x:c r="G3197" s="124"/>
      <x:c r="H3197" s="124"/>
      <x:c r="I3197" s="124"/>
      <x:c r="J3197" s="124"/>
      <x:c r="M3197" s="126"/>
      <x:c r="P3197" s="126"/>
      <x:c r="Q3197" s="126"/>
      <x:c r="R3197" s="126"/>
      <x:c r="S3197" s="124"/>
      <x:c r="T3197" s="124"/>
      <x:c r="U3197" s="124"/>
      <x:c r="V3197" s="124"/>
      <x:c r="W3197" s="124"/>
      <x:c r="X3197" s="124"/>
      <x:c r="AD3197"/>
      <x:c r="AE3197" s="145"/>
      <x:c r="AF3197" s="145"/>
      <x:c r="AG3197" s="145"/>
      <x:c r="AH3197" s="145"/>
      <x:c r="AI3197" s="145"/>
      <x:c r="AJ3197"/>
    </x:row>
    <x:row r="3198">
      <x:c r="F3198" s="124"/>
      <x:c r="G3198" s="124"/>
      <x:c r="H3198" s="124"/>
      <x:c r="I3198" s="124"/>
      <x:c r="J3198" s="124"/>
      <x:c r="M3198" s="126"/>
      <x:c r="P3198" s="126"/>
      <x:c r="Q3198" s="126"/>
      <x:c r="R3198" s="126"/>
      <x:c r="S3198" s="124"/>
      <x:c r="T3198" s="124"/>
      <x:c r="U3198" s="124"/>
      <x:c r="V3198" s="124"/>
      <x:c r="W3198" s="124"/>
      <x:c r="X3198" s="124"/>
      <x:c r="AD3198"/>
      <x:c r="AE3198" s="145"/>
      <x:c r="AF3198" s="145"/>
      <x:c r="AG3198" s="145"/>
      <x:c r="AH3198" s="145"/>
      <x:c r="AI3198" s="145"/>
      <x:c r="AJ3198"/>
    </x:row>
    <x:row r="3199">
      <x:c r="F3199" s="124"/>
      <x:c r="G3199" s="124"/>
      <x:c r="H3199" s="124"/>
      <x:c r="I3199" s="124"/>
      <x:c r="J3199" s="124"/>
      <x:c r="M3199" s="126"/>
      <x:c r="P3199" s="126"/>
      <x:c r="Q3199" s="126"/>
      <x:c r="R3199" s="126"/>
      <x:c r="S3199" s="124"/>
      <x:c r="T3199" s="124"/>
      <x:c r="U3199" s="124"/>
      <x:c r="V3199" s="124"/>
      <x:c r="W3199" s="124"/>
      <x:c r="X3199" s="124"/>
      <x:c r="AD3199"/>
      <x:c r="AE3199" s="145"/>
      <x:c r="AF3199" s="145"/>
      <x:c r="AG3199" s="145"/>
      <x:c r="AH3199" s="145"/>
      <x:c r="AI3199" s="145"/>
      <x:c r="AJ3199"/>
    </x:row>
    <x:row r="3200">
      <x:c r="F3200" s="124"/>
      <x:c r="G3200" s="124"/>
      <x:c r="H3200" s="124"/>
      <x:c r="I3200" s="124"/>
      <x:c r="J3200" s="124"/>
      <x:c r="M3200" s="126"/>
      <x:c r="P3200" s="126"/>
      <x:c r="Q3200" s="126"/>
      <x:c r="R3200" s="126"/>
      <x:c r="S3200" s="124"/>
      <x:c r="T3200" s="124"/>
      <x:c r="U3200" s="124"/>
      <x:c r="V3200" s="124"/>
      <x:c r="W3200" s="124"/>
      <x:c r="X3200" s="124"/>
      <x:c r="AD3200"/>
      <x:c r="AE3200" s="145"/>
      <x:c r="AF3200" s="145"/>
      <x:c r="AG3200" s="145"/>
      <x:c r="AH3200" s="145"/>
      <x:c r="AI3200" s="145"/>
      <x:c r="AJ3200"/>
    </x:row>
    <x:row r="3201">
      <x:c r="F3201" s="124"/>
      <x:c r="G3201" s="124"/>
      <x:c r="H3201" s="124"/>
      <x:c r="I3201" s="124"/>
      <x:c r="J3201" s="124"/>
      <x:c r="M3201" s="126"/>
      <x:c r="P3201" s="126"/>
      <x:c r="Q3201" s="126"/>
      <x:c r="R3201" s="126"/>
      <x:c r="S3201" s="124"/>
      <x:c r="T3201" s="124"/>
      <x:c r="U3201" s="124"/>
      <x:c r="V3201" s="124"/>
      <x:c r="W3201" s="124"/>
      <x:c r="X3201" s="124"/>
      <x:c r="AD3201"/>
      <x:c r="AE3201" s="145"/>
      <x:c r="AF3201" s="145"/>
      <x:c r="AG3201" s="145"/>
      <x:c r="AH3201" s="145"/>
      <x:c r="AI3201" s="145"/>
      <x:c r="AJ3201"/>
    </x:row>
    <x:row r="3202">
      <x:c r="F3202" s="124"/>
      <x:c r="G3202" s="124"/>
      <x:c r="H3202" s="124"/>
      <x:c r="I3202" s="124"/>
      <x:c r="J3202" s="124"/>
      <x:c r="M3202" s="126"/>
      <x:c r="P3202" s="126"/>
      <x:c r="Q3202" s="126"/>
      <x:c r="R3202" s="126"/>
      <x:c r="S3202" s="124"/>
      <x:c r="T3202" s="124"/>
      <x:c r="U3202" s="124"/>
      <x:c r="V3202" s="124"/>
      <x:c r="W3202" s="124"/>
      <x:c r="X3202" s="124"/>
      <x:c r="AD3202"/>
      <x:c r="AE3202" s="145"/>
      <x:c r="AF3202" s="145"/>
      <x:c r="AG3202" s="145"/>
      <x:c r="AH3202" s="145"/>
      <x:c r="AI3202" s="145"/>
      <x:c r="AJ3202"/>
    </x:row>
    <x:row r="3203">
      <x:c r="F3203" s="124"/>
      <x:c r="G3203" s="124"/>
      <x:c r="H3203" s="124"/>
      <x:c r="I3203" s="124"/>
      <x:c r="J3203" s="124"/>
      <x:c r="M3203" s="126"/>
      <x:c r="P3203" s="126"/>
      <x:c r="Q3203" s="126"/>
      <x:c r="R3203" s="126"/>
      <x:c r="S3203" s="124"/>
      <x:c r="T3203" s="124"/>
      <x:c r="U3203" s="124"/>
      <x:c r="V3203" s="124"/>
      <x:c r="W3203" s="124"/>
      <x:c r="X3203" s="124"/>
      <x:c r="AD3203"/>
      <x:c r="AE3203" s="145"/>
      <x:c r="AF3203" s="145"/>
      <x:c r="AG3203" s="145"/>
      <x:c r="AH3203" s="145"/>
      <x:c r="AI3203" s="145"/>
      <x:c r="AJ3203"/>
    </x:row>
    <x:row r="3204">
      <x:c r="F3204" s="124"/>
      <x:c r="G3204" s="124"/>
      <x:c r="H3204" s="124"/>
      <x:c r="I3204" s="124"/>
      <x:c r="J3204" s="124"/>
      <x:c r="M3204" s="126"/>
      <x:c r="P3204" s="126"/>
      <x:c r="Q3204" s="126"/>
      <x:c r="R3204" s="126"/>
      <x:c r="S3204" s="124"/>
      <x:c r="T3204" s="124"/>
      <x:c r="U3204" s="124"/>
      <x:c r="V3204" s="124"/>
      <x:c r="W3204" s="124"/>
      <x:c r="X3204" s="124"/>
      <x:c r="AD3204"/>
      <x:c r="AE3204" s="145"/>
      <x:c r="AF3204" s="145"/>
      <x:c r="AG3204" s="145"/>
      <x:c r="AH3204" s="145"/>
      <x:c r="AI3204" s="145"/>
      <x:c r="AJ3204"/>
    </x:row>
    <x:row r="3205">
      <x:c r="F3205" s="124"/>
      <x:c r="G3205" s="124"/>
      <x:c r="H3205" s="124"/>
      <x:c r="I3205" s="124"/>
      <x:c r="J3205" s="124"/>
      <x:c r="M3205" s="126"/>
      <x:c r="P3205" s="126"/>
      <x:c r="Q3205" s="126"/>
      <x:c r="R3205" s="126"/>
      <x:c r="S3205" s="124"/>
      <x:c r="T3205" s="124"/>
      <x:c r="U3205" s="124"/>
      <x:c r="V3205" s="124"/>
      <x:c r="W3205" s="124"/>
      <x:c r="X3205" s="124"/>
      <x:c r="AD3205"/>
      <x:c r="AE3205" s="145"/>
      <x:c r="AF3205" s="145"/>
      <x:c r="AG3205" s="145"/>
      <x:c r="AH3205" s="145"/>
      <x:c r="AI3205" s="145"/>
      <x:c r="AJ3205"/>
    </x:row>
    <x:row r="3206">
      <x:c r="F3206" s="124"/>
      <x:c r="G3206" s="124"/>
      <x:c r="H3206" s="124"/>
      <x:c r="I3206" s="124"/>
      <x:c r="J3206" s="124"/>
      <x:c r="M3206" s="126"/>
      <x:c r="P3206" s="126"/>
      <x:c r="Q3206" s="126"/>
      <x:c r="R3206" s="126"/>
      <x:c r="S3206" s="124"/>
      <x:c r="T3206" s="124"/>
      <x:c r="U3206" s="124"/>
      <x:c r="V3206" s="124"/>
      <x:c r="W3206" s="124"/>
      <x:c r="X3206" s="124"/>
      <x:c r="AD3206"/>
      <x:c r="AE3206" s="145"/>
      <x:c r="AF3206" s="145"/>
      <x:c r="AG3206" s="145"/>
      <x:c r="AH3206" s="145"/>
      <x:c r="AI3206" s="145"/>
      <x:c r="AJ3206"/>
    </x:row>
    <x:row r="3207">
      <x:c r="F3207" s="124"/>
      <x:c r="G3207" s="124"/>
      <x:c r="H3207" s="124"/>
      <x:c r="I3207" s="124"/>
      <x:c r="J3207" s="124"/>
      <x:c r="M3207" s="126"/>
      <x:c r="P3207" s="126"/>
      <x:c r="Q3207" s="126"/>
      <x:c r="R3207" s="126"/>
      <x:c r="S3207" s="124"/>
      <x:c r="T3207" s="124"/>
      <x:c r="U3207" s="124"/>
      <x:c r="V3207" s="124"/>
      <x:c r="W3207" s="124"/>
      <x:c r="X3207" s="124"/>
      <x:c r="AD3207"/>
      <x:c r="AE3207" s="145"/>
      <x:c r="AF3207" s="145"/>
      <x:c r="AG3207" s="145"/>
      <x:c r="AH3207" s="145"/>
      <x:c r="AI3207" s="145"/>
      <x:c r="AJ3207"/>
    </x:row>
    <x:row r="3208">
      <x:c r="F3208" s="124"/>
      <x:c r="G3208" s="124"/>
      <x:c r="H3208" s="124"/>
      <x:c r="I3208" s="124"/>
      <x:c r="J3208" s="124"/>
      <x:c r="M3208" s="126"/>
      <x:c r="P3208" s="126"/>
      <x:c r="Q3208" s="126"/>
      <x:c r="R3208" s="126"/>
      <x:c r="S3208" s="124"/>
      <x:c r="T3208" s="124"/>
      <x:c r="U3208" s="124"/>
      <x:c r="V3208" s="124"/>
      <x:c r="W3208" s="124"/>
      <x:c r="X3208" s="124"/>
      <x:c r="AD3208"/>
      <x:c r="AE3208" s="145"/>
      <x:c r="AF3208" s="145"/>
      <x:c r="AG3208" s="145"/>
      <x:c r="AH3208" s="145"/>
      <x:c r="AI3208" s="145"/>
      <x:c r="AJ3208"/>
    </x:row>
    <x:row r="3209">
      <x:c r="F3209" s="124"/>
      <x:c r="G3209" s="124"/>
      <x:c r="H3209" s="124"/>
      <x:c r="I3209" s="124"/>
      <x:c r="J3209" s="124"/>
      <x:c r="M3209" s="126"/>
      <x:c r="P3209" s="126"/>
      <x:c r="Q3209" s="126"/>
      <x:c r="R3209" s="126"/>
      <x:c r="S3209" s="124"/>
      <x:c r="T3209" s="124"/>
      <x:c r="U3209" s="124"/>
      <x:c r="V3209" s="124"/>
      <x:c r="W3209" s="124"/>
      <x:c r="X3209" s="124"/>
      <x:c r="AD3209"/>
      <x:c r="AE3209" s="145"/>
      <x:c r="AF3209" s="145"/>
      <x:c r="AG3209" s="145"/>
      <x:c r="AH3209" s="145"/>
      <x:c r="AI3209" s="145"/>
      <x:c r="AJ3209"/>
    </x:row>
    <x:row r="3210">
      <x:c r="F3210" s="124"/>
      <x:c r="G3210" s="124"/>
      <x:c r="H3210" s="124"/>
      <x:c r="I3210" s="124"/>
      <x:c r="J3210" s="124"/>
      <x:c r="M3210" s="126"/>
      <x:c r="P3210" s="126"/>
      <x:c r="Q3210" s="126"/>
      <x:c r="R3210" s="126"/>
      <x:c r="S3210" s="124"/>
      <x:c r="T3210" s="124"/>
      <x:c r="U3210" s="124"/>
      <x:c r="V3210" s="124"/>
      <x:c r="W3210" s="124"/>
      <x:c r="X3210" s="124"/>
      <x:c r="AD3210"/>
      <x:c r="AE3210" s="145"/>
      <x:c r="AF3210" s="145"/>
      <x:c r="AG3210" s="145"/>
      <x:c r="AH3210" s="145"/>
      <x:c r="AI3210" s="145"/>
      <x:c r="AJ3210"/>
    </x:row>
    <x:row r="3211">
      <x:c r="F3211" s="124"/>
      <x:c r="G3211" s="124"/>
      <x:c r="H3211" s="124"/>
      <x:c r="I3211" s="124"/>
      <x:c r="J3211" s="124"/>
      <x:c r="M3211" s="126"/>
      <x:c r="P3211" s="126"/>
      <x:c r="Q3211" s="126"/>
      <x:c r="R3211" s="126"/>
      <x:c r="S3211" s="124"/>
      <x:c r="T3211" s="124"/>
      <x:c r="U3211" s="124"/>
      <x:c r="V3211" s="124"/>
      <x:c r="W3211" s="124"/>
      <x:c r="X3211" s="124"/>
      <x:c r="AD3211"/>
      <x:c r="AE3211" s="145"/>
      <x:c r="AF3211" s="145"/>
      <x:c r="AG3211" s="145"/>
      <x:c r="AH3211" s="145"/>
      <x:c r="AI3211" s="145"/>
      <x:c r="AJ3211"/>
    </x:row>
    <x:row r="3212">
      <x:c r="F3212" s="124"/>
      <x:c r="G3212" s="124"/>
      <x:c r="H3212" s="124"/>
      <x:c r="I3212" s="124"/>
      <x:c r="J3212" s="124"/>
      <x:c r="M3212" s="126"/>
      <x:c r="P3212" s="126"/>
      <x:c r="Q3212" s="126"/>
      <x:c r="R3212" s="126"/>
      <x:c r="S3212" s="124"/>
      <x:c r="T3212" s="124"/>
      <x:c r="U3212" s="124"/>
      <x:c r="V3212" s="124"/>
      <x:c r="W3212" s="124"/>
      <x:c r="X3212" s="124"/>
      <x:c r="AD3212"/>
      <x:c r="AE3212" s="145"/>
      <x:c r="AF3212" s="145"/>
      <x:c r="AG3212" s="145"/>
      <x:c r="AH3212" s="145"/>
      <x:c r="AI3212" s="145"/>
      <x:c r="AJ3212"/>
    </x:row>
    <x:row r="3213">
      <x:c r="F3213" s="124"/>
      <x:c r="G3213" s="124"/>
      <x:c r="H3213" s="124"/>
      <x:c r="I3213" s="124"/>
      <x:c r="J3213" s="124"/>
      <x:c r="M3213" s="126"/>
      <x:c r="P3213" s="126"/>
      <x:c r="Q3213" s="126"/>
      <x:c r="R3213" s="126"/>
      <x:c r="S3213" s="124"/>
      <x:c r="T3213" s="124"/>
      <x:c r="U3213" s="124"/>
      <x:c r="V3213" s="124"/>
      <x:c r="W3213" s="124"/>
      <x:c r="X3213" s="124"/>
      <x:c r="AD3213"/>
      <x:c r="AE3213" s="145"/>
      <x:c r="AF3213" s="145"/>
      <x:c r="AG3213" s="145"/>
      <x:c r="AH3213" s="145"/>
      <x:c r="AI3213" s="145"/>
      <x:c r="AJ3213"/>
    </x:row>
    <x:row r="3214">
      <x:c r="F3214" s="124"/>
      <x:c r="G3214" s="124"/>
      <x:c r="H3214" s="124"/>
      <x:c r="I3214" s="124"/>
      <x:c r="J3214" s="124"/>
      <x:c r="M3214" s="126"/>
      <x:c r="P3214" s="126"/>
      <x:c r="Q3214" s="126"/>
      <x:c r="R3214" s="126"/>
      <x:c r="S3214" s="124"/>
      <x:c r="T3214" s="124"/>
      <x:c r="U3214" s="124"/>
      <x:c r="V3214" s="124"/>
      <x:c r="W3214" s="124"/>
      <x:c r="X3214" s="124"/>
      <x:c r="AD3214"/>
      <x:c r="AE3214" s="145"/>
      <x:c r="AF3214" s="145"/>
      <x:c r="AG3214" s="145"/>
      <x:c r="AH3214" s="145"/>
      <x:c r="AI3214" s="145"/>
      <x:c r="AJ3214"/>
    </x:row>
    <x:row r="3215">
      <x:c r="F3215" s="124"/>
      <x:c r="G3215" s="124"/>
      <x:c r="H3215" s="124"/>
      <x:c r="I3215" s="124"/>
      <x:c r="J3215" s="124"/>
      <x:c r="M3215" s="126"/>
      <x:c r="P3215" s="126"/>
      <x:c r="Q3215" s="126"/>
      <x:c r="R3215" s="126"/>
      <x:c r="S3215" s="124"/>
      <x:c r="T3215" s="124"/>
      <x:c r="U3215" s="124"/>
      <x:c r="V3215" s="124"/>
      <x:c r="W3215" s="124"/>
      <x:c r="X3215" s="124"/>
      <x:c r="AD3215"/>
      <x:c r="AE3215" s="145"/>
      <x:c r="AF3215" s="145"/>
      <x:c r="AG3215" s="145"/>
      <x:c r="AH3215" s="145"/>
      <x:c r="AI3215" s="145"/>
      <x:c r="AJ3215"/>
    </x:row>
    <x:row r="3216">
      <x:c r="F3216" s="124"/>
      <x:c r="G3216" s="124"/>
      <x:c r="H3216" s="124"/>
      <x:c r="I3216" s="124"/>
      <x:c r="J3216" s="124"/>
      <x:c r="M3216" s="126"/>
      <x:c r="P3216" s="126"/>
      <x:c r="Q3216" s="126"/>
      <x:c r="R3216" s="126"/>
      <x:c r="S3216" s="124"/>
      <x:c r="T3216" s="124"/>
      <x:c r="U3216" s="124"/>
      <x:c r="V3216" s="124"/>
      <x:c r="W3216" s="124"/>
      <x:c r="X3216" s="124"/>
      <x:c r="AD3216"/>
      <x:c r="AE3216" s="145"/>
      <x:c r="AF3216" s="145"/>
      <x:c r="AG3216" s="145"/>
      <x:c r="AH3216" s="145"/>
      <x:c r="AI3216" s="145"/>
      <x:c r="AJ3216"/>
    </x:row>
    <x:row r="3217">
      <x:c r="F3217" s="124"/>
      <x:c r="G3217" s="124"/>
      <x:c r="H3217" s="124"/>
      <x:c r="I3217" s="124"/>
      <x:c r="J3217" s="124"/>
      <x:c r="M3217" s="126"/>
      <x:c r="P3217" s="126"/>
      <x:c r="Q3217" s="126"/>
      <x:c r="R3217" s="126"/>
      <x:c r="S3217" s="124"/>
      <x:c r="T3217" s="124"/>
      <x:c r="U3217" s="124"/>
      <x:c r="V3217" s="124"/>
      <x:c r="W3217" s="124"/>
      <x:c r="X3217" s="124"/>
      <x:c r="AD3217"/>
      <x:c r="AE3217" s="145"/>
      <x:c r="AF3217" s="145"/>
      <x:c r="AG3217" s="145"/>
      <x:c r="AH3217" s="145"/>
      <x:c r="AI3217" s="145"/>
      <x:c r="AJ3217"/>
    </x:row>
    <x:row r="3218">
      <x:c r="F3218" s="124"/>
      <x:c r="G3218" s="124"/>
      <x:c r="H3218" s="124"/>
      <x:c r="I3218" s="124"/>
      <x:c r="J3218" s="124"/>
      <x:c r="M3218" s="126"/>
      <x:c r="P3218" s="126"/>
      <x:c r="Q3218" s="126"/>
      <x:c r="R3218" s="126"/>
      <x:c r="S3218" s="124"/>
      <x:c r="T3218" s="124"/>
      <x:c r="U3218" s="124"/>
      <x:c r="V3218" s="124"/>
      <x:c r="W3218" s="124"/>
      <x:c r="X3218" s="124"/>
      <x:c r="AD3218"/>
      <x:c r="AE3218" s="145"/>
      <x:c r="AF3218" s="145"/>
      <x:c r="AG3218" s="145"/>
      <x:c r="AH3218" s="145"/>
      <x:c r="AI3218" s="145"/>
      <x:c r="AJ3218"/>
    </x:row>
    <x:row r="3219">
      <x:c r="F3219" s="124"/>
      <x:c r="G3219" s="124"/>
      <x:c r="H3219" s="124"/>
      <x:c r="I3219" s="124"/>
      <x:c r="J3219" s="124"/>
      <x:c r="M3219" s="126"/>
      <x:c r="P3219" s="126"/>
      <x:c r="Q3219" s="126"/>
      <x:c r="R3219" s="126"/>
      <x:c r="S3219" s="124"/>
      <x:c r="T3219" s="124"/>
      <x:c r="U3219" s="124"/>
      <x:c r="V3219" s="124"/>
      <x:c r="W3219" s="124"/>
      <x:c r="X3219" s="124"/>
      <x:c r="AD3219"/>
      <x:c r="AE3219" s="145"/>
      <x:c r="AF3219" s="145"/>
      <x:c r="AG3219" s="145"/>
      <x:c r="AH3219" s="145"/>
      <x:c r="AI3219" s="145"/>
      <x:c r="AJ3219"/>
    </x:row>
    <x:row r="3220">
      <x:c r="F3220" s="124"/>
      <x:c r="G3220" s="124"/>
      <x:c r="H3220" s="124"/>
      <x:c r="I3220" s="124"/>
      <x:c r="J3220" s="124"/>
      <x:c r="M3220" s="126"/>
      <x:c r="P3220" s="126"/>
      <x:c r="Q3220" s="126"/>
      <x:c r="R3220" s="126"/>
      <x:c r="S3220" s="124"/>
      <x:c r="T3220" s="124"/>
      <x:c r="U3220" s="124"/>
      <x:c r="V3220" s="124"/>
      <x:c r="W3220" s="124"/>
      <x:c r="X3220" s="124"/>
      <x:c r="AD3220"/>
      <x:c r="AE3220" s="145"/>
      <x:c r="AF3220" s="145"/>
      <x:c r="AG3220" s="145"/>
      <x:c r="AH3220" s="145"/>
      <x:c r="AI3220" s="145"/>
      <x:c r="AJ3220"/>
    </x:row>
    <x:row r="3221">
      <x:c r="F3221" s="124"/>
      <x:c r="G3221" s="124"/>
      <x:c r="H3221" s="124"/>
      <x:c r="I3221" s="124"/>
      <x:c r="J3221" s="124"/>
      <x:c r="M3221" s="126"/>
      <x:c r="P3221" s="126"/>
      <x:c r="Q3221" s="126"/>
      <x:c r="R3221" s="126"/>
      <x:c r="S3221" s="124"/>
      <x:c r="T3221" s="124"/>
      <x:c r="U3221" s="124"/>
      <x:c r="V3221" s="124"/>
      <x:c r="W3221" s="124"/>
      <x:c r="X3221" s="124"/>
      <x:c r="AD3221"/>
      <x:c r="AE3221" s="145"/>
      <x:c r="AF3221" s="145"/>
      <x:c r="AG3221" s="145"/>
      <x:c r="AH3221" s="145"/>
      <x:c r="AI3221" s="145"/>
      <x:c r="AJ3221"/>
    </x:row>
    <x:row r="3222">
      <x:c r="F3222" s="124"/>
      <x:c r="G3222" s="124"/>
      <x:c r="H3222" s="124"/>
      <x:c r="I3222" s="124"/>
      <x:c r="J3222" s="124"/>
      <x:c r="M3222" s="126"/>
      <x:c r="P3222" s="126"/>
      <x:c r="Q3222" s="126"/>
      <x:c r="R3222" s="126"/>
      <x:c r="S3222" s="124"/>
      <x:c r="T3222" s="124"/>
      <x:c r="U3222" s="124"/>
      <x:c r="V3222" s="124"/>
      <x:c r="W3222" s="124"/>
      <x:c r="X3222" s="124"/>
      <x:c r="AD3222"/>
      <x:c r="AE3222" s="145"/>
      <x:c r="AF3222" s="145"/>
      <x:c r="AG3222" s="145"/>
      <x:c r="AH3222" s="145"/>
      <x:c r="AI3222" s="145"/>
      <x:c r="AJ3222"/>
    </x:row>
    <x:row r="3223">
      <x:c r="F3223" s="124"/>
      <x:c r="G3223" s="124"/>
      <x:c r="H3223" s="124"/>
      <x:c r="I3223" s="124"/>
      <x:c r="J3223" s="124"/>
      <x:c r="M3223" s="126"/>
      <x:c r="P3223" s="126"/>
      <x:c r="Q3223" s="126"/>
      <x:c r="R3223" s="126"/>
      <x:c r="S3223" s="124"/>
      <x:c r="T3223" s="124"/>
      <x:c r="U3223" s="124"/>
      <x:c r="V3223" s="124"/>
      <x:c r="W3223" s="124"/>
      <x:c r="X3223" s="124"/>
      <x:c r="AD3223"/>
      <x:c r="AE3223" s="145"/>
      <x:c r="AF3223" s="145"/>
      <x:c r="AG3223" s="145"/>
      <x:c r="AH3223" s="145"/>
      <x:c r="AI3223" s="145"/>
      <x:c r="AJ3223"/>
    </x:row>
    <x:row r="3224">
      <x:c r="F3224" s="124"/>
      <x:c r="G3224" s="124"/>
      <x:c r="H3224" s="124"/>
      <x:c r="I3224" s="124"/>
      <x:c r="J3224" s="124"/>
      <x:c r="M3224" s="126"/>
      <x:c r="P3224" s="126"/>
      <x:c r="Q3224" s="126"/>
      <x:c r="R3224" s="126"/>
      <x:c r="S3224" s="124"/>
      <x:c r="T3224" s="124"/>
      <x:c r="U3224" s="124"/>
      <x:c r="V3224" s="124"/>
      <x:c r="W3224" s="124"/>
      <x:c r="X3224" s="124"/>
      <x:c r="AD3224"/>
      <x:c r="AE3224" s="145"/>
      <x:c r="AF3224" s="145"/>
      <x:c r="AG3224" s="145"/>
      <x:c r="AH3224" s="145"/>
      <x:c r="AI3224" s="145"/>
      <x:c r="AJ3224"/>
    </x:row>
    <x:row r="3225">
      <x:c r="F3225" s="124"/>
      <x:c r="G3225" s="124"/>
      <x:c r="H3225" s="124"/>
      <x:c r="I3225" s="124"/>
      <x:c r="J3225" s="124"/>
      <x:c r="M3225" s="126"/>
      <x:c r="P3225" s="126"/>
      <x:c r="Q3225" s="126"/>
      <x:c r="R3225" s="126"/>
      <x:c r="S3225" s="124"/>
      <x:c r="T3225" s="124"/>
      <x:c r="U3225" s="124"/>
      <x:c r="V3225" s="124"/>
      <x:c r="W3225" s="124"/>
      <x:c r="X3225" s="124"/>
      <x:c r="AD3225"/>
      <x:c r="AE3225" s="145"/>
      <x:c r="AF3225" s="145"/>
      <x:c r="AG3225" s="145"/>
      <x:c r="AH3225" s="145"/>
      <x:c r="AI3225" s="145"/>
      <x:c r="AJ3225"/>
    </x:row>
    <x:row r="3226">
      <x:c r="F3226" s="124"/>
      <x:c r="G3226" s="124"/>
      <x:c r="H3226" s="124"/>
      <x:c r="I3226" s="124"/>
      <x:c r="J3226" s="124"/>
      <x:c r="M3226" s="126"/>
      <x:c r="P3226" s="126"/>
      <x:c r="Q3226" s="126"/>
      <x:c r="R3226" s="126"/>
      <x:c r="S3226" s="124"/>
      <x:c r="T3226" s="124"/>
      <x:c r="U3226" s="124"/>
      <x:c r="V3226" s="124"/>
      <x:c r="W3226" s="124"/>
      <x:c r="X3226" s="124"/>
      <x:c r="AD3226"/>
      <x:c r="AE3226" s="145"/>
      <x:c r="AF3226" s="145"/>
      <x:c r="AG3226" s="145"/>
      <x:c r="AH3226" s="145"/>
      <x:c r="AI3226" s="145"/>
      <x:c r="AJ3226"/>
    </x:row>
    <x:row r="3227">
      <x:c r="F3227" s="124"/>
      <x:c r="G3227" s="124"/>
      <x:c r="H3227" s="124"/>
      <x:c r="I3227" s="124"/>
      <x:c r="J3227" s="124"/>
      <x:c r="M3227" s="126"/>
      <x:c r="P3227" s="126"/>
      <x:c r="Q3227" s="126"/>
      <x:c r="R3227" s="126"/>
      <x:c r="S3227" s="124"/>
      <x:c r="T3227" s="124"/>
      <x:c r="U3227" s="124"/>
      <x:c r="V3227" s="124"/>
      <x:c r="W3227" s="124"/>
      <x:c r="X3227" s="124"/>
      <x:c r="AD3227"/>
      <x:c r="AE3227" s="145"/>
      <x:c r="AF3227" s="145"/>
      <x:c r="AG3227" s="145"/>
      <x:c r="AH3227" s="145"/>
      <x:c r="AI3227" s="145"/>
      <x:c r="AJ3227"/>
    </x:row>
    <x:row r="3228">
      <x:c r="F3228" s="124"/>
      <x:c r="G3228" s="124"/>
      <x:c r="H3228" s="124"/>
      <x:c r="I3228" s="124"/>
      <x:c r="J3228" s="124"/>
      <x:c r="M3228" s="126"/>
      <x:c r="P3228" s="126"/>
      <x:c r="Q3228" s="126"/>
      <x:c r="R3228" s="126"/>
      <x:c r="S3228" s="124"/>
      <x:c r="T3228" s="124"/>
      <x:c r="U3228" s="124"/>
      <x:c r="V3228" s="124"/>
      <x:c r="W3228" s="124"/>
      <x:c r="X3228" s="124"/>
      <x:c r="AD3228"/>
      <x:c r="AE3228" s="145"/>
      <x:c r="AF3228" s="145"/>
      <x:c r="AG3228" s="145"/>
      <x:c r="AH3228" s="145"/>
      <x:c r="AI3228" s="145"/>
      <x:c r="AJ3228"/>
    </x:row>
    <x:row r="3229">
      <x:c r="F3229" s="124"/>
      <x:c r="G3229" s="124"/>
      <x:c r="H3229" s="124"/>
      <x:c r="I3229" s="124"/>
      <x:c r="J3229" s="124"/>
      <x:c r="M3229" s="126"/>
      <x:c r="P3229" s="126"/>
      <x:c r="Q3229" s="126"/>
      <x:c r="R3229" s="126"/>
      <x:c r="S3229" s="124"/>
      <x:c r="T3229" s="124"/>
      <x:c r="U3229" s="124"/>
      <x:c r="V3229" s="124"/>
      <x:c r="W3229" s="124"/>
      <x:c r="X3229" s="124"/>
      <x:c r="AD3229"/>
      <x:c r="AE3229" s="145"/>
      <x:c r="AF3229" s="145"/>
      <x:c r="AG3229" s="145"/>
      <x:c r="AH3229" s="145"/>
      <x:c r="AI3229" s="145"/>
      <x:c r="AJ3229"/>
    </x:row>
    <x:row r="3230">
      <x:c r="F3230" s="124"/>
      <x:c r="G3230" s="124"/>
      <x:c r="H3230" s="124"/>
      <x:c r="I3230" s="124"/>
      <x:c r="J3230" s="124"/>
      <x:c r="M3230" s="126"/>
      <x:c r="P3230" s="126"/>
      <x:c r="Q3230" s="126"/>
      <x:c r="R3230" s="126"/>
      <x:c r="S3230" s="124"/>
      <x:c r="T3230" s="124"/>
      <x:c r="U3230" s="124"/>
      <x:c r="V3230" s="124"/>
      <x:c r="W3230" s="124"/>
      <x:c r="X3230" s="124"/>
      <x:c r="AD3230"/>
      <x:c r="AE3230" s="145"/>
      <x:c r="AF3230" s="145"/>
      <x:c r="AG3230" s="145"/>
      <x:c r="AH3230" s="145"/>
      <x:c r="AI3230" s="145"/>
      <x:c r="AJ3230"/>
    </x:row>
    <x:row r="3231">
      <x:c r="F3231" s="124"/>
      <x:c r="G3231" s="124"/>
      <x:c r="H3231" s="124"/>
      <x:c r="I3231" s="124"/>
      <x:c r="J3231" s="124"/>
      <x:c r="M3231" s="126"/>
      <x:c r="P3231" s="126"/>
      <x:c r="Q3231" s="126"/>
      <x:c r="R3231" s="126"/>
      <x:c r="S3231" s="124"/>
      <x:c r="T3231" s="124"/>
      <x:c r="U3231" s="124"/>
      <x:c r="V3231" s="124"/>
      <x:c r="W3231" s="124"/>
      <x:c r="X3231" s="124"/>
      <x:c r="AD3231"/>
      <x:c r="AE3231" s="145"/>
      <x:c r="AF3231" s="145"/>
      <x:c r="AG3231" s="145"/>
      <x:c r="AH3231" s="145"/>
      <x:c r="AI3231" s="145"/>
      <x:c r="AJ3231"/>
    </x:row>
    <x:row r="3232">
      <x:c r="F3232" s="124"/>
      <x:c r="G3232" s="124"/>
      <x:c r="H3232" s="124"/>
      <x:c r="I3232" s="124"/>
      <x:c r="J3232" s="124"/>
      <x:c r="M3232" s="126"/>
      <x:c r="P3232" s="126"/>
      <x:c r="Q3232" s="126"/>
      <x:c r="R3232" s="126"/>
      <x:c r="S3232" s="124"/>
      <x:c r="T3232" s="124"/>
      <x:c r="U3232" s="124"/>
      <x:c r="V3232" s="124"/>
      <x:c r="W3232" s="124"/>
      <x:c r="X3232" s="124"/>
      <x:c r="AD3232"/>
      <x:c r="AE3232" s="145"/>
      <x:c r="AF3232" s="145"/>
      <x:c r="AG3232" s="145"/>
      <x:c r="AH3232" s="145"/>
      <x:c r="AI3232" s="145"/>
      <x:c r="AJ3232"/>
    </x:row>
    <x:row r="3233">
      <x:c r="F3233" s="124"/>
      <x:c r="G3233" s="124"/>
      <x:c r="H3233" s="124"/>
      <x:c r="I3233" s="124"/>
      <x:c r="J3233" s="124"/>
      <x:c r="M3233" s="126"/>
      <x:c r="P3233" s="126"/>
      <x:c r="Q3233" s="126"/>
      <x:c r="R3233" s="126"/>
      <x:c r="S3233" s="124"/>
      <x:c r="T3233" s="124"/>
      <x:c r="U3233" s="124"/>
      <x:c r="V3233" s="124"/>
      <x:c r="W3233" s="124"/>
      <x:c r="X3233" s="124"/>
      <x:c r="AD3233"/>
      <x:c r="AE3233" s="145"/>
      <x:c r="AF3233" s="145"/>
      <x:c r="AG3233" s="145"/>
      <x:c r="AH3233" s="145"/>
      <x:c r="AI3233" s="145"/>
      <x:c r="AJ3233"/>
    </x:row>
    <x:row r="3234">
      <x:c r="F3234" s="124"/>
      <x:c r="G3234" s="124"/>
      <x:c r="H3234" s="124"/>
      <x:c r="I3234" s="124"/>
      <x:c r="J3234" s="124"/>
      <x:c r="M3234" s="126"/>
      <x:c r="P3234" s="126"/>
      <x:c r="Q3234" s="126"/>
      <x:c r="R3234" s="126"/>
      <x:c r="S3234" s="124"/>
      <x:c r="T3234" s="124"/>
      <x:c r="U3234" s="124"/>
      <x:c r="V3234" s="124"/>
      <x:c r="W3234" s="124"/>
      <x:c r="X3234" s="124"/>
      <x:c r="AD3234"/>
      <x:c r="AE3234" s="145"/>
      <x:c r="AF3234" s="145"/>
      <x:c r="AG3234" s="145"/>
      <x:c r="AH3234" s="145"/>
      <x:c r="AI3234" s="145"/>
      <x:c r="AJ3234"/>
    </x:row>
    <x:row r="3235">
      <x:c r="F3235" s="124"/>
      <x:c r="G3235" s="124"/>
      <x:c r="H3235" s="124"/>
      <x:c r="I3235" s="124"/>
      <x:c r="J3235" s="124"/>
      <x:c r="M3235" s="126"/>
      <x:c r="P3235" s="126"/>
      <x:c r="Q3235" s="126"/>
      <x:c r="R3235" s="126"/>
      <x:c r="S3235" s="124"/>
      <x:c r="T3235" s="124"/>
      <x:c r="U3235" s="124"/>
      <x:c r="V3235" s="124"/>
      <x:c r="W3235" s="124"/>
      <x:c r="X3235" s="124"/>
      <x:c r="AD3235"/>
      <x:c r="AE3235" s="145"/>
      <x:c r="AF3235" s="145"/>
      <x:c r="AG3235" s="145"/>
      <x:c r="AH3235" s="145"/>
      <x:c r="AI3235" s="145"/>
      <x:c r="AJ3235"/>
    </x:row>
    <x:row r="3236">
      <x:c r="F3236" s="124"/>
      <x:c r="G3236" s="124"/>
      <x:c r="H3236" s="124"/>
      <x:c r="I3236" s="124"/>
      <x:c r="J3236" s="124"/>
      <x:c r="M3236" s="126"/>
      <x:c r="P3236" s="126"/>
      <x:c r="Q3236" s="126"/>
      <x:c r="R3236" s="126"/>
      <x:c r="S3236" s="124"/>
      <x:c r="T3236" s="124"/>
      <x:c r="U3236" s="124"/>
      <x:c r="V3236" s="124"/>
      <x:c r="W3236" s="124"/>
      <x:c r="X3236" s="124"/>
      <x:c r="AD3236"/>
      <x:c r="AE3236" s="145"/>
      <x:c r="AF3236" s="145"/>
      <x:c r="AG3236" s="145"/>
      <x:c r="AH3236" s="145"/>
      <x:c r="AI3236" s="145"/>
      <x:c r="AJ3236"/>
    </x:row>
    <x:row r="3237">
      <x:c r="F3237" s="124"/>
      <x:c r="G3237" s="124"/>
      <x:c r="H3237" s="124"/>
      <x:c r="I3237" s="124"/>
      <x:c r="J3237" s="124"/>
      <x:c r="M3237" s="126"/>
      <x:c r="P3237" s="126"/>
      <x:c r="Q3237" s="126"/>
      <x:c r="R3237" s="126"/>
      <x:c r="S3237" s="124"/>
      <x:c r="T3237" s="124"/>
      <x:c r="U3237" s="124"/>
      <x:c r="V3237" s="124"/>
      <x:c r="W3237" s="124"/>
      <x:c r="X3237" s="124"/>
      <x:c r="AD3237"/>
      <x:c r="AE3237" s="145"/>
      <x:c r="AF3237" s="145"/>
      <x:c r="AG3237" s="145"/>
      <x:c r="AH3237" s="145"/>
      <x:c r="AI3237" s="145"/>
      <x:c r="AJ3237"/>
    </x:row>
    <x:row r="3238">
      <x:c r="F3238" s="124"/>
      <x:c r="G3238" s="124"/>
      <x:c r="H3238" s="124"/>
      <x:c r="I3238" s="124"/>
      <x:c r="J3238" s="124"/>
      <x:c r="M3238" s="126"/>
      <x:c r="P3238" s="126"/>
      <x:c r="Q3238" s="126"/>
      <x:c r="R3238" s="126"/>
      <x:c r="S3238" s="124"/>
      <x:c r="T3238" s="124"/>
      <x:c r="U3238" s="124"/>
      <x:c r="V3238" s="124"/>
      <x:c r="W3238" s="124"/>
      <x:c r="X3238" s="124"/>
      <x:c r="AD3238"/>
      <x:c r="AE3238" s="145"/>
      <x:c r="AF3238" s="145"/>
      <x:c r="AG3238" s="145"/>
      <x:c r="AH3238" s="145"/>
      <x:c r="AI3238" s="145"/>
      <x:c r="AJ3238"/>
    </x:row>
    <x:row r="3239">
      <x:c r="F3239" s="124"/>
      <x:c r="G3239" s="124"/>
      <x:c r="H3239" s="124"/>
      <x:c r="I3239" s="124"/>
      <x:c r="J3239" s="124"/>
      <x:c r="M3239" s="126"/>
      <x:c r="P3239" s="126"/>
      <x:c r="Q3239" s="126"/>
      <x:c r="R3239" s="126"/>
      <x:c r="S3239" s="124"/>
      <x:c r="T3239" s="124"/>
      <x:c r="U3239" s="124"/>
      <x:c r="V3239" s="124"/>
      <x:c r="W3239" s="124"/>
      <x:c r="X3239" s="124"/>
      <x:c r="AD3239"/>
      <x:c r="AE3239" s="145"/>
      <x:c r="AF3239" s="145"/>
      <x:c r="AG3239" s="145"/>
      <x:c r="AH3239" s="145"/>
      <x:c r="AI3239" s="145"/>
      <x:c r="AJ3239"/>
    </x:row>
    <x:row r="3240">
      <x:c r="F3240" s="124"/>
      <x:c r="G3240" s="124"/>
      <x:c r="H3240" s="124"/>
      <x:c r="I3240" s="124"/>
      <x:c r="J3240" s="124"/>
      <x:c r="M3240" s="126"/>
      <x:c r="P3240" s="126"/>
      <x:c r="Q3240" s="126"/>
      <x:c r="R3240" s="126"/>
      <x:c r="S3240" s="124"/>
      <x:c r="T3240" s="124"/>
      <x:c r="U3240" s="124"/>
      <x:c r="V3240" s="124"/>
      <x:c r="W3240" s="124"/>
      <x:c r="X3240" s="124"/>
      <x:c r="AD3240"/>
      <x:c r="AE3240" s="145"/>
      <x:c r="AF3240" s="145"/>
      <x:c r="AG3240" s="145"/>
      <x:c r="AH3240" s="145"/>
      <x:c r="AI3240" s="145"/>
      <x:c r="AJ3240"/>
    </x:row>
    <x:row r="3241">
      <x:c r="F3241" s="124"/>
      <x:c r="G3241" s="124"/>
      <x:c r="H3241" s="124"/>
      <x:c r="I3241" s="124"/>
      <x:c r="J3241" s="124"/>
      <x:c r="M3241" s="126"/>
      <x:c r="P3241" s="126"/>
      <x:c r="Q3241" s="126"/>
      <x:c r="R3241" s="126"/>
      <x:c r="S3241" s="124"/>
      <x:c r="T3241" s="124"/>
      <x:c r="U3241" s="124"/>
      <x:c r="V3241" s="124"/>
      <x:c r="W3241" s="124"/>
      <x:c r="X3241" s="124"/>
      <x:c r="AD3241"/>
      <x:c r="AE3241" s="145"/>
      <x:c r="AF3241" s="145"/>
      <x:c r="AG3241" s="145"/>
      <x:c r="AH3241" s="145"/>
      <x:c r="AI3241" s="145"/>
      <x:c r="AJ3241"/>
    </x:row>
    <x:row r="3242">
      <x:c r="F3242" s="124"/>
      <x:c r="G3242" s="124"/>
      <x:c r="H3242" s="124"/>
      <x:c r="I3242" s="124"/>
      <x:c r="J3242" s="124"/>
      <x:c r="M3242" s="126"/>
      <x:c r="P3242" s="126"/>
      <x:c r="Q3242" s="126"/>
      <x:c r="R3242" s="126"/>
      <x:c r="S3242" s="124"/>
      <x:c r="T3242" s="124"/>
      <x:c r="U3242" s="124"/>
      <x:c r="V3242" s="124"/>
      <x:c r="W3242" s="124"/>
      <x:c r="X3242" s="124"/>
      <x:c r="AD3242"/>
      <x:c r="AE3242" s="145"/>
      <x:c r="AF3242" s="145"/>
      <x:c r="AG3242" s="145"/>
      <x:c r="AH3242" s="145"/>
      <x:c r="AI3242" s="145"/>
      <x:c r="AJ3242"/>
    </x:row>
    <x:row r="3243">
      <x:c r="F3243" s="124"/>
      <x:c r="G3243" s="124"/>
      <x:c r="H3243" s="124"/>
      <x:c r="I3243" s="124"/>
      <x:c r="J3243" s="124"/>
      <x:c r="M3243" s="126"/>
      <x:c r="P3243" s="126"/>
      <x:c r="Q3243" s="126"/>
      <x:c r="R3243" s="126"/>
      <x:c r="S3243" s="124"/>
      <x:c r="T3243" s="124"/>
      <x:c r="U3243" s="124"/>
      <x:c r="V3243" s="124"/>
      <x:c r="W3243" s="124"/>
      <x:c r="X3243" s="124"/>
      <x:c r="AD3243"/>
      <x:c r="AE3243" s="145"/>
      <x:c r="AF3243" s="145"/>
      <x:c r="AG3243" s="145"/>
      <x:c r="AH3243" s="145"/>
      <x:c r="AI3243" s="145"/>
      <x:c r="AJ3243"/>
    </x:row>
    <x:row r="3244">
      <x:c r="F3244" s="124"/>
      <x:c r="G3244" s="124"/>
      <x:c r="H3244" s="124"/>
      <x:c r="I3244" s="124"/>
      <x:c r="J3244" s="124"/>
      <x:c r="M3244" s="126"/>
      <x:c r="P3244" s="126"/>
      <x:c r="Q3244" s="126"/>
      <x:c r="R3244" s="126"/>
      <x:c r="S3244" s="124"/>
      <x:c r="T3244" s="124"/>
      <x:c r="U3244" s="124"/>
      <x:c r="V3244" s="124"/>
      <x:c r="W3244" s="124"/>
      <x:c r="X3244" s="124"/>
      <x:c r="AD3244"/>
      <x:c r="AE3244" s="145"/>
      <x:c r="AF3244" s="145"/>
      <x:c r="AG3244" s="145"/>
      <x:c r="AH3244" s="145"/>
      <x:c r="AI3244" s="145"/>
      <x:c r="AJ3244"/>
    </x:row>
    <x:row r="3245">
      <x:c r="F3245" s="124"/>
      <x:c r="G3245" s="124"/>
      <x:c r="H3245" s="124"/>
      <x:c r="I3245" s="124"/>
      <x:c r="J3245" s="124"/>
      <x:c r="M3245" s="126"/>
      <x:c r="P3245" s="126"/>
      <x:c r="Q3245" s="126"/>
      <x:c r="R3245" s="126"/>
      <x:c r="S3245" s="124"/>
      <x:c r="T3245" s="124"/>
      <x:c r="U3245" s="124"/>
      <x:c r="V3245" s="124"/>
      <x:c r="W3245" s="124"/>
      <x:c r="X3245" s="124"/>
      <x:c r="AD3245"/>
      <x:c r="AE3245" s="145"/>
      <x:c r="AF3245" s="145"/>
      <x:c r="AG3245" s="145"/>
      <x:c r="AH3245" s="145"/>
      <x:c r="AI3245" s="145"/>
      <x:c r="AJ3245"/>
    </x:row>
    <x:row r="3246">
      <x:c r="F3246" s="124"/>
      <x:c r="G3246" s="124"/>
      <x:c r="H3246" s="124"/>
      <x:c r="I3246" s="124"/>
      <x:c r="J3246" s="124"/>
      <x:c r="M3246" s="126"/>
      <x:c r="P3246" s="126"/>
      <x:c r="Q3246" s="126"/>
      <x:c r="R3246" s="126"/>
      <x:c r="S3246" s="124"/>
      <x:c r="T3246" s="124"/>
      <x:c r="U3246" s="124"/>
      <x:c r="V3246" s="124"/>
      <x:c r="W3246" s="124"/>
      <x:c r="X3246" s="124"/>
      <x:c r="AD3246"/>
      <x:c r="AE3246" s="145"/>
      <x:c r="AF3246" s="145"/>
      <x:c r="AG3246" s="145"/>
      <x:c r="AH3246" s="145"/>
      <x:c r="AI3246" s="145"/>
      <x:c r="AJ3246"/>
    </x:row>
    <x:row r="3247">
      <x:c r="F3247" s="124"/>
      <x:c r="G3247" s="124"/>
      <x:c r="H3247" s="124"/>
      <x:c r="I3247" s="124"/>
      <x:c r="J3247" s="124"/>
      <x:c r="M3247" s="126"/>
      <x:c r="P3247" s="126"/>
      <x:c r="Q3247" s="126"/>
      <x:c r="R3247" s="126"/>
      <x:c r="S3247" s="124"/>
      <x:c r="T3247" s="124"/>
      <x:c r="U3247" s="124"/>
      <x:c r="V3247" s="124"/>
      <x:c r="W3247" s="124"/>
      <x:c r="X3247" s="124"/>
      <x:c r="AD3247"/>
      <x:c r="AE3247" s="145"/>
      <x:c r="AF3247" s="145"/>
      <x:c r="AG3247" s="145"/>
      <x:c r="AH3247" s="145"/>
      <x:c r="AI3247" s="145"/>
      <x:c r="AJ3247"/>
    </x:row>
    <x:row r="3248">
      <x:c r="F3248" s="124"/>
      <x:c r="G3248" s="124"/>
      <x:c r="H3248" s="124"/>
      <x:c r="I3248" s="124"/>
      <x:c r="J3248" s="124"/>
      <x:c r="M3248" s="126"/>
      <x:c r="P3248" s="126"/>
      <x:c r="Q3248" s="126"/>
      <x:c r="R3248" s="126"/>
      <x:c r="S3248" s="124"/>
      <x:c r="T3248" s="124"/>
      <x:c r="U3248" s="124"/>
      <x:c r="V3248" s="124"/>
      <x:c r="W3248" s="124"/>
      <x:c r="X3248" s="124"/>
      <x:c r="AD3248"/>
      <x:c r="AE3248" s="145"/>
      <x:c r="AF3248" s="145"/>
      <x:c r="AG3248" s="145"/>
      <x:c r="AH3248" s="145"/>
      <x:c r="AI3248" s="145"/>
      <x:c r="AJ3248"/>
    </x:row>
    <x:row r="3249">
      <x:c r="F3249" s="124"/>
      <x:c r="G3249" s="124"/>
      <x:c r="H3249" s="124"/>
      <x:c r="I3249" s="124"/>
      <x:c r="J3249" s="124"/>
      <x:c r="M3249" s="126"/>
      <x:c r="P3249" s="126"/>
      <x:c r="Q3249" s="126"/>
      <x:c r="R3249" s="126"/>
      <x:c r="S3249" s="124"/>
      <x:c r="T3249" s="124"/>
      <x:c r="U3249" s="124"/>
      <x:c r="V3249" s="124"/>
      <x:c r="W3249" s="124"/>
      <x:c r="X3249" s="124"/>
      <x:c r="AD3249"/>
      <x:c r="AE3249" s="145"/>
      <x:c r="AF3249" s="145"/>
      <x:c r="AG3249" s="145"/>
      <x:c r="AH3249" s="145"/>
      <x:c r="AI3249" s="145"/>
      <x:c r="AJ3249"/>
    </x:row>
    <x:row r="3250">
      <x:c r="F3250" s="124"/>
      <x:c r="G3250" s="124"/>
      <x:c r="H3250" s="124"/>
      <x:c r="I3250" s="124"/>
      <x:c r="J3250" s="124"/>
      <x:c r="M3250" s="126"/>
      <x:c r="P3250" s="126"/>
      <x:c r="Q3250" s="126"/>
      <x:c r="R3250" s="126"/>
      <x:c r="S3250" s="124"/>
      <x:c r="T3250" s="124"/>
      <x:c r="U3250" s="124"/>
      <x:c r="V3250" s="124"/>
      <x:c r="W3250" s="124"/>
      <x:c r="X3250" s="124"/>
      <x:c r="AD3250"/>
      <x:c r="AE3250" s="145"/>
      <x:c r="AF3250" s="145"/>
      <x:c r="AG3250" s="145"/>
      <x:c r="AH3250" s="145"/>
      <x:c r="AI3250" s="145"/>
      <x:c r="AJ3250"/>
    </x:row>
    <x:row r="3251">
      <x:c r="F3251" s="124"/>
      <x:c r="G3251" s="124"/>
      <x:c r="H3251" s="124"/>
      <x:c r="I3251" s="124"/>
      <x:c r="J3251" s="124"/>
      <x:c r="M3251" s="126"/>
      <x:c r="P3251" s="126"/>
      <x:c r="Q3251" s="126"/>
      <x:c r="R3251" s="126"/>
      <x:c r="S3251" s="124"/>
      <x:c r="T3251" s="124"/>
      <x:c r="U3251" s="124"/>
      <x:c r="V3251" s="124"/>
      <x:c r="W3251" s="124"/>
      <x:c r="X3251" s="124"/>
      <x:c r="AD3251"/>
      <x:c r="AE3251" s="145"/>
      <x:c r="AF3251" s="145"/>
      <x:c r="AG3251" s="145"/>
      <x:c r="AH3251" s="145"/>
      <x:c r="AI3251" s="145"/>
      <x:c r="AJ3251"/>
    </x:row>
    <x:row r="3252">
      <x:c r="F3252" s="124"/>
      <x:c r="G3252" s="124"/>
      <x:c r="H3252" s="124"/>
      <x:c r="I3252" s="124"/>
      <x:c r="J3252" s="124"/>
      <x:c r="M3252" s="126"/>
      <x:c r="P3252" s="126"/>
      <x:c r="Q3252" s="126"/>
      <x:c r="R3252" s="126"/>
      <x:c r="S3252" s="124"/>
      <x:c r="T3252" s="124"/>
      <x:c r="U3252" s="124"/>
      <x:c r="V3252" s="124"/>
      <x:c r="W3252" s="124"/>
      <x:c r="X3252" s="124"/>
      <x:c r="AD3252"/>
      <x:c r="AE3252" s="145"/>
      <x:c r="AF3252" s="145"/>
      <x:c r="AG3252" s="145"/>
      <x:c r="AH3252" s="145"/>
      <x:c r="AI3252" s="145"/>
      <x:c r="AJ3252"/>
    </x:row>
    <x:row r="3253">
      <x:c r="F3253" s="124"/>
      <x:c r="G3253" s="124"/>
      <x:c r="H3253" s="124"/>
      <x:c r="I3253" s="124"/>
      <x:c r="J3253" s="124"/>
      <x:c r="M3253" s="126"/>
      <x:c r="P3253" s="126"/>
      <x:c r="Q3253" s="126"/>
      <x:c r="R3253" s="126"/>
      <x:c r="S3253" s="124"/>
      <x:c r="T3253" s="124"/>
      <x:c r="U3253" s="124"/>
      <x:c r="V3253" s="124"/>
      <x:c r="W3253" s="124"/>
      <x:c r="X3253" s="124"/>
      <x:c r="AD3253"/>
      <x:c r="AE3253" s="145"/>
      <x:c r="AF3253" s="145"/>
      <x:c r="AG3253" s="145"/>
      <x:c r="AH3253" s="145"/>
      <x:c r="AI3253" s="145"/>
      <x:c r="AJ3253"/>
    </x:row>
    <x:row r="3254">
      <x:c r="F3254" s="124"/>
      <x:c r="G3254" s="124"/>
      <x:c r="H3254" s="124"/>
      <x:c r="I3254" s="124"/>
      <x:c r="J3254" s="124"/>
      <x:c r="M3254" s="126"/>
      <x:c r="P3254" s="126"/>
      <x:c r="Q3254" s="126"/>
      <x:c r="R3254" s="126"/>
      <x:c r="S3254" s="124"/>
      <x:c r="T3254" s="124"/>
      <x:c r="U3254" s="124"/>
      <x:c r="V3254" s="124"/>
      <x:c r="W3254" s="124"/>
      <x:c r="X3254" s="124"/>
      <x:c r="AD3254"/>
      <x:c r="AE3254" s="145"/>
      <x:c r="AF3254" s="145"/>
      <x:c r="AG3254" s="145"/>
      <x:c r="AH3254" s="145"/>
      <x:c r="AI3254" s="145"/>
      <x:c r="AJ3254"/>
    </x:row>
    <x:row r="3255">
      <x:c r="F3255" s="124"/>
      <x:c r="G3255" s="124"/>
      <x:c r="H3255" s="124"/>
      <x:c r="I3255" s="124"/>
      <x:c r="J3255" s="124"/>
      <x:c r="M3255" s="126"/>
      <x:c r="P3255" s="126"/>
      <x:c r="Q3255" s="126"/>
      <x:c r="R3255" s="126"/>
      <x:c r="S3255" s="124"/>
      <x:c r="T3255" s="124"/>
      <x:c r="U3255" s="124"/>
      <x:c r="V3255" s="124"/>
      <x:c r="W3255" s="124"/>
      <x:c r="X3255" s="124"/>
      <x:c r="AD3255"/>
      <x:c r="AE3255" s="145"/>
      <x:c r="AF3255" s="145"/>
      <x:c r="AG3255" s="145"/>
      <x:c r="AH3255" s="145"/>
      <x:c r="AI3255" s="145"/>
      <x:c r="AJ3255"/>
    </x:row>
    <x:row r="3256">
      <x:c r="F3256" s="124"/>
      <x:c r="G3256" s="124"/>
      <x:c r="H3256" s="124"/>
      <x:c r="I3256" s="124"/>
      <x:c r="J3256" s="124"/>
      <x:c r="M3256" s="126"/>
      <x:c r="P3256" s="126"/>
      <x:c r="Q3256" s="126"/>
      <x:c r="R3256" s="126"/>
      <x:c r="S3256" s="124"/>
      <x:c r="T3256" s="124"/>
      <x:c r="U3256" s="124"/>
      <x:c r="V3256" s="124"/>
      <x:c r="W3256" s="124"/>
      <x:c r="X3256" s="124"/>
      <x:c r="AD3256"/>
      <x:c r="AE3256" s="145"/>
      <x:c r="AF3256" s="145"/>
      <x:c r="AG3256" s="145"/>
      <x:c r="AH3256" s="145"/>
      <x:c r="AI3256" s="145"/>
      <x:c r="AJ3256"/>
    </x:row>
    <x:row r="3257">
      <x:c r="F3257" s="124"/>
      <x:c r="G3257" s="124"/>
      <x:c r="H3257" s="124"/>
      <x:c r="I3257" s="124"/>
      <x:c r="J3257" s="124"/>
      <x:c r="M3257" s="126"/>
      <x:c r="P3257" s="126"/>
      <x:c r="Q3257" s="126"/>
      <x:c r="R3257" s="126"/>
      <x:c r="S3257" s="124"/>
      <x:c r="T3257" s="124"/>
      <x:c r="U3257" s="124"/>
      <x:c r="V3257" s="124"/>
      <x:c r="W3257" s="124"/>
      <x:c r="X3257" s="124"/>
      <x:c r="AD3257"/>
      <x:c r="AE3257" s="145"/>
      <x:c r="AF3257" s="145"/>
      <x:c r="AG3257" s="145"/>
      <x:c r="AH3257" s="145"/>
      <x:c r="AI3257" s="145"/>
      <x:c r="AJ3257"/>
    </x:row>
    <x:row r="3258">
      <x:c r="F3258" s="124"/>
      <x:c r="G3258" s="124"/>
      <x:c r="H3258" s="124"/>
      <x:c r="I3258" s="124"/>
      <x:c r="J3258" s="124"/>
      <x:c r="M3258" s="126"/>
      <x:c r="P3258" s="126"/>
      <x:c r="Q3258" s="126"/>
      <x:c r="R3258" s="126"/>
      <x:c r="S3258" s="124"/>
      <x:c r="T3258" s="124"/>
      <x:c r="U3258" s="124"/>
      <x:c r="V3258" s="124"/>
      <x:c r="W3258" s="124"/>
      <x:c r="X3258" s="124"/>
      <x:c r="AD3258"/>
      <x:c r="AE3258" s="145"/>
      <x:c r="AF3258" s="145"/>
      <x:c r="AG3258" s="145"/>
      <x:c r="AH3258" s="145"/>
      <x:c r="AI3258" s="145"/>
      <x:c r="AJ3258"/>
    </x:row>
    <x:row r="3259">
      <x:c r="F3259" s="124"/>
      <x:c r="G3259" s="124"/>
      <x:c r="H3259" s="124"/>
      <x:c r="I3259" s="124"/>
      <x:c r="J3259" s="124"/>
      <x:c r="M3259" s="126"/>
      <x:c r="P3259" s="126"/>
      <x:c r="Q3259" s="126"/>
      <x:c r="R3259" s="126"/>
      <x:c r="S3259" s="124"/>
      <x:c r="T3259" s="124"/>
      <x:c r="U3259" s="124"/>
      <x:c r="V3259" s="124"/>
      <x:c r="W3259" s="124"/>
      <x:c r="X3259" s="124"/>
      <x:c r="AD3259"/>
      <x:c r="AE3259" s="145"/>
      <x:c r="AF3259" s="145"/>
      <x:c r="AG3259" s="145"/>
      <x:c r="AH3259" s="145"/>
      <x:c r="AI3259" s="145"/>
      <x:c r="AJ3259"/>
    </x:row>
    <x:row r="3260">
      <x:c r="F3260" s="124"/>
      <x:c r="G3260" s="124"/>
      <x:c r="H3260" s="124"/>
      <x:c r="I3260" s="124"/>
      <x:c r="J3260" s="124"/>
      <x:c r="M3260" s="126"/>
      <x:c r="P3260" s="126"/>
      <x:c r="Q3260" s="126"/>
      <x:c r="R3260" s="126"/>
      <x:c r="S3260" s="124"/>
      <x:c r="T3260" s="124"/>
      <x:c r="U3260" s="124"/>
      <x:c r="V3260" s="124"/>
      <x:c r="W3260" s="124"/>
      <x:c r="X3260" s="124"/>
      <x:c r="AD3260"/>
      <x:c r="AE3260" s="145"/>
      <x:c r="AF3260" s="145"/>
      <x:c r="AG3260" s="145"/>
      <x:c r="AH3260" s="145"/>
      <x:c r="AI3260" s="145"/>
      <x:c r="AJ3260"/>
    </x:row>
    <x:row r="3261">
      <x:c r="F3261" s="124"/>
      <x:c r="G3261" s="124"/>
      <x:c r="H3261" s="124"/>
      <x:c r="I3261" s="124"/>
      <x:c r="J3261" s="124"/>
      <x:c r="M3261" s="126"/>
      <x:c r="P3261" s="126"/>
      <x:c r="Q3261" s="126"/>
      <x:c r="R3261" s="126"/>
      <x:c r="S3261" s="124"/>
      <x:c r="T3261" s="124"/>
      <x:c r="U3261" s="124"/>
      <x:c r="V3261" s="124"/>
      <x:c r="W3261" s="124"/>
      <x:c r="X3261" s="124"/>
      <x:c r="AD3261"/>
      <x:c r="AE3261" s="145"/>
      <x:c r="AF3261" s="145"/>
      <x:c r="AG3261" s="145"/>
      <x:c r="AH3261" s="145"/>
      <x:c r="AI3261" s="145"/>
      <x:c r="AJ3261"/>
    </x:row>
    <x:row r="3262">
      <x:c r="F3262" s="124"/>
      <x:c r="G3262" s="124"/>
      <x:c r="H3262" s="124"/>
      <x:c r="I3262" s="124"/>
      <x:c r="J3262" s="124"/>
      <x:c r="M3262" s="126"/>
      <x:c r="P3262" s="126"/>
      <x:c r="Q3262" s="126"/>
      <x:c r="R3262" s="126"/>
      <x:c r="S3262" s="124"/>
      <x:c r="T3262" s="124"/>
      <x:c r="U3262" s="124"/>
      <x:c r="V3262" s="124"/>
      <x:c r="W3262" s="124"/>
      <x:c r="X3262" s="124"/>
      <x:c r="AD3262"/>
      <x:c r="AE3262" s="145"/>
      <x:c r="AF3262" s="145"/>
      <x:c r="AG3262" s="145"/>
      <x:c r="AH3262" s="145"/>
      <x:c r="AI3262" s="145"/>
      <x:c r="AJ3262"/>
    </x:row>
    <x:row r="3263">
      <x:c r="F3263" s="124"/>
      <x:c r="G3263" s="124"/>
      <x:c r="H3263" s="124"/>
      <x:c r="I3263" s="124"/>
      <x:c r="J3263" s="124"/>
      <x:c r="M3263" s="126"/>
      <x:c r="P3263" s="126"/>
      <x:c r="Q3263" s="126"/>
      <x:c r="R3263" s="126"/>
      <x:c r="S3263" s="124"/>
      <x:c r="T3263" s="124"/>
      <x:c r="U3263" s="124"/>
      <x:c r="V3263" s="124"/>
      <x:c r="W3263" s="124"/>
      <x:c r="X3263" s="124"/>
      <x:c r="AD3263"/>
      <x:c r="AE3263" s="145"/>
      <x:c r="AF3263" s="145"/>
      <x:c r="AG3263" s="145"/>
      <x:c r="AH3263" s="145"/>
      <x:c r="AI3263" s="145"/>
      <x:c r="AJ3263"/>
    </x:row>
    <x:row r="3264">
      <x:c r="F3264" s="124"/>
      <x:c r="G3264" s="124"/>
      <x:c r="H3264" s="124"/>
      <x:c r="I3264" s="124"/>
      <x:c r="J3264" s="124"/>
      <x:c r="M3264" s="126"/>
      <x:c r="P3264" s="126"/>
      <x:c r="Q3264" s="126"/>
      <x:c r="R3264" s="126"/>
      <x:c r="S3264" s="124"/>
      <x:c r="T3264" s="124"/>
      <x:c r="U3264" s="124"/>
      <x:c r="V3264" s="124"/>
      <x:c r="W3264" s="124"/>
      <x:c r="X3264" s="124"/>
      <x:c r="AD3264"/>
      <x:c r="AE3264" s="145"/>
      <x:c r="AF3264" s="145"/>
      <x:c r="AG3264" s="145"/>
      <x:c r="AH3264" s="145"/>
      <x:c r="AI3264" s="145"/>
      <x:c r="AJ3264"/>
    </x:row>
    <x:row r="3265">
      <x:c r="F3265" s="124"/>
      <x:c r="G3265" s="124"/>
      <x:c r="H3265" s="124"/>
      <x:c r="I3265" s="124"/>
      <x:c r="J3265" s="124"/>
      <x:c r="M3265" s="126"/>
      <x:c r="P3265" s="126"/>
      <x:c r="Q3265" s="126"/>
      <x:c r="R3265" s="126"/>
      <x:c r="S3265" s="124"/>
      <x:c r="T3265" s="124"/>
      <x:c r="U3265" s="124"/>
      <x:c r="V3265" s="124"/>
      <x:c r="W3265" s="124"/>
      <x:c r="X3265" s="124"/>
      <x:c r="AD3265"/>
      <x:c r="AE3265" s="145"/>
      <x:c r="AF3265" s="145"/>
      <x:c r="AG3265" s="145"/>
      <x:c r="AH3265" s="145"/>
      <x:c r="AI3265" s="145"/>
      <x:c r="AJ3265"/>
    </x:row>
    <x:row r="3266">
      <x:c r="F3266" s="124"/>
      <x:c r="G3266" s="124"/>
      <x:c r="H3266" s="124"/>
      <x:c r="I3266" s="124"/>
      <x:c r="J3266" s="124"/>
      <x:c r="M3266" s="126"/>
      <x:c r="P3266" s="126"/>
      <x:c r="Q3266" s="126"/>
      <x:c r="R3266" s="126"/>
      <x:c r="S3266" s="124"/>
      <x:c r="T3266" s="124"/>
      <x:c r="U3266" s="124"/>
      <x:c r="V3266" s="124"/>
      <x:c r="W3266" s="124"/>
      <x:c r="X3266" s="124"/>
      <x:c r="AD3266"/>
      <x:c r="AE3266" s="145"/>
      <x:c r="AF3266" s="145"/>
      <x:c r="AG3266" s="145"/>
      <x:c r="AH3266" s="145"/>
      <x:c r="AI3266" s="145"/>
      <x:c r="AJ3266"/>
    </x:row>
    <x:row r="3267">
      <x:c r="F3267" s="124"/>
      <x:c r="G3267" s="124"/>
      <x:c r="H3267" s="124"/>
      <x:c r="I3267" s="124"/>
      <x:c r="J3267" s="124"/>
      <x:c r="M3267" s="126"/>
      <x:c r="P3267" s="126"/>
      <x:c r="Q3267" s="126"/>
      <x:c r="R3267" s="126"/>
      <x:c r="S3267" s="124"/>
      <x:c r="T3267" s="124"/>
      <x:c r="U3267" s="124"/>
      <x:c r="V3267" s="124"/>
      <x:c r="W3267" s="124"/>
      <x:c r="X3267" s="124"/>
      <x:c r="AD3267"/>
      <x:c r="AE3267" s="145"/>
      <x:c r="AF3267" s="145"/>
      <x:c r="AG3267" s="145"/>
      <x:c r="AH3267" s="145"/>
      <x:c r="AI3267" s="145"/>
      <x:c r="AJ3267"/>
    </x:row>
    <x:row r="3268">
      <x:c r="F3268" s="124"/>
      <x:c r="G3268" s="124"/>
      <x:c r="H3268" s="124"/>
      <x:c r="I3268" s="124"/>
      <x:c r="J3268" s="124"/>
      <x:c r="M3268" s="126"/>
      <x:c r="P3268" s="126"/>
      <x:c r="Q3268" s="126"/>
      <x:c r="R3268" s="126"/>
      <x:c r="S3268" s="124"/>
      <x:c r="T3268" s="124"/>
      <x:c r="U3268" s="124"/>
      <x:c r="V3268" s="124"/>
      <x:c r="W3268" s="124"/>
      <x:c r="X3268" s="124"/>
      <x:c r="AD3268"/>
      <x:c r="AE3268" s="145"/>
      <x:c r="AF3268" s="145"/>
      <x:c r="AG3268" s="145"/>
      <x:c r="AH3268" s="145"/>
      <x:c r="AI3268" s="145"/>
      <x:c r="AJ3268"/>
    </x:row>
    <x:row r="3269">
      <x:c r="F3269" s="124"/>
      <x:c r="G3269" s="124"/>
      <x:c r="H3269" s="124"/>
      <x:c r="I3269" s="124"/>
      <x:c r="J3269" s="124"/>
      <x:c r="M3269" s="126"/>
      <x:c r="P3269" s="126"/>
      <x:c r="Q3269" s="126"/>
      <x:c r="R3269" s="126"/>
      <x:c r="S3269" s="124"/>
      <x:c r="T3269" s="124"/>
      <x:c r="U3269" s="124"/>
      <x:c r="V3269" s="124"/>
      <x:c r="W3269" s="124"/>
      <x:c r="X3269" s="124"/>
      <x:c r="AD3269"/>
      <x:c r="AE3269" s="145"/>
      <x:c r="AF3269" s="145"/>
      <x:c r="AG3269" s="145"/>
      <x:c r="AH3269" s="145"/>
      <x:c r="AI3269" s="145"/>
      <x:c r="AJ3269"/>
    </x:row>
    <x:row r="3270">
      <x:c r="F3270" s="124"/>
      <x:c r="G3270" s="124"/>
      <x:c r="H3270" s="124"/>
      <x:c r="I3270" s="124"/>
      <x:c r="J3270" s="124"/>
      <x:c r="M3270" s="126"/>
      <x:c r="P3270" s="126"/>
      <x:c r="Q3270" s="126"/>
      <x:c r="R3270" s="126"/>
      <x:c r="S3270" s="124"/>
      <x:c r="T3270" s="124"/>
      <x:c r="U3270" s="124"/>
      <x:c r="V3270" s="124"/>
      <x:c r="W3270" s="124"/>
      <x:c r="X3270" s="124"/>
      <x:c r="AD3270"/>
      <x:c r="AE3270" s="145"/>
      <x:c r="AF3270" s="145"/>
      <x:c r="AG3270" s="145"/>
      <x:c r="AH3270" s="145"/>
      <x:c r="AI3270" s="145"/>
      <x:c r="AJ3270"/>
    </x:row>
    <x:row r="3271">
      <x:c r="F3271" s="124"/>
      <x:c r="G3271" s="124"/>
      <x:c r="H3271" s="124"/>
      <x:c r="I3271" s="124"/>
      <x:c r="J3271" s="124"/>
      <x:c r="M3271" s="126"/>
      <x:c r="P3271" s="126"/>
      <x:c r="Q3271" s="126"/>
      <x:c r="R3271" s="126"/>
      <x:c r="S3271" s="124"/>
      <x:c r="T3271" s="124"/>
      <x:c r="U3271" s="124"/>
      <x:c r="V3271" s="124"/>
      <x:c r="W3271" s="124"/>
      <x:c r="X3271" s="124"/>
      <x:c r="AD3271"/>
      <x:c r="AE3271" s="145"/>
      <x:c r="AF3271" s="145"/>
      <x:c r="AG3271" s="145"/>
      <x:c r="AH3271" s="145"/>
      <x:c r="AI3271" s="145"/>
      <x:c r="AJ3271"/>
    </x:row>
    <x:row r="3272">
      <x:c r="F3272" s="124"/>
      <x:c r="G3272" s="124"/>
      <x:c r="H3272" s="124"/>
      <x:c r="I3272" s="124"/>
      <x:c r="J3272" s="124"/>
      <x:c r="M3272" s="126"/>
      <x:c r="P3272" s="126"/>
      <x:c r="Q3272" s="126"/>
      <x:c r="R3272" s="126"/>
      <x:c r="S3272" s="124"/>
      <x:c r="T3272" s="124"/>
      <x:c r="U3272" s="124"/>
      <x:c r="V3272" s="124"/>
      <x:c r="W3272" s="124"/>
      <x:c r="X3272" s="124"/>
      <x:c r="AD3272"/>
      <x:c r="AE3272" s="145"/>
      <x:c r="AF3272" s="145"/>
      <x:c r="AG3272" s="145"/>
      <x:c r="AH3272" s="145"/>
      <x:c r="AI3272" s="145"/>
      <x:c r="AJ3272"/>
    </x:row>
    <x:row r="3273">
      <x:c r="F3273" s="124"/>
      <x:c r="G3273" s="124"/>
      <x:c r="H3273" s="124"/>
      <x:c r="I3273" s="124"/>
      <x:c r="J3273" s="124"/>
      <x:c r="M3273" s="126"/>
      <x:c r="P3273" s="126"/>
      <x:c r="Q3273" s="126"/>
      <x:c r="R3273" s="126"/>
      <x:c r="S3273" s="124"/>
      <x:c r="T3273" s="124"/>
      <x:c r="U3273" s="124"/>
      <x:c r="V3273" s="124"/>
      <x:c r="W3273" s="124"/>
      <x:c r="X3273" s="124"/>
      <x:c r="AD3273"/>
      <x:c r="AE3273" s="145"/>
      <x:c r="AF3273" s="145"/>
      <x:c r="AG3273" s="145"/>
      <x:c r="AH3273" s="145"/>
      <x:c r="AI3273" s="145"/>
      <x:c r="AJ3273"/>
    </x:row>
    <x:row r="3274">
      <x:c r="F3274" s="124"/>
      <x:c r="G3274" s="124"/>
      <x:c r="H3274" s="124"/>
      <x:c r="I3274" s="124"/>
      <x:c r="J3274" s="124"/>
      <x:c r="M3274" s="126"/>
      <x:c r="P3274" s="126"/>
      <x:c r="Q3274" s="126"/>
      <x:c r="R3274" s="126"/>
      <x:c r="S3274" s="124"/>
      <x:c r="T3274" s="124"/>
      <x:c r="U3274" s="124"/>
      <x:c r="V3274" s="124"/>
      <x:c r="W3274" s="124"/>
      <x:c r="X3274" s="124"/>
      <x:c r="AD3274"/>
      <x:c r="AE3274" s="145"/>
      <x:c r="AF3274" s="145"/>
      <x:c r="AG3274" s="145"/>
      <x:c r="AH3274" s="145"/>
      <x:c r="AI3274" s="145"/>
      <x:c r="AJ3274"/>
    </x:row>
    <x:row r="3275">
      <x:c r="F3275" s="124"/>
      <x:c r="G3275" s="124"/>
      <x:c r="H3275" s="124"/>
      <x:c r="I3275" s="124"/>
      <x:c r="J3275" s="124"/>
      <x:c r="M3275" s="126"/>
      <x:c r="P3275" s="126"/>
      <x:c r="Q3275" s="126"/>
      <x:c r="R3275" s="126"/>
      <x:c r="S3275" s="124"/>
      <x:c r="T3275" s="124"/>
      <x:c r="U3275" s="124"/>
      <x:c r="V3275" s="124"/>
      <x:c r="W3275" s="124"/>
      <x:c r="X3275" s="124"/>
      <x:c r="AD3275"/>
      <x:c r="AE3275" s="145"/>
      <x:c r="AF3275" s="145"/>
      <x:c r="AG3275" s="145"/>
      <x:c r="AH3275" s="145"/>
      <x:c r="AI3275" s="145"/>
      <x:c r="AJ3275"/>
    </x:row>
    <x:row r="3276">
      <x:c r="F3276" s="124"/>
      <x:c r="G3276" s="124"/>
      <x:c r="H3276" s="124"/>
      <x:c r="I3276" s="124"/>
      <x:c r="J3276" s="124"/>
      <x:c r="M3276" s="126"/>
      <x:c r="P3276" s="126"/>
      <x:c r="Q3276" s="126"/>
      <x:c r="R3276" s="126"/>
      <x:c r="S3276" s="124"/>
      <x:c r="T3276" s="124"/>
      <x:c r="U3276" s="124"/>
      <x:c r="V3276" s="124"/>
      <x:c r="W3276" s="124"/>
      <x:c r="X3276" s="124"/>
      <x:c r="AD3276"/>
      <x:c r="AE3276" s="145"/>
      <x:c r="AF3276" s="145"/>
      <x:c r="AG3276" s="145"/>
      <x:c r="AH3276" s="145"/>
      <x:c r="AI3276" s="145"/>
      <x:c r="AJ3276"/>
    </x:row>
    <x:row r="3277">
      <x:c r="F3277" s="124"/>
      <x:c r="G3277" s="124"/>
      <x:c r="H3277" s="124"/>
      <x:c r="I3277" s="124"/>
      <x:c r="J3277" s="124"/>
      <x:c r="M3277" s="126"/>
      <x:c r="P3277" s="126"/>
      <x:c r="Q3277" s="126"/>
      <x:c r="R3277" s="126"/>
      <x:c r="S3277" s="124"/>
      <x:c r="T3277" s="124"/>
      <x:c r="U3277" s="124"/>
      <x:c r="V3277" s="124"/>
      <x:c r="W3277" s="124"/>
      <x:c r="X3277" s="124"/>
      <x:c r="AD3277"/>
      <x:c r="AE3277" s="145"/>
      <x:c r="AF3277" s="145"/>
      <x:c r="AG3277" s="145"/>
      <x:c r="AH3277" s="145"/>
      <x:c r="AI3277" s="145"/>
      <x:c r="AJ3277"/>
    </x:row>
    <x:row r="3278">
      <x:c r="F3278" s="124"/>
      <x:c r="G3278" s="124"/>
      <x:c r="H3278" s="124"/>
      <x:c r="I3278" s="124"/>
      <x:c r="J3278" s="124"/>
      <x:c r="M3278" s="126"/>
      <x:c r="P3278" s="126"/>
      <x:c r="Q3278" s="126"/>
      <x:c r="R3278" s="126"/>
      <x:c r="S3278" s="124"/>
      <x:c r="T3278" s="124"/>
      <x:c r="U3278" s="124"/>
      <x:c r="V3278" s="124"/>
      <x:c r="W3278" s="124"/>
      <x:c r="X3278" s="124"/>
      <x:c r="AD3278"/>
      <x:c r="AE3278" s="145"/>
      <x:c r="AF3278" s="145"/>
      <x:c r="AG3278" s="145"/>
      <x:c r="AH3278" s="145"/>
      <x:c r="AI3278" s="145"/>
      <x:c r="AJ3278"/>
    </x:row>
    <x:row r="3279">
      <x:c r="F3279" s="124"/>
      <x:c r="G3279" s="124"/>
      <x:c r="H3279" s="124"/>
      <x:c r="I3279" s="124"/>
      <x:c r="J3279" s="124"/>
      <x:c r="M3279" s="126"/>
      <x:c r="P3279" s="126"/>
      <x:c r="Q3279" s="126"/>
      <x:c r="R3279" s="126"/>
      <x:c r="S3279" s="124"/>
      <x:c r="T3279" s="124"/>
      <x:c r="U3279" s="124"/>
      <x:c r="V3279" s="124"/>
      <x:c r="W3279" s="124"/>
      <x:c r="X3279" s="124"/>
      <x:c r="AD3279"/>
      <x:c r="AE3279" s="145"/>
      <x:c r="AF3279" s="145"/>
      <x:c r="AG3279" s="145"/>
      <x:c r="AH3279" s="145"/>
      <x:c r="AI3279" s="145"/>
      <x:c r="AJ3279"/>
    </x:row>
    <x:row r="3280">
      <x:c r="F3280" s="124"/>
      <x:c r="G3280" s="124"/>
      <x:c r="H3280" s="124"/>
      <x:c r="I3280" s="124"/>
      <x:c r="J3280" s="124"/>
      <x:c r="M3280" s="126"/>
      <x:c r="P3280" s="126"/>
      <x:c r="Q3280" s="126"/>
      <x:c r="R3280" s="126"/>
      <x:c r="S3280" s="124"/>
      <x:c r="T3280" s="124"/>
      <x:c r="U3280" s="124"/>
      <x:c r="V3280" s="124"/>
      <x:c r="W3280" s="124"/>
      <x:c r="X3280" s="124"/>
      <x:c r="AD3280"/>
      <x:c r="AE3280" s="145"/>
      <x:c r="AF3280" s="145"/>
      <x:c r="AG3280" s="145"/>
      <x:c r="AH3280" s="145"/>
      <x:c r="AI3280" s="145"/>
      <x:c r="AJ3280"/>
    </x:row>
    <x:row r="3281">
      <x:c r="F3281" s="124"/>
      <x:c r="G3281" s="124"/>
      <x:c r="H3281" s="124"/>
      <x:c r="I3281" s="124"/>
      <x:c r="J3281" s="124"/>
      <x:c r="M3281" s="126"/>
      <x:c r="P3281" s="126"/>
      <x:c r="Q3281" s="126"/>
      <x:c r="R3281" s="126"/>
      <x:c r="S3281" s="124"/>
      <x:c r="T3281" s="124"/>
      <x:c r="U3281" s="124"/>
      <x:c r="V3281" s="124"/>
      <x:c r="W3281" s="124"/>
      <x:c r="X3281" s="124"/>
      <x:c r="AD3281"/>
      <x:c r="AE3281" s="145"/>
      <x:c r="AF3281" s="145"/>
      <x:c r="AG3281" s="145"/>
      <x:c r="AH3281" s="145"/>
      <x:c r="AI3281" s="145"/>
      <x:c r="AJ3281"/>
    </x:row>
    <x:row r="3282">
      <x:c r="F3282" s="124"/>
      <x:c r="G3282" s="124"/>
      <x:c r="H3282" s="124"/>
      <x:c r="I3282" s="124"/>
      <x:c r="J3282" s="124"/>
      <x:c r="M3282" s="126"/>
      <x:c r="P3282" s="126"/>
      <x:c r="Q3282" s="126"/>
      <x:c r="R3282" s="126"/>
      <x:c r="S3282" s="124"/>
      <x:c r="T3282" s="124"/>
      <x:c r="U3282" s="124"/>
      <x:c r="V3282" s="124"/>
      <x:c r="W3282" s="124"/>
      <x:c r="X3282" s="124"/>
      <x:c r="AD3282"/>
      <x:c r="AE3282" s="145"/>
      <x:c r="AF3282" s="145"/>
      <x:c r="AG3282" s="145"/>
      <x:c r="AH3282" s="145"/>
      <x:c r="AI3282" s="145"/>
      <x:c r="AJ3282"/>
    </x:row>
    <x:row r="3283">
      <x:c r="F3283" s="124"/>
      <x:c r="G3283" s="124"/>
      <x:c r="H3283" s="124"/>
      <x:c r="I3283" s="124"/>
      <x:c r="J3283" s="124"/>
      <x:c r="M3283" s="126"/>
      <x:c r="P3283" s="126"/>
      <x:c r="Q3283" s="126"/>
      <x:c r="R3283" s="126"/>
      <x:c r="S3283" s="124"/>
      <x:c r="T3283" s="124"/>
      <x:c r="U3283" s="124"/>
      <x:c r="V3283" s="124"/>
      <x:c r="W3283" s="124"/>
      <x:c r="X3283" s="124"/>
      <x:c r="AD3283"/>
      <x:c r="AE3283" s="145"/>
      <x:c r="AF3283" s="145"/>
      <x:c r="AG3283" s="145"/>
      <x:c r="AH3283" s="145"/>
      <x:c r="AI3283" s="145"/>
      <x:c r="AJ3283"/>
    </x:row>
    <x:row r="3284">
      <x:c r="F3284" s="124"/>
      <x:c r="G3284" s="124"/>
      <x:c r="H3284" s="124"/>
      <x:c r="I3284" s="124"/>
      <x:c r="J3284" s="124"/>
      <x:c r="M3284" s="126"/>
      <x:c r="P3284" s="126"/>
      <x:c r="Q3284" s="126"/>
      <x:c r="R3284" s="126"/>
      <x:c r="S3284" s="124"/>
      <x:c r="T3284" s="124"/>
      <x:c r="U3284" s="124"/>
      <x:c r="V3284" s="124"/>
      <x:c r="W3284" s="124"/>
      <x:c r="X3284" s="124"/>
      <x:c r="AD3284"/>
      <x:c r="AE3284" s="145"/>
      <x:c r="AF3284" s="145"/>
      <x:c r="AG3284" s="145"/>
      <x:c r="AH3284" s="145"/>
      <x:c r="AI3284" s="145"/>
      <x:c r="AJ3284"/>
    </x:row>
    <x:row r="3285">
      <x:c r="F3285" s="124"/>
      <x:c r="G3285" s="124"/>
      <x:c r="H3285" s="124"/>
      <x:c r="I3285" s="124"/>
      <x:c r="J3285" s="124"/>
      <x:c r="M3285" s="126"/>
      <x:c r="P3285" s="126"/>
      <x:c r="Q3285" s="126"/>
      <x:c r="R3285" s="126"/>
      <x:c r="S3285" s="124"/>
      <x:c r="T3285" s="124"/>
      <x:c r="U3285" s="124"/>
      <x:c r="V3285" s="124"/>
      <x:c r="W3285" s="124"/>
      <x:c r="X3285" s="124"/>
      <x:c r="AD3285"/>
      <x:c r="AE3285" s="145"/>
      <x:c r="AF3285" s="145"/>
      <x:c r="AG3285" s="145"/>
      <x:c r="AH3285" s="145"/>
      <x:c r="AI3285" s="145"/>
      <x:c r="AJ3285"/>
    </x:row>
    <x:row r="3286">
      <x:c r="F3286" s="124"/>
      <x:c r="G3286" s="124"/>
      <x:c r="H3286" s="124"/>
      <x:c r="I3286" s="124"/>
      <x:c r="J3286" s="124"/>
      <x:c r="M3286" s="126"/>
      <x:c r="P3286" s="126"/>
      <x:c r="Q3286" s="126"/>
      <x:c r="R3286" s="126"/>
      <x:c r="S3286" s="124"/>
      <x:c r="T3286" s="124"/>
      <x:c r="U3286" s="124"/>
      <x:c r="V3286" s="124"/>
      <x:c r="W3286" s="124"/>
      <x:c r="X3286" s="124"/>
      <x:c r="AD3286"/>
      <x:c r="AE3286" s="145"/>
      <x:c r="AF3286" s="145"/>
      <x:c r="AG3286" s="145"/>
      <x:c r="AH3286" s="145"/>
      <x:c r="AI3286" s="145"/>
      <x:c r="AJ3286"/>
    </x:row>
    <x:row r="3287">
      <x:c r="F3287" s="124"/>
      <x:c r="G3287" s="124"/>
      <x:c r="H3287" s="124"/>
      <x:c r="I3287" s="124"/>
      <x:c r="J3287" s="124"/>
      <x:c r="M3287" s="126"/>
      <x:c r="P3287" s="126"/>
      <x:c r="Q3287" s="126"/>
      <x:c r="R3287" s="126"/>
      <x:c r="S3287" s="124"/>
      <x:c r="T3287" s="124"/>
      <x:c r="U3287" s="124"/>
      <x:c r="V3287" s="124"/>
      <x:c r="W3287" s="124"/>
      <x:c r="X3287" s="124"/>
      <x:c r="AD3287"/>
      <x:c r="AE3287" s="145"/>
      <x:c r="AF3287" s="145"/>
      <x:c r="AG3287" s="145"/>
      <x:c r="AH3287" s="145"/>
      <x:c r="AI3287" s="145"/>
      <x:c r="AJ3287"/>
    </x:row>
    <x:row r="3288">
      <x:c r="F3288" s="124"/>
      <x:c r="G3288" s="124"/>
      <x:c r="H3288" s="124"/>
      <x:c r="I3288" s="124"/>
      <x:c r="J3288" s="124"/>
      <x:c r="M3288" s="126"/>
      <x:c r="P3288" s="126"/>
      <x:c r="Q3288" s="126"/>
      <x:c r="R3288" s="126"/>
      <x:c r="S3288" s="124"/>
      <x:c r="T3288" s="124"/>
      <x:c r="U3288" s="124"/>
      <x:c r="V3288" s="124"/>
      <x:c r="W3288" s="124"/>
      <x:c r="X3288" s="124"/>
      <x:c r="AD3288"/>
      <x:c r="AE3288" s="145"/>
      <x:c r="AF3288" s="145"/>
      <x:c r="AG3288" s="145"/>
      <x:c r="AH3288" s="145"/>
      <x:c r="AI3288" s="145"/>
      <x:c r="AJ3288"/>
    </x:row>
    <x:row r="3289">
      <x:c r="F3289" s="124"/>
      <x:c r="G3289" s="124"/>
      <x:c r="H3289" s="124"/>
      <x:c r="I3289" s="124"/>
      <x:c r="J3289" s="124"/>
      <x:c r="M3289" s="126"/>
      <x:c r="P3289" s="126"/>
      <x:c r="Q3289" s="126"/>
      <x:c r="R3289" s="126"/>
      <x:c r="S3289" s="124"/>
      <x:c r="T3289" s="124"/>
      <x:c r="U3289" s="124"/>
      <x:c r="V3289" s="124"/>
      <x:c r="W3289" s="124"/>
      <x:c r="X3289" s="124"/>
      <x:c r="AD3289"/>
      <x:c r="AE3289" s="145"/>
      <x:c r="AF3289" s="145"/>
      <x:c r="AG3289" s="145"/>
      <x:c r="AH3289" s="145"/>
      <x:c r="AI3289" s="145"/>
      <x:c r="AJ3289"/>
    </x:row>
    <x:row r="3290">
      <x:c r="F3290" s="124"/>
      <x:c r="G3290" s="124"/>
      <x:c r="H3290" s="124"/>
      <x:c r="I3290" s="124"/>
      <x:c r="J3290" s="124"/>
      <x:c r="M3290" s="126"/>
      <x:c r="P3290" s="126"/>
      <x:c r="Q3290" s="126"/>
      <x:c r="R3290" s="126"/>
      <x:c r="S3290" s="124"/>
      <x:c r="T3290" s="124"/>
      <x:c r="U3290" s="124"/>
      <x:c r="V3290" s="124"/>
      <x:c r="W3290" s="124"/>
      <x:c r="X3290" s="124"/>
      <x:c r="AD3290"/>
      <x:c r="AE3290" s="145"/>
      <x:c r="AF3290" s="145"/>
      <x:c r="AG3290" s="145"/>
      <x:c r="AH3290" s="145"/>
      <x:c r="AI3290" s="145"/>
      <x:c r="AJ3290"/>
    </x:row>
    <x:row r="3291">
      <x:c r="F3291" s="124"/>
      <x:c r="G3291" s="124"/>
      <x:c r="H3291" s="124"/>
      <x:c r="I3291" s="124"/>
      <x:c r="J3291" s="124"/>
      <x:c r="M3291" s="126"/>
      <x:c r="P3291" s="126"/>
      <x:c r="Q3291" s="126"/>
      <x:c r="R3291" s="126"/>
      <x:c r="S3291" s="124"/>
      <x:c r="T3291" s="124"/>
      <x:c r="U3291" s="124"/>
      <x:c r="V3291" s="124"/>
      <x:c r="W3291" s="124"/>
      <x:c r="X3291" s="124"/>
      <x:c r="AD3291"/>
      <x:c r="AE3291" s="145"/>
      <x:c r="AF3291" s="145"/>
      <x:c r="AG3291" s="145"/>
      <x:c r="AH3291" s="145"/>
      <x:c r="AI3291" s="145"/>
      <x:c r="AJ3291"/>
    </x:row>
    <x:row r="3292">
      <x:c r="F3292" s="124"/>
      <x:c r="G3292" s="124"/>
      <x:c r="H3292" s="124"/>
      <x:c r="I3292" s="124"/>
      <x:c r="J3292" s="124"/>
      <x:c r="M3292" s="126"/>
      <x:c r="P3292" s="126"/>
      <x:c r="Q3292" s="126"/>
      <x:c r="R3292" s="126"/>
      <x:c r="S3292" s="124"/>
      <x:c r="T3292" s="124"/>
      <x:c r="U3292" s="124"/>
      <x:c r="V3292" s="124"/>
      <x:c r="W3292" s="124"/>
      <x:c r="X3292" s="124"/>
      <x:c r="AD3292"/>
      <x:c r="AE3292" s="145"/>
      <x:c r="AF3292" s="145"/>
      <x:c r="AG3292" s="145"/>
      <x:c r="AH3292" s="145"/>
      <x:c r="AI3292" s="145"/>
      <x:c r="AJ3292"/>
    </x:row>
    <x:row r="3293">
      <x:c r="F3293" s="124"/>
      <x:c r="G3293" s="124"/>
      <x:c r="H3293" s="124"/>
      <x:c r="I3293" s="124"/>
      <x:c r="J3293" s="124"/>
      <x:c r="M3293" s="126"/>
      <x:c r="P3293" s="126"/>
      <x:c r="Q3293" s="126"/>
      <x:c r="R3293" s="126"/>
      <x:c r="S3293" s="124"/>
      <x:c r="T3293" s="124"/>
      <x:c r="U3293" s="124"/>
      <x:c r="V3293" s="124"/>
      <x:c r="W3293" s="124"/>
      <x:c r="X3293" s="124"/>
      <x:c r="AD3293"/>
      <x:c r="AE3293" s="145"/>
      <x:c r="AF3293" s="145"/>
      <x:c r="AG3293" s="145"/>
      <x:c r="AH3293" s="145"/>
      <x:c r="AI3293" s="145"/>
      <x:c r="AJ3293"/>
    </x:row>
    <x:row r="3294">
      <x:c r="F3294" s="124"/>
      <x:c r="G3294" s="124"/>
      <x:c r="H3294" s="124"/>
      <x:c r="I3294" s="124"/>
      <x:c r="J3294" s="124"/>
      <x:c r="M3294" s="126"/>
      <x:c r="P3294" s="126"/>
      <x:c r="Q3294" s="126"/>
      <x:c r="R3294" s="126"/>
      <x:c r="S3294" s="124"/>
      <x:c r="T3294" s="124"/>
      <x:c r="U3294" s="124"/>
      <x:c r="V3294" s="124"/>
      <x:c r="W3294" s="124"/>
      <x:c r="X3294" s="124"/>
      <x:c r="AD3294"/>
      <x:c r="AE3294" s="145"/>
      <x:c r="AF3294" s="145"/>
      <x:c r="AG3294" s="145"/>
      <x:c r="AH3294" s="145"/>
      <x:c r="AI3294" s="145"/>
      <x:c r="AJ3294"/>
    </x:row>
    <x:row r="3295">
      <x:c r="F3295" s="124"/>
      <x:c r="G3295" s="124"/>
      <x:c r="H3295" s="124"/>
      <x:c r="I3295" s="124"/>
      <x:c r="J3295" s="124"/>
      <x:c r="M3295" s="126"/>
      <x:c r="P3295" s="126"/>
      <x:c r="Q3295" s="126"/>
      <x:c r="R3295" s="126"/>
      <x:c r="S3295" s="124"/>
      <x:c r="T3295" s="124"/>
      <x:c r="U3295" s="124"/>
      <x:c r="V3295" s="124"/>
      <x:c r="W3295" s="124"/>
      <x:c r="X3295" s="124"/>
      <x:c r="AD3295"/>
      <x:c r="AE3295" s="145"/>
      <x:c r="AF3295" s="145"/>
      <x:c r="AG3295" s="145"/>
      <x:c r="AH3295" s="145"/>
      <x:c r="AI3295" s="145"/>
      <x:c r="AJ3295"/>
    </x:row>
    <x:row r="3296">
      <x:c r="F3296" s="124"/>
      <x:c r="G3296" s="124"/>
      <x:c r="H3296" s="124"/>
      <x:c r="I3296" s="124"/>
      <x:c r="J3296" s="124"/>
      <x:c r="M3296" s="126"/>
      <x:c r="P3296" s="126"/>
      <x:c r="Q3296" s="126"/>
      <x:c r="R3296" s="126"/>
      <x:c r="S3296" s="124"/>
      <x:c r="T3296" s="124"/>
      <x:c r="U3296" s="124"/>
      <x:c r="V3296" s="124"/>
      <x:c r="W3296" s="124"/>
      <x:c r="X3296" s="124"/>
      <x:c r="AD3296"/>
      <x:c r="AE3296" s="145"/>
      <x:c r="AF3296" s="145"/>
      <x:c r="AG3296" s="145"/>
      <x:c r="AH3296" s="145"/>
      <x:c r="AI3296" s="145"/>
      <x:c r="AJ3296"/>
    </x:row>
    <x:row r="3297">
      <x:c r="F3297" s="124"/>
      <x:c r="G3297" s="124"/>
      <x:c r="H3297" s="124"/>
      <x:c r="I3297" s="124"/>
      <x:c r="J3297" s="124"/>
      <x:c r="M3297" s="126"/>
      <x:c r="P3297" s="126"/>
      <x:c r="Q3297" s="126"/>
      <x:c r="R3297" s="126"/>
      <x:c r="S3297" s="124"/>
      <x:c r="T3297" s="124"/>
      <x:c r="U3297" s="124"/>
      <x:c r="V3297" s="124"/>
      <x:c r="W3297" s="124"/>
      <x:c r="X3297" s="124"/>
      <x:c r="AD3297"/>
      <x:c r="AE3297" s="145"/>
      <x:c r="AF3297" s="145"/>
      <x:c r="AG3297" s="145"/>
      <x:c r="AH3297" s="145"/>
      <x:c r="AI3297" s="145"/>
      <x:c r="AJ3297"/>
    </x:row>
    <x:row r="3298">
      <x:c r="F3298" s="124"/>
      <x:c r="G3298" s="124"/>
      <x:c r="H3298" s="124"/>
      <x:c r="I3298" s="124"/>
      <x:c r="J3298" s="124"/>
      <x:c r="M3298" s="126"/>
      <x:c r="P3298" s="126"/>
      <x:c r="Q3298" s="126"/>
      <x:c r="R3298" s="126"/>
      <x:c r="S3298" s="124"/>
      <x:c r="T3298" s="124"/>
      <x:c r="U3298" s="124"/>
      <x:c r="V3298" s="124"/>
      <x:c r="W3298" s="124"/>
      <x:c r="X3298" s="124"/>
      <x:c r="AD3298"/>
      <x:c r="AE3298" s="145"/>
      <x:c r="AF3298" s="145"/>
      <x:c r="AG3298" s="145"/>
      <x:c r="AH3298" s="145"/>
      <x:c r="AI3298" s="145"/>
      <x:c r="AJ3298"/>
    </x:row>
    <x:row r="3299">
      <x:c r="F3299" s="124"/>
      <x:c r="G3299" s="124"/>
      <x:c r="H3299" s="124"/>
      <x:c r="I3299" s="124"/>
      <x:c r="J3299" s="124"/>
      <x:c r="M3299" s="126"/>
      <x:c r="P3299" s="126"/>
      <x:c r="Q3299" s="126"/>
      <x:c r="R3299" s="126"/>
      <x:c r="S3299" s="124"/>
      <x:c r="T3299" s="124"/>
      <x:c r="U3299" s="124"/>
      <x:c r="V3299" s="124"/>
      <x:c r="W3299" s="124"/>
      <x:c r="X3299" s="124"/>
      <x:c r="AD3299"/>
      <x:c r="AE3299" s="145"/>
      <x:c r="AF3299" s="145"/>
      <x:c r="AG3299" s="145"/>
      <x:c r="AH3299" s="145"/>
      <x:c r="AI3299" s="145"/>
      <x:c r="AJ3299"/>
    </x:row>
    <x:row r="3300">
      <x:c r="F3300" s="124"/>
      <x:c r="G3300" s="124"/>
      <x:c r="H3300" s="124"/>
      <x:c r="I3300" s="124"/>
      <x:c r="J3300" s="124"/>
      <x:c r="M3300" s="126"/>
      <x:c r="P3300" s="126"/>
      <x:c r="Q3300" s="126"/>
      <x:c r="R3300" s="126"/>
      <x:c r="S3300" s="124"/>
      <x:c r="T3300" s="124"/>
      <x:c r="U3300" s="124"/>
      <x:c r="V3300" s="124"/>
      <x:c r="W3300" s="124"/>
      <x:c r="X3300" s="124"/>
      <x:c r="AD3300"/>
      <x:c r="AE3300" s="145"/>
      <x:c r="AF3300" s="145"/>
      <x:c r="AG3300" s="145"/>
      <x:c r="AH3300" s="145"/>
      <x:c r="AI3300" s="145"/>
      <x:c r="AJ3300"/>
    </x:row>
    <x:row r="3301">
      <x:c r="F3301" s="124"/>
      <x:c r="G3301" s="124"/>
      <x:c r="H3301" s="124"/>
      <x:c r="I3301" s="124"/>
      <x:c r="J3301" s="124"/>
      <x:c r="M3301" s="126"/>
      <x:c r="P3301" s="126"/>
      <x:c r="Q3301" s="126"/>
      <x:c r="R3301" s="126"/>
      <x:c r="S3301" s="124"/>
      <x:c r="T3301" s="124"/>
      <x:c r="U3301" s="124"/>
      <x:c r="V3301" s="124"/>
      <x:c r="W3301" s="124"/>
      <x:c r="X3301" s="124"/>
      <x:c r="AD3301"/>
      <x:c r="AE3301" s="145"/>
      <x:c r="AF3301" s="145"/>
      <x:c r="AG3301" s="145"/>
      <x:c r="AH3301" s="145"/>
      <x:c r="AI3301" s="145"/>
      <x:c r="AJ3301"/>
    </x:row>
    <x:row r="3302">
      <x:c r="F3302" s="124"/>
      <x:c r="G3302" s="124"/>
      <x:c r="H3302" s="124"/>
      <x:c r="I3302" s="124"/>
      <x:c r="J3302" s="124"/>
      <x:c r="M3302" s="126"/>
      <x:c r="P3302" s="126"/>
      <x:c r="Q3302" s="126"/>
      <x:c r="R3302" s="126"/>
      <x:c r="S3302" s="124"/>
      <x:c r="T3302" s="124"/>
      <x:c r="U3302" s="124"/>
      <x:c r="V3302" s="124"/>
      <x:c r="W3302" s="124"/>
      <x:c r="X3302" s="124"/>
      <x:c r="AD3302"/>
      <x:c r="AE3302" s="145"/>
      <x:c r="AF3302" s="145"/>
      <x:c r="AG3302" s="145"/>
      <x:c r="AH3302" s="145"/>
      <x:c r="AI3302" s="145"/>
      <x:c r="AJ3302"/>
    </x:row>
    <x:row r="3303">
      <x:c r="F3303" s="124"/>
      <x:c r="G3303" s="124"/>
      <x:c r="H3303" s="124"/>
      <x:c r="I3303" s="124"/>
      <x:c r="J3303" s="124"/>
      <x:c r="M3303" s="126"/>
      <x:c r="P3303" s="126"/>
      <x:c r="Q3303" s="126"/>
      <x:c r="R3303" s="126"/>
      <x:c r="S3303" s="124"/>
      <x:c r="T3303" s="124"/>
      <x:c r="U3303" s="124"/>
      <x:c r="V3303" s="124"/>
      <x:c r="W3303" s="124"/>
      <x:c r="X3303" s="124"/>
      <x:c r="AD3303"/>
      <x:c r="AE3303" s="145"/>
      <x:c r="AF3303" s="145"/>
      <x:c r="AG3303" s="145"/>
      <x:c r="AH3303" s="145"/>
      <x:c r="AI3303" s="145"/>
      <x:c r="AJ3303"/>
    </x:row>
    <x:row r="3304">
      <x:c r="F3304" s="124"/>
      <x:c r="G3304" s="124"/>
      <x:c r="H3304" s="124"/>
      <x:c r="I3304" s="124"/>
      <x:c r="J3304" s="124"/>
      <x:c r="M3304" s="126"/>
      <x:c r="P3304" s="126"/>
      <x:c r="Q3304" s="126"/>
      <x:c r="R3304" s="126"/>
      <x:c r="S3304" s="124"/>
      <x:c r="T3304" s="124"/>
      <x:c r="U3304" s="124"/>
      <x:c r="V3304" s="124"/>
      <x:c r="W3304" s="124"/>
      <x:c r="X3304" s="124"/>
      <x:c r="AD3304"/>
      <x:c r="AE3304" s="145"/>
      <x:c r="AF3304" s="145"/>
      <x:c r="AG3304" s="145"/>
      <x:c r="AH3304" s="145"/>
      <x:c r="AI3304" s="145"/>
      <x:c r="AJ3304"/>
    </x:row>
    <x:row r="3305">
      <x:c r="F3305" s="124"/>
      <x:c r="G3305" s="124"/>
      <x:c r="H3305" s="124"/>
      <x:c r="I3305" s="124"/>
      <x:c r="J3305" s="124"/>
      <x:c r="M3305" s="126"/>
      <x:c r="P3305" s="126"/>
      <x:c r="Q3305" s="126"/>
      <x:c r="R3305" s="126"/>
      <x:c r="S3305" s="124"/>
      <x:c r="T3305" s="124"/>
      <x:c r="U3305" s="124"/>
      <x:c r="V3305" s="124"/>
      <x:c r="W3305" s="124"/>
      <x:c r="X3305" s="124"/>
      <x:c r="AD3305"/>
      <x:c r="AE3305" s="145"/>
      <x:c r="AF3305" s="145"/>
      <x:c r="AG3305" s="145"/>
      <x:c r="AH3305" s="145"/>
      <x:c r="AI3305" s="145"/>
      <x:c r="AJ3305"/>
    </x:row>
    <x:row r="3306">
      <x:c r="F3306" s="124"/>
      <x:c r="G3306" s="124"/>
      <x:c r="H3306" s="124"/>
      <x:c r="I3306" s="124"/>
      <x:c r="J3306" s="124"/>
      <x:c r="M3306" s="126"/>
      <x:c r="P3306" s="126"/>
      <x:c r="Q3306" s="126"/>
      <x:c r="R3306" s="126"/>
      <x:c r="S3306" s="124"/>
      <x:c r="T3306" s="124"/>
      <x:c r="U3306" s="124"/>
      <x:c r="V3306" s="124"/>
      <x:c r="W3306" s="124"/>
      <x:c r="X3306" s="124"/>
      <x:c r="AD3306"/>
      <x:c r="AE3306" s="145"/>
      <x:c r="AF3306" s="145"/>
      <x:c r="AG3306" s="145"/>
      <x:c r="AH3306" s="145"/>
      <x:c r="AI3306" s="145"/>
      <x:c r="AJ3306"/>
    </x:row>
    <x:row r="3307">
      <x:c r="F3307" s="124"/>
      <x:c r="G3307" s="124"/>
      <x:c r="H3307" s="124"/>
      <x:c r="I3307" s="124"/>
      <x:c r="J3307" s="124"/>
      <x:c r="M3307" s="126"/>
      <x:c r="P3307" s="126"/>
      <x:c r="Q3307" s="126"/>
      <x:c r="R3307" s="126"/>
      <x:c r="S3307" s="124"/>
      <x:c r="T3307" s="124"/>
      <x:c r="U3307" s="124"/>
      <x:c r="V3307" s="124"/>
      <x:c r="W3307" s="124"/>
      <x:c r="X3307" s="124"/>
      <x:c r="AD3307"/>
      <x:c r="AE3307" s="145"/>
      <x:c r="AF3307" s="145"/>
      <x:c r="AG3307" s="145"/>
      <x:c r="AH3307" s="145"/>
      <x:c r="AI3307" s="145"/>
      <x:c r="AJ3307"/>
    </x:row>
    <x:row r="3308">
      <x:c r="F3308" s="124"/>
      <x:c r="G3308" s="124"/>
      <x:c r="H3308" s="124"/>
      <x:c r="I3308" s="124"/>
      <x:c r="J3308" s="124"/>
      <x:c r="M3308" s="126"/>
      <x:c r="P3308" s="126"/>
      <x:c r="Q3308" s="126"/>
      <x:c r="R3308" s="126"/>
      <x:c r="S3308" s="124"/>
      <x:c r="T3308" s="124"/>
      <x:c r="U3308" s="124"/>
      <x:c r="V3308" s="124"/>
      <x:c r="W3308" s="124"/>
      <x:c r="X3308" s="124"/>
      <x:c r="AD3308"/>
      <x:c r="AE3308" s="145"/>
      <x:c r="AF3308" s="145"/>
      <x:c r="AG3308" s="145"/>
      <x:c r="AH3308" s="145"/>
      <x:c r="AI3308" s="145"/>
      <x:c r="AJ3308"/>
    </x:row>
    <x:row r="3309">
      <x:c r="F3309" s="124"/>
      <x:c r="G3309" s="124"/>
      <x:c r="H3309" s="124"/>
      <x:c r="I3309" s="124"/>
      <x:c r="J3309" s="124"/>
      <x:c r="M3309" s="126"/>
      <x:c r="P3309" s="126"/>
      <x:c r="Q3309" s="126"/>
      <x:c r="R3309" s="126"/>
      <x:c r="S3309" s="124"/>
      <x:c r="T3309" s="124"/>
      <x:c r="U3309" s="124"/>
      <x:c r="V3309" s="124"/>
      <x:c r="W3309" s="124"/>
      <x:c r="X3309" s="124"/>
      <x:c r="AD3309"/>
      <x:c r="AE3309" s="145"/>
      <x:c r="AF3309" s="145"/>
      <x:c r="AG3309" s="145"/>
      <x:c r="AH3309" s="145"/>
      <x:c r="AI3309" s="145"/>
      <x:c r="AJ3309"/>
    </x:row>
    <x:row r="3310">
      <x:c r="F3310" s="124"/>
      <x:c r="G3310" s="124"/>
      <x:c r="H3310" s="124"/>
      <x:c r="I3310" s="124"/>
      <x:c r="J3310" s="124"/>
      <x:c r="M3310" s="126"/>
      <x:c r="P3310" s="126"/>
      <x:c r="Q3310" s="126"/>
      <x:c r="R3310" s="126"/>
      <x:c r="S3310" s="124"/>
      <x:c r="T3310" s="124"/>
      <x:c r="U3310" s="124"/>
      <x:c r="V3310" s="124"/>
      <x:c r="W3310" s="124"/>
      <x:c r="X3310" s="124"/>
      <x:c r="AD3310"/>
      <x:c r="AE3310" s="145"/>
      <x:c r="AF3310" s="145"/>
      <x:c r="AG3310" s="145"/>
      <x:c r="AH3310" s="145"/>
      <x:c r="AI3310" s="145"/>
      <x:c r="AJ3310"/>
    </x:row>
    <x:row r="3311">
      <x:c r="F3311" s="124"/>
      <x:c r="G3311" s="124"/>
      <x:c r="H3311" s="124"/>
      <x:c r="I3311" s="124"/>
      <x:c r="J3311" s="124"/>
      <x:c r="M3311" s="126"/>
      <x:c r="P3311" s="126"/>
      <x:c r="Q3311" s="126"/>
      <x:c r="R3311" s="126"/>
      <x:c r="S3311" s="124"/>
      <x:c r="T3311" s="124"/>
      <x:c r="U3311" s="124"/>
      <x:c r="V3311" s="124"/>
      <x:c r="W3311" s="124"/>
      <x:c r="X3311" s="124"/>
      <x:c r="AD3311"/>
      <x:c r="AE3311" s="145"/>
      <x:c r="AF3311" s="145"/>
      <x:c r="AG3311" s="145"/>
      <x:c r="AH3311" s="145"/>
      <x:c r="AI3311" s="145"/>
      <x:c r="AJ3311"/>
    </x:row>
    <x:row r="3312">
      <x:c r="F3312" s="124"/>
      <x:c r="G3312" s="124"/>
      <x:c r="H3312" s="124"/>
      <x:c r="I3312" s="124"/>
      <x:c r="J3312" s="124"/>
      <x:c r="M3312" s="126"/>
      <x:c r="P3312" s="126"/>
      <x:c r="Q3312" s="126"/>
      <x:c r="R3312" s="126"/>
      <x:c r="S3312" s="124"/>
      <x:c r="T3312" s="124"/>
      <x:c r="U3312" s="124"/>
      <x:c r="V3312" s="124"/>
      <x:c r="W3312" s="124"/>
      <x:c r="X3312" s="124"/>
      <x:c r="AD3312"/>
      <x:c r="AE3312" s="145"/>
      <x:c r="AF3312" s="145"/>
      <x:c r="AG3312" s="145"/>
      <x:c r="AH3312" s="145"/>
      <x:c r="AI3312" s="145"/>
      <x:c r="AJ3312"/>
    </x:row>
    <x:row r="3313">
      <x:c r="F3313" s="124"/>
      <x:c r="G3313" s="124"/>
      <x:c r="H3313" s="124"/>
      <x:c r="I3313" s="124"/>
      <x:c r="J3313" s="124"/>
      <x:c r="M3313" s="126"/>
      <x:c r="P3313" s="126"/>
      <x:c r="Q3313" s="126"/>
      <x:c r="R3313" s="126"/>
      <x:c r="S3313" s="124"/>
      <x:c r="T3313" s="124"/>
      <x:c r="U3313" s="124"/>
      <x:c r="V3313" s="124"/>
      <x:c r="W3313" s="124"/>
      <x:c r="X3313" s="124"/>
      <x:c r="AD3313"/>
      <x:c r="AE3313" s="145"/>
      <x:c r="AF3313" s="145"/>
      <x:c r="AG3313" s="145"/>
      <x:c r="AH3313" s="145"/>
      <x:c r="AI3313" s="145"/>
      <x:c r="AJ3313"/>
    </x:row>
    <x:row r="3314">
      <x:c r="F3314" s="124"/>
      <x:c r="G3314" s="124"/>
      <x:c r="H3314" s="124"/>
      <x:c r="I3314" s="124"/>
      <x:c r="J3314" s="124"/>
      <x:c r="M3314" s="126"/>
      <x:c r="P3314" s="126"/>
      <x:c r="Q3314" s="126"/>
      <x:c r="R3314" s="126"/>
      <x:c r="S3314" s="124"/>
      <x:c r="T3314" s="124"/>
      <x:c r="U3314" s="124"/>
      <x:c r="V3314" s="124"/>
      <x:c r="W3314" s="124"/>
      <x:c r="X3314" s="124"/>
      <x:c r="AD3314"/>
      <x:c r="AE3314" s="145"/>
      <x:c r="AF3314" s="145"/>
      <x:c r="AG3314" s="145"/>
      <x:c r="AH3314" s="145"/>
      <x:c r="AI3314" s="145"/>
      <x:c r="AJ3314"/>
    </x:row>
    <x:row r="3315">
      <x:c r="F3315" s="124"/>
      <x:c r="G3315" s="124"/>
      <x:c r="H3315" s="124"/>
      <x:c r="I3315" s="124"/>
      <x:c r="J3315" s="124"/>
      <x:c r="M3315" s="126"/>
      <x:c r="P3315" s="126"/>
      <x:c r="Q3315" s="126"/>
      <x:c r="R3315" s="126"/>
      <x:c r="S3315" s="124"/>
      <x:c r="T3315" s="124"/>
      <x:c r="U3315" s="124"/>
      <x:c r="V3315" s="124"/>
      <x:c r="W3315" s="124"/>
      <x:c r="X3315" s="124"/>
      <x:c r="AD3315"/>
      <x:c r="AE3315" s="145"/>
      <x:c r="AF3315" s="145"/>
      <x:c r="AG3315" s="145"/>
      <x:c r="AH3315" s="145"/>
      <x:c r="AI3315" s="145"/>
      <x:c r="AJ3315"/>
    </x:row>
    <x:row r="3316">
      <x:c r="F3316" s="124"/>
      <x:c r="G3316" s="124"/>
      <x:c r="H3316" s="124"/>
      <x:c r="I3316" s="124"/>
      <x:c r="J3316" s="124"/>
      <x:c r="M3316" s="126"/>
      <x:c r="P3316" s="126"/>
      <x:c r="Q3316" s="126"/>
      <x:c r="R3316" s="126"/>
      <x:c r="S3316" s="124"/>
      <x:c r="T3316" s="124"/>
      <x:c r="U3316" s="124"/>
      <x:c r="V3316" s="124"/>
      <x:c r="W3316" s="124"/>
      <x:c r="X3316" s="124"/>
      <x:c r="AD3316"/>
      <x:c r="AE3316" s="145"/>
      <x:c r="AF3316" s="145"/>
      <x:c r="AG3316" s="145"/>
      <x:c r="AH3316" s="145"/>
      <x:c r="AI3316" s="145"/>
      <x:c r="AJ3316"/>
    </x:row>
    <x:row r="3317">
      <x:c r="F3317" s="124"/>
      <x:c r="G3317" s="124"/>
      <x:c r="H3317" s="124"/>
      <x:c r="I3317" s="124"/>
      <x:c r="J3317" s="124"/>
      <x:c r="M3317" s="126"/>
      <x:c r="P3317" s="126"/>
      <x:c r="Q3317" s="126"/>
      <x:c r="R3317" s="126"/>
      <x:c r="S3317" s="124"/>
      <x:c r="T3317" s="124"/>
      <x:c r="U3317" s="124"/>
      <x:c r="V3317" s="124"/>
      <x:c r="W3317" s="124"/>
      <x:c r="X3317" s="124"/>
      <x:c r="AD3317"/>
      <x:c r="AE3317" s="145"/>
      <x:c r="AF3317" s="145"/>
      <x:c r="AG3317" s="145"/>
      <x:c r="AH3317" s="145"/>
      <x:c r="AI3317" s="145"/>
      <x:c r="AJ3317"/>
    </x:row>
    <x:row r="3318">
      <x:c r="F3318" s="124"/>
      <x:c r="G3318" s="124"/>
      <x:c r="H3318" s="124"/>
      <x:c r="I3318" s="124"/>
      <x:c r="J3318" s="124"/>
      <x:c r="M3318" s="126"/>
      <x:c r="P3318" s="126"/>
      <x:c r="Q3318" s="126"/>
      <x:c r="R3318" s="126"/>
      <x:c r="S3318" s="124"/>
      <x:c r="T3318" s="124"/>
      <x:c r="U3318" s="124"/>
      <x:c r="V3318" s="124"/>
      <x:c r="W3318" s="124"/>
      <x:c r="X3318" s="124"/>
      <x:c r="AD3318"/>
      <x:c r="AE3318" s="145"/>
      <x:c r="AF3318" s="145"/>
      <x:c r="AG3318" s="145"/>
      <x:c r="AH3318" s="145"/>
      <x:c r="AI3318" s="145"/>
      <x:c r="AJ3318"/>
    </x:row>
    <x:row r="3319">
      <x:c r="F3319" s="124"/>
      <x:c r="G3319" s="124"/>
      <x:c r="H3319" s="124"/>
      <x:c r="I3319" s="124"/>
      <x:c r="J3319" s="124"/>
      <x:c r="M3319" s="126"/>
      <x:c r="P3319" s="126"/>
      <x:c r="Q3319" s="126"/>
      <x:c r="R3319" s="126"/>
      <x:c r="S3319" s="124"/>
      <x:c r="T3319" s="124"/>
      <x:c r="U3319" s="124"/>
      <x:c r="V3319" s="124"/>
      <x:c r="W3319" s="124"/>
      <x:c r="X3319" s="124"/>
      <x:c r="AD3319"/>
      <x:c r="AE3319" s="145"/>
      <x:c r="AF3319" s="145"/>
      <x:c r="AG3319" s="145"/>
      <x:c r="AH3319" s="145"/>
      <x:c r="AI3319" s="145"/>
      <x:c r="AJ3319"/>
    </x:row>
    <x:row r="3320">
      <x:c r="F3320" s="124"/>
      <x:c r="G3320" s="124"/>
      <x:c r="H3320" s="124"/>
      <x:c r="I3320" s="124"/>
      <x:c r="J3320" s="124"/>
      <x:c r="M3320" s="126"/>
      <x:c r="P3320" s="126"/>
      <x:c r="Q3320" s="126"/>
      <x:c r="R3320" s="126"/>
      <x:c r="S3320" s="124"/>
      <x:c r="T3320" s="124"/>
      <x:c r="U3320" s="124"/>
      <x:c r="V3320" s="124"/>
      <x:c r="W3320" s="124"/>
      <x:c r="X3320" s="124"/>
      <x:c r="AD3320"/>
      <x:c r="AE3320" s="145"/>
      <x:c r="AF3320" s="145"/>
      <x:c r="AG3320" s="145"/>
      <x:c r="AH3320" s="145"/>
      <x:c r="AI3320" s="145"/>
      <x:c r="AJ3320"/>
    </x:row>
    <x:row r="3321">
      <x:c r="F3321" s="124"/>
      <x:c r="G3321" s="124"/>
      <x:c r="H3321" s="124"/>
      <x:c r="I3321" s="124"/>
      <x:c r="J3321" s="124"/>
      <x:c r="M3321" s="126"/>
      <x:c r="P3321" s="126"/>
      <x:c r="Q3321" s="126"/>
      <x:c r="R3321" s="126"/>
      <x:c r="S3321" s="124"/>
      <x:c r="T3321" s="124"/>
      <x:c r="U3321" s="124"/>
      <x:c r="V3321" s="124"/>
      <x:c r="W3321" s="124"/>
      <x:c r="X3321" s="124"/>
      <x:c r="AD3321"/>
      <x:c r="AE3321" s="145"/>
      <x:c r="AF3321" s="145"/>
      <x:c r="AG3321" s="145"/>
      <x:c r="AH3321" s="145"/>
      <x:c r="AI3321" s="145"/>
      <x:c r="AJ3321"/>
    </x:row>
    <x:row r="3322">
      <x:c r="F3322" s="124"/>
      <x:c r="G3322" s="124"/>
      <x:c r="H3322" s="124"/>
      <x:c r="I3322" s="124"/>
      <x:c r="J3322" s="124"/>
      <x:c r="M3322" s="126"/>
      <x:c r="P3322" s="126"/>
      <x:c r="Q3322" s="126"/>
      <x:c r="R3322" s="126"/>
      <x:c r="S3322" s="124"/>
      <x:c r="T3322" s="124"/>
      <x:c r="U3322" s="124"/>
      <x:c r="V3322" s="124"/>
      <x:c r="W3322" s="124"/>
      <x:c r="X3322" s="124"/>
      <x:c r="AD3322"/>
      <x:c r="AE3322" s="145"/>
      <x:c r="AF3322" s="145"/>
      <x:c r="AG3322" s="145"/>
      <x:c r="AH3322" s="145"/>
      <x:c r="AI3322" s="145"/>
      <x:c r="AJ3322"/>
    </x:row>
    <x:row r="3323">
      <x:c r="F3323" s="124"/>
      <x:c r="G3323" s="124"/>
      <x:c r="H3323" s="124"/>
      <x:c r="I3323" s="124"/>
      <x:c r="J3323" s="124"/>
      <x:c r="M3323" s="126"/>
      <x:c r="P3323" s="126"/>
      <x:c r="Q3323" s="126"/>
      <x:c r="R3323" s="126"/>
      <x:c r="S3323" s="124"/>
      <x:c r="T3323" s="124"/>
      <x:c r="U3323" s="124"/>
      <x:c r="V3323" s="124"/>
      <x:c r="W3323" s="124"/>
      <x:c r="X3323" s="124"/>
      <x:c r="AD3323"/>
      <x:c r="AE3323" s="145"/>
      <x:c r="AF3323" s="145"/>
      <x:c r="AG3323" s="145"/>
      <x:c r="AH3323" s="145"/>
      <x:c r="AI3323" s="145"/>
      <x:c r="AJ3323"/>
    </x:row>
    <x:row r="3324">
      <x:c r="F3324" s="124"/>
      <x:c r="G3324" s="124"/>
      <x:c r="H3324" s="124"/>
      <x:c r="I3324" s="124"/>
      <x:c r="J3324" s="124"/>
      <x:c r="M3324" s="126"/>
      <x:c r="P3324" s="126"/>
      <x:c r="Q3324" s="126"/>
      <x:c r="R3324" s="126"/>
      <x:c r="S3324" s="124"/>
      <x:c r="T3324" s="124"/>
      <x:c r="U3324" s="124"/>
      <x:c r="V3324" s="124"/>
      <x:c r="W3324" s="124"/>
      <x:c r="X3324" s="124"/>
      <x:c r="AD3324"/>
      <x:c r="AE3324" s="145"/>
      <x:c r="AF3324" s="145"/>
      <x:c r="AG3324" s="145"/>
      <x:c r="AH3324" s="145"/>
      <x:c r="AI3324" s="145"/>
      <x:c r="AJ3324"/>
    </x:row>
    <x:row r="3325">
      <x:c r="F3325" s="124"/>
      <x:c r="G3325" s="124"/>
      <x:c r="H3325" s="124"/>
      <x:c r="I3325" s="124"/>
      <x:c r="J3325" s="124"/>
      <x:c r="M3325" s="126"/>
      <x:c r="P3325" s="126"/>
      <x:c r="Q3325" s="126"/>
      <x:c r="R3325" s="126"/>
      <x:c r="S3325" s="124"/>
      <x:c r="T3325" s="124"/>
      <x:c r="U3325" s="124"/>
      <x:c r="V3325" s="124"/>
      <x:c r="W3325" s="124"/>
      <x:c r="X3325" s="124"/>
      <x:c r="AD3325"/>
      <x:c r="AE3325" s="145"/>
      <x:c r="AF3325" s="145"/>
      <x:c r="AG3325" s="145"/>
      <x:c r="AH3325" s="145"/>
      <x:c r="AI3325" s="145"/>
      <x:c r="AJ3325"/>
    </x:row>
    <x:row r="3326">
      <x:c r="F3326" s="124"/>
      <x:c r="G3326" s="124"/>
      <x:c r="H3326" s="124"/>
      <x:c r="I3326" s="124"/>
      <x:c r="J3326" s="124"/>
      <x:c r="M3326" s="126"/>
      <x:c r="P3326" s="126"/>
      <x:c r="Q3326" s="126"/>
      <x:c r="R3326" s="126"/>
      <x:c r="S3326" s="124"/>
      <x:c r="T3326" s="124"/>
      <x:c r="U3326" s="124"/>
      <x:c r="V3326" s="124"/>
      <x:c r="W3326" s="124"/>
      <x:c r="X3326" s="124"/>
      <x:c r="AD3326"/>
      <x:c r="AE3326" s="145"/>
      <x:c r="AF3326" s="145"/>
      <x:c r="AG3326" s="145"/>
      <x:c r="AH3326" s="145"/>
      <x:c r="AI3326" s="145"/>
      <x:c r="AJ3326"/>
    </x:row>
    <x:row r="3327">
      <x:c r="F3327" s="124"/>
      <x:c r="G3327" s="124"/>
      <x:c r="H3327" s="124"/>
      <x:c r="I3327" s="124"/>
      <x:c r="J3327" s="124"/>
      <x:c r="M3327" s="126"/>
      <x:c r="P3327" s="126"/>
      <x:c r="Q3327" s="126"/>
      <x:c r="R3327" s="126"/>
      <x:c r="S3327" s="124"/>
      <x:c r="T3327" s="124"/>
      <x:c r="U3327" s="124"/>
      <x:c r="V3327" s="124"/>
      <x:c r="W3327" s="124"/>
      <x:c r="X3327" s="124"/>
      <x:c r="AD3327"/>
      <x:c r="AE3327" s="145"/>
      <x:c r="AF3327" s="145"/>
      <x:c r="AG3327" s="145"/>
      <x:c r="AH3327" s="145"/>
      <x:c r="AI3327" s="145"/>
      <x:c r="AJ3327"/>
    </x:row>
    <x:row r="3328">
      <x:c r="F3328" s="124"/>
      <x:c r="G3328" s="124"/>
      <x:c r="H3328" s="124"/>
      <x:c r="I3328" s="124"/>
      <x:c r="J3328" s="124"/>
      <x:c r="M3328" s="126"/>
      <x:c r="P3328" s="126"/>
      <x:c r="Q3328" s="126"/>
      <x:c r="R3328" s="126"/>
      <x:c r="S3328" s="124"/>
      <x:c r="T3328" s="124"/>
      <x:c r="U3328" s="124"/>
      <x:c r="V3328" s="124"/>
      <x:c r="W3328" s="124"/>
      <x:c r="X3328" s="124"/>
      <x:c r="AD3328"/>
      <x:c r="AE3328" s="145"/>
      <x:c r="AF3328" s="145"/>
      <x:c r="AG3328" s="145"/>
      <x:c r="AH3328" s="145"/>
      <x:c r="AI3328" s="145"/>
      <x:c r="AJ3328"/>
    </x:row>
    <x:row r="3329">
      <x:c r="F3329" s="124"/>
      <x:c r="G3329" s="124"/>
      <x:c r="H3329" s="124"/>
      <x:c r="I3329" s="124"/>
      <x:c r="J3329" s="124"/>
      <x:c r="M3329" s="126"/>
      <x:c r="P3329" s="126"/>
      <x:c r="Q3329" s="126"/>
      <x:c r="R3329" s="126"/>
      <x:c r="S3329" s="124"/>
      <x:c r="T3329" s="124"/>
      <x:c r="U3329" s="124"/>
      <x:c r="V3329" s="124"/>
      <x:c r="W3329" s="124"/>
      <x:c r="X3329" s="124"/>
      <x:c r="AD3329"/>
      <x:c r="AE3329" s="145"/>
      <x:c r="AF3329" s="145"/>
      <x:c r="AG3329" s="145"/>
      <x:c r="AH3329" s="145"/>
      <x:c r="AI3329" s="145"/>
      <x:c r="AJ3329"/>
    </x:row>
    <x:row r="3330">
      <x:c r="F3330" s="124"/>
      <x:c r="G3330" s="124"/>
      <x:c r="H3330" s="124"/>
      <x:c r="I3330" s="124"/>
      <x:c r="J3330" s="124"/>
      <x:c r="M3330" s="126"/>
      <x:c r="P3330" s="126"/>
      <x:c r="Q3330" s="126"/>
      <x:c r="R3330" s="126"/>
      <x:c r="S3330" s="124"/>
      <x:c r="T3330" s="124"/>
      <x:c r="U3330" s="124"/>
      <x:c r="V3330" s="124"/>
      <x:c r="W3330" s="124"/>
      <x:c r="X3330" s="124"/>
      <x:c r="AD3330"/>
      <x:c r="AE3330" s="145"/>
      <x:c r="AF3330" s="145"/>
      <x:c r="AG3330" s="145"/>
      <x:c r="AH3330" s="145"/>
      <x:c r="AI3330" s="145"/>
      <x:c r="AJ3330"/>
    </x:row>
    <x:row r="3331">
      <x:c r="F3331" s="124"/>
      <x:c r="G3331" s="124"/>
      <x:c r="H3331" s="124"/>
      <x:c r="I3331" s="124"/>
      <x:c r="J3331" s="124"/>
      <x:c r="M3331" s="126"/>
      <x:c r="P3331" s="126"/>
      <x:c r="Q3331" s="126"/>
      <x:c r="R3331" s="126"/>
      <x:c r="S3331" s="124"/>
      <x:c r="T3331" s="124"/>
      <x:c r="U3331" s="124"/>
      <x:c r="V3331" s="124"/>
      <x:c r="W3331" s="124"/>
      <x:c r="X3331" s="124"/>
      <x:c r="AD3331"/>
      <x:c r="AE3331" s="145"/>
      <x:c r="AF3331" s="145"/>
      <x:c r="AG3331" s="145"/>
      <x:c r="AH3331" s="145"/>
      <x:c r="AI3331" s="145"/>
      <x:c r="AJ3331"/>
    </x:row>
    <x:row r="3332">
      <x:c r="F3332" s="124"/>
      <x:c r="G3332" s="124"/>
      <x:c r="H3332" s="124"/>
      <x:c r="I3332" s="124"/>
      <x:c r="J3332" s="124"/>
      <x:c r="M3332" s="126"/>
      <x:c r="P3332" s="126"/>
      <x:c r="Q3332" s="126"/>
      <x:c r="R3332" s="126"/>
      <x:c r="S3332" s="124"/>
      <x:c r="T3332" s="124"/>
      <x:c r="U3332" s="124"/>
      <x:c r="V3332" s="124"/>
      <x:c r="W3332" s="124"/>
      <x:c r="X3332" s="124"/>
      <x:c r="AD3332"/>
      <x:c r="AE3332" s="145"/>
      <x:c r="AF3332" s="145"/>
      <x:c r="AG3332" s="145"/>
      <x:c r="AH3332" s="145"/>
      <x:c r="AI3332" s="145"/>
      <x:c r="AJ3332"/>
    </x:row>
    <x:row r="3333">
      <x:c r="F3333" s="124"/>
      <x:c r="G3333" s="124"/>
      <x:c r="H3333" s="124"/>
      <x:c r="I3333" s="124"/>
      <x:c r="J3333" s="124"/>
      <x:c r="M3333" s="126"/>
      <x:c r="P3333" s="126"/>
      <x:c r="Q3333" s="126"/>
      <x:c r="R3333" s="126"/>
      <x:c r="S3333" s="124"/>
      <x:c r="T3333" s="124"/>
      <x:c r="U3333" s="124"/>
      <x:c r="V3333" s="124"/>
      <x:c r="W3333" s="124"/>
      <x:c r="X3333" s="124"/>
      <x:c r="AD3333"/>
      <x:c r="AE3333" s="145"/>
      <x:c r="AF3333" s="145"/>
      <x:c r="AG3333" s="145"/>
      <x:c r="AH3333" s="145"/>
      <x:c r="AI3333" s="145"/>
      <x:c r="AJ3333"/>
    </x:row>
    <x:row r="3334">
      <x:c r="F3334" s="124"/>
      <x:c r="G3334" s="124"/>
      <x:c r="H3334" s="124"/>
      <x:c r="I3334" s="124"/>
      <x:c r="J3334" s="124"/>
      <x:c r="M3334" s="126"/>
      <x:c r="P3334" s="126"/>
      <x:c r="Q3334" s="126"/>
      <x:c r="R3334" s="126"/>
      <x:c r="S3334" s="124"/>
      <x:c r="T3334" s="124"/>
      <x:c r="U3334" s="124"/>
      <x:c r="V3334" s="124"/>
      <x:c r="W3334" s="124"/>
      <x:c r="X3334" s="124"/>
      <x:c r="AD3334"/>
      <x:c r="AE3334" s="145"/>
      <x:c r="AF3334" s="145"/>
      <x:c r="AG3334" s="145"/>
      <x:c r="AH3334" s="145"/>
      <x:c r="AI3334" s="145"/>
      <x:c r="AJ3334"/>
    </x:row>
    <x:row r="3335">
      <x:c r="F3335" s="124"/>
      <x:c r="G3335" s="124"/>
      <x:c r="H3335" s="124"/>
      <x:c r="I3335" s="124"/>
      <x:c r="J3335" s="124"/>
      <x:c r="M3335" s="126"/>
      <x:c r="P3335" s="126"/>
      <x:c r="Q3335" s="126"/>
      <x:c r="R3335" s="126"/>
      <x:c r="S3335" s="124"/>
      <x:c r="T3335" s="124"/>
      <x:c r="U3335" s="124"/>
      <x:c r="V3335" s="124"/>
      <x:c r="W3335" s="124"/>
      <x:c r="X3335" s="124"/>
      <x:c r="AD3335"/>
      <x:c r="AE3335" s="145"/>
      <x:c r="AF3335" s="145"/>
      <x:c r="AG3335" s="145"/>
      <x:c r="AH3335" s="145"/>
      <x:c r="AI3335" s="145"/>
      <x:c r="AJ3335"/>
    </x:row>
    <x:row r="3336">
      <x:c r="F3336" s="124"/>
      <x:c r="G3336" s="124"/>
      <x:c r="H3336" s="124"/>
      <x:c r="I3336" s="124"/>
      <x:c r="J3336" s="124"/>
      <x:c r="M3336" s="126"/>
      <x:c r="P3336" s="126"/>
      <x:c r="Q3336" s="126"/>
      <x:c r="R3336" s="126"/>
      <x:c r="S3336" s="124"/>
      <x:c r="T3336" s="124"/>
      <x:c r="U3336" s="124"/>
      <x:c r="V3336" s="124"/>
      <x:c r="W3336" s="124"/>
      <x:c r="X3336" s="124"/>
      <x:c r="AD3336"/>
      <x:c r="AE3336" s="145"/>
      <x:c r="AF3336" s="145"/>
      <x:c r="AG3336" s="145"/>
      <x:c r="AH3336" s="145"/>
      <x:c r="AI3336" s="145"/>
      <x:c r="AJ3336"/>
    </x:row>
    <x:row r="3337">
      <x:c r="F3337" s="124"/>
      <x:c r="G3337" s="124"/>
      <x:c r="H3337" s="124"/>
      <x:c r="I3337" s="124"/>
      <x:c r="J3337" s="124"/>
      <x:c r="M3337" s="126"/>
      <x:c r="P3337" s="126"/>
      <x:c r="Q3337" s="126"/>
      <x:c r="R3337" s="126"/>
      <x:c r="S3337" s="124"/>
      <x:c r="T3337" s="124"/>
      <x:c r="U3337" s="124"/>
      <x:c r="V3337" s="124"/>
      <x:c r="W3337" s="124"/>
      <x:c r="X3337" s="124"/>
      <x:c r="AD3337"/>
      <x:c r="AE3337" s="145"/>
      <x:c r="AF3337" s="145"/>
      <x:c r="AG3337" s="145"/>
      <x:c r="AH3337" s="145"/>
      <x:c r="AI3337" s="145"/>
      <x:c r="AJ3337"/>
    </x:row>
    <x:row r="3338">
      <x:c r="F3338" s="124"/>
      <x:c r="G3338" s="124"/>
      <x:c r="H3338" s="124"/>
      <x:c r="I3338" s="124"/>
      <x:c r="J3338" s="124"/>
      <x:c r="M3338" s="126"/>
      <x:c r="P3338" s="126"/>
      <x:c r="Q3338" s="126"/>
      <x:c r="R3338" s="126"/>
      <x:c r="S3338" s="124"/>
      <x:c r="T3338" s="124"/>
      <x:c r="U3338" s="124"/>
      <x:c r="V3338" s="124"/>
      <x:c r="W3338" s="124"/>
      <x:c r="X3338" s="124"/>
      <x:c r="AD3338"/>
      <x:c r="AE3338" s="145"/>
      <x:c r="AF3338" s="145"/>
      <x:c r="AG3338" s="145"/>
      <x:c r="AH3338" s="145"/>
      <x:c r="AI3338" s="145"/>
      <x:c r="AJ3338"/>
    </x:row>
    <x:row r="3339">
      <x:c r="F3339" s="124"/>
      <x:c r="G3339" s="124"/>
      <x:c r="H3339" s="124"/>
      <x:c r="I3339" s="124"/>
      <x:c r="J3339" s="124"/>
      <x:c r="M3339" s="126"/>
      <x:c r="P3339" s="126"/>
      <x:c r="Q3339" s="126"/>
      <x:c r="R3339" s="126"/>
      <x:c r="S3339" s="124"/>
      <x:c r="T3339" s="124"/>
      <x:c r="U3339" s="124"/>
      <x:c r="V3339" s="124"/>
      <x:c r="W3339" s="124"/>
      <x:c r="X3339" s="124"/>
      <x:c r="AD3339"/>
      <x:c r="AE3339" s="145"/>
      <x:c r="AF3339" s="145"/>
      <x:c r="AG3339" s="145"/>
      <x:c r="AH3339" s="145"/>
      <x:c r="AI3339" s="145"/>
      <x:c r="AJ3339"/>
    </x:row>
    <x:row r="3340">
      <x:c r="F3340" s="124"/>
      <x:c r="G3340" s="124"/>
      <x:c r="H3340" s="124"/>
      <x:c r="I3340" s="124"/>
      <x:c r="J3340" s="124"/>
      <x:c r="M3340" s="126"/>
      <x:c r="P3340" s="126"/>
      <x:c r="Q3340" s="126"/>
      <x:c r="R3340" s="126"/>
      <x:c r="S3340" s="124"/>
      <x:c r="T3340" s="124"/>
      <x:c r="U3340" s="124"/>
      <x:c r="V3340" s="124"/>
      <x:c r="W3340" s="124"/>
      <x:c r="X3340" s="124"/>
      <x:c r="AD3340"/>
      <x:c r="AE3340" s="145"/>
      <x:c r="AF3340" s="145"/>
      <x:c r="AG3340" s="145"/>
      <x:c r="AH3340" s="145"/>
      <x:c r="AI3340" s="145"/>
      <x:c r="AJ3340"/>
    </x:row>
    <x:row r="3341">
      <x:c r="F3341" s="124"/>
      <x:c r="G3341" s="124"/>
      <x:c r="H3341" s="124"/>
      <x:c r="I3341" s="124"/>
      <x:c r="J3341" s="124"/>
      <x:c r="M3341" s="126"/>
      <x:c r="P3341" s="126"/>
      <x:c r="Q3341" s="126"/>
      <x:c r="R3341" s="126"/>
      <x:c r="S3341" s="124"/>
      <x:c r="T3341" s="124"/>
      <x:c r="U3341" s="124"/>
      <x:c r="V3341" s="124"/>
      <x:c r="W3341" s="124"/>
      <x:c r="X3341" s="124"/>
      <x:c r="AD3341"/>
      <x:c r="AE3341" s="145"/>
      <x:c r="AF3341" s="145"/>
      <x:c r="AG3341" s="145"/>
      <x:c r="AH3341" s="145"/>
      <x:c r="AI3341" s="145"/>
      <x:c r="AJ3341"/>
    </x:row>
    <x:row r="3342">
      <x:c r="F3342" s="124"/>
      <x:c r="G3342" s="124"/>
      <x:c r="H3342" s="124"/>
      <x:c r="I3342" s="124"/>
      <x:c r="J3342" s="124"/>
      <x:c r="M3342" s="126"/>
      <x:c r="P3342" s="126"/>
      <x:c r="Q3342" s="126"/>
      <x:c r="R3342" s="126"/>
      <x:c r="S3342" s="124"/>
      <x:c r="T3342" s="124"/>
      <x:c r="U3342" s="124"/>
      <x:c r="V3342" s="124"/>
      <x:c r="W3342" s="124"/>
      <x:c r="X3342" s="124"/>
      <x:c r="AD3342"/>
      <x:c r="AE3342" s="145"/>
      <x:c r="AF3342" s="145"/>
      <x:c r="AG3342" s="145"/>
      <x:c r="AH3342" s="145"/>
      <x:c r="AI3342" s="145"/>
      <x:c r="AJ3342"/>
    </x:row>
    <x:row r="3343">
      <x:c r="F3343" s="124"/>
      <x:c r="G3343" s="124"/>
      <x:c r="H3343" s="124"/>
      <x:c r="I3343" s="124"/>
      <x:c r="J3343" s="124"/>
      <x:c r="M3343" s="126"/>
      <x:c r="P3343" s="126"/>
      <x:c r="Q3343" s="126"/>
      <x:c r="R3343" s="126"/>
      <x:c r="S3343" s="124"/>
      <x:c r="T3343" s="124"/>
      <x:c r="U3343" s="124"/>
      <x:c r="V3343" s="124"/>
      <x:c r="W3343" s="124"/>
      <x:c r="X3343" s="124"/>
      <x:c r="AD3343"/>
      <x:c r="AE3343" s="145"/>
      <x:c r="AF3343" s="145"/>
      <x:c r="AG3343" s="145"/>
      <x:c r="AH3343" s="145"/>
      <x:c r="AI3343" s="145"/>
      <x:c r="AJ3343"/>
    </x:row>
    <x:row r="3344">
      <x:c r="F3344" s="124"/>
      <x:c r="G3344" s="124"/>
      <x:c r="H3344" s="124"/>
      <x:c r="I3344" s="124"/>
      <x:c r="J3344" s="124"/>
      <x:c r="M3344" s="126"/>
      <x:c r="P3344" s="126"/>
      <x:c r="Q3344" s="126"/>
      <x:c r="R3344" s="126"/>
      <x:c r="S3344" s="124"/>
      <x:c r="T3344" s="124"/>
      <x:c r="U3344" s="124"/>
      <x:c r="V3344" s="124"/>
      <x:c r="W3344" s="124"/>
      <x:c r="X3344" s="124"/>
      <x:c r="AD3344"/>
      <x:c r="AE3344" s="145"/>
      <x:c r="AF3344" s="145"/>
      <x:c r="AG3344" s="145"/>
      <x:c r="AH3344" s="145"/>
      <x:c r="AI3344" s="145"/>
      <x:c r="AJ3344"/>
    </x:row>
    <x:row r="3345">
      <x:c r="F3345" s="124"/>
      <x:c r="G3345" s="124"/>
      <x:c r="H3345" s="124"/>
      <x:c r="I3345" s="124"/>
      <x:c r="J3345" s="124"/>
      <x:c r="M3345" s="126"/>
      <x:c r="P3345" s="126"/>
      <x:c r="Q3345" s="126"/>
      <x:c r="R3345" s="126"/>
      <x:c r="S3345" s="124"/>
      <x:c r="T3345" s="124"/>
      <x:c r="U3345" s="124"/>
      <x:c r="V3345" s="124"/>
      <x:c r="W3345" s="124"/>
      <x:c r="X3345" s="124"/>
      <x:c r="AD3345"/>
      <x:c r="AE3345" s="145"/>
      <x:c r="AF3345" s="145"/>
      <x:c r="AG3345" s="145"/>
      <x:c r="AH3345" s="145"/>
      <x:c r="AI3345" s="145"/>
      <x:c r="AJ3345"/>
    </x:row>
    <x:row r="3346">
      <x:c r="F3346" s="124"/>
      <x:c r="G3346" s="124"/>
      <x:c r="H3346" s="124"/>
      <x:c r="I3346" s="124"/>
      <x:c r="J3346" s="124"/>
      <x:c r="M3346" s="126"/>
      <x:c r="P3346" s="126"/>
      <x:c r="Q3346" s="126"/>
      <x:c r="R3346" s="126"/>
      <x:c r="S3346" s="124"/>
      <x:c r="T3346" s="124"/>
      <x:c r="U3346" s="124"/>
      <x:c r="V3346" s="124"/>
      <x:c r="W3346" s="124"/>
      <x:c r="X3346" s="124"/>
      <x:c r="AD3346"/>
      <x:c r="AE3346" s="145"/>
      <x:c r="AF3346" s="145"/>
      <x:c r="AG3346" s="145"/>
      <x:c r="AH3346" s="145"/>
      <x:c r="AI3346" s="145"/>
      <x:c r="AJ3346"/>
    </x:row>
    <x:row r="3347">
      <x:c r="F3347" s="124"/>
      <x:c r="G3347" s="124"/>
      <x:c r="H3347" s="124"/>
      <x:c r="I3347" s="124"/>
      <x:c r="J3347" s="124"/>
      <x:c r="M3347" s="126"/>
      <x:c r="P3347" s="126"/>
      <x:c r="Q3347" s="126"/>
      <x:c r="R3347" s="126"/>
      <x:c r="S3347" s="124"/>
      <x:c r="T3347" s="124"/>
      <x:c r="U3347" s="124"/>
      <x:c r="V3347" s="124"/>
      <x:c r="W3347" s="124"/>
      <x:c r="X3347" s="124"/>
      <x:c r="AD3347"/>
      <x:c r="AE3347" s="145"/>
      <x:c r="AF3347" s="145"/>
      <x:c r="AG3347" s="145"/>
      <x:c r="AH3347" s="145"/>
      <x:c r="AI3347" s="145"/>
      <x:c r="AJ3347"/>
    </x:row>
    <x:row r="3348">
      <x:c r="F3348" s="124"/>
      <x:c r="G3348" s="124"/>
      <x:c r="H3348" s="124"/>
      <x:c r="I3348" s="124"/>
      <x:c r="J3348" s="124"/>
      <x:c r="M3348" s="126"/>
      <x:c r="P3348" s="126"/>
      <x:c r="Q3348" s="126"/>
      <x:c r="R3348" s="126"/>
      <x:c r="S3348" s="124"/>
      <x:c r="T3348" s="124"/>
      <x:c r="U3348" s="124"/>
      <x:c r="V3348" s="124"/>
      <x:c r="W3348" s="124"/>
      <x:c r="X3348" s="124"/>
      <x:c r="AD3348"/>
      <x:c r="AE3348" s="145"/>
      <x:c r="AF3348" s="145"/>
      <x:c r="AG3348" s="145"/>
      <x:c r="AH3348" s="145"/>
      <x:c r="AI3348" s="145"/>
      <x:c r="AJ3348"/>
    </x:row>
    <x:row r="3349">
      <x:c r="F3349" s="124"/>
      <x:c r="G3349" s="124"/>
      <x:c r="H3349" s="124"/>
      <x:c r="I3349" s="124"/>
      <x:c r="J3349" s="124"/>
      <x:c r="M3349" s="126"/>
      <x:c r="P3349" s="126"/>
      <x:c r="Q3349" s="126"/>
      <x:c r="R3349" s="126"/>
      <x:c r="S3349" s="124"/>
      <x:c r="T3349" s="124"/>
      <x:c r="U3349" s="124"/>
      <x:c r="V3349" s="124"/>
      <x:c r="W3349" s="124"/>
      <x:c r="X3349" s="124"/>
      <x:c r="AD3349"/>
      <x:c r="AE3349" s="145"/>
      <x:c r="AF3349" s="145"/>
      <x:c r="AG3349" s="145"/>
      <x:c r="AH3349" s="145"/>
      <x:c r="AI3349" s="145"/>
      <x:c r="AJ3349"/>
    </x:row>
    <x:row r="3350">
      <x:c r="F3350" s="124"/>
      <x:c r="G3350" s="124"/>
      <x:c r="H3350" s="124"/>
      <x:c r="I3350" s="124"/>
      <x:c r="J3350" s="124"/>
      <x:c r="M3350" s="126"/>
      <x:c r="P3350" s="126"/>
      <x:c r="Q3350" s="126"/>
      <x:c r="R3350" s="126"/>
      <x:c r="S3350" s="124"/>
      <x:c r="T3350" s="124"/>
      <x:c r="U3350" s="124"/>
      <x:c r="V3350" s="124"/>
      <x:c r="W3350" s="124"/>
      <x:c r="X3350" s="124"/>
      <x:c r="AD3350"/>
      <x:c r="AE3350" s="145"/>
      <x:c r="AF3350" s="145"/>
      <x:c r="AG3350" s="145"/>
      <x:c r="AH3350" s="145"/>
      <x:c r="AI3350" s="145"/>
      <x:c r="AJ3350"/>
    </x:row>
    <x:row r="3351">
      <x:c r="F3351" s="124"/>
      <x:c r="G3351" s="124"/>
      <x:c r="H3351" s="124"/>
      <x:c r="I3351" s="124"/>
      <x:c r="J3351" s="124"/>
      <x:c r="M3351" s="126"/>
      <x:c r="P3351" s="126"/>
      <x:c r="Q3351" s="126"/>
      <x:c r="R3351" s="126"/>
      <x:c r="S3351" s="124"/>
      <x:c r="T3351" s="124"/>
      <x:c r="U3351" s="124"/>
      <x:c r="V3351" s="124"/>
      <x:c r="W3351" s="124"/>
      <x:c r="X3351" s="124"/>
      <x:c r="AD3351"/>
      <x:c r="AE3351" s="145"/>
      <x:c r="AF3351" s="145"/>
      <x:c r="AG3351" s="145"/>
      <x:c r="AH3351" s="145"/>
      <x:c r="AI3351" s="145"/>
      <x:c r="AJ3351"/>
    </x:row>
    <x:row r="3352">
      <x:c r="F3352" s="124"/>
      <x:c r="G3352" s="124"/>
      <x:c r="H3352" s="124"/>
      <x:c r="I3352" s="124"/>
      <x:c r="J3352" s="124"/>
      <x:c r="M3352" s="126"/>
      <x:c r="P3352" s="126"/>
      <x:c r="Q3352" s="126"/>
      <x:c r="R3352" s="126"/>
      <x:c r="S3352" s="124"/>
      <x:c r="T3352" s="124"/>
      <x:c r="U3352" s="124"/>
      <x:c r="V3352" s="124"/>
      <x:c r="W3352" s="124"/>
      <x:c r="X3352" s="124"/>
      <x:c r="AD3352"/>
      <x:c r="AE3352" s="145"/>
      <x:c r="AF3352" s="145"/>
      <x:c r="AG3352" s="145"/>
      <x:c r="AH3352" s="145"/>
      <x:c r="AI3352" s="145"/>
      <x:c r="AJ3352"/>
    </x:row>
    <x:row r="3353">
      <x:c r="F3353" s="124"/>
      <x:c r="G3353" s="124"/>
      <x:c r="H3353" s="124"/>
      <x:c r="I3353" s="124"/>
      <x:c r="J3353" s="124"/>
      <x:c r="M3353" s="126"/>
      <x:c r="P3353" s="126"/>
      <x:c r="Q3353" s="126"/>
      <x:c r="R3353" s="126"/>
      <x:c r="S3353" s="124"/>
      <x:c r="T3353" s="124"/>
      <x:c r="U3353" s="124"/>
      <x:c r="V3353" s="124"/>
      <x:c r="W3353" s="124"/>
      <x:c r="X3353" s="124"/>
      <x:c r="AD3353"/>
      <x:c r="AE3353" s="145"/>
      <x:c r="AF3353" s="145"/>
      <x:c r="AG3353" s="145"/>
      <x:c r="AH3353" s="145"/>
      <x:c r="AI3353" s="145"/>
      <x:c r="AJ3353"/>
    </x:row>
    <x:row r="3354">
      <x:c r="F3354" s="124"/>
      <x:c r="G3354" s="124"/>
      <x:c r="H3354" s="124"/>
      <x:c r="I3354" s="124"/>
      <x:c r="J3354" s="124"/>
      <x:c r="M3354" s="126"/>
      <x:c r="P3354" s="126"/>
      <x:c r="Q3354" s="126"/>
      <x:c r="R3354" s="126"/>
      <x:c r="S3354" s="124"/>
      <x:c r="T3354" s="124"/>
      <x:c r="U3354" s="124"/>
      <x:c r="V3354" s="124"/>
      <x:c r="W3354" s="124"/>
      <x:c r="X3354" s="124"/>
      <x:c r="AD3354"/>
      <x:c r="AE3354" s="145"/>
      <x:c r="AF3354" s="145"/>
      <x:c r="AG3354" s="145"/>
      <x:c r="AH3354" s="145"/>
      <x:c r="AI3354" s="145"/>
      <x:c r="AJ3354"/>
    </x:row>
    <x:row r="3355">
      <x:c r="F3355" s="124"/>
      <x:c r="G3355" s="124"/>
      <x:c r="H3355" s="124"/>
      <x:c r="I3355" s="124"/>
      <x:c r="J3355" s="124"/>
      <x:c r="M3355" s="126"/>
      <x:c r="P3355" s="126"/>
      <x:c r="Q3355" s="126"/>
      <x:c r="R3355" s="126"/>
      <x:c r="S3355" s="124"/>
      <x:c r="T3355" s="124"/>
      <x:c r="U3355" s="124"/>
      <x:c r="V3355" s="124"/>
      <x:c r="W3355" s="124"/>
      <x:c r="X3355" s="124"/>
      <x:c r="AD3355"/>
      <x:c r="AE3355" s="145"/>
      <x:c r="AF3355" s="145"/>
      <x:c r="AG3355" s="145"/>
      <x:c r="AH3355" s="145"/>
      <x:c r="AI3355" s="145"/>
      <x:c r="AJ3355"/>
    </x:row>
    <x:row r="3356">
      <x:c r="F3356" s="124"/>
      <x:c r="G3356" s="124"/>
      <x:c r="H3356" s="124"/>
      <x:c r="I3356" s="124"/>
      <x:c r="J3356" s="124"/>
      <x:c r="M3356" s="126"/>
      <x:c r="P3356" s="126"/>
      <x:c r="Q3356" s="126"/>
      <x:c r="R3356" s="126"/>
      <x:c r="S3356" s="124"/>
      <x:c r="T3356" s="124"/>
      <x:c r="U3356" s="124"/>
      <x:c r="V3356" s="124"/>
      <x:c r="W3356" s="124"/>
      <x:c r="X3356" s="124"/>
      <x:c r="AD3356"/>
      <x:c r="AE3356" s="145"/>
      <x:c r="AF3356" s="145"/>
      <x:c r="AG3356" s="145"/>
      <x:c r="AH3356" s="145"/>
      <x:c r="AI3356" s="145"/>
      <x:c r="AJ3356"/>
    </x:row>
    <x:row r="3357">
      <x:c r="F3357" s="124"/>
      <x:c r="G3357" s="124"/>
      <x:c r="H3357" s="124"/>
      <x:c r="I3357" s="124"/>
      <x:c r="J3357" s="124"/>
      <x:c r="M3357" s="126"/>
      <x:c r="P3357" s="126"/>
      <x:c r="Q3357" s="126"/>
      <x:c r="R3357" s="126"/>
      <x:c r="S3357" s="124"/>
      <x:c r="T3357" s="124"/>
      <x:c r="U3357" s="124"/>
      <x:c r="V3357" s="124"/>
      <x:c r="W3357" s="124"/>
      <x:c r="X3357" s="124"/>
      <x:c r="AD3357"/>
      <x:c r="AE3357" s="145"/>
      <x:c r="AF3357" s="145"/>
      <x:c r="AG3357" s="145"/>
      <x:c r="AH3357" s="145"/>
      <x:c r="AI3357" s="145"/>
      <x:c r="AJ3357"/>
    </x:row>
    <x:row r="3358">
      <x:c r="F3358" s="124"/>
      <x:c r="G3358" s="124"/>
      <x:c r="H3358" s="124"/>
      <x:c r="I3358" s="124"/>
      <x:c r="J3358" s="124"/>
      <x:c r="M3358" s="126"/>
      <x:c r="P3358" s="126"/>
      <x:c r="Q3358" s="126"/>
      <x:c r="R3358" s="126"/>
      <x:c r="S3358" s="124"/>
      <x:c r="T3358" s="124"/>
      <x:c r="U3358" s="124"/>
      <x:c r="V3358" s="124"/>
      <x:c r="W3358" s="124"/>
      <x:c r="X3358" s="124"/>
      <x:c r="AD3358"/>
      <x:c r="AE3358" s="145"/>
      <x:c r="AF3358" s="145"/>
      <x:c r="AG3358" s="145"/>
      <x:c r="AH3358" s="145"/>
      <x:c r="AI3358" s="145"/>
      <x:c r="AJ3358"/>
    </x:row>
    <x:row r="3359">
      <x:c r="F3359" s="124"/>
      <x:c r="G3359" s="124"/>
      <x:c r="H3359" s="124"/>
      <x:c r="I3359" s="124"/>
      <x:c r="J3359" s="124"/>
      <x:c r="M3359" s="126"/>
      <x:c r="P3359" s="126"/>
      <x:c r="Q3359" s="126"/>
      <x:c r="R3359" s="126"/>
      <x:c r="S3359" s="124"/>
      <x:c r="T3359" s="124"/>
      <x:c r="U3359" s="124"/>
      <x:c r="V3359" s="124"/>
      <x:c r="W3359" s="124"/>
      <x:c r="X3359" s="124"/>
      <x:c r="AD3359"/>
      <x:c r="AE3359" s="145"/>
      <x:c r="AF3359" s="145"/>
      <x:c r="AG3359" s="145"/>
      <x:c r="AH3359" s="145"/>
      <x:c r="AI3359" s="145"/>
      <x:c r="AJ3359"/>
    </x:row>
    <x:row r="3360">
      <x:c r="F3360" s="124"/>
      <x:c r="G3360" s="124"/>
      <x:c r="H3360" s="124"/>
      <x:c r="I3360" s="124"/>
      <x:c r="J3360" s="124"/>
      <x:c r="M3360" s="126"/>
      <x:c r="P3360" s="126"/>
      <x:c r="Q3360" s="126"/>
      <x:c r="R3360" s="126"/>
      <x:c r="S3360" s="124"/>
      <x:c r="T3360" s="124"/>
      <x:c r="U3360" s="124"/>
      <x:c r="V3360" s="124"/>
      <x:c r="W3360" s="124"/>
      <x:c r="X3360" s="124"/>
      <x:c r="AD3360"/>
      <x:c r="AE3360" s="145"/>
      <x:c r="AF3360" s="145"/>
      <x:c r="AG3360" s="145"/>
      <x:c r="AH3360" s="145"/>
      <x:c r="AI3360" s="145"/>
      <x:c r="AJ3360"/>
    </x:row>
    <x:row r="3361">
      <x:c r="F3361" s="124"/>
      <x:c r="G3361" s="124"/>
      <x:c r="H3361" s="124"/>
      <x:c r="I3361" s="124"/>
      <x:c r="J3361" s="124"/>
      <x:c r="M3361" s="126"/>
      <x:c r="P3361" s="126"/>
      <x:c r="Q3361" s="126"/>
      <x:c r="R3361" s="126"/>
      <x:c r="S3361" s="124"/>
      <x:c r="T3361" s="124"/>
      <x:c r="U3361" s="124"/>
      <x:c r="V3361" s="124"/>
      <x:c r="W3361" s="124"/>
      <x:c r="X3361" s="124"/>
      <x:c r="AD3361"/>
      <x:c r="AE3361" s="145"/>
      <x:c r="AF3361" s="145"/>
      <x:c r="AG3361" s="145"/>
      <x:c r="AH3361" s="145"/>
      <x:c r="AI3361" s="145"/>
      <x:c r="AJ3361"/>
    </x:row>
    <x:row r="3362">
      <x:c r="F3362" s="124"/>
      <x:c r="G3362" s="124"/>
      <x:c r="H3362" s="124"/>
      <x:c r="I3362" s="124"/>
      <x:c r="J3362" s="124"/>
      <x:c r="M3362" s="126"/>
      <x:c r="P3362" s="126"/>
      <x:c r="Q3362" s="126"/>
      <x:c r="R3362" s="126"/>
      <x:c r="S3362" s="124"/>
      <x:c r="T3362" s="124"/>
      <x:c r="U3362" s="124"/>
      <x:c r="V3362" s="124"/>
      <x:c r="W3362" s="124"/>
      <x:c r="X3362" s="124"/>
      <x:c r="AD3362"/>
      <x:c r="AE3362" s="145"/>
      <x:c r="AF3362" s="145"/>
      <x:c r="AG3362" s="145"/>
      <x:c r="AH3362" s="145"/>
      <x:c r="AI3362" s="145"/>
      <x:c r="AJ3362"/>
    </x:row>
    <x:row r="3363">
      <x:c r="F3363" s="124"/>
      <x:c r="G3363" s="124"/>
      <x:c r="H3363" s="124"/>
      <x:c r="I3363" s="124"/>
      <x:c r="J3363" s="124"/>
      <x:c r="M3363" s="126"/>
      <x:c r="P3363" s="126"/>
      <x:c r="Q3363" s="126"/>
      <x:c r="R3363" s="126"/>
      <x:c r="S3363" s="124"/>
      <x:c r="T3363" s="124"/>
      <x:c r="U3363" s="124"/>
      <x:c r="V3363" s="124"/>
      <x:c r="W3363" s="124"/>
      <x:c r="X3363" s="124"/>
      <x:c r="AD3363"/>
      <x:c r="AE3363" s="145"/>
      <x:c r="AF3363" s="145"/>
      <x:c r="AG3363" s="145"/>
      <x:c r="AH3363" s="145"/>
      <x:c r="AI3363" s="145"/>
      <x:c r="AJ3363"/>
    </x:row>
    <x:row r="3364">
      <x:c r="F3364" s="124"/>
      <x:c r="G3364" s="124"/>
      <x:c r="H3364" s="124"/>
      <x:c r="I3364" s="124"/>
      <x:c r="J3364" s="124"/>
      <x:c r="M3364" s="126"/>
      <x:c r="P3364" s="126"/>
      <x:c r="Q3364" s="126"/>
      <x:c r="R3364" s="126"/>
      <x:c r="S3364" s="124"/>
      <x:c r="T3364" s="124"/>
      <x:c r="U3364" s="124"/>
      <x:c r="V3364" s="124"/>
      <x:c r="W3364" s="124"/>
      <x:c r="X3364" s="124"/>
      <x:c r="AD3364"/>
      <x:c r="AE3364" s="145"/>
      <x:c r="AF3364" s="145"/>
      <x:c r="AG3364" s="145"/>
      <x:c r="AH3364" s="145"/>
      <x:c r="AI3364" s="145"/>
      <x:c r="AJ3364"/>
    </x:row>
    <x:row r="3365">
      <x:c r="F3365" s="124"/>
      <x:c r="G3365" s="124"/>
      <x:c r="H3365" s="124"/>
      <x:c r="I3365" s="124"/>
      <x:c r="J3365" s="124"/>
      <x:c r="M3365" s="126"/>
      <x:c r="P3365" s="126"/>
      <x:c r="Q3365" s="126"/>
      <x:c r="R3365" s="126"/>
      <x:c r="S3365" s="124"/>
      <x:c r="T3365" s="124"/>
      <x:c r="U3365" s="124"/>
      <x:c r="V3365" s="124"/>
      <x:c r="W3365" s="124"/>
      <x:c r="X3365" s="124"/>
      <x:c r="AD3365"/>
      <x:c r="AE3365" s="145"/>
      <x:c r="AF3365" s="145"/>
      <x:c r="AG3365" s="145"/>
      <x:c r="AH3365" s="145"/>
      <x:c r="AI3365" s="145"/>
      <x:c r="AJ3365"/>
    </x:row>
    <x:row r="3366">
      <x:c r="F3366" s="124"/>
      <x:c r="G3366" s="124"/>
      <x:c r="H3366" s="124"/>
      <x:c r="I3366" s="124"/>
      <x:c r="J3366" s="124"/>
      <x:c r="M3366" s="126"/>
      <x:c r="P3366" s="126"/>
      <x:c r="Q3366" s="126"/>
      <x:c r="R3366" s="126"/>
      <x:c r="S3366" s="124"/>
      <x:c r="T3366" s="124"/>
      <x:c r="U3366" s="124"/>
      <x:c r="V3366" s="124"/>
      <x:c r="W3366" s="124"/>
      <x:c r="X3366" s="124"/>
      <x:c r="AD3366"/>
      <x:c r="AE3366" s="145"/>
      <x:c r="AF3366" s="145"/>
      <x:c r="AG3366" s="145"/>
      <x:c r="AH3366" s="145"/>
      <x:c r="AI3366" s="145"/>
      <x:c r="AJ3366"/>
    </x:row>
    <x:row r="3367">
      <x:c r="F3367" s="124"/>
      <x:c r="G3367" s="124"/>
      <x:c r="H3367" s="124"/>
      <x:c r="I3367" s="124"/>
      <x:c r="J3367" s="124"/>
      <x:c r="M3367" s="126"/>
      <x:c r="P3367" s="126"/>
      <x:c r="Q3367" s="126"/>
      <x:c r="R3367" s="126"/>
      <x:c r="S3367" s="124"/>
      <x:c r="T3367" s="124"/>
      <x:c r="U3367" s="124"/>
      <x:c r="V3367" s="124"/>
      <x:c r="W3367" s="124"/>
      <x:c r="X3367" s="124"/>
      <x:c r="AD3367"/>
      <x:c r="AE3367" s="145"/>
      <x:c r="AF3367" s="145"/>
      <x:c r="AG3367" s="145"/>
      <x:c r="AH3367" s="145"/>
      <x:c r="AI3367" s="145"/>
      <x:c r="AJ3367"/>
    </x:row>
    <x:row r="3368">
      <x:c r="F3368" s="124"/>
      <x:c r="G3368" s="124"/>
      <x:c r="H3368" s="124"/>
      <x:c r="I3368" s="124"/>
      <x:c r="J3368" s="124"/>
      <x:c r="M3368" s="126"/>
      <x:c r="P3368" s="126"/>
      <x:c r="Q3368" s="126"/>
      <x:c r="R3368" s="126"/>
      <x:c r="S3368" s="124"/>
      <x:c r="T3368" s="124"/>
      <x:c r="U3368" s="124"/>
      <x:c r="V3368" s="124"/>
      <x:c r="W3368" s="124"/>
      <x:c r="X3368" s="124"/>
      <x:c r="AD3368"/>
      <x:c r="AE3368" s="145"/>
      <x:c r="AF3368" s="145"/>
      <x:c r="AG3368" s="145"/>
      <x:c r="AH3368" s="145"/>
      <x:c r="AI3368" s="145"/>
      <x:c r="AJ3368"/>
    </x:row>
    <x:row r="3369">
      <x:c r="F3369" s="124"/>
      <x:c r="G3369" s="124"/>
      <x:c r="H3369" s="124"/>
      <x:c r="I3369" s="124"/>
      <x:c r="J3369" s="124"/>
      <x:c r="M3369" s="126"/>
      <x:c r="P3369" s="126"/>
      <x:c r="Q3369" s="126"/>
      <x:c r="R3369" s="126"/>
      <x:c r="S3369" s="124"/>
      <x:c r="T3369" s="124"/>
      <x:c r="U3369" s="124"/>
      <x:c r="V3369" s="124"/>
      <x:c r="W3369" s="124"/>
      <x:c r="X3369" s="124"/>
      <x:c r="AD3369"/>
      <x:c r="AE3369" s="145"/>
      <x:c r="AF3369" s="145"/>
      <x:c r="AG3369" s="145"/>
      <x:c r="AH3369" s="145"/>
      <x:c r="AI3369" s="145"/>
      <x:c r="AJ3369"/>
    </x:row>
    <x:row r="3370">
      <x:c r="F3370" s="124"/>
      <x:c r="G3370" s="124"/>
      <x:c r="H3370" s="124"/>
      <x:c r="I3370" s="124"/>
      <x:c r="J3370" s="124"/>
      <x:c r="M3370" s="126"/>
      <x:c r="P3370" s="126"/>
      <x:c r="Q3370" s="126"/>
      <x:c r="R3370" s="126"/>
      <x:c r="S3370" s="124"/>
      <x:c r="T3370" s="124"/>
      <x:c r="U3370" s="124"/>
      <x:c r="V3370" s="124"/>
      <x:c r="W3370" s="124"/>
      <x:c r="X3370" s="124"/>
      <x:c r="AD3370"/>
      <x:c r="AE3370" s="145"/>
      <x:c r="AF3370" s="145"/>
      <x:c r="AG3370" s="145"/>
      <x:c r="AH3370" s="145"/>
      <x:c r="AI3370" s="145"/>
      <x:c r="AJ3370"/>
    </x:row>
    <x:row r="3371">
      <x:c r="F3371" s="124"/>
      <x:c r="G3371" s="124"/>
      <x:c r="H3371" s="124"/>
      <x:c r="I3371" s="124"/>
      <x:c r="J3371" s="124"/>
      <x:c r="M3371" s="126"/>
      <x:c r="P3371" s="126"/>
      <x:c r="Q3371" s="126"/>
      <x:c r="R3371" s="126"/>
      <x:c r="S3371" s="124"/>
      <x:c r="T3371" s="124"/>
      <x:c r="U3371" s="124"/>
      <x:c r="V3371" s="124"/>
      <x:c r="W3371" s="124"/>
      <x:c r="X3371" s="124"/>
      <x:c r="AD3371"/>
      <x:c r="AE3371" s="145"/>
      <x:c r="AF3371" s="145"/>
      <x:c r="AG3371" s="145"/>
      <x:c r="AH3371" s="145"/>
      <x:c r="AI3371" s="145"/>
      <x:c r="AJ3371"/>
    </x:row>
    <x:row r="3372">
      <x:c r="F3372" s="124"/>
      <x:c r="G3372" s="124"/>
      <x:c r="H3372" s="124"/>
      <x:c r="I3372" s="124"/>
      <x:c r="J3372" s="124"/>
      <x:c r="M3372" s="126"/>
      <x:c r="P3372" s="126"/>
      <x:c r="Q3372" s="126"/>
      <x:c r="R3372" s="126"/>
      <x:c r="S3372" s="124"/>
      <x:c r="T3372" s="124"/>
      <x:c r="U3372" s="124"/>
      <x:c r="V3372" s="124"/>
      <x:c r="W3372" s="124"/>
      <x:c r="X3372" s="124"/>
      <x:c r="AD3372"/>
      <x:c r="AE3372" s="145"/>
      <x:c r="AF3372" s="145"/>
      <x:c r="AG3372" s="145"/>
      <x:c r="AH3372" s="145"/>
      <x:c r="AI3372" s="145"/>
      <x:c r="AJ3372"/>
    </x:row>
    <x:row r="3373">
      <x:c r="F3373" s="124"/>
      <x:c r="G3373" s="124"/>
      <x:c r="H3373" s="124"/>
      <x:c r="I3373" s="124"/>
      <x:c r="J3373" s="124"/>
      <x:c r="M3373" s="126"/>
      <x:c r="P3373" s="126"/>
      <x:c r="Q3373" s="126"/>
      <x:c r="R3373" s="126"/>
      <x:c r="S3373" s="124"/>
      <x:c r="T3373" s="124"/>
      <x:c r="U3373" s="124"/>
      <x:c r="V3373" s="124"/>
      <x:c r="W3373" s="124"/>
      <x:c r="X3373" s="124"/>
      <x:c r="AD3373"/>
      <x:c r="AE3373" s="145"/>
      <x:c r="AF3373" s="145"/>
      <x:c r="AG3373" s="145"/>
      <x:c r="AH3373" s="145"/>
      <x:c r="AI3373" s="145"/>
      <x:c r="AJ3373"/>
    </x:row>
    <x:row r="3374">
      <x:c r="F3374" s="124"/>
      <x:c r="G3374" s="124"/>
      <x:c r="H3374" s="124"/>
      <x:c r="I3374" s="124"/>
      <x:c r="J3374" s="124"/>
      <x:c r="M3374" s="126"/>
      <x:c r="P3374" s="126"/>
      <x:c r="Q3374" s="126"/>
      <x:c r="R3374" s="126"/>
      <x:c r="S3374" s="124"/>
      <x:c r="T3374" s="124"/>
      <x:c r="U3374" s="124"/>
      <x:c r="V3374" s="124"/>
      <x:c r="W3374" s="124"/>
      <x:c r="X3374" s="124"/>
      <x:c r="AD3374"/>
      <x:c r="AE3374" s="145"/>
      <x:c r="AF3374" s="145"/>
      <x:c r="AG3374" s="145"/>
      <x:c r="AH3374" s="145"/>
      <x:c r="AI3374" s="145"/>
      <x:c r="AJ3374"/>
    </x:row>
    <x:row r="3375">
      <x:c r="F3375" s="124"/>
      <x:c r="G3375" s="124"/>
      <x:c r="H3375" s="124"/>
      <x:c r="I3375" s="124"/>
      <x:c r="J3375" s="124"/>
      <x:c r="M3375" s="126"/>
      <x:c r="P3375" s="126"/>
      <x:c r="Q3375" s="126"/>
      <x:c r="R3375" s="126"/>
      <x:c r="S3375" s="124"/>
      <x:c r="T3375" s="124"/>
      <x:c r="U3375" s="124"/>
      <x:c r="V3375" s="124"/>
      <x:c r="W3375" s="124"/>
      <x:c r="X3375" s="124"/>
      <x:c r="AD3375"/>
      <x:c r="AE3375" s="145"/>
      <x:c r="AF3375" s="145"/>
      <x:c r="AG3375" s="145"/>
      <x:c r="AH3375" s="145"/>
      <x:c r="AI3375" s="145"/>
      <x:c r="AJ3375"/>
    </x:row>
    <x:row r="3376">
      <x:c r="F3376" s="124"/>
      <x:c r="G3376" s="124"/>
      <x:c r="H3376" s="124"/>
      <x:c r="I3376" s="124"/>
      <x:c r="J3376" s="124"/>
      <x:c r="M3376" s="126"/>
      <x:c r="P3376" s="126"/>
      <x:c r="Q3376" s="126"/>
      <x:c r="R3376" s="126"/>
      <x:c r="S3376" s="124"/>
      <x:c r="T3376" s="124"/>
      <x:c r="U3376" s="124"/>
      <x:c r="V3376" s="124"/>
      <x:c r="W3376" s="124"/>
      <x:c r="X3376" s="124"/>
      <x:c r="AD3376"/>
      <x:c r="AE3376" s="145"/>
      <x:c r="AF3376" s="145"/>
      <x:c r="AG3376" s="145"/>
      <x:c r="AH3376" s="145"/>
      <x:c r="AI3376" s="145"/>
      <x:c r="AJ3376"/>
    </x:row>
    <x:row r="3377">
      <x:c r="F3377" s="124"/>
      <x:c r="G3377" s="124"/>
      <x:c r="H3377" s="124"/>
      <x:c r="I3377" s="124"/>
      <x:c r="J3377" s="124"/>
      <x:c r="M3377" s="126"/>
      <x:c r="P3377" s="126"/>
      <x:c r="Q3377" s="126"/>
      <x:c r="R3377" s="126"/>
      <x:c r="S3377" s="124"/>
      <x:c r="T3377" s="124"/>
      <x:c r="U3377" s="124"/>
      <x:c r="V3377" s="124"/>
      <x:c r="W3377" s="124"/>
      <x:c r="X3377" s="124"/>
      <x:c r="AD3377"/>
      <x:c r="AE3377" s="145"/>
      <x:c r="AF3377" s="145"/>
      <x:c r="AG3377" s="145"/>
      <x:c r="AH3377" s="145"/>
      <x:c r="AI3377" s="145"/>
      <x:c r="AJ3377"/>
    </x:row>
    <x:row r="3378">
      <x:c r="F3378" s="124"/>
      <x:c r="G3378" s="124"/>
      <x:c r="H3378" s="124"/>
      <x:c r="I3378" s="124"/>
      <x:c r="J3378" s="124"/>
      <x:c r="M3378" s="126"/>
      <x:c r="P3378" s="126"/>
      <x:c r="Q3378" s="126"/>
      <x:c r="R3378" s="126"/>
      <x:c r="S3378" s="124"/>
      <x:c r="T3378" s="124"/>
      <x:c r="U3378" s="124"/>
      <x:c r="V3378" s="124"/>
      <x:c r="W3378" s="124"/>
      <x:c r="X3378" s="124"/>
      <x:c r="AD3378"/>
      <x:c r="AE3378" s="145"/>
      <x:c r="AF3378" s="145"/>
      <x:c r="AG3378" s="145"/>
      <x:c r="AH3378" s="145"/>
      <x:c r="AI3378" s="145"/>
      <x:c r="AJ3378"/>
    </x:row>
    <x:row r="3379">
      <x:c r="F3379" s="124"/>
      <x:c r="G3379" s="124"/>
      <x:c r="H3379" s="124"/>
      <x:c r="I3379" s="124"/>
      <x:c r="J3379" s="124"/>
      <x:c r="M3379" s="126"/>
      <x:c r="P3379" s="126"/>
      <x:c r="Q3379" s="126"/>
      <x:c r="R3379" s="126"/>
      <x:c r="S3379" s="124"/>
      <x:c r="T3379" s="124"/>
      <x:c r="U3379" s="124"/>
      <x:c r="V3379" s="124"/>
      <x:c r="W3379" s="124"/>
      <x:c r="X3379" s="124"/>
      <x:c r="AD3379"/>
      <x:c r="AE3379" s="145"/>
      <x:c r="AF3379" s="145"/>
      <x:c r="AG3379" s="145"/>
      <x:c r="AH3379" s="145"/>
      <x:c r="AI3379" s="145"/>
      <x:c r="AJ3379"/>
    </x:row>
    <x:row r="3380">
      <x:c r="F3380" s="124"/>
      <x:c r="G3380" s="124"/>
      <x:c r="H3380" s="124"/>
      <x:c r="I3380" s="124"/>
      <x:c r="J3380" s="124"/>
      <x:c r="M3380" s="126"/>
      <x:c r="P3380" s="126"/>
      <x:c r="Q3380" s="126"/>
      <x:c r="R3380" s="126"/>
      <x:c r="S3380" s="124"/>
      <x:c r="T3380" s="124"/>
      <x:c r="U3380" s="124"/>
      <x:c r="V3380" s="124"/>
      <x:c r="W3380" s="124"/>
      <x:c r="X3380" s="124"/>
      <x:c r="AD3380"/>
      <x:c r="AE3380" s="145"/>
      <x:c r="AF3380" s="145"/>
      <x:c r="AG3380" s="145"/>
      <x:c r="AH3380" s="145"/>
      <x:c r="AI3380" s="145"/>
      <x:c r="AJ3380"/>
    </x:row>
    <x:row r="3381">
      <x:c r="F3381" s="124"/>
      <x:c r="G3381" s="124"/>
      <x:c r="H3381" s="124"/>
      <x:c r="I3381" s="124"/>
      <x:c r="J3381" s="124"/>
      <x:c r="M3381" s="126"/>
      <x:c r="P3381" s="126"/>
      <x:c r="Q3381" s="126"/>
      <x:c r="R3381" s="126"/>
      <x:c r="S3381" s="124"/>
      <x:c r="T3381" s="124"/>
      <x:c r="U3381" s="124"/>
      <x:c r="V3381" s="124"/>
      <x:c r="W3381" s="124"/>
      <x:c r="X3381" s="124"/>
      <x:c r="AD3381"/>
      <x:c r="AE3381" s="145"/>
      <x:c r="AF3381" s="145"/>
      <x:c r="AG3381" s="145"/>
      <x:c r="AH3381" s="145"/>
      <x:c r="AI3381" s="145"/>
      <x:c r="AJ3381"/>
    </x:row>
    <x:row r="3382">
      <x:c r="F3382" s="124"/>
      <x:c r="G3382" s="124"/>
      <x:c r="H3382" s="124"/>
      <x:c r="I3382" s="124"/>
      <x:c r="J3382" s="124"/>
      <x:c r="M3382" s="126"/>
      <x:c r="P3382" s="126"/>
      <x:c r="Q3382" s="126"/>
      <x:c r="R3382" s="126"/>
      <x:c r="S3382" s="124"/>
      <x:c r="T3382" s="124"/>
      <x:c r="U3382" s="124"/>
      <x:c r="V3382" s="124"/>
      <x:c r="W3382" s="124"/>
      <x:c r="X3382" s="124"/>
      <x:c r="AD3382"/>
      <x:c r="AE3382" s="145"/>
      <x:c r="AF3382" s="145"/>
      <x:c r="AG3382" s="145"/>
      <x:c r="AH3382" s="145"/>
      <x:c r="AI3382" s="145"/>
      <x:c r="AJ3382"/>
    </x:row>
    <x:row r="3383">
      <x:c r="F3383" s="124"/>
      <x:c r="G3383" s="124"/>
      <x:c r="H3383" s="124"/>
      <x:c r="I3383" s="124"/>
      <x:c r="J3383" s="124"/>
      <x:c r="M3383" s="126"/>
      <x:c r="P3383" s="126"/>
      <x:c r="Q3383" s="126"/>
      <x:c r="R3383" s="126"/>
      <x:c r="S3383" s="124"/>
      <x:c r="T3383" s="124"/>
      <x:c r="U3383" s="124"/>
      <x:c r="V3383" s="124"/>
      <x:c r="W3383" s="124"/>
      <x:c r="X3383" s="124"/>
      <x:c r="AD3383"/>
      <x:c r="AE3383" s="145"/>
      <x:c r="AF3383" s="145"/>
      <x:c r="AG3383" s="145"/>
      <x:c r="AH3383" s="145"/>
      <x:c r="AI3383" s="145"/>
      <x:c r="AJ3383"/>
    </x:row>
    <x:row r="3384">
      <x:c r="F3384" s="124"/>
      <x:c r="G3384" s="124"/>
      <x:c r="H3384" s="124"/>
      <x:c r="I3384" s="124"/>
      <x:c r="J3384" s="124"/>
      <x:c r="M3384" s="126"/>
      <x:c r="P3384" s="126"/>
      <x:c r="Q3384" s="126"/>
      <x:c r="R3384" s="126"/>
      <x:c r="S3384" s="124"/>
      <x:c r="T3384" s="124"/>
      <x:c r="U3384" s="124"/>
      <x:c r="V3384" s="124"/>
      <x:c r="W3384" s="124"/>
      <x:c r="X3384" s="124"/>
      <x:c r="AD3384"/>
      <x:c r="AE3384" s="145"/>
      <x:c r="AF3384" s="145"/>
      <x:c r="AG3384" s="145"/>
      <x:c r="AH3384" s="145"/>
      <x:c r="AI3384" s="145"/>
      <x:c r="AJ3384"/>
    </x:row>
    <x:row r="3385">
      <x:c r="F3385" s="124"/>
      <x:c r="G3385" s="124"/>
      <x:c r="H3385" s="124"/>
      <x:c r="I3385" s="124"/>
      <x:c r="J3385" s="124"/>
      <x:c r="M3385" s="126"/>
      <x:c r="P3385" s="126"/>
      <x:c r="Q3385" s="126"/>
      <x:c r="R3385" s="126"/>
      <x:c r="S3385" s="124"/>
      <x:c r="T3385" s="124"/>
      <x:c r="U3385" s="124"/>
      <x:c r="V3385" s="124"/>
      <x:c r="W3385" s="124"/>
      <x:c r="X3385" s="124"/>
      <x:c r="AD3385"/>
      <x:c r="AE3385" s="145"/>
      <x:c r="AF3385" s="145"/>
      <x:c r="AG3385" s="145"/>
      <x:c r="AH3385" s="145"/>
      <x:c r="AI3385" s="145"/>
      <x:c r="AJ3385"/>
    </x:row>
    <x:row r="3386">
      <x:c r="F3386" s="124"/>
      <x:c r="G3386" s="124"/>
      <x:c r="H3386" s="124"/>
      <x:c r="I3386" s="124"/>
      <x:c r="J3386" s="124"/>
      <x:c r="M3386" s="126"/>
      <x:c r="P3386" s="126"/>
      <x:c r="Q3386" s="126"/>
      <x:c r="R3386" s="126"/>
      <x:c r="S3386" s="124"/>
      <x:c r="T3386" s="124"/>
      <x:c r="U3386" s="124"/>
      <x:c r="V3386" s="124"/>
      <x:c r="W3386" s="124"/>
      <x:c r="X3386" s="124"/>
      <x:c r="AD3386"/>
      <x:c r="AE3386" s="145"/>
      <x:c r="AF3386" s="145"/>
      <x:c r="AG3386" s="145"/>
      <x:c r="AH3386" s="145"/>
      <x:c r="AI3386" s="145"/>
      <x:c r="AJ3386"/>
    </x:row>
    <x:row r="3387">
      <x:c r="F3387" s="124"/>
      <x:c r="G3387" s="124"/>
      <x:c r="H3387" s="124"/>
      <x:c r="I3387" s="124"/>
      <x:c r="J3387" s="124"/>
      <x:c r="M3387" s="126"/>
      <x:c r="P3387" s="126"/>
      <x:c r="Q3387" s="126"/>
      <x:c r="R3387" s="126"/>
      <x:c r="S3387" s="124"/>
      <x:c r="T3387" s="124"/>
      <x:c r="U3387" s="124"/>
      <x:c r="V3387" s="124"/>
      <x:c r="W3387" s="124"/>
      <x:c r="X3387" s="124"/>
      <x:c r="AD3387"/>
      <x:c r="AE3387" s="145"/>
      <x:c r="AF3387" s="145"/>
      <x:c r="AG3387" s="145"/>
      <x:c r="AH3387" s="145"/>
      <x:c r="AI3387" s="145"/>
      <x:c r="AJ3387"/>
    </x:row>
    <x:row r="3388">
      <x:c r="F3388" s="124"/>
      <x:c r="G3388" s="124"/>
      <x:c r="H3388" s="124"/>
      <x:c r="I3388" s="124"/>
      <x:c r="J3388" s="124"/>
      <x:c r="M3388" s="126"/>
      <x:c r="P3388" s="126"/>
      <x:c r="Q3388" s="126"/>
      <x:c r="R3388" s="126"/>
      <x:c r="S3388" s="124"/>
      <x:c r="T3388" s="124"/>
      <x:c r="U3388" s="124"/>
      <x:c r="V3388" s="124"/>
      <x:c r="W3388" s="124"/>
      <x:c r="X3388" s="124"/>
      <x:c r="AD3388"/>
      <x:c r="AE3388" s="145"/>
      <x:c r="AF3388" s="145"/>
      <x:c r="AG3388" s="145"/>
      <x:c r="AH3388" s="145"/>
      <x:c r="AI3388" s="145"/>
      <x:c r="AJ3388"/>
    </x:row>
    <x:row r="3389">
      <x:c r="F3389" s="124"/>
      <x:c r="G3389" s="124"/>
      <x:c r="H3389" s="124"/>
      <x:c r="I3389" s="124"/>
      <x:c r="J3389" s="124"/>
      <x:c r="M3389" s="126"/>
      <x:c r="P3389" s="126"/>
      <x:c r="Q3389" s="126"/>
      <x:c r="R3389" s="126"/>
      <x:c r="S3389" s="124"/>
      <x:c r="T3389" s="124"/>
      <x:c r="U3389" s="124"/>
      <x:c r="V3389" s="124"/>
      <x:c r="W3389" s="124"/>
      <x:c r="X3389" s="124"/>
      <x:c r="AD3389"/>
      <x:c r="AE3389" s="145"/>
      <x:c r="AF3389" s="145"/>
      <x:c r="AG3389" s="145"/>
      <x:c r="AH3389" s="145"/>
      <x:c r="AI3389" s="145"/>
      <x:c r="AJ3389"/>
    </x:row>
    <x:row r="3390">
      <x:c r="F3390" s="124"/>
      <x:c r="G3390" s="124"/>
      <x:c r="H3390" s="124"/>
      <x:c r="I3390" s="124"/>
      <x:c r="J3390" s="124"/>
      <x:c r="M3390" s="126"/>
      <x:c r="P3390" s="126"/>
      <x:c r="Q3390" s="126"/>
      <x:c r="R3390" s="126"/>
      <x:c r="S3390" s="124"/>
      <x:c r="T3390" s="124"/>
      <x:c r="U3390" s="124"/>
      <x:c r="V3390" s="124"/>
      <x:c r="W3390" s="124"/>
      <x:c r="X3390" s="124"/>
      <x:c r="AD3390"/>
      <x:c r="AE3390" s="145"/>
      <x:c r="AF3390" s="145"/>
      <x:c r="AG3390" s="145"/>
      <x:c r="AH3390" s="145"/>
      <x:c r="AI3390" s="145"/>
      <x:c r="AJ3390"/>
    </x:row>
    <x:row r="3391">
      <x:c r="F3391" s="124"/>
      <x:c r="G3391" s="124"/>
      <x:c r="H3391" s="124"/>
      <x:c r="I3391" s="124"/>
      <x:c r="J3391" s="124"/>
      <x:c r="M3391" s="126"/>
      <x:c r="P3391" s="126"/>
      <x:c r="Q3391" s="126"/>
      <x:c r="R3391" s="126"/>
      <x:c r="S3391" s="124"/>
      <x:c r="T3391" s="124"/>
      <x:c r="U3391" s="124"/>
      <x:c r="V3391" s="124"/>
      <x:c r="W3391" s="124"/>
      <x:c r="X3391" s="124"/>
      <x:c r="AD3391"/>
      <x:c r="AE3391" s="145"/>
      <x:c r="AF3391" s="145"/>
      <x:c r="AG3391" s="145"/>
      <x:c r="AH3391" s="145"/>
      <x:c r="AI3391" s="145"/>
      <x:c r="AJ3391"/>
    </x:row>
    <x:row r="3392">
      <x:c r="F3392" s="124"/>
      <x:c r="G3392" s="124"/>
      <x:c r="H3392" s="124"/>
      <x:c r="I3392" s="124"/>
      <x:c r="J3392" s="124"/>
      <x:c r="M3392" s="126"/>
      <x:c r="P3392" s="126"/>
      <x:c r="Q3392" s="126"/>
      <x:c r="R3392" s="126"/>
      <x:c r="S3392" s="124"/>
      <x:c r="T3392" s="124"/>
      <x:c r="U3392" s="124"/>
      <x:c r="V3392" s="124"/>
      <x:c r="W3392" s="124"/>
      <x:c r="X3392" s="124"/>
      <x:c r="AD3392"/>
      <x:c r="AE3392" s="145"/>
      <x:c r="AF3392" s="145"/>
      <x:c r="AG3392" s="145"/>
      <x:c r="AH3392" s="145"/>
      <x:c r="AI3392" s="145"/>
      <x:c r="AJ3392"/>
    </x:row>
    <x:row r="3393">
      <x:c r="F3393" s="124"/>
      <x:c r="G3393" s="124"/>
      <x:c r="H3393" s="124"/>
      <x:c r="I3393" s="124"/>
      <x:c r="J3393" s="124"/>
      <x:c r="M3393" s="126"/>
      <x:c r="P3393" s="126"/>
      <x:c r="Q3393" s="126"/>
      <x:c r="R3393" s="126"/>
      <x:c r="S3393" s="124"/>
      <x:c r="T3393" s="124"/>
      <x:c r="U3393" s="124"/>
      <x:c r="V3393" s="124"/>
      <x:c r="W3393" s="124"/>
      <x:c r="X3393" s="124"/>
      <x:c r="AD3393"/>
      <x:c r="AE3393" s="145"/>
      <x:c r="AF3393" s="145"/>
      <x:c r="AG3393" s="145"/>
      <x:c r="AH3393" s="145"/>
      <x:c r="AI3393" s="145"/>
      <x:c r="AJ3393"/>
    </x:row>
    <x:row r="3394">
      <x:c r="F3394" s="124"/>
      <x:c r="G3394" s="124"/>
      <x:c r="H3394" s="124"/>
      <x:c r="I3394" s="124"/>
      <x:c r="J3394" s="124"/>
      <x:c r="M3394" s="126"/>
      <x:c r="P3394" s="126"/>
      <x:c r="Q3394" s="126"/>
      <x:c r="R3394" s="126"/>
      <x:c r="S3394" s="124"/>
      <x:c r="T3394" s="124"/>
      <x:c r="U3394" s="124"/>
      <x:c r="V3394" s="124"/>
      <x:c r="W3394" s="124"/>
      <x:c r="X3394" s="124"/>
      <x:c r="AD3394"/>
      <x:c r="AE3394" s="145"/>
      <x:c r="AF3394" s="145"/>
      <x:c r="AG3394" s="145"/>
      <x:c r="AH3394" s="145"/>
      <x:c r="AI3394" s="145"/>
      <x:c r="AJ3394"/>
    </x:row>
    <x:row r="3395">
      <x:c r="F3395" s="124"/>
      <x:c r="G3395" s="124"/>
      <x:c r="H3395" s="124"/>
      <x:c r="I3395" s="124"/>
      <x:c r="J3395" s="124"/>
      <x:c r="M3395" s="126"/>
      <x:c r="P3395" s="126"/>
      <x:c r="Q3395" s="126"/>
      <x:c r="R3395" s="126"/>
      <x:c r="S3395" s="124"/>
      <x:c r="T3395" s="124"/>
      <x:c r="U3395" s="124"/>
      <x:c r="V3395" s="124"/>
      <x:c r="W3395" s="124"/>
      <x:c r="X3395" s="124"/>
      <x:c r="AD3395"/>
      <x:c r="AE3395" s="145"/>
      <x:c r="AF3395" s="145"/>
      <x:c r="AG3395" s="145"/>
      <x:c r="AH3395" s="145"/>
      <x:c r="AI3395" s="145"/>
      <x:c r="AJ3395"/>
    </x:row>
    <x:row r="3396">
      <x:c r="F3396" s="124"/>
      <x:c r="G3396" s="124"/>
      <x:c r="H3396" s="124"/>
      <x:c r="I3396" s="124"/>
      <x:c r="J3396" s="124"/>
      <x:c r="M3396" s="126"/>
      <x:c r="P3396" s="126"/>
      <x:c r="Q3396" s="126"/>
      <x:c r="R3396" s="126"/>
      <x:c r="S3396" s="124"/>
      <x:c r="T3396" s="124"/>
      <x:c r="U3396" s="124"/>
      <x:c r="V3396" s="124"/>
      <x:c r="W3396" s="124"/>
      <x:c r="X3396" s="124"/>
      <x:c r="AD3396"/>
      <x:c r="AE3396" s="145"/>
      <x:c r="AF3396" s="145"/>
      <x:c r="AG3396" s="145"/>
      <x:c r="AH3396" s="145"/>
      <x:c r="AI3396" s="145"/>
      <x:c r="AJ3396"/>
    </x:row>
    <x:row r="3397">
      <x:c r="F3397" s="124"/>
      <x:c r="G3397" s="124"/>
      <x:c r="H3397" s="124"/>
      <x:c r="I3397" s="124"/>
      <x:c r="J3397" s="124"/>
      <x:c r="M3397" s="126"/>
      <x:c r="P3397" s="126"/>
      <x:c r="Q3397" s="126"/>
      <x:c r="R3397" s="126"/>
      <x:c r="S3397" s="124"/>
      <x:c r="T3397" s="124"/>
      <x:c r="U3397" s="124"/>
      <x:c r="V3397" s="124"/>
      <x:c r="W3397" s="124"/>
      <x:c r="X3397" s="124"/>
      <x:c r="AD3397"/>
      <x:c r="AE3397" s="145"/>
      <x:c r="AF3397" s="145"/>
      <x:c r="AG3397" s="145"/>
      <x:c r="AH3397" s="145"/>
      <x:c r="AI3397" s="145"/>
      <x:c r="AJ3397"/>
    </x:row>
    <x:row r="3398">
      <x:c r="F3398" s="124"/>
      <x:c r="G3398" s="124"/>
      <x:c r="H3398" s="124"/>
      <x:c r="I3398" s="124"/>
      <x:c r="J3398" s="124"/>
      <x:c r="M3398" s="126"/>
      <x:c r="P3398" s="126"/>
      <x:c r="Q3398" s="126"/>
      <x:c r="R3398" s="126"/>
      <x:c r="S3398" s="124"/>
      <x:c r="T3398" s="124"/>
      <x:c r="U3398" s="124"/>
      <x:c r="V3398" s="124"/>
      <x:c r="W3398" s="124"/>
      <x:c r="X3398" s="124"/>
      <x:c r="AD3398"/>
      <x:c r="AE3398" s="145"/>
      <x:c r="AF3398" s="145"/>
      <x:c r="AG3398" s="145"/>
      <x:c r="AH3398" s="145"/>
      <x:c r="AI3398" s="145"/>
      <x:c r="AJ3398"/>
    </x:row>
    <x:row r="3399">
      <x:c r="F3399" s="124"/>
      <x:c r="G3399" s="124"/>
      <x:c r="H3399" s="124"/>
      <x:c r="I3399" s="124"/>
      <x:c r="J3399" s="124"/>
      <x:c r="M3399" s="126"/>
      <x:c r="P3399" s="126"/>
      <x:c r="Q3399" s="126"/>
      <x:c r="R3399" s="126"/>
      <x:c r="S3399" s="124"/>
      <x:c r="T3399" s="124"/>
      <x:c r="U3399" s="124"/>
      <x:c r="V3399" s="124"/>
      <x:c r="W3399" s="124"/>
      <x:c r="X3399" s="124"/>
      <x:c r="AD3399"/>
      <x:c r="AE3399" s="145"/>
      <x:c r="AF3399" s="145"/>
      <x:c r="AG3399" s="145"/>
      <x:c r="AH3399" s="145"/>
      <x:c r="AI3399" s="145"/>
      <x:c r="AJ3399"/>
    </x:row>
    <x:row r="3400">
      <x:c r="F3400" s="124"/>
      <x:c r="G3400" s="124"/>
      <x:c r="H3400" s="124"/>
      <x:c r="I3400" s="124"/>
      <x:c r="J3400" s="124"/>
      <x:c r="M3400" s="126"/>
      <x:c r="P3400" s="126"/>
      <x:c r="Q3400" s="126"/>
      <x:c r="R3400" s="126"/>
      <x:c r="S3400" s="124"/>
      <x:c r="T3400" s="124"/>
      <x:c r="U3400" s="124"/>
      <x:c r="V3400" s="124"/>
      <x:c r="W3400" s="124"/>
      <x:c r="X3400" s="124"/>
      <x:c r="AD3400"/>
      <x:c r="AE3400" s="145"/>
      <x:c r="AF3400" s="145"/>
      <x:c r="AG3400" s="145"/>
      <x:c r="AH3400" s="145"/>
      <x:c r="AI3400" s="145"/>
      <x:c r="AJ3400"/>
    </x:row>
    <x:row r="3401">
      <x:c r="F3401" s="124"/>
      <x:c r="G3401" s="124"/>
      <x:c r="H3401" s="124"/>
      <x:c r="I3401" s="124"/>
      <x:c r="J3401" s="124"/>
      <x:c r="M3401" s="126"/>
      <x:c r="P3401" s="126"/>
      <x:c r="Q3401" s="126"/>
      <x:c r="R3401" s="126"/>
      <x:c r="S3401" s="124"/>
      <x:c r="T3401" s="124"/>
      <x:c r="U3401" s="124"/>
      <x:c r="V3401" s="124"/>
      <x:c r="W3401" s="124"/>
      <x:c r="X3401" s="124"/>
      <x:c r="AD3401"/>
      <x:c r="AE3401" s="145"/>
      <x:c r="AF3401" s="145"/>
      <x:c r="AG3401" s="145"/>
      <x:c r="AH3401" s="145"/>
      <x:c r="AI3401" s="145"/>
      <x:c r="AJ3401"/>
    </x:row>
    <x:row r="3402">
      <x:c r="F3402" s="124"/>
      <x:c r="G3402" s="124"/>
      <x:c r="H3402" s="124"/>
      <x:c r="I3402" s="124"/>
      <x:c r="J3402" s="124"/>
      <x:c r="M3402" s="126"/>
      <x:c r="P3402" s="126"/>
      <x:c r="Q3402" s="126"/>
      <x:c r="R3402" s="126"/>
      <x:c r="S3402" s="124"/>
      <x:c r="T3402" s="124"/>
      <x:c r="U3402" s="124"/>
      <x:c r="V3402" s="124"/>
      <x:c r="W3402" s="124"/>
      <x:c r="X3402" s="124"/>
      <x:c r="AD3402"/>
      <x:c r="AE3402" s="145"/>
      <x:c r="AF3402" s="145"/>
      <x:c r="AG3402" s="145"/>
      <x:c r="AH3402" s="145"/>
      <x:c r="AI3402" s="145"/>
      <x:c r="AJ3402"/>
    </x:row>
    <x:row r="3403">
      <x:c r="F3403" s="124"/>
      <x:c r="G3403" s="124"/>
      <x:c r="H3403" s="124"/>
      <x:c r="I3403" s="124"/>
      <x:c r="J3403" s="124"/>
      <x:c r="M3403" s="126"/>
      <x:c r="P3403" s="126"/>
      <x:c r="Q3403" s="126"/>
      <x:c r="R3403" s="126"/>
      <x:c r="S3403" s="124"/>
      <x:c r="T3403" s="124"/>
      <x:c r="U3403" s="124"/>
      <x:c r="V3403" s="124"/>
      <x:c r="W3403" s="124"/>
      <x:c r="X3403" s="124"/>
      <x:c r="AD3403"/>
      <x:c r="AE3403" s="145"/>
      <x:c r="AF3403" s="145"/>
      <x:c r="AG3403" s="145"/>
      <x:c r="AH3403" s="145"/>
      <x:c r="AI3403" s="145"/>
      <x:c r="AJ3403"/>
    </x:row>
    <x:row r="3404">
      <x:c r="F3404" s="124"/>
      <x:c r="G3404" s="124"/>
      <x:c r="H3404" s="124"/>
      <x:c r="I3404" s="124"/>
      <x:c r="J3404" s="124"/>
      <x:c r="M3404" s="126"/>
      <x:c r="P3404" s="126"/>
      <x:c r="Q3404" s="126"/>
      <x:c r="R3404" s="126"/>
      <x:c r="S3404" s="124"/>
      <x:c r="T3404" s="124"/>
      <x:c r="U3404" s="124"/>
      <x:c r="V3404" s="124"/>
      <x:c r="W3404" s="124"/>
      <x:c r="X3404" s="124"/>
      <x:c r="AD3404"/>
      <x:c r="AE3404" s="145"/>
      <x:c r="AF3404" s="145"/>
      <x:c r="AG3404" s="145"/>
      <x:c r="AH3404" s="145"/>
      <x:c r="AI3404" s="145"/>
      <x:c r="AJ3404"/>
    </x:row>
    <x:row r="3405">
      <x:c r="F3405" s="124"/>
      <x:c r="G3405" s="124"/>
      <x:c r="H3405" s="124"/>
      <x:c r="I3405" s="124"/>
      <x:c r="J3405" s="124"/>
      <x:c r="M3405" s="126"/>
      <x:c r="P3405" s="126"/>
      <x:c r="Q3405" s="126"/>
      <x:c r="R3405" s="126"/>
      <x:c r="S3405" s="124"/>
      <x:c r="T3405" s="124"/>
      <x:c r="U3405" s="124"/>
      <x:c r="V3405" s="124"/>
      <x:c r="W3405" s="124"/>
      <x:c r="X3405" s="124"/>
      <x:c r="AD3405"/>
      <x:c r="AE3405" s="145"/>
      <x:c r="AF3405" s="145"/>
      <x:c r="AG3405" s="145"/>
      <x:c r="AH3405" s="145"/>
      <x:c r="AI3405" s="145"/>
      <x:c r="AJ3405"/>
    </x:row>
    <x:row r="3406">
      <x:c r="F3406" s="124"/>
      <x:c r="G3406" s="124"/>
      <x:c r="H3406" s="124"/>
      <x:c r="I3406" s="124"/>
      <x:c r="J3406" s="124"/>
      <x:c r="M3406" s="126"/>
      <x:c r="P3406" s="126"/>
      <x:c r="Q3406" s="126"/>
      <x:c r="R3406" s="126"/>
      <x:c r="S3406" s="124"/>
      <x:c r="T3406" s="124"/>
      <x:c r="U3406" s="124"/>
      <x:c r="V3406" s="124"/>
      <x:c r="W3406" s="124"/>
      <x:c r="X3406" s="124"/>
      <x:c r="AD3406"/>
      <x:c r="AE3406" s="145"/>
      <x:c r="AF3406" s="145"/>
      <x:c r="AG3406" s="145"/>
      <x:c r="AH3406" s="145"/>
      <x:c r="AI3406" s="145"/>
      <x:c r="AJ3406"/>
    </x:row>
    <x:row r="3407">
      <x:c r="F3407" s="124"/>
      <x:c r="G3407" s="124"/>
      <x:c r="H3407" s="124"/>
      <x:c r="I3407" s="124"/>
      <x:c r="J3407" s="124"/>
      <x:c r="M3407" s="126"/>
      <x:c r="P3407" s="126"/>
      <x:c r="Q3407" s="126"/>
      <x:c r="R3407" s="126"/>
      <x:c r="S3407" s="124"/>
      <x:c r="T3407" s="124"/>
      <x:c r="U3407" s="124"/>
      <x:c r="V3407" s="124"/>
      <x:c r="W3407" s="124"/>
      <x:c r="X3407" s="124"/>
      <x:c r="AD3407"/>
      <x:c r="AE3407" s="145"/>
      <x:c r="AF3407" s="145"/>
      <x:c r="AG3407" s="145"/>
      <x:c r="AH3407" s="145"/>
      <x:c r="AI3407" s="145"/>
      <x:c r="AJ3407"/>
    </x:row>
    <x:row r="3408">
      <x:c r="F3408" s="124"/>
      <x:c r="G3408" s="124"/>
      <x:c r="H3408" s="124"/>
      <x:c r="I3408" s="124"/>
      <x:c r="J3408" s="124"/>
      <x:c r="M3408" s="126"/>
      <x:c r="P3408" s="126"/>
      <x:c r="Q3408" s="126"/>
      <x:c r="R3408" s="126"/>
      <x:c r="S3408" s="124"/>
      <x:c r="T3408" s="124"/>
      <x:c r="U3408" s="124"/>
      <x:c r="V3408" s="124"/>
      <x:c r="W3408" s="124"/>
      <x:c r="X3408" s="124"/>
      <x:c r="AD3408"/>
      <x:c r="AE3408" s="145"/>
      <x:c r="AF3408" s="145"/>
      <x:c r="AG3408" s="145"/>
      <x:c r="AH3408" s="145"/>
      <x:c r="AI3408" s="145"/>
      <x:c r="AJ3408"/>
    </x:row>
    <x:row r="3409">
      <x:c r="F3409" s="124"/>
      <x:c r="G3409" s="124"/>
      <x:c r="H3409" s="124"/>
      <x:c r="I3409" s="124"/>
      <x:c r="J3409" s="124"/>
      <x:c r="M3409" s="126"/>
      <x:c r="P3409" s="126"/>
      <x:c r="Q3409" s="126"/>
      <x:c r="R3409" s="126"/>
      <x:c r="S3409" s="124"/>
      <x:c r="T3409" s="124"/>
      <x:c r="U3409" s="124"/>
      <x:c r="V3409" s="124"/>
      <x:c r="W3409" s="124"/>
      <x:c r="X3409" s="124"/>
      <x:c r="AD3409"/>
      <x:c r="AE3409" s="145"/>
      <x:c r="AF3409" s="145"/>
      <x:c r="AG3409" s="145"/>
      <x:c r="AH3409" s="145"/>
      <x:c r="AI3409" s="145"/>
      <x:c r="AJ3409"/>
    </x:row>
    <x:row r="3410">
      <x:c r="F3410" s="124"/>
      <x:c r="G3410" s="124"/>
      <x:c r="H3410" s="124"/>
      <x:c r="I3410" s="124"/>
      <x:c r="J3410" s="124"/>
      <x:c r="M3410" s="126"/>
      <x:c r="P3410" s="126"/>
      <x:c r="Q3410" s="126"/>
      <x:c r="R3410" s="126"/>
      <x:c r="S3410" s="124"/>
      <x:c r="T3410" s="124"/>
      <x:c r="U3410" s="124"/>
      <x:c r="V3410" s="124"/>
      <x:c r="W3410" s="124"/>
      <x:c r="X3410" s="124"/>
      <x:c r="AD3410"/>
      <x:c r="AE3410" s="145"/>
      <x:c r="AF3410" s="145"/>
      <x:c r="AG3410" s="145"/>
      <x:c r="AH3410" s="145"/>
      <x:c r="AI3410" s="145"/>
      <x:c r="AJ3410"/>
    </x:row>
    <x:row r="3411">
      <x:c r="F3411" s="124"/>
      <x:c r="G3411" s="124"/>
      <x:c r="H3411" s="124"/>
      <x:c r="I3411" s="124"/>
      <x:c r="J3411" s="124"/>
      <x:c r="M3411" s="126"/>
      <x:c r="P3411" s="126"/>
      <x:c r="Q3411" s="126"/>
      <x:c r="R3411" s="126"/>
      <x:c r="S3411" s="124"/>
      <x:c r="T3411" s="124"/>
      <x:c r="U3411" s="124"/>
      <x:c r="V3411" s="124"/>
      <x:c r="W3411" s="124"/>
      <x:c r="X3411" s="124"/>
      <x:c r="AD3411"/>
      <x:c r="AE3411" s="145"/>
      <x:c r="AF3411" s="145"/>
      <x:c r="AG3411" s="145"/>
      <x:c r="AH3411" s="145"/>
      <x:c r="AI3411" s="145"/>
      <x:c r="AJ3411"/>
    </x:row>
    <x:row r="3412">
      <x:c r="F3412" s="124"/>
      <x:c r="G3412" s="124"/>
      <x:c r="H3412" s="124"/>
      <x:c r="I3412" s="124"/>
      <x:c r="J3412" s="124"/>
      <x:c r="M3412" s="126"/>
      <x:c r="P3412" s="126"/>
      <x:c r="Q3412" s="126"/>
      <x:c r="R3412" s="126"/>
      <x:c r="S3412" s="124"/>
      <x:c r="T3412" s="124"/>
      <x:c r="U3412" s="124"/>
      <x:c r="V3412" s="124"/>
      <x:c r="W3412" s="124"/>
      <x:c r="X3412" s="124"/>
      <x:c r="AD3412"/>
      <x:c r="AE3412" s="145"/>
      <x:c r="AF3412" s="145"/>
      <x:c r="AG3412" s="145"/>
      <x:c r="AH3412" s="145"/>
      <x:c r="AI3412" s="145"/>
      <x:c r="AJ3412"/>
    </x:row>
    <x:row r="3413">
      <x:c r="F3413" s="124"/>
      <x:c r="G3413" s="124"/>
      <x:c r="H3413" s="124"/>
      <x:c r="I3413" s="124"/>
      <x:c r="J3413" s="124"/>
      <x:c r="M3413" s="126"/>
      <x:c r="P3413" s="126"/>
      <x:c r="Q3413" s="126"/>
      <x:c r="R3413" s="126"/>
      <x:c r="S3413" s="124"/>
      <x:c r="T3413" s="124"/>
      <x:c r="U3413" s="124"/>
      <x:c r="V3413" s="124"/>
      <x:c r="W3413" s="124"/>
      <x:c r="X3413" s="124"/>
      <x:c r="AD3413"/>
      <x:c r="AE3413" s="145"/>
      <x:c r="AF3413" s="145"/>
      <x:c r="AG3413" s="145"/>
      <x:c r="AH3413" s="145"/>
      <x:c r="AI3413" s="145"/>
      <x:c r="AJ3413"/>
    </x:row>
    <x:row r="3414">
      <x:c r="F3414" s="124"/>
      <x:c r="G3414" s="124"/>
      <x:c r="H3414" s="124"/>
      <x:c r="I3414" s="124"/>
      <x:c r="J3414" s="124"/>
      <x:c r="M3414" s="126"/>
      <x:c r="P3414" s="126"/>
      <x:c r="Q3414" s="126"/>
      <x:c r="R3414" s="126"/>
      <x:c r="S3414" s="124"/>
      <x:c r="T3414" s="124"/>
      <x:c r="U3414" s="124"/>
      <x:c r="V3414" s="124"/>
      <x:c r="W3414" s="124"/>
      <x:c r="X3414" s="124"/>
      <x:c r="AD3414"/>
      <x:c r="AE3414" s="145"/>
      <x:c r="AF3414" s="145"/>
      <x:c r="AG3414" s="145"/>
      <x:c r="AH3414" s="145"/>
      <x:c r="AI3414" s="145"/>
      <x:c r="AJ3414"/>
    </x:row>
    <x:row r="3415">
      <x:c r="F3415" s="124"/>
      <x:c r="G3415" s="124"/>
      <x:c r="H3415" s="124"/>
      <x:c r="I3415" s="124"/>
      <x:c r="J3415" s="124"/>
      <x:c r="M3415" s="126"/>
      <x:c r="P3415" s="126"/>
      <x:c r="Q3415" s="126"/>
      <x:c r="R3415" s="126"/>
      <x:c r="S3415" s="124"/>
      <x:c r="T3415" s="124"/>
      <x:c r="U3415" s="124"/>
      <x:c r="V3415" s="124"/>
      <x:c r="W3415" s="124"/>
      <x:c r="X3415" s="124"/>
      <x:c r="AD3415"/>
      <x:c r="AE3415" s="145"/>
      <x:c r="AF3415" s="145"/>
      <x:c r="AG3415" s="145"/>
      <x:c r="AH3415" s="145"/>
      <x:c r="AI3415" s="145"/>
      <x:c r="AJ3415"/>
    </x:row>
    <x:row r="3416">
      <x:c r="F3416" s="124"/>
      <x:c r="G3416" s="124"/>
      <x:c r="H3416" s="124"/>
      <x:c r="I3416" s="124"/>
      <x:c r="J3416" s="124"/>
      <x:c r="M3416" s="126"/>
      <x:c r="P3416" s="126"/>
      <x:c r="Q3416" s="126"/>
      <x:c r="R3416" s="126"/>
      <x:c r="S3416" s="124"/>
      <x:c r="T3416" s="124"/>
      <x:c r="U3416" s="124"/>
      <x:c r="V3416" s="124"/>
      <x:c r="W3416" s="124"/>
      <x:c r="X3416" s="124"/>
      <x:c r="AD3416"/>
      <x:c r="AE3416" s="145"/>
      <x:c r="AF3416" s="145"/>
      <x:c r="AG3416" s="145"/>
      <x:c r="AH3416" s="145"/>
      <x:c r="AI3416" s="145"/>
      <x:c r="AJ3416"/>
    </x:row>
    <x:row r="3417">
      <x:c r="F3417" s="124"/>
      <x:c r="G3417" s="124"/>
      <x:c r="H3417" s="124"/>
      <x:c r="I3417" s="124"/>
      <x:c r="J3417" s="124"/>
      <x:c r="M3417" s="126"/>
      <x:c r="P3417" s="126"/>
      <x:c r="Q3417" s="126"/>
      <x:c r="R3417" s="126"/>
      <x:c r="S3417" s="124"/>
      <x:c r="T3417" s="124"/>
      <x:c r="U3417" s="124"/>
      <x:c r="V3417" s="124"/>
      <x:c r="W3417" s="124"/>
      <x:c r="X3417" s="124"/>
      <x:c r="AD3417"/>
      <x:c r="AE3417" s="145"/>
      <x:c r="AF3417" s="145"/>
      <x:c r="AG3417" s="145"/>
      <x:c r="AH3417" s="145"/>
      <x:c r="AI3417" s="145"/>
      <x:c r="AJ3417"/>
    </x:row>
    <x:row r="3418">
      <x:c r="F3418" s="124"/>
      <x:c r="G3418" s="124"/>
      <x:c r="H3418" s="124"/>
      <x:c r="I3418" s="124"/>
      <x:c r="J3418" s="124"/>
      <x:c r="M3418" s="126"/>
      <x:c r="P3418" s="126"/>
      <x:c r="Q3418" s="126"/>
      <x:c r="R3418" s="126"/>
      <x:c r="S3418" s="124"/>
      <x:c r="T3418" s="124"/>
      <x:c r="U3418" s="124"/>
      <x:c r="V3418" s="124"/>
      <x:c r="W3418" s="124"/>
      <x:c r="X3418" s="124"/>
      <x:c r="AD3418"/>
      <x:c r="AE3418" s="145"/>
      <x:c r="AF3418" s="145"/>
      <x:c r="AG3418" s="145"/>
      <x:c r="AH3418" s="145"/>
      <x:c r="AI3418" s="145"/>
      <x:c r="AJ3418"/>
    </x:row>
    <x:row r="3419">
      <x:c r="F3419" s="124"/>
      <x:c r="G3419" s="124"/>
      <x:c r="H3419" s="124"/>
      <x:c r="I3419" s="124"/>
      <x:c r="J3419" s="124"/>
      <x:c r="M3419" s="126"/>
      <x:c r="P3419" s="126"/>
      <x:c r="Q3419" s="126"/>
      <x:c r="R3419" s="126"/>
      <x:c r="S3419" s="124"/>
      <x:c r="T3419" s="124"/>
      <x:c r="U3419" s="124"/>
      <x:c r="V3419" s="124"/>
      <x:c r="W3419" s="124"/>
      <x:c r="X3419" s="124"/>
      <x:c r="AD3419"/>
      <x:c r="AE3419" s="145"/>
      <x:c r="AF3419" s="145"/>
      <x:c r="AG3419" s="145"/>
      <x:c r="AH3419" s="145"/>
      <x:c r="AI3419" s="145"/>
      <x:c r="AJ3419"/>
    </x:row>
    <x:row r="3420">
      <x:c r="F3420" s="124"/>
      <x:c r="G3420" s="124"/>
      <x:c r="H3420" s="124"/>
      <x:c r="I3420" s="124"/>
      <x:c r="J3420" s="124"/>
      <x:c r="M3420" s="126"/>
      <x:c r="P3420" s="126"/>
      <x:c r="Q3420" s="126"/>
      <x:c r="R3420" s="126"/>
      <x:c r="S3420" s="124"/>
      <x:c r="T3420" s="124"/>
      <x:c r="U3420" s="124"/>
      <x:c r="V3420" s="124"/>
      <x:c r="W3420" s="124"/>
      <x:c r="X3420" s="124"/>
      <x:c r="AD3420"/>
      <x:c r="AE3420" s="145"/>
      <x:c r="AF3420" s="145"/>
      <x:c r="AG3420" s="145"/>
      <x:c r="AH3420" s="145"/>
      <x:c r="AI3420" s="145"/>
      <x:c r="AJ3420"/>
    </x:row>
    <x:row r="3421">
      <x:c r="F3421" s="124"/>
      <x:c r="G3421" s="124"/>
      <x:c r="H3421" s="124"/>
      <x:c r="I3421" s="124"/>
      <x:c r="J3421" s="124"/>
      <x:c r="M3421" s="126"/>
      <x:c r="P3421" s="126"/>
      <x:c r="Q3421" s="126"/>
      <x:c r="R3421" s="126"/>
      <x:c r="S3421" s="124"/>
      <x:c r="T3421" s="124"/>
      <x:c r="U3421" s="124"/>
      <x:c r="V3421" s="124"/>
      <x:c r="W3421" s="124"/>
      <x:c r="X3421" s="124"/>
      <x:c r="AD3421"/>
      <x:c r="AE3421" s="145"/>
      <x:c r="AF3421" s="145"/>
      <x:c r="AG3421" s="145"/>
      <x:c r="AH3421" s="145"/>
      <x:c r="AI3421" s="145"/>
      <x:c r="AJ3421"/>
    </x:row>
    <x:row r="3422">
      <x:c r="F3422" s="124"/>
      <x:c r="G3422" s="124"/>
      <x:c r="H3422" s="124"/>
      <x:c r="I3422" s="124"/>
      <x:c r="J3422" s="124"/>
      <x:c r="M3422" s="126"/>
      <x:c r="P3422" s="126"/>
      <x:c r="Q3422" s="126"/>
      <x:c r="R3422" s="126"/>
      <x:c r="S3422" s="124"/>
      <x:c r="T3422" s="124"/>
      <x:c r="U3422" s="124"/>
      <x:c r="V3422" s="124"/>
      <x:c r="W3422" s="124"/>
      <x:c r="X3422" s="124"/>
      <x:c r="AD3422"/>
      <x:c r="AE3422" s="145"/>
      <x:c r="AF3422" s="145"/>
      <x:c r="AG3422" s="145"/>
      <x:c r="AH3422" s="145"/>
      <x:c r="AI3422" s="145"/>
      <x:c r="AJ3422"/>
    </x:row>
    <x:row r="3423">
      <x:c r="F3423" s="124"/>
      <x:c r="G3423" s="124"/>
      <x:c r="H3423" s="124"/>
      <x:c r="I3423" s="124"/>
      <x:c r="J3423" s="124"/>
      <x:c r="M3423" s="126"/>
      <x:c r="P3423" s="126"/>
      <x:c r="Q3423" s="126"/>
      <x:c r="R3423" s="126"/>
      <x:c r="S3423" s="124"/>
      <x:c r="T3423" s="124"/>
      <x:c r="U3423" s="124"/>
      <x:c r="V3423" s="124"/>
      <x:c r="W3423" s="124"/>
      <x:c r="X3423" s="124"/>
      <x:c r="AD3423"/>
      <x:c r="AE3423" s="145"/>
      <x:c r="AF3423" s="145"/>
      <x:c r="AG3423" s="145"/>
      <x:c r="AH3423" s="145"/>
      <x:c r="AI3423" s="145"/>
      <x:c r="AJ3423"/>
    </x:row>
    <x:row r="3424">
      <x:c r="F3424" s="124"/>
      <x:c r="G3424" s="124"/>
      <x:c r="H3424" s="124"/>
      <x:c r="I3424" s="124"/>
      <x:c r="J3424" s="124"/>
      <x:c r="M3424" s="126"/>
      <x:c r="P3424" s="126"/>
      <x:c r="Q3424" s="126"/>
      <x:c r="R3424" s="126"/>
      <x:c r="S3424" s="124"/>
      <x:c r="T3424" s="124"/>
      <x:c r="U3424" s="124"/>
      <x:c r="V3424" s="124"/>
      <x:c r="W3424" s="124"/>
      <x:c r="X3424" s="124"/>
      <x:c r="AD3424"/>
      <x:c r="AE3424" s="145"/>
      <x:c r="AF3424" s="145"/>
      <x:c r="AG3424" s="145"/>
      <x:c r="AH3424" s="145"/>
      <x:c r="AI3424" s="145"/>
      <x:c r="AJ3424"/>
    </x:row>
    <x:row r="3425">
      <x:c r="F3425" s="124"/>
      <x:c r="G3425" s="124"/>
      <x:c r="H3425" s="124"/>
      <x:c r="I3425" s="124"/>
      <x:c r="J3425" s="124"/>
      <x:c r="M3425" s="126"/>
      <x:c r="P3425" s="126"/>
      <x:c r="Q3425" s="126"/>
      <x:c r="R3425" s="126"/>
      <x:c r="S3425" s="124"/>
      <x:c r="T3425" s="124"/>
      <x:c r="U3425" s="124"/>
      <x:c r="V3425" s="124"/>
      <x:c r="W3425" s="124"/>
      <x:c r="X3425" s="124"/>
      <x:c r="AD3425"/>
      <x:c r="AE3425" s="145"/>
      <x:c r="AF3425" s="145"/>
      <x:c r="AG3425" s="145"/>
      <x:c r="AH3425" s="145"/>
      <x:c r="AI3425" s="145"/>
      <x:c r="AJ3425"/>
    </x:row>
    <x:row r="3426">
      <x:c r="F3426" s="124"/>
      <x:c r="G3426" s="124"/>
      <x:c r="H3426" s="124"/>
      <x:c r="I3426" s="124"/>
      <x:c r="J3426" s="124"/>
      <x:c r="M3426" s="126"/>
      <x:c r="P3426" s="126"/>
      <x:c r="Q3426" s="126"/>
      <x:c r="R3426" s="126"/>
      <x:c r="S3426" s="124"/>
      <x:c r="T3426" s="124"/>
      <x:c r="U3426" s="124"/>
      <x:c r="V3426" s="124"/>
      <x:c r="W3426" s="124"/>
      <x:c r="X3426" s="124"/>
      <x:c r="AD3426"/>
      <x:c r="AE3426" s="145"/>
      <x:c r="AF3426" s="145"/>
      <x:c r="AG3426" s="145"/>
      <x:c r="AH3426" s="145"/>
      <x:c r="AI3426" s="145"/>
      <x:c r="AJ3426"/>
    </x:row>
    <x:row r="3427">
      <x:c r="F3427" s="124"/>
      <x:c r="G3427" s="124"/>
      <x:c r="H3427" s="124"/>
      <x:c r="I3427" s="124"/>
      <x:c r="J3427" s="124"/>
      <x:c r="M3427" s="126"/>
      <x:c r="P3427" s="126"/>
      <x:c r="Q3427" s="126"/>
      <x:c r="R3427" s="126"/>
      <x:c r="S3427" s="124"/>
      <x:c r="T3427" s="124"/>
      <x:c r="U3427" s="124"/>
      <x:c r="V3427" s="124"/>
      <x:c r="W3427" s="124"/>
      <x:c r="X3427" s="124"/>
      <x:c r="AD3427"/>
      <x:c r="AE3427" s="145"/>
      <x:c r="AF3427" s="145"/>
      <x:c r="AG3427" s="145"/>
      <x:c r="AH3427" s="145"/>
      <x:c r="AI3427" s="145"/>
      <x:c r="AJ3427"/>
    </x:row>
    <x:row r="3428">
      <x:c r="F3428" s="124"/>
      <x:c r="G3428" s="124"/>
      <x:c r="H3428" s="124"/>
      <x:c r="I3428" s="124"/>
      <x:c r="J3428" s="124"/>
      <x:c r="M3428" s="126"/>
      <x:c r="P3428" s="126"/>
      <x:c r="Q3428" s="126"/>
      <x:c r="R3428" s="126"/>
      <x:c r="S3428" s="124"/>
      <x:c r="T3428" s="124"/>
      <x:c r="U3428" s="124"/>
      <x:c r="V3428" s="124"/>
      <x:c r="W3428" s="124"/>
      <x:c r="X3428" s="124"/>
      <x:c r="AD3428"/>
      <x:c r="AE3428" s="145"/>
      <x:c r="AF3428" s="145"/>
      <x:c r="AG3428" s="145"/>
      <x:c r="AH3428" s="145"/>
      <x:c r="AI3428" s="145"/>
      <x:c r="AJ3428"/>
    </x:row>
    <x:row r="3429">
      <x:c r="F3429" s="124"/>
      <x:c r="G3429" s="124"/>
      <x:c r="H3429" s="124"/>
      <x:c r="I3429" s="124"/>
      <x:c r="J3429" s="124"/>
      <x:c r="M3429" s="126"/>
      <x:c r="P3429" s="126"/>
      <x:c r="Q3429" s="126"/>
      <x:c r="R3429" s="126"/>
      <x:c r="S3429" s="124"/>
      <x:c r="T3429" s="124"/>
      <x:c r="U3429" s="124"/>
      <x:c r="V3429" s="124"/>
      <x:c r="W3429" s="124"/>
      <x:c r="X3429" s="124"/>
      <x:c r="AD3429"/>
      <x:c r="AE3429" s="145"/>
      <x:c r="AF3429" s="145"/>
      <x:c r="AG3429" s="145"/>
      <x:c r="AH3429" s="145"/>
      <x:c r="AI3429" s="145"/>
      <x:c r="AJ3429"/>
    </x:row>
    <x:row r="3430">
      <x:c r="F3430" s="124"/>
      <x:c r="G3430" s="124"/>
      <x:c r="H3430" s="124"/>
      <x:c r="I3430" s="124"/>
      <x:c r="J3430" s="124"/>
      <x:c r="M3430" s="126"/>
      <x:c r="P3430" s="126"/>
      <x:c r="Q3430" s="126"/>
      <x:c r="R3430" s="126"/>
      <x:c r="S3430" s="124"/>
      <x:c r="T3430" s="124"/>
      <x:c r="U3430" s="124"/>
      <x:c r="V3430" s="124"/>
      <x:c r="W3430" s="124"/>
      <x:c r="X3430" s="124"/>
      <x:c r="AD3430"/>
      <x:c r="AE3430" s="145"/>
      <x:c r="AF3430" s="145"/>
      <x:c r="AG3430" s="145"/>
      <x:c r="AH3430" s="145"/>
      <x:c r="AI3430" s="145"/>
      <x:c r="AJ3430"/>
    </x:row>
    <x:row r="3431">
      <x:c r="F3431" s="124"/>
      <x:c r="G3431" s="124"/>
      <x:c r="H3431" s="124"/>
      <x:c r="I3431" s="124"/>
      <x:c r="J3431" s="124"/>
      <x:c r="M3431" s="126"/>
      <x:c r="P3431" s="126"/>
      <x:c r="Q3431" s="126"/>
      <x:c r="R3431" s="126"/>
      <x:c r="S3431" s="124"/>
      <x:c r="T3431" s="124"/>
      <x:c r="U3431" s="124"/>
      <x:c r="V3431" s="124"/>
      <x:c r="W3431" s="124"/>
      <x:c r="X3431" s="124"/>
      <x:c r="AD3431"/>
      <x:c r="AE3431" s="145"/>
      <x:c r="AF3431" s="145"/>
      <x:c r="AG3431" s="145"/>
      <x:c r="AH3431" s="145"/>
      <x:c r="AI3431" s="145"/>
      <x:c r="AJ3431"/>
    </x:row>
    <x:row r="3432">
      <x:c r="F3432" s="124"/>
      <x:c r="G3432" s="124"/>
      <x:c r="H3432" s="124"/>
      <x:c r="I3432" s="124"/>
      <x:c r="J3432" s="124"/>
      <x:c r="M3432" s="126"/>
      <x:c r="P3432" s="126"/>
      <x:c r="Q3432" s="126"/>
      <x:c r="R3432" s="126"/>
      <x:c r="S3432" s="124"/>
      <x:c r="T3432" s="124"/>
      <x:c r="U3432" s="124"/>
      <x:c r="V3432" s="124"/>
      <x:c r="W3432" s="124"/>
      <x:c r="X3432" s="124"/>
      <x:c r="AD3432"/>
      <x:c r="AE3432" s="145"/>
      <x:c r="AF3432" s="145"/>
      <x:c r="AG3432" s="145"/>
      <x:c r="AH3432" s="145"/>
      <x:c r="AI3432" s="145"/>
      <x:c r="AJ3432"/>
    </x:row>
    <x:row r="3433">
      <x:c r="F3433" s="124"/>
      <x:c r="G3433" s="124"/>
      <x:c r="H3433" s="124"/>
      <x:c r="I3433" s="124"/>
      <x:c r="J3433" s="124"/>
      <x:c r="M3433" s="126"/>
      <x:c r="P3433" s="126"/>
      <x:c r="Q3433" s="126"/>
      <x:c r="R3433" s="126"/>
      <x:c r="S3433" s="124"/>
      <x:c r="T3433" s="124"/>
      <x:c r="U3433" s="124"/>
      <x:c r="V3433" s="124"/>
      <x:c r="W3433" s="124"/>
      <x:c r="X3433" s="124"/>
      <x:c r="AD3433"/>
      <x:c r="AE3433" s="145"/>
      <x:c r="AF3433" s="145"/>
      <x:c r="AG3433" s="145"/>
      <x:c r="AH3433" s="145"/>
      <x:c r="AI3433" s="145"/>
      <x:c r="AJ3433"/>
    </x:row>
    <x:row r="3434">
      <x:c r="F3434" s="124"/>
      <x:c r="G3434" s="124"/>
      <x:c r="H3434" s="124"/>
      <x:c r="I3434" s="124"/>
      <x:c r="J3434" s="124"/>
      <x:c r="M3434" s="126"/>
      <x:c r="P3434" s="126"/>
      <x:c r="Q3434" s="126"/>
      <x:c r="R3434" s="126"/>
      <x:c r="S3434" s="124"/>
      <x:c r="T3434" s="124"/>
      <x:c r="U3434" s="124"/>
      <x:c r="V3434" s="124"/>
      <x:c r="W3434" s="124"/>
      <x:c r="X3434" s="124"/>
      <x:c r="AD3434"/>
      <x:c r="AE3434" s="145"/>
      <x:c r="AF3434" s="145"/>
      <x:c r="AG3434" s="145"/>
      <x:c r="AH3434" s="145"/>
      <x:c r="AI3434" s="145"/>
      <x:c r="AJ3434"/>
    </x:row>
    <x:row r="3435">
      <x:c r="F3435" s="124"/>
      <x:c r="G3435" s="124"/>
      <x:c r="H3435" s="124"/>
      <x:c r="I3435" s="124"/>
      <x:c r="J3435" s="124"/>
      <x:c r="M3435" s="126"/>
      <x:c r="P3435" s="126"/>
      <x:c r="Q3435" s="126"/>
      <x:c r="R3435" s="126"/>
      <x:c r="S3435" s="124"/>
      <x:c r="T3435" s="124"/>
      <x:c r="U3435" s="124"/>
      <x:c r="V3435" s="124"/>
      <x:c r="W3435" s="124"/>
      <x:c r="X3435" s="124"/>
      <x:c r="AD3435"/>
      <x:c r="AE3435" s="145"/>
      <x:c r="AF3435" s="145"/>
      <x:c r="AG3435" s="145"/>
      <x:c r="AH3435" s="145"/>
      <x:c r="AI3435" s="145"/>
      <x:c r="AJ3435"/>
    </x:row>
    <x:row r="3436">
      <x:c r="F3436" s="124"/>
      <x:c r="G3436" s="124"/>
      <x:c r="H3436" s="124"/>
      <x:c r="I3436" s="124"/>
      <x:c r="J3436" s="124"/>
      <x:c r="M3436" s="126"/>
      <x:c r="P3436" s="126"/>
      <x:c r="Q3436" s="126"/>
      <x:c r="R3436" s="126"/>
      <x:c r="S3436" s="124"/>
      <x:c r="T3436" s="124"/>
      <x:c r="U3436" s="124"/>
      <x:c r="V3436" s="124"/>
      <x:c r="W3436" s="124"/>
      <x:c r="X3436" s="124"/>
      <x:c r="AD3436"/>
      <x:c r="AE3436" s="145"/>
      <x:c r="AF3436" s="145"/>
      <x:c r="AG3436" s="145"/>
      <x:c r="AH3436" s="145"/>
      <x:c r="AI3436" s="145"/>
      <x:c r="AJ3436"/>
    </x:row>
    <x:row r="3437">
      <x:c r="F3437" s="124"/>
      <x:c r="G3437" s="124"/>
      <x:c r="H3437" s="124"/>
      <x:c r="I3437" s="124"/>
      <x:c r="J3437" s="124"/>
      <x:c r="M3437" s="126"/>
      <x:c r="P3437" s="126"/>
      <x:c r="Q3437" s="126"/>
      <x:c r="R3437" s="126"/>
      <x:c r="S3437" s="124"/>
      <x:c r="T3437" s="124"/>
      <x:c r="U3437" s="124"/>
      <x:c r="V3437" s="124"/>
      <x:c r="W3437" s="124"/>
      <x:c r="X3437" s="124"/>
      <x:c r="AD3437"/>
      <x:c r="AE3437" s="145"/>
      <x:c r="AF3437" s="145"/>
      <x:c r="AG3437" s="145"/>
      <x:c r="AH3437" s="145"/>
      <x:c r="AI3437" s="145"/>
      <x:c r="AJ3437"/>
    </x:row>
    <x:row r="3438">
      <x:c r="F3438" s="124"/>
      <x:c r="G3438" s="124"/>
      <x:c r="H3438" s="124"/>
      <x:c r="I3438" s="124"/>
      <x:c r="J3438" s="124"/>
      <x:c r="M3438" s="126"/>
      <x:c r="P3438" s="126"/>
      <x:c r="Q3438" s="126"/>
      <x:c r="R3438" s="126"/>
      <x:c r="S3438" s="124"/>
      <x:c r="T3438" s="124"/>
      <x:c r="U3438" s="124"/>
      <x:c r="V3438" s="124"/>
      <x:c r="W3438" s="124"/>
      <x:c r="X3438" s="124"/>
      <x:c r="AD3438"/>
      <x:c r="AE3438" s="145"/>
      <x:c r="AF3438" s="145"/>
      <x:c r="AG3438" s="145"/>
      <x:c r="AH3438" s="145"/>
      <x:c r="AI3438" s="145"/>
      <x:c r="AJ3438"/>
    </x:row>
    <x:row r="3439">
      <x:c r="F3439" s="124"/>
      <x:c r="G3439" s="124"/>
      <x:c r="H3439" s="124"/>
      <x:c r="I3439" s="124"/>
      <x:c r="J3439" s="124"/>
      <x:c r="M3439" s="126"/>
      <x:c r="P3439" s="126"/>
      <x:c r="Q3439" s="126"/>
      <x:c r="R3439" s="126"/>
      <x:c r="S3439" s="124"/>
      <x:c r="T3439" s="124"/>
      <x:c r="U3439" s="124"/>
      <x:c r="V3439" s="124"/>
      <x:c r="W3439" s="124"/>
      <x:c r="X3439" s="124"/>
      <x:c r="AD3439"/>
      <x:c r="AE3439" s="145"/>
      <x:c r="AF3439" s="145"/>
      <x:c r="AG3439" s="145"/>
      <x:c r="AH3439" s="145"/>
      <x:c r="AI3439" s="145"/>
      <x:c r="AJ3439"/>
    </x:row>
    <x:row r="3440">
      <x:c r="F3440" s="124"/>
      <x:c r="G3440" s="124"/>
      <x:c r="H3440" s="124"/>
      <x:c r="I3440" s="124"/>
      <x:c r="J3440" s="124"/>
      <x:c r="M3440" s="126"/>
      <x:c r="P3440" s="126"/>
      <x:c r="Q3440" s="126"/>
      <x:c r="R3440" s="126"/>
      <x:c r="S3440" s="124"/>
      <x:c r="T3440" s="124"/>
      <x:c r="U3440" s="124"/>
      <x:c r="V3440" s="124"/>
      <x:c r="W3440" s="124"/>
      <x:c r="X3440" s="124"/>
      <x:c r="AD3440"/>
      <x:c r="AE3440" s="145"/>
      <x:c r="AF3440" s="145"/>
      <x:c r="AG3440" s="145"/>
      <x:c r="AH3440" s="145"/>
      <x:c r="AI3440" s="145"/>
      <x:c r="AJ3440"/>
    </x:row>
    <x:row r="3441">
      <x:c r="F3441" s="124"/>
      <x:c r="G3441" s="124"/>
      <x:c r="H3441" s="124"/>
      <x:c r="I3441" s="124"/>
      <x:c r="J3441" s="124"/>
      <x:c r="M3441" s="126"/>
      <x:c r="P3441" s="126"/>
      <x:c r="Q3441" s="126"/>
      <x:c r="R3441" s="126"/>
      <x:c r="S3441" s="124"/>
      <x:c r="T3441" s="124"/>
      <x:c r="U3441" s="124"/>
      <x:c r="V3441" s="124"/>
      <x:c r="W3441" s="124"/>
      <x:c r="X3441" s="124"/>
      <x:c r="AD3441"/>
      <x:c r="AE3441" s="145"/>
      <x:c r="AF3441" s="145"/>
      <x:c r="AG3441" s="145"/>
      <x:c r="AH3441" s="145"/>
      <x:c r="AI3441" s="145"/>
      <x:c r="AJ3441"/>
    </x:row>
    <x:row r="3442">
      <x:c r="F3442" s="124"/>
      <x:c r="G3442" s="124"/>
      <x:c r="H3442" s="124"/>
      <x:c r="I3442" s="124"/>
      <x:c r="J3442" s="124"/>
      <x:c r="M3442" s="126"/>
      <x:c r="P3442" s="126"/>
      <x:c r="Q3442" s="126"/>
      <x:c r="R3442" s="126"/>
      <x:c r="S3442" s="124"/>
      <x:c r="T3442" s="124"/>
      <x:c r="U3442" s="124"/>
      <x:c r="V3442" s="124"/>
      <x:c r="W3442" s="124"/>
      <x:c r="X3442" s="124"/>
      <x:c r="AD3442"/>
      <x:c r="AE3442" s="145"/>
      <x:c r="AF3442" s="145"/>
      <x:c r="AG3442" s="145"/>
      <x:c r="AH3442" s="145"/>
      <x:c r="AI3442" s="145"/>
      <x:c r="AJ3442"/>
    </x:row>
    <x:row r="3443">
      <x:c r="F3443" s="124"/>
      <x:c r="G3443" s="124"/>
      <x:c r="H3443" s="124"/>
      <x:c r="I3443" s="124"/>
      <x:c r="J3443" s="124"/>
      <x:c r="M3443" s="126"/>
      <x:c r="P3443" s="126"/>
      <x:c r="Q3443" s="126"/>
      <x:c r="R3443" s="126"/>
      <x:c r="S3443" s="124"/>
      <x:c r="T3443" s="124"/>
      <x:c r="U3443" s="124"/>
      <x:c r="V3443" s="124"/>
      <x:c r="W3443" s="124"/>
      <x:c r="X3443" s="124"/>
      <x:c r="AD3443"/>
      <x:c r="AE3443" s="145"/>
      <x:c r="AF3443" s="145"/>
      <x:c r="AG3443" s="145"/>
      <x:c r="AH3443" s="145"/>
      <x:c r="AI3443" s="145"/>
      <x:c r="AJ3443"/>
    </x:row>
    <x:row r="3444">
      <x:c r="F3444" s="124"/>
      <x:c r="G3444" s="124"/>
      <x:c r="H3444" s="124"/>
      <x:c r="I3444" s="124"/>
      <x:c r="J3444" s="124"/>
      <x:c r="M3444" s="126"/>
      <x:c r="P3444" s="126"/>
      <x:c r="Q3444" s="126"/>
      <x:c r="R3444" s="126"/>
      <x:c r="S3444" s="124"/>
      <x:c r="T3444" s="124"/>
      <x:c r="U3444" s="124"/>
      <x:c r="V3444" s="124"/>
      <x:c r="W3444" s="124"/>
      <x:c r="X3444" s="124"/>
      <x:c r="AD3444"/>
      <x:c r="AE3444" s="145"/>
      <x:c r="AF3444" s="145"/>
      <x:c r="AG3444" s="145"/>
      <x:c r="AH3444" s="145"/>
      <x:c r="AI3444" s="145"/>
      <x:c r="AJ3444"/>
    </x:row>
    <x:row r="3445">
      <x:c r="F3445" s="124"/>
      <x:c r="G3445" s="124"/>
      <x:c r="H3445" s="124"/>
      <x:c r="I3445" s="124"/>
      <x:c r="J3445" s="124"/>
      <x:c r="M3445" s="126"/>
      <x:c r="P3445" s="126"/>
      <x:c r="Q3445" s="126"/>
      <x:c r="R3445" s="126"/>
      <x:c r="S3445" s="124"/>
      <x:c r="T3445" s="124"/>
      <x:c r="U3445" s="124"/>
      <x:c r="V3445" s="124"/>
      <x:c r="W3445" s="124"/>
      <x:c r="X3445" s="124"/>
      <x:c r="AD3445"/>
      <x:c r="AE3445" s="145"/>
      <x:c r="AF3445" s="145"/>
      <x:c r="AG3445" s="145"/>
      <x:c r="AH3445" s="145"/>
      <x:c r="AI3445" s="145"/>
      <x:c r="AJ3445"/>
    </x:row>
    <x:row r="3446">
      <x:c r="F3446" s="124"/>
      <x:c r="G3446" s="124"/>
      <x:c r="H3446" s="124"/>
      <x:c r="I3446" s="124"/>
      <x:c r="J3446" s="124"/>
      <x:c r="M3446" s="126"/>
      <x:c r="P3446" s="126"/>
      <x:c r="Q3446" s="126"/>
      <x:c r="R3446" s="126"/>
      <x:c r="S3446" s="124"/>
      <x:c r="T3446" s="124"/>
      <x:c r="U3446" s="124"/>
      <x:c r="V3446" s="124"/>
      <x:c r="W3446" s="124"/>
      <x:c r="X3446" s="124"/>
      <x:c r="AD3446"/>
      <x:c r="AE3446" s="145"/>
      <x:c r="AF3446" s="145"/>
      <x:c r="AG3446" s="145"/>
      <x:c r="AH3446" s="145"/>
      <x:c r="AI3446" s="145"/>
      <x:c r="AJ3446"/>
    </x:row>
    <x:row r="3447">
      <x:c r="F3447" s="124"/>
      <x:c r="G3447" s="124"/>
      <x:c r="H3447" s="124"/>
      <x:c r="I3447" s="124"/>
      <x:c r="J3447" s="124"/>
      <x:c r="M3447" s="126"/>
      <x:c r="P3447" s="126"/>
      <x:c r="Q3447" s="126"/>
      <x:c r="R3447" s="126"/>
      <x:c r="S3447" s="124"/>
      <x:c r="T3447" s="124"/>
      <x:c r="U3447" s="124"/>
      <x:c r="V3447" s="124"/>
      <x:c r="W3447" s="124"/>
      <x:c r="X3447" s="124"/>
      <x:c r="AD3447"/>
      <x:c r="AE3447" s="145"/>
      <x:c r="AF3447" s="145"/>
      <x:c r="AG3447" s="145"/>
      <x:c r="AH3447" s="145"/>
      <x:c r="AI3447" s="145"/>
      <x:c r="AJ3447"/>
    </x:row>
    <x:row r="3448">
      <x:c r="F3448" s="124"/>
      <x:c r="G3448" s="124"/>
      <x:c r="H3448" s="124"/>
      <x:c r="I3448" s="124"/>
      <x:c r="J3448" s="124"/>
      <x:c r="M3448" s="126"/>
      <x:c r="P3448" s="126"/>
      <x:c r="Q3448" s="126"/>
      <x:c r="R3448" s="126"/>
      <x:c r="S3448" s="124"/>
      <x:c r="T3448" s="124"/>
      <x:c r="U3448" s="124"/>
      <x:c r="V3448" s="124"/>
      <x:c r="W3448" s="124"/>
      <x:c r="X3448" s="124"/>
      <x:c r="AD3448"/>
      <x:c r="AE3448" s="145"/>
      <x:c r="AF3448" s="145"/>
      <x:c r="AG3448" s="145"/>
      <x:c r="AH3448" s="145"/>
      <x:c r="AI3448" s="145"/>
      <x:c r="AJ3448"/>
    </x:row>
    <x:row r="3449">
      <x:c r="F3449" s="124"/>
      <x:c r="G3449" s="124"/>
      <x:c r="H3449" s="124"/>
      <x:c r="I3449" s="124"/>
      <x:c r="J3449" s="124"/>
      <x:c r="M3449" s="126"/>
      <x:c r="P3449" s="126"/>
      <x:c r="Q3449" s="126"/>
      <x:c r="R3449" s="126"/>
      <x:c r="S3449" s="124"/>
      <x:c r="T3449" s="124"/>
      <x:c r="U3449" s="124"/>
      <x:c r="V3449" s="124"/>
      <x:c r="W3449" s="124"/>
      <x:c r="X3449" s="124"/>
      <x:c r="AD3449"/>
      <x:c r="AE3449" s="145"/>
      <x:c r="AF3449" s="145"/>
      <x:c r="AG3449" s="145"/>
      <x:c r="AH3449" s="145"/>
      <x:c r="AI3449" s="145"/>
      <x:c r="AJ3449"/>
    </x:row>
    <x:row r="3450">
      <x:c r="F3450" s="124"/>
      <x:c r="G3450" s="124"/>
      <x:c r="H3450" s="124"/>
      <x:c r="I3450" s="124"/>
      <x:c r="J3450" s="124"/>
      <x:c r="M3450" s="126"/>
      <x:c r="P3450" s="126"/>
      <x:c r="Q3450" s="126"/>
      <x:c r="R3450" s="126"/>
      <x:c r="S3450" s="124"/>
      <x:c r="T3450" s="124"/>
      <x:c r="U3450" s="124"/>
      <x:c r="V3450" s="124"/>
      <x:c r="W3450" s="124"/>
      <x:c r="X3450" s="124"/>
      <x:c r="AD3450"/>
      <x:c r="AE3450" s="145"/>
      <x:c r="AF3450" s="145"/>
      <x:c r="AG3450" s="145"/>
      <x:c r="AH3450" s="145"/>
      <x:c r="AI3450" s="145"/>
      <x:c r="AJ3450"/>
    </x:row>
    <x:row r="3451">
      <x:c r="F3451" s="124"/>
      <x:c r="G3451" s="124"/>
      <x:c r="H3451" s="124"/>
      <x:c r="I3451" s="124"/>
      <x:c r="J3451" s="124"/>
      <x:c r="M3451" s="126"/>
      <x:c r="P3451" s="126"/>
      <x:c r="Q3451" s="126"/>
      <x:c r="R3451" s="126"/>
      <x:c r="S3451" s="124"/>
      <x:c r="T3451" s="124"/>
      <x:c r="U3451" s="124"/>
      <x:c r="V3451" s="124"/>
      <x:c r="W3451" s="124"/>
      <x:c r="X3451" s="124"/>
      <x:c r="AD3451"/>
      <x:c r="AE3451" s="145"/>
      <x:c r="AF3451" s="145"/>
      <x:c r="AG3451" s="145"/>
      <x:c r="AH3451" s="145"/>
      <x:c r="AI3451" s="145"/>
      <x:c r="AJ3451"/>
    </x:row>
    <x:row r="3452">
      <x:c r="F3452" s="124"/>
      <x:c r="G3452" s="124"/>
      <x:c r="H3452" s="124"/>
      <x:c r="I3452" s="124"/>
      <x:c r="J3452" s="124"/>
      <x:c r="M3452" s="126"/>
      <x:c r="P3452" s="126"/>
      <x:c r="Q3452" s="126"/>
      <x:c r="R3452" s="126"/>
      <x:c r="S3452" s="124"/>
      <x:c r="T3452" s="124"/>
      <x:c r="U3452" s="124"/>
      <x:c r="V3452" s="124"/>
      <x:c r="W3452" s="124"/>
      <x:c r="X3452" s="124"/>
      <x:c r="AD3452"/>
      <x:c r="AE3452" s="145"/>
      <x:c r="AF3452" s="145"/>
      <x:c r="AG3452" s="145"/>
      <x:c r="AH3452" s="145"/>
      <x:c r="AI3452" s="145"/>
      <x:c r="AJ3452"/>
    </x:row>
    <x:row r="3453">
      <x:c r="F3453" s="124"/>
      <x:c r="G3453" s="124"/>
      <x:c r="H3453" s="124"/>
      <x:c r="I3453" s="124"/>
      <x:c r="J3453" s="124"/>
      <x:c r="M3453" s="126"/>
      <x:c r="P3453" s="126"/>
      <x:c r="Q3453" s="126"/>
      <x:c r="R3453" s="126"/>
      <x:c r="S3453" s="124"/>
      <x:c r="T3453" s="124"/>
      <x:c r="U3453" s="124"/>
      <x:c r="V3453" s="124"/>
      <x:c r="W3453" s="124"/>
      <x:c r="X3453" s="124"/>
      <x:c r="AD3453"/>
      <x:c r="AE3453" s="145"/>
      <x:c r="AF3453" s="145"/>
      <x:c r="AG3453" s="145"/>
      <x:c r="AH3453" s="145"/>
      <x:c r="AI3453" s="145"/>
      <x:c r="AJ3453"/>
    </x:row>
    <x:row r="3454">
      <x:c r="F3454" s="124"/>
      <x:c r="G3454" s="124"/>
      <x:c r="H3454" s="124"/>
      <x:c r="I3454" s="124"/>
      <x:c r="J3454" s="124"/>
      <x:c r="M3454" s="126"/>
      <x:c r="P3454" s="126"/>
      <x:c r="Q3454" s="126"/>
      <x:c r="R3454" s="126"/>
      <x:c r="S3454" s="124"/>
      <x:c r="T3454" s="124"/>
      <x:c r="U3454" s="124"/>
      <x:c r="V3454" s="124"/>
      <x:c r="W3454" s="124"/>
      <x:c r="X3454" s="124"/>
      <x:c r="AD3454"/>
      <x:c r="AE3454" s="145"/>
      <x:c r="AF3454" s="145"/>
      <x:c r="AG3454" s="145"/>
      <x:c r="AH3454" s="145"/>
      <x:c r="AI3454" s="145"/>
      <x:c r="AJ3454"/>
    </x:row>
    <x:row r="3455">
      <x:c r="F3455" s="124"/>
      <x:c r="G3455" s="124"/>
      <x:c r="H3455" s="124"/>
      <x:c r="I3455" s="124"/>
      <x:c r="J3455" s="124"/>
      <x:c r="M3455" s="126"/>
      <x:c r="P3455" s="126"/>
      <x:c r="Q3455" s="126"/>
      <x:c r="R3455" s="126"/>
      <x:c r="S3455" s="124"/>
      <x:c r="T3455" s="124"/>
      <x:c r="U3455" s="124"/>
      <x:c r="V3455" s="124"/>
      <x:c r="W3455" s="124"/>
      <x:c r="X3455" s="124"/>
      <x:c r="AD3455"/>
      <x:c r="AE3455" s="145"/>
      <x:c r="AF3455" s="145"/>
      <x:c r="AG3455" s="145"/>
      <x:c r="AH3455" s="145"/>
      <x:c r="AI3455" s="145"/>
      <x:c r="AJ3455"/>
    </x:row>
    <x:row r="3456">
      <x:c r="F3456" s="124"/>
      <x:c r="G3456" s="124"/>
      <x:c r="H3456" s="124"/>
      <x:c r="I3456" s="124"/>
      <x:c r="J3456" s="124"/>
      <x:c r="M3456" s="126"/>
      <x:c r="P3456" s="126"/>
      <x:c r="Q3456" s="126"/>
      <x:c r="R3456" s="126"/>
      <x:c r="S3456" s="124"/>
      <x:c r="T3456" s="124"/>
      <x:c r="U3456" s="124"/>
      <x:c r="V3456" s="124"/>
      <x:c r="W3456" s="124"/>
      <x:c r="X3456" s="124"/>
      <x:c r="AD3456"/>
      <x:c r="AE3456" s="145"/>
      <x:c r="AF3456" s="145"/>
      <x:c r="AG3456" s="145"/>
      <x:c r="AH3456" s="145"/>
      <x:c r="AI3456" s="145"/>
      <x:c r="AJ3456"/>
    </x:row>
    <x:row r="3457">
      <x:c r="F3457" s="124"/>
      <x:c r="G3457" s="124"/>
      <x:c r="H3457" s="124"/>
      <x:c r="I3457" s="124"/>
      <x:c r="J3457" s="124"/>
      <x:c r="M3457" s="126"/>
      <x:c r="P3457" s="126"/>
      <x:c r="Q3457" s="126"/>
      <x:c r="R3457" s="126"/>
      <x:c r="S3457" s="124"/>
      <x:c r="T3457" s="124"/>
      <x:c r="U3457" s="124"/>
      <x:c r="V3457" s="124"/>
      <x:c r="W3457" s="124"/>
      <x:c r="X3457" s="124"/>
      <x:c r="AD3457"/>
      <x:c r="AE3457" s="145"/>
      <x:c r="AF3457" s="145"/>
      <x:c r="AG3457" s="145"/>
      <x:c r="AH3457" s="145"/>
      <x:c r="AI3457" s="145"/>
      <x:c r="AJ3457"/>
    </x:row>
    <x:row r="3458">
      <x:c r="F3458" s="124"/>
      <x:c r="G3458" s="124"/>
      <x:c r="H3458" s="124"/>
      <x:c r="I3458" s="124"/>
      <x:c r="J3458" s="124"/>
      <x:c r="M3458" s="126"/>
      <x:c r="P3458" s="126"/>
      <x:c r="Q3458" s="126"/>
      <x:c r="R3458" s="126"/>
      <x:c r="S3458" s="124"/>
      <x:c r="T3458" s="124"/>
      <x:c r="U3458" s="124"/>
      <x:c r="V3458" s="124"/>
      <x:c r="W3458" s="124"/>
      <x:c r="X3458" s="124"/>
      <x:c r="AD3458"/>
      <x:c r="AE3458" s="145"/>
      <x:c r="AF3458" s="145"/>
      <x:c r="AG3458" s="145"/>
      <x:c r="AH3458" s="145"/>
      <x:c r="AI3458" s="145"/>
      <x:c r="AJ3458"/>
    </x:row>
    <x:row r="3459">
      <x:c r="F3459" s="124"/>
      <x:c r="G3459" s="124"/>
      <x:c r="H3459" s="124"/>
      <x:c r="I3459" s="124"/>
      <x:c r="J3459" s="124"/>
      <x:c r="M3459" s="126"/>
      <x:c r="P3459" s="126"/>
      <x:c r="Q3459" s="126"/>
      <x:c r="R3459" s="126"/>
      <x:c r="S3459" s="124"/>
      <x:c r="T3459" s="124"/>
      <x:c r="U3459" s="124"/>
      <x:c r="V3459" s="124"/>
      <x:c r="W3459" s="124"/>
      <x:c r="X3459" s="124"/>
      <x:c r="AD3459"/>
      <x:c r="AE3459" s="145"/>
      <x:c r="AF3459" s="145"/>
      <x:c r="AG3459" s="145"/>
      <x:c r="AH3459" s="145"/>
      <x:c r="AI3459" s="145"/>
      <x:c r="AJ3459"/>
    </x:row>
    <x:row r="3460">
      <x:c r="F3460" s="124"/>
      <x:c r="G3460" s="124"/>
      <x:c r="H3460" s="124"/>
      <x:c r="I3460" s="124"/>
      <x:c r="J3460" s="124"/>
      <x:c r="M3460" s="126"/>
      <x:c r="P3460" s="126"/>
      <x:c r="Q3460" s="126"/>
      <x:c r="R3460" s="126"/>
      <x:c r="S3460" s="124"/>
      <x:c r="T3460" s="124"/>
      <x:c r="U3460" s="124"/>
      <x:c r="V3460" s="124"/>
      <x:c r="W3460" s="124"/>
      <x:c r="X3460" s="124"/>
      <x:c r="AD3460"/>
      <x:c r="AE3460" s="145"/>
      <x:c r="AF3460" s="145"/>
      <x:c r="AG3460" s="145"/>
      <x:c r="AH3460" s="145"/>
      <x:c r="AI3460" s="145"/>
      <x:c r="AJ3460"/>
    </x:row>
    <x:row r="3461">
      <x:c r="F3461" s="124"/>
      <x:c r="G3461" s="124"/>
      <x:c r="H3461" s="124"/>
      <x:c r="I3461" s="124"/>
      <x:c r="J3461" s="124"/>
      <x:c r="M3461" s="126"/>
      <x:c r="P3461" s="126"/>
      <x:c r="Q3461" s="126"/>
      <x:c r="R3461" s="126"/>
      <x:c r="S3461" s="124"/>
      <x:c r="T3461" s="124"/>
      <x:c r="U3461" s="124"/>
      <x:c r="V3461" s="124"/>
      <x:c r="W3461" s="124"/>
      <x:c r="X3461" s="124"/>
      <x:c r="AD3461"/>
      <x:c r="AE3461" s="145"/>
      <x:c r="AF3461" s="145"/>
      <x:c r="AG3461" s="145"/>
      <x:c r="AH3461" s="145"/>
      <x:c r="AI3461" s="145"/>
      <x:c r="AJ3461"/>
    </x:row>
    <x:row r="3462">
      <x:c r="F3462" s="124"/>
      <x:c r="G3462" s="124"/>
      <x:c r="H3462" s="124"/>
      <x:c r="I3462" s="124"/>
      <x:c r="J3462" s="124"/>
      <x:c r="M3462" s="126"/>
      <x:c r="P3462" s="126"/>
      <x:c r="Q3462" s="126"/>
      <x:c r="R3462" s="126"/>
      <x:c r="S3462" s="124"/>
      <x:c r="T3462" s="124"/>
      <x:c r="U3462" s="124"/>
      <x:c r="V3462" s="124"/>
      <x:c r="W3462" s="124"/>
      <x:c r="X3462" s="124"/>
      <x:c r="AD3462"/>
      <x:c r="AE3462" s="145"/>
      <x:c r="AF3462" s="145"/>
      <x:c r="AG3462" s="145"/>
      <x:c r="AH3462" s="145"/>
      <x:c r="AI3462" s="145"/>
      <x:c r="AJ3462"/>
    </x:row>
    <x:row r="3463">
      <x:c r="F3463" s="124"/>
      <x:c r="G3463" s="124"/>
      <x:c r="H3463" s="124"/>
      <x:c r="I3463" s="124"/>
      <x:c r="J3463" s="124"/>
      <x:c r="M3463" s="126"/>
      <x:c r="P3463" s="126"/>
      <x:c r="Q3463" s="126"/>
      <x:c r="R3463" s="126"/>
      <x:c r="S3463" s="124"/>
      <x:c r="T3463" s="124"/>
      <x:c r="U3463" s="124"/>
      <x:c r="V3463" s="124"/>
      <x:c r="W3463" s="124"/>
      <x:c r="X3463" s="124"/>
      <x:c r="AD3463"/>
      <x:c r="AE3463" s="145"/>
      <x:c r="AF3463" s="145"/>
      <x:c r="AG3463" s="145"/>
      <x:c r="AH3463" s="145"/>
      <x:c r="AI3463" s="145"/>
      <x:c r="AJ3463"/>
    </x:row>
    <x:row r="3464">
      <x:c r="F3464" s="124"/>
      <x:c r="G3464" s="124"/>
      <x:c r="H3464" s="124"/>
      <x:c r="I3464" s="124"/>
      <x:c r="J3464" s="124"/>
      <x:c r="M3464" s="126"/>
      <x:c r="P3464" s="126"/>
      <x:c r="Q3464" s="126"/>
      <x:c r="R3464" s="126"/>
      <x:c r="S3464" s="124"/>
      <x:c r="T3464" s="124"/>
      <x:c r="U3464" s="124"/>
      <x:c r="V3464" s="124"/>
      <x:c r="W3464" s="124"/>
      <x:c r="X3464" s="124"/>
      <x:c r="AD3464"/>
      <x:c r="AE3464" s="145"/>
      <x:c r="AF3464" s="145"/>
      <x:c r="AG3464" s="145"/>
      <x:c r="AH3464" s="145"/>
      <x:c r="AI3464" s="145"/>
      <x:c r="AJ3464"/>
    </x:row>
    <x:row r="3465">
      <x:c r="F3465" s="124"/>
      <x:c r="G3465" s="124"/>
      <x:c r="H3465" s="124"/>
      <x:c r="I3465" s="124"/>
      <x:c r="J3465" s="124"/>
      <x:c r="M3465" s="126"/>
      <x:c r="P3465" s="126"/>
      <x:c r="Q3465" s="126"/>
      <x:c r="R3465" s="126"/>
      <x:c r="S3465" s="124"/>
      <x:c r="T3465" s="124"/>
      <x:c r="U3465" s="124"/>
      <x:c r="V3465" s="124"/>
      <x:c r="W3465" s="124"/>
      <x:c r="X3465" s="124"/>
      <x:c r="AD3465"/>
      <x:c r="AE3465" s="145"/>
      <x:c r="AF3465" s="145"/>
      <x:c r="AG3465" s="145"/>
      <x:c r="AH3465" s="145"/>
      <x:c r="AI3465" s="145"/>
      <x:c r="AJ3465"/>
    </x:row>
    <x:row r="3466">
      <x:c r="F3466" s="124"/>
      <x:c r="G3466" s="124"/>
      <x:c r="H3466" s="124"/>
      <x:c r="I3466" s="124"/>
      <x:c r="J3466" s="124"/>
      <x:c r="M3466" s="126"/>
      <x:c r="P3466" s="126"/>
      <x:c r="Q3466" s="126"/>
      <x:c r="R3466" s="126"/>
      <x:c r="S3466" s="124"/>
      <x:c r="T3466" s="124"/>
      <x:c r="U3466" s="124"/>
      <x:c r="V3466" s="124"/>
      <x:c r="W3466" s="124"/>
      <x:c r="X3466" s="124"/>
      <x:c r="AD3466"/>
      <x:c r="AE3466" s="145"/>
      <x:c r="AF3466" s="145"/>
      <x:c r="AG3466" s="145"/>
      <x:c r="AH3466" s="145"/>
      <x:c r="AI3466" s="145"/>
      <x:c r="AJ3466"/>
    </x:row>
    <x:row r="3467">
      <x:c r="F3467" s="124"/>
      <x:c r="G3467" s="124"/>
      <x:c r="H3467" s="124"/>
      <x:c r="I3467" s="124"/>
      <x:c r="J3467" s="124"/>
      <x:c r="M3467" s="126"/>
      <x:c r="P3467" s="126"/>
      <x:c r="Q3467" s="126"/>
      <x:c r="R3467" s="126"/>
      <x:c r="S3467" s="124"/>
      <x:c r="T3467" s="124"/>
      <x:c r="U3467" s="124"/>
      <x:c r="V3467" s="124"/>
      <x:c r="W3467" s="124"/>
      <x:c r="X3467" s="124"/>
      <x:c r="AD3467"/>
      <x:c r="AE3467" s="145"/>
      <x:c r="AF3467" s="145"/>
      <x:c r="AG3467" s="145"/>
      <x:c r="AH3467" s="145"/>
      <x:c r="AI3467" s="145"/>
      <x:c r="AJ3467"/>
    </x:row>
    <x:row r="3468">
      <x:c r="F3468" s="124"/>
      <x:c r="G3468" s="124"/>
      <x:c r="H3468" s="124"/>
      <x:c r="I3468" s="124"/>
      <x:c r="J3468" s="124"/>
      <x:c r="M3468" s="126"/>
      <x:c r="P3468" s="126"/>
      <x:c r="Q3468" s="126"/>
      <x:c r="R3468" s="126"/>
      <x:c r="S3468" s="124"/>
      <x:c r="T3468" s="124"/>
      <x:c r="U3468" s="124"/>
      <x:c r="V3468" s="124"/>
      <x:c r="W3468" s="124"/>
      <x:c r="X3468" s="124"/>
      <x:c r="AD3468"/>
      <x:c r="AE3468" s="145"/>
      <x:c r="AF3468" s="145"/>
      <x:c r="AG3468" s="145"/>
      <x:c r="AH3468" s="145"/>
      <x:c r="AI3468" s="145"/>
      <x:c r="AJ3468"/>
    </x:row>
    <x:row r="3469">
      <x:c r="F3469" s="124"/>
      <x:c r="G3469" s="124"/>
      <x:c r="H3469" s="124"/>
      <x:c r="I3469" s="124"/>
      <x:c r="J3469" s="124"/>
      <x:c r="M3469" s="126"/>
      <x:c r="P3469" s="126"/>
      <x:c r="Q3469" s="126"/>
      <x:c r="R3469" s="126"/>
      <x:c r="S3469" s="124"/>
      <x:c r="T3469" s="124"/>
      <x:c r="U3469" s="124"/>
      <x:c r="V3469" s="124"/>
      <x:c r="W3469" s="124"/>
      <x:c r="X3469" s="124"/>
      <x:c r="AD3469"/>
      <x:c r="AE3469" s="145"/>
      <x:c r="AF3469" s="145"/>
      <x:c r="AG3469" s="145"/>
      <x:c r="AH3469" s="145"/>
      <x:c r="AI3469" s="145"/>
      <x:c r="AJ3469"/>
    </x:row>
    <x:row r="3470">
      <x:c r="F3470" s="124"/>
      <x:c r="G3470" s="124"/>
      <x:c r="H3470" s="124"/>
      <x:c r="I3470" s="124"/>
      <x:c r="J3470" s="124"/>
      <x:c r="M3470" s="126"/>
      <x:c r="P3470" s="126"/>
      <x:c r="Q3470" s="126"/>
      <x:c r="R3470" s="126"/>
      <x:c r="S3470" s="124"/>
      <x:c r="T3470" s="124"/>
      <x:c r="U3470" s="124"/>
      <x:c r="V3470" s="124"/>
      <x:c r="W3470" s="124"/>
      <x:c r="X3470" s="124"/>
      <x:c r="AD3470"/>
      <x:c r="AE3470" s="145"/>
      <x:c r="AF3470" s="145"/>
      <x:c r="AG3470" s="145"/>
      <x:c r="AH3470" s="145"/>
      <x:c r="AI3470" s="145"/>
      <x:c r="AJ3470"/>
    </x:row>
    <x:row r="3471">
      <x:c r="F3471" s="124"/>
      <x:c r="G3471" s="124"/>
      <x:c r="H3471" s="124"/>
      <x:c r="I3471" s="124"/>
      <x:c r="J3471" s="124"/>
      <x:c r="M3471" s="126"/>
      <x:c r="P3471" s="126"/>
      <x:c r="Q3471" s="126"/>
      <x:c r="R3471" s="126"/>
      <x:c r="S3471" s="124"/>
      <x:c r="T3471" s="124"/>
      <x:c r="U3471" s="124"/>
      <x:c r="V3471" s="124"/>
      <x:c r="W3471" s="124"/>
      <x:c r="X3471" s="124"/>
      <x:c r="AD3471"/>
      <x:c r="AE3471" s="145"/>
      <x:c r="AF3471" s="145"/>
      <x:c r="AG3471" s="145"/>
      <x:c r="AH3471" s="145"/>
      <x:c r="AI3471" s="145"/>
      <x:c r="AJ3471"/>
    </x:row>
    <x:row r="3472">
      <x:c r="F3472" s="124"/>
      <x:c r="G3472" s="124"/>
      <x:c r="H3472" s="124"/>
      <x:c r="I3472" s="124"/>
      <x:c r="J3472" s="124"/>
      <x:c r="M3472" s="126"/>
      <x:c r="P3472" s="126"/>
      <x:c r="Q3472" s="126"/>
      <x:c r="R3472" s="126"/>
      <x:c r="S3472" s="124"/>
      <x:c r="T3472" s="124"/>
      <x:c r="U3472" s="124"/>
      <x:c r="V3472" s="124"/>
      <x:c r="W3472" s="124"/>
      <x:c r="X3472" s="124"/>
      <x:c r="AD3472"/>
      <x:c r="AE3472" s="145"/>
      <x:c r="AF3472" s="145"/>
      <x:c r="AG3472" s="145"/>
      <x:c r="AH3472" s="145"/>
      <x:c r="AI3472" s="145"/>
      <x:c r="AJ3472"/>
    </x:row>
    <x:row r="3473">
      <x:c r="F3473" s="124"/>
      <x:c r="G3473" s="124"/>
      <x:c r="H3473" s="124"/>
      <x:c r="I3473" s="124"/>
      <x:c r="J3473" s="124"/>
      <x:c r="M3473" s="126"/>
      <x:c r="P3473" s="126"/>
      <x:c r="Q3473" s="126"/>
      <x:c r="R3473" s="126"/>
      <x:c r="S3473" s="124"/>
      <x:c r="T3473" s="124"/>
      <x:c r="U3473" s="124"/>
      <x:c r="V3473" s="124"/>
      <x:c r="W3473" s="124"/>
      <x:c r="X3473" s="124"/>
      <x:c r="AD3473"/>
      <x:c r="AE3473" s="145"/>
      <x:c r="AF3473" s="145"/>
      <x:c r="AG3473" s="145"/>
      <x:c r="AH3473" s="145"/>
      <x:c r="AI3473" s="145"/>
      <x:c r="AJ3473"/>
    </x:row>
    <x:row r="3474">
      <x:c r="F3474" s="124"/>
      <x:c r="G3474" s="124"/>
      <x:c r="H3474" s="124"/>
      <x:c r="I3474" s="124"/>
      <x:c r="J3474" s="124"/>
      <x:c r="M3474" s="126"/>
      <x:c r="P3474" s="126"/>
      <x:c r="Q3474" s="126"/>
      <x:c r="R3474" s="126"/>
      <x:c r="S3474" s="124"/>
      <x:c r="T3474" s="124"/>
      <x:c r="U3474" s="124"/>
      <x:c r="V3474" s="124"/>
      <x:c r="W3474" s="124"/>
      <x:c r="X3474" s="124"/>
      <x:c r="AD3474"/>
      <x:c r="AE3474" s="145"/>
      <x:c r="AF3474" s="145"/>
      <x:c r="AG3474" s="145"/>
      <x:c r="AH3474" s="145"/>
      <x:c r="AI3474" s="145"/>
      <x:c r="AJ3474"/>
    </x:row>
    <x:row r="3475">
      <x:c r="F3475" s="124"/>
      <x:c r="G3475" s="124"/>
      <x:c r="H3475" s="124"/>
      <x:c r="I3475" s="124"/>
      <x:c r="J3475" s="124"/>
      <x:c r="M3475" s="126"/>
      <x:c r="P3475" s="126"/>
      <x:c r="Q3475" s="126"/>
      <x:c r="R3475" s="126"/>
      <x:c r="S3475" s="124"/>
      <x:c r="T3475" s="124"/>
      <x:c r="U3475" s="124"/>
      <x:c r="V3475" s="124"/>
      <x:c r="W3475" s="124"/>
      <x:c r="X3475" s="124"/>
      <x:c r="AD3475"/>
      <x:c r="AE3475" s="145"/>
      <x:c r="AF3475" s="145"/>
      <x:c r="AG3475" s="145"/>
      <x:c r="AH3475" s="145"/>
      <x:c r="AI3475" s="145"/>
      <x:c r="AJ3475"/>
    </x:row>
    <x:row r="3476">
      <x:c r="F3476" s="124"/>
      <x:c r="G3476" s="124"/>
      <x:c r="H3476" s="124"/>
      <x:c r="I3476" s="124"/>
      <x:c r="J3476" s="124"/>
      <x:c r="M3476" s="126"/>
      <x:c r="P3476" s="126"/>
      <x:c r="Q3476" s="126"/>
      <x:c r="R3476" s="126"/>
      <x:c r="S3476" s="124"/>
      <x:c r="T3476" s="124"/>
      <x:c r="U3476" s="124"/>
      <x:c r="V3476" s="124"/>
      <x:c r="W3476" s="124"/>
      <x:c r="X3476" s="124"/>
      <x:c r="AD3476"/>
      <x:c r="AE3476" s="145"/>
      <x:c r="AF3476" s="145"/>
      <x:c r="AG3476" s="145"/>
      <x:c r="AH3476" s="145"/>
      <x:c r="AI3476" s="145"/>
      <x:c r="AJ3476"/>
    </x:row>
    <x:row r="3477">
      <x:c r="F3477" s="124"/>
      <x:c r="G3477" s="124"/>
      <x:c r="H3477" s="124"/>
      <x:c r="I3477" s="124"/>
      <x:c r="J3477" s="124"/>
      <x:c r="M3477" s="126"/>
      <x:c r="P3477" s="126"/>
      <x:c r="Q3477" s="126"/>
      <x:c r="R3477" s="126"/>
      <x:c r="S3477" s="124"/>
      <x:c r="T3477" s="124"/>
      <x:c r="U3477" s="124"/>
      <x:c r="V3477" s="124"/>
      <x:c r="W3477" s="124"/>
      <x:c r="X3477" s="124"/>
      <x:c r="AD3477"/>
      <x:c r="AE3477" s="145"/>
      <x:c r="AF3477" s="145"/>
      <x:c r="AG3477" s="145"/>
      <x:c r="AH3477" s="145"/>
      <x:c r="AI3477" s="145"/>
      <x:c r="AJ3477"/>
    </x:row>
    <x:row r="3478">
      <x:c r="F3478" s="124"/>
      <x:c r="G3478" s="124"/>
      <x:c r="H3478" s="124"/>
      <x:c r="I3478" s="124"/>
      <x:c r="J3478" s="124"/>
      <x:c r="M3478" s="126"/>
      <x:c r="P3478" s="126"/>
      <x:c r="Q3478" s="126"/>
      <x:c r="R3478" s="126"/>
      <x:c r="S3478" s="124"/>
      <x:c r="T3478" s="124"/>
      <x:c r="U3478" s="124"/>
      <x:c r="V3478" s="124"/>
      <x:c r="W3478" s="124"/>
      <x:c r="X3478" s="124"/>
      <x:c r="AD3478"/>
      <x:c r="AE3478" s="145"/>
      <x:c r="AF3478" s="145"/>
      <x:c r="AG3478" s="145"/>
      <x:c r="AH3478" s="145"/>
      <x:c r="AI3478" s="145"/>
      <x:c r="AJ3478"/>
    </x:row>
    <x:row r="3479">
      <x:c r="F3479" s="124"/>
      <x:c r="G3479" s="124"/>
      <x:c r="H3479" s="124"/>
      <x:c r="I3479" s="124"/>
      <x:c r="J3479" s="124"/>
      <x:c r="M3479" s="126"/>
      <x:c r="P3479" s="126"/>
      <x:c r="Q3479" s="126"/>
      <x:c r="R3479" s="126"/>
      <x:c r="S3479" s="124"/>
      <x:c r="T3479" s="124"/>
      <x:c r="U3479" s="124"/>
      <x:c r="V3479" s="124"/>
      <x:c r="W3479" s="124"/>
      <x:c r="X3479" s="124"/>
      <x:c r="AD3479"/>
      <x:c r="AE3479" s="145"/>
      <x:c r="AF3479" s="145"/>
      <x:c r="AG3479" s="145"/>
      <x:c r="AH3479" s="145"/>
      <x:c r="AI3479" s="145"/>
      <x:c r="AJ3479"/>
    </x:row>
    <x:row r="3480">
      <x:c r="F3480" s="124"/>
      <x:c r="G3480" s="124"/>
      <x:c r="H3480" s="124"/>
      <x:c r="I3480" s="124"/>
      <x:c r="J3480" s="124"/>
      <x:c r="M3480" s="126"/>
      <x:c r="P3480" s="126"/>
      <x:c r="Q3480" s="126"/>
      <x:c r="R3480" s="126"/>
      <x:c r="S3480" s="124"/>
      <x:c r="T3480" s="124"/>
      <x:c r="U3480" s="124"/>
      <x:c r="V3480" s="124"/>
      <x:c r="W3480" s="124"/>
      <x:c r="X3480" s="124"/>
      <x:c r="AD3480"/>
      <x:c r="AE3480" s="145"/>
      <x:c r="AF3480" s="145"/>
      <x:c r="AG3480" s="145"/>
      <x:c r="AH3480" s="145"/>
      <x:c r="AI3480" s="145"/>
      <x:c r="AJ3480"/>
    </x:row>
    <x:row r="3481">
      <x:c r="F3481" s="124"/>
      <x:c r="G3481" s="124"/>
      <x:c r="H3481" s="124"/>
      <x:c r="I3481" s="124"/>
      <x:c r="J3481" s="124"/>
      <x:c r="M3481" s="126"/>
      <x:c r="P3481" s="126"/>
      <x:c r="Q3481" s="126"/>
      <x:c r="R3481" s="126"/>
      <x:c r="S3481" s="124"/>
      <x:c r="T3481" s="124"/>
      <x:c r="U3481" s="124"/>
      <x:c r="V3481" s="124"/>
      <x:c r="W3481" s="124"/>
      <x:c r="X3481" s="124"/>
      <x:c r="AD3481"/>
      <x:c r="AE3481" s="145"/>
      <x:c r="AF3481" s="145"/>
      <x:c r="AG3481" s="145"/>
      <x:c r="AH3481" s="145"/>
      <x:c r="AI3481" s="145"/>
      <x:c r="AJ3481"/>
    </x:row>
    <x:row r="3482">
      <x:c r="F3482" s="124"/>
      <x:c r="G3482" s="124"/>
      <x:c r="H3482" s="124"/>
      <x:c r="I3482" s="124"/>
      <x:c r="J3482" s="124"/>
      <x:c r="M3482" s="126"/>
      <x:c r="P3482" s="126"/>
      <x:c r="Q3482" s="126"/>
      <x:c r="R3482" s="126"/>
      <x:c r="S3482" s="124"/>
      <x:c r="T3482" s="124"/>
      <x:c r="U3482" s="124"/>
      <x:c r="V3482" s="124"/>
      <x:c r="W3482" s="124"/>
      <x:c r="X3482" s="124"/>
      <x:c r="AD3482"/>
      <x:c r="AE3482" s="145"/>
      <x:c r="AF3482" s="145"/>
      <x:c r="AG3482" s="145"/>
      <x:c r="AH3482" s="145"/>
      <x:c r="AI3482" s="145"/>
      <x:c r="AJ3482"/>
    </x:row>
    <x:row r="3483">
      <x:c r="F3483" s="124"/>
      <x:c r="G3483" s="124"/>
      <x:c r="H3483" s="124"/>
      <x:c r="I3483" s="124"/>
      <x:c r="J3483" s="124"/>
      <x:c r="M3483" s="126"/>
      <x:c r="P3483" s="126"/>
      <x:c r="Q3483" s="126"/>
      <x:c r="R3483" s="126"/>
      <x:c r="S3483" s="124"/>
      <x:c r="T3483" s="124"/>
      <x:c r="U3483" s="124"/>
      <x:c r="V3483" s="124"/>
      <x:c r="W3483" s="124"/>
      <x:c r="X3483" s="124"/>
      <x:c r="AD3483"/>
      <x:c r="AE3483" s="145"/>
      <x:c r="AF3483" s="145"/>
      <x:c r="AG3483" s="145"/>
      <x:c r="AH3483" s="145"/>
      <x:c r="AI3483" s="145"/>
      <x:c r="AJ3483"/>
    </x:row>
    <x:row r="3484">
      <x:c r="F3484" s="124"/>
      <x:c r="G3484" s="124"/>
      <x:c r="H3484" s="124"/>
      <x:c r="I3484" s="124"/>
      <x:c r="J3484" s="124"/>
      <x:c r="M3484" s="126"/>
      <x:c r="P3484" s="126"/>
      <x:c r="Q3484" s="126"/>
      <x:c r="R3484" s="126"/>
      <x:c r="S3484" s="124"/>
      <x:c r="T3484" s="124"/>
      <x:c r="U3484" s="124"/>
      <x:c r="V3484" s="124"/>
      <x:c r="W3484" s="124"/>
      <x:c r="X3484" s="124"/>
      <x:c r="AD3484"/>
      <x:c r="AE3484" s="145"/>
      <x:c r="AF3484" s="145"/>
      <x:c r="AG3484" s="145"/>
      <x:c r="AH3484" s="145"/>
      <x:c r="AI3484" s="145"/>
      <x:c r="AJ3484"/>
    </x:row>
    <x:row r="3485">
      <x:c r="F3485" s="124"/>
      <x:c r="G3485" s="124"/>
      <x:c r="H3485" s="124"/>
      <x:c r="I3485" s="124"/>
      <x:c r="J3485" s="124"/>
      <x:c r="M3485" s="126"/>
      <x:c r="P3485" s="126"/>
      <x:c r="Q3485" s="126"/>
      <x:c r="R3485" s="126"/>
      <x:c r="S3485" s="124"/>
      <x:c r="T3485" s="124"/>
      <x:c r="U3485" s="124"/>
      <x:c r="V3485" s="124"/>
      <x:c r="W3485" s="124"/>
      <x:c r="X3485" s="124"/>
      <x:c r="AD3485"/>
      <x:c r="AE3485" s="145"/>
      <x:c r="AF3485" s="145"/>
      <x:c r="AG3485" s="145"/>
      <x:c r="AH3485" s="145"/>
      <x:c r="AI3485" s="145"/>
      <x:c r="AJ3485"/>
    </x:row>
    <x:row r="3486">
      <x:c r="F3486" s="124"/>
      <x:c r="G3486" s="124"/>
      <x:c r="H3486" s="124"/>
      <x:c r="I3486" s="124"/>
      <x:c r="J3486" s="124"/>
      <x:c r="M3486" s="126"/>
      <x:c r="P3486" s="126"/>
      <x:c r="Q3486" s="126"/>
      <x:c r="R3486" s="126"/>
      <x:c r="S3486" s="124"/>
      <x:c r="T3486" s="124"/>
      <x:c r="U3486" s="124"/>
      <x:c r="V3486" s="124"/>
      <x:c r="W3486" s="124"/>
      <x:c r="X3486" s="124"/>
      <x:c r="AD3486"/>
      <x:c r="AE3486" s="145"/>
      <x:c r="AF3486" s="145"/>
      <x:c r="AG3486" s="145"/>
      <x:c r="AH3486" s="145"/>
      <x:c r="AI3486" s="145"/>
      <x:c r="AJ3486"/>
    </x:row>
    <x:row r="3487">
      <x:c r="F3487" s="124"/>
      <x:c r="G3487" s="124"/>
      <x:c r="H3487" s="124"/>
      <x:c r="I3487" s="124"/>
      <x:c r="J3487" s="124"/>
      <x:c r="M3487" s="126"/>
      <x:c r="P3487" s="126"/>
      <x:c r="Q3487" s="126"/>
      <x:c r="R3487" s="126"/>
      <x:c r="S3487" s="124"/>
      <x:c r="T3487" s="124"/>
      <x:c r="U3487" s="124"/>
      <x:c r="V3487" s="124"/>
      <x:c r="W3487" s="124"/>
      <x:c r="X3487" s="124"/>
      <x:c r="AD3487"/>
      <x:c r="AE3487" s="145"/>
      <x:c r="AF3487" s="145"/>
      <x:c r="AG3487" s="145"/>
      <x:c r="AH3487" s="145"/>
      <x:c r="AI3487" s="145"/>
      <x:c r="AJ3487"/>
    </x:row>
    <x:row r="3488">
      <x:c r="F3488" s="124"/>
      <x:c r="G3488" s="124"/>
      <x:c r="H3488" s="124"/>
      <x:c r="I3488" s="124"/>
      <x:c r="J3488" s="124"/>
      <x:c r="M3488" s="126"/>
      <x:c r="P3488" s="126"/>
      <x:c r="Q3488" s="126"/>
      <x:c r="R3488" s="126"/>
      <x:c r="S3488" s="124"/>
      <x:c r="T3488" s="124"/>
      <x:c r="U3488" s="124"/>
      <x:c r="V3488" s="124"/>
      <x:c r="W3488" s="124"/>
      <x:c r="X3488" s="124"/>
      <x:c r="AD3488"/>
      <x:c r="AE3488" s="145"/>
      <x:c r="AF3488" s="145"/>
      <x:c r="AG3488" s="145"/>
      <x:c r="AH3488" s="145"/>
      <x:c r="AI3488" s="145"/>
      <x:c r="AJ3488"/>
    </x:row>
    <x:row r="3489">
      <x:c r="F3489" s="124"/>
      <x:c r="G3489" s="124"/>
      <x:c r="H3489" s="124"/>
      <x:c r="I3489" s="124"/>
      <x:c r="J3489" s="124"/>
      <x:c r="M3489" s="126"/>
      <x:c r="P3489" s="126"/>
      <x:c r="Q3489" s="126"/>
      <x:c r="R3489" s="126"/>
      <x:c r="S3489" s="124"/>
      <x:c r="T3489" s="124"/>
      <x:c r="U3489" s="124"/>
      <x:c r="V3489" s="124"/>
      <x:c r="W3489" s="124"/>
      <x:c r="X3489" s="124"/>
      <x:c r="AD3489"/>
      <x:c r="AE3489" s="145"/>
      <x:c r="AF3489" s="145"/>
      <x:c r="AG3489" s="145"/>
      <x:c r="AH3489" s="145"/>
      <x:c r="AI3489" s="145"/>
      <x:c r="AJ3489"/>
    </x:row>
    <x:row r="3490">
      <x:c r="F3490" s="124"/>
      <x:c r="G3490" s="124"/>
      <x:c r="H3490" s="124"/>
      <x:c r="I3490" s="124"/>
      <x:c r="J3490" s="124"/>
      <x:c r="M3490" s="126"/>
      <x:c r="P3490" s="126"/>
      <x:c r="Q3490" s="126"/>
      <x:c r="R3490" s="126"/>
      <x:c r="S3490" s="124"/>
      <x:c r="T3490" s="124"/>
      <x:c r="U3490" s="124"/>
      <x:c r="V3490" s="124"/>
      <x:c r="W3490" s="124"/>
      <x:c r="X3490" s="124"/>
      <x:c r="AD3490"/>
      <x:c r="AE3490" s="145"/>
      <x:c r="AF3490" s="145"/>
      <x:c r="AG3490" s="145"/>
      <x:c r="AH3490" s="145"/>
      <x:c r="AI3490" s="145"/>
      <x:c r="AJ3490"/>
    </x:row>
    <x:row r="3491">
      <x:c r="F3491" s="124"/>
      <x:c r="G3491" s="124"/>
      <x:c r="H3491" s="124"/>
      <x:c r="I3491" s="124"/>
      <x:c r="J3491" s="124"/>
      <x:c r="M3491" s="126"/>
      <x:c r="P3491" s="126"/>
      <x:c r="Q3491" s="126"/>
      <x:c r="R3491" s="126"/>
      <x:c r="S3491" s="124"/>
      <x:c r="T3491" s="124"/>
      <x:c r="U3491" s="124"/>
      <x:c r="V3491" s="124"/>
      <x:c r="W3491" s="124"/>
      <x:c r="X3491" s="124"/>
      <x:c r="AD3491"/>
      <x:c r="AE3491" s="145"/>
      <x:c r="AF3491" s="145"/>
      <x:c r="AG3491" s="145"/>
      <x:c r="AH3491" s="145"/>
      <x:c r="AI3491" s="145"/>
      <x:c r="AJ3491"/>
    </x:row>
    <x:row r="3492">
      <x:c r="F3492" s="124"/>
      <x:c r="G3492" s="124"/>
      <x:c r="H3492" s="124"/>
      <x:c r="I3492" s="124"/>
      <x:c r="J3492" s="124"/>
      <x:c r="M3492" s="126"/>
      <x:c r="P3492" s="126"/>
      <x:c r="Q3492" s="126"/>
      <x:c r="R3492" s="126"/>
      <x:c r="S3492" s="124"/>
      <x:c r="T3492" s="124"/>
      <x:c r="U3492" s="124"/>
      <x:c r="V3492" s="124"/>
      <x:c r="W3492" s="124"/>
      <x:c r="X3492" s="124"/>
      <x:c r="AD3492"/>
      <x:c r="AE3492" s="145"/>
      <x:c r="AF3492" s="145"/>
      <x:c r="AG3492" s="145"/>
      <x:c r="AH3492" s="145"/>
      <x:c r="AI3492" s="145"/>
      <x:c r="AJ3492"/>
    </x:row>
    <x:row r="3493">
      <x:c r="F3493" s="124"/>
      <x:c r="G3493" s="124"/>
      <x:c r="H3493" s="124"/>
      <x:c r="I3493" s="124"/>
      <x:c r="J3493" s="124"/>
      <x:c r="M3493" s="126"/>
      <x:c r="P3493" s="126"/>
      <x:c r="Q3493" s="126"/>
      <x:c r="R3493" s="126"/>
      <x:c r="S3493" s="124"/>
      <x:c r="T3493" s="124"/>
      <x:c r="U3493" s="124"/>
      <x:c r="V3493" s="124"/>
      <x:c r="W3493" s="124"/>
      <x:c r="X3493" s="124"/>
      <x:c r="AD3493"/>
      <x:c r="AE3493" s="145"/>
      <x:c r="AF3493" s="145"/>
      <x:c r="AG3493" s="145"/>
      <x:c r="AH3493" s="145"/>
      <x:c r="AI3493" s="145"/>
      <x:c r="AJ3493"/>
    </x:row>
    <x:row r="3494">
      <x:c r="F3494" s="124"/>
      <x:c r="G3494" s="124"/>
      <x:c r="H3494" s="124"/>
      <x:c r="I3494" s="124"/>
      <x:c r="J3494" s="124"/>
      <x:c r="M3494" s="126"/>
      <x:c r="P3494" s="126"/>
      <x:c r="Q3494" s="126"/>
      <x:c r="R3494" s="126"/>
      <x:c r="S3494" s="124"/>
      <x:c r="T3494" s="124"/>
      <x:c r="U3494" s="124"/>
      <x:c r="V3494" s="124"/>
      <x:c r="W3494" s="124"/>
      <x:c r="X3494" s="124"/>
      <x:c r="AD3494"/>
      <x:c r="AE3494" s="145"/>
      <x:c r="AF3494" s="145"/>
      <x:c r="AG3494" s="145"/>
      <x:c r="AH3494" s="145"/>
      <x:c r="AI3494" s="145"/>
      <x:c r="AJ3494"/>
    </x:row>
    <x:row r="3495">
      <x:c r="F3495" s="124"/>
      <x:c r="G3495" s="124"/>
      <x:c r="H3495" s="124"/>
      <x:c r="I3495" s="124"/>
      <x:c r="J3495" s="124"/>
      <x:c r="M3495" s="126"/>
      <x:c r="P3495" s="126"/>
      <x:c r="Q3495" s="126"/>
      <x:c r="R3495" s="126"/>
      <x:c r="S3495" s="124"/>
      <x:c r="T3495" s="124"/>
      <x:c r="U3495" s="124"/>
      <x:c r="V3495" s="124"/>
      <x:c r="W3495" s="124"/>
      <x:c r="X3495" s="124"/>
      <x:c r="AD3495"/>
      <x:c r="AE3495" s="145"/>
      <x:c r="AF3495" s="145"/>
      <x:c r="AG3495" s="145"/>
      <x:c r="AH3495" s="145"/>
      <x:c r="AI3495" s="145"/>
      <x:c r="AJ3495"/>
    </x:row>
    <x:row r="3496">
      <x:c r="F3496" s="124"/>
      <x:c r="G3496" s="124"/>
      <x:c r="H3496" s="124"/>
      <x:c r="I3496" s="124"/>
      <x:c r="J3496" s="124"/>
      <x:c r="M3496" s="126"/>
      <x:c r="P3496" s="126"/>
      <x:c r="Q3496" s="126"/>
      <x:c r="R3496" s="126"/>
      <x:c r="S3496" s="124"/>
      <x:c r="T3496" s="124"/>
      <x:c r="U3496" s="124"/>
      <x:c r="V3496" s="124"/>
      <x:c r="W3496" s="124"/>
      <x:c r="X3496" s="124"/>
      <x:c r="AD3496"/>
      <x:c r="AE3496" s="145"/>
      <x:c r="AF3496" s="145"/>
      <x:c r="AG3496" s="145"/>
      <x:c r="AH3496" s="145"/>
      <x:c r="AI3496" s="145"/>
      <x:c r="AJ3496"/>
    </x:row>
    <x:row r="3497">
      <x:c r="F3497" s="124"/>
      <x:c r="G3497" s="124"/>
      <x:c r="H3497" s="124"/>
      <x:c r="I3497" s="124"/>
      <x:c r="J3497" s="124"/>
      <x:c r="M3497" s="126"/>
      <x:c r="P3497" s="126"/>
      <x:c r="Q3497" s="126"/>
      <x:c r="R3497" s="126"/>
      <x:c r="S3497" s="124"/>
      <x:c r="T3497" s="124"/>
      <x:c r="U3497" s="124"/>
      <x:c r="V3497" s="124"/>
      <x:c r="W3497" s="124"/>
      <x:c r="X3497" s="124"/>
      <x:c r="AD3497"/>
      <x:c r="AE3497" s="145"/>
      <x:c r="AF3497" s="145"/>
      <x:c r="AG3497" s="145"/>
      <x:c r="AH3497" s="145"/>
      <x:c r="AI3497" s="145"/>
      <x:c r="AJ3497"/>
    </x:row>
    <x:row r="3498">
      <x:c r="F3498" s="124"/>
      <x:c r="G3498" s="124"/>
      <x:c r="H3498" s="124"/>
      <x:c r="I3498" s="124"/>
      <x:c r="J3498" s="124"/>
      <x:c r="M3498" s="126"/>
      <x:c r="P3498" s="126"/>
      <x:c r="Q3498" s="126"/>
      <x:c r="R3498" s="126"/>
      <x:c r="S3498" s="124"/>
      <x:c r="T3498" s="124"/>
      <x:c r="U3498" s="124"/>
      <x:c r="V3498" s="124"/>
      <x:c r="W3498" s="124"/>
      <x:c r="X3498" s="124"/>
      <x:c r="AD3498"/>
      <x:c r="AE3498" s="145"/>
      <x:c r="AF3498" s="145"/>
      <x:c r="AG3498" s="145"/>
      <x:c r="AH3498" s="145"/>
      <x:c r="AI3498" s="145"/>
      <x:c r="AJ3498"/>
    </x:row>
    <x:row r="3499">
      <x:c r="F3499" s="124"/>
      <x:c r="G3499" s="124"/>
      <x:c r="H3499" s="124"/>
      <x:c r="I3499" s="124"/>
      <x:c r="J3499" s="124"/>
      <x:c r="M3499" s="126"/>
      <x:c r="P3499" s="126"/>
      <x:c r="Q3499" s="126"/>
      <x:c r="R3499" s="126"/>
      <x:c r="S3499" s="124"/>
      <x:c r="T3499" s="124"/>
      <x:c r="U3499" s="124"/>
      <x:c r="V3499" s="124"/>
      <x:c r="W3499" s="124"/>
      <x:c r="X3499" s="124"/>
      <x:c r="AD3499"/>
      <x:c r="AE3499" s="145"/>
      <x:c r="AF3499" s="145"/>
      <x:c r="AG3499" s="145"/>
      <x:c r="AH3499" s="145"/>
      <x:c r="AI3499" s="145"/>
      <x:c r="AJ3499"/>
    </x:row>
    <x:row r="3500">
      <x:c r="F3500" s="124"/>
      <x:c r="G3500" s="124"/>
      <x:c r="H3500" s="124"/>
      <x:c r="I3500" s="124"/>
      <x:c r="J3500" s="124"/>
      <x:c r="M3500" s="126"/>
      <x:c r="P3500" s="126"/>
      <x:c r="Q3500" s="126"/>
      <x:c r="R3500" s="126"/>
      <x:c r="S3500" s="124"/>
      <x:c r="T3500" s="124"/>
      <x:c r="U3500" s="124"/>
      <x:c r="V3500" s="124"/>
      <x:c r="W3500" s="124"/>
      <x:c r="X3500" s="124"/>
      <x:c r="AD3500"/>
      <x:c r="AE3500" s="145"/>
      <x:c r="AF3500" s="145"/>
      <x:c r="AG3500" s="145"/>
      <x:c r="AH3500" s="145"/>
      <x:c r="AI3500" s="145"/>
      <x:c r="AJ3500"/>
    </x:row>
    <x:row r="3501">
      <x:c r="F3501" s="124"/>
      <x:c r="G3501" s="124"/>
      <x:c r="H3501" s="124"/>
      <x:c r="I3501" s="124"/>
      <x:c r="J3501" s="124"/>
      <x:c r="M3501" s="126"/>
      <x:c r="P3501" s="126"/>
      <x:c r="Q3501" s="126"/>
      <x:c r="R3501" s="126"/>
      <x:c r="S3501" s="124"/>
      <x:c r="T3501" s="124"/>
      <x:c r="U3501" s="124"/>
      <x:c r="V3501" s="124"/>
      <x:c r="W3501" s="124"/>
      <x:c r="X3501" s="124"/>
      <x:c r="AD3501"/>
      <x:c r="AE3501" s="145"/>
      <x:c r="AF3501" s="145"/>
      <x:c r="AG3501" s="145"/>
      <x:c r="AH3501" s="145"/>
      <x:c r="AI3501" s="145"/>
      <x:c r="AJ3501"/>
    </x:row>
    <x:row r="3502">
      <x:c r="F3502" s="124"/>
      <x:c r="G3502" s="124"/>
      <x:c r="H3502" s="124"/>
      <x:c r="I3502" s="124"/>
      <x:c r="J3502" s="124"/>
      <x:c r="M3502" s="126"/>
      <x:c r="P3502" s="126"/>
      <x:c r="Q3502" s="126"/>
      <x:c r="R3502" s="126"/>
      <x:c r="S3502" s="124"/>
      <x:c r="T3502" s="124"/>
      <x:c r="U3502" s="124"/>
      <x:c r="V3502" s="124"/>
      <x:c r="W3502" s="124"/>
      <x:c r="X3502" s="124"/>
      <x:c r="AD3502"/>
      <x:c r="AE3502" s="145"/>
      <x:c r="AF3502" s="145"/>
      <x:c r="AG3502" s="145"/>
      <x:c r="AH3502" s="145"/>
      <x:c r="AI3502" s="145"/>
      <x:c r="AJ3502"/>
    </x:row>
    <x:row r="3503">
      <x:c r="F3503" s="124"/>
      <x:c r="G3503" s="124"/>
      <x:c r="H3503" s="124"/>
      <x:c r="I3503" s="124"/>
      <x:c r="J3503" s="124"/>
      <x:c r="M3503" s="126"/>
      <x:c r="P3503" s="126"/>
      <x:c r="Q3503" s="126"/>
      <x:c r="R3503" s="126"/>
      <x:c r="S3503" s="124"/>
      <x:c r="T3503" s="124"/>
      <x:c r="U3503" s="124"/>
      <x:c r="V3503" s="124"/>
      <x:c r="W3503" s="124"/>
      <x:c r="X3503" s="124"/>
      <x:c r="AD3503"/>
      <x:c r="AE3503" s="145"/>
      <x:c r="AF3503" s="145"/>
      <x:c r="AG3503" s="145"/>
      <x:c r="AH3503" s="145"/>
      <x:c r="AI3503" s="145"/>
      <x:c r="AJ3503"/>
    </x:row>
    <x:row r="3504">
      <x:c r="F3504" s="124"/>
      <x:c r="G3504" s="124"/>
      <x:c r="H3504" s="124"/>
      <x:c r="I3504" s="124"/>
      <x:c r="J3504" s="124"/>
      <x:c r="M3504" s="126"/>
      <x:c r="P3504" s="126"/>
      <x:c r="Q3504" s="126"/>
      <x:c r="R3504" s="126"/>
      <x:c r="S3504" s="124"/>
      <x:c r="T3504" s="124"/>
      <x:c r="U3504" s="124"/>
      <x:c r="V3504" s="124"/>
      <x:c r="W3504" s="124"/>
      <x:c r="X3504" s="124"/>
      <x:c r="AD3504"/>
      <x:c r="AE3504" s="145"/>
      <x:c r="AF3504" s="145"/>
      <x:c r="AG3504" s="145"/>
      <x:c r="AH3504" s="145"/>
      <x:c r="AI3504" s="145"/>
      <x:c r="AJ3504"/>
    </x:row>
    <x:row r="3505">
      <x:c r="F3505" s="124"/>
      <x:c r="G3505" s="124"/>
      <x:c r="H3505" s="124"/>
      <x:c r="I3505" s="124"/>
      <x:c r="J3505" s="124"/>
      <x:c r="M3505" s="126"/>
      <x:c r="P3505" s="126"/>
      <x:c r="Q3505" s="126"/>
      <x:c r="R3505" s="126"/>
      <x:c r="S3505" s="124"/>
      <x:c r="T3505" s="124"/>
      <x:c r="U3505" s="124"/>
      <x:c r="V3505" s="124"/>
      <x:c r="W3505" s="124"/>
      <x:c r="X3505" s="124"/>
      <x:c r="AD3505"/>
      <x:c r="AE3505" s="145"/>
      <x:c r="AF3505" s="145"/>
      <x:c r="AG3505" s="145"/>
      <x:c r="AH3505" s="145"/>
      <x:c r="AI3505" s="145"/>
      <x:c r="AJ3505"/>
    </x:row>
    <x:row r="3506">
      <x:c r="F3506" s="124"/>
      <x:c r="G3506" s="124"/>
      <x:c r="H3506" s="124"/>
      <x:c r="I3506" s="124"/>
      <x:c r="J3506" s="124"/>
      <x:c r="M3506" s="126"/>
      <x:c r="P3506" s="126"/>
      <x:c r="Q3506" s="126"/>
      <x:c r="R3506" s="126"/>
      <x:c r="S3506" s="124"/>
      <x:c r="T3506" s="124"/>
      <x:c r="U3506" s="124"/>
      <x:c r="V3506" s="124"/>
      <x:c r="W3506" s="124"/>
      <x:c r="X3506" s="124"/>
      <x:c r="AD3506"/>
      <x:c r="AE3506" s="145"/>
      <x:c r="AF3506" s="145"/>
      <x:c r="AG3506" s="145"/>
      <x:c r="AH3506" s="145"/>
      <x:c r="AI3506" s="145"/>
      <x:c r="AJ3506"/>
    </x:row>
    <x:row r="3507">
      <x:c r="F3507" s="124"/>
      <x:c r="G3507" s="124"/>
      <x:c r="H3507" s="124"/>
      <x:c r="I3507" s="124"/>
      <x:c r="J3507" s="124"/>
      <x:c r="M3507" s="126"/>
      <x:c r="P3507" s="126"/>
      <x:c r="Q3507" s="126"/>
      <x:c r="R3507" s="126"/>
      <x:c r="S3507" s="124"/>
      <x:c r="T3507" s="124"/>
      <x:c r="U3507" s="124"/>
      <x:c r="V3507" s="124"/>
      <x:c r="W3507" s="124"/>
      <x:c r="X3507" s="124"/>
      <x:c r="AD3507"/>
      <x:c r="AE3507" s="145"/>
      <x:c r="AF3507" s="145"/>
      <x:c r="AG3507" s="145"/>
      <x:c r="AH3507" s="145"/>
      <x:c r="AI3507" s="145"/>
      <x:c r="AJ3507"/>
    </x:row>
    <x:row r="3508">
      <x:c r="F3508" s="124"/>
      <x:c r="G3508" s="124"/>
      <x:c r="H3508" s="124"/>
      <x:c r="I3508" s="124"/>
      <x:c r="J3508" s="124"/>
      <x:c r="M3508" s="126"/>
      <x:c r="P3508" s="126"/>
      <x:c r="Q3508" s="126"/>
      <x:c r="R3508" s="126"/>
      <x:c r="S3508" s="124"/>
      <x:c r="T3508" s="124"/>
      <x:c r="U3508" s="124"/>
      <x:c r="V3508" s="124"/>
      <x:c r="W3508" s="124"/>
      <x:c r="X3508" s="124"/>
      <x:c r="AD3508"/>
      <x:c r="AE3508" s="145"/>
      <x:c r="AF3508" s="145"/>
      <x:c r="AG3508" s="145"/>
      <x:c r="AH3508" s="145"/>
      <x:c r="AI3508" s="145"/>
      <x:c r="AJ3508"/>
    </x:row>
    <x:row r="3509">
      <x:c r="F3509" s="124"/>
      <x:c r="G3509" s="124"/>
      <x:c r="H3509" s="124"/>
      <x:c r="I3509" s="124"/>
      <x:c r="J3509" s="124"/>
      <x:c r="M3509" s="126"/>
      <x:c r="P3509" s="126"/>
      <x:c r="Q3509" s="126"/>
      <x:c r="R3509" s="126"/>
      <x:c r="S3509" s="124"/>
      <x:c r="T3509" s="124"/>
      <x:c r="U3509" s="124"/>
      <x:c r="V3509" s="124"/>
      <x:c r="W3509" s="124"/>
      <x:c r="X3509" s="124"/>
      <x:c r="AD3509"/>
      <x:c r="AE3509" s="145"/>
      <x:c r="AF3509" s="145"/>
      <x:c r="AG3509" s="145"/>
      <x:c r="AH3509" s="145"/>
      <x:c r="AI3509" s="145"/>
      <x:c r="AJ3509"/>
    </x:row>
    <x:row r="3510">
      <x:c r="F3510" s="124"/>
      <x:c r="G3510" s="124"/>
      <x:c r="H3510" s="124"/>
      <x:c r="I3510" s="124"/>
      <x:c r="J3510" s="124"/>
      <x:c r="M3510" s="126"/>
      <x:c r="P3510" s="126"/>
      <x:c r="Q3510" s="126"/>
      <x:c r="R3510" s="126"/>
      <x:c r="S3510" s="124"/>
      <x:c r="T3510" s="124"/>
      <x:c r="U3510" s="124"/>
      <x:c r="V3510" s="124"/>
      <x:c r="W3510" s="124"/>
      <x:c r="X3510" s="124"/>
      <x:c r="AD3510"/>
      <x:c r="AE3510" s="145"/>
      <x:c r="AF3510" s="145"/>
      <x:c r="AG3510" s="145"/>
      <x:c r="AH3510" s="145"/>
      <x:c r="AI3510" s="145"/>
      <x:c r="AJ3510"/>
    </x:row>
    <x:row r="3511">
      <x:c r="F3511" s="124"/>
      <x:c r="G3511" s="124"/>
      <x:c r="H3511" s="124"/>
      <x:c r="I3511" s="124"/>
      <x:c r="J3511" s="124"/>
      <x:c r="M3511" s="126"/>
      <x:c r="P3511" s="126"/>
      <x:c r="Q3511" s="126"/>
      <x:c r="R3511" s="126"/>
      <x:c r="S3511" s="124"/>
      <x:c r="T3511" s="124"/>
      <x:c r="U3511" s="124"/>
      <x:c r="V3511" s="124"/>
      <x:c r="W3511" s="124"/>
      <x:c r="X3511" s="124"/>
      <x:c r="AD3511"/>
      <x:c r="AE3511" s="145"/>
      <x:c r="AF3511" s="145"/>
      <x:c r="AG3511" s="145"/>
      <x:c r="AH3511" s="145"/>
      <x:c r="AI3511" s="145"/>
      <x:c r="AJ3511"/>
    </x:row>
    <x:row r="3512">
      <x:c r="F3512" s="124"/>
      <x:c r="G3512" s="124"/>
      <x:c r="H3512" s="124"/>
      <x:c r="I3512" s="124"/>
      <x:c r="J3512" s="124"/>
      <x:c r="M3512" s="126"/>
      <x:c r="P3512" s="126"/>
      <x:c r="Q3512" s="126"/>
      <x:c r="R3512" s="126"/>
      <x:c r="S3512" s="124"/>
      <x:c r="T3512" s="124"/>
      <x:c r="U3512" s="124"/>
      <x:c r="V3512" s="124"/>
      <x:c r="W3512" s="124"/>
      <x:c r="X3512" s="124"/>
      <x:c r="AD3512"/>
      <x:c r="AE3512" s="145"/>
      <x:c r="AF3512" s="145"/>
      <x:c r="AG3512" s="145"/>
      <x:c r="AH3512" s="145"/>
      <x:c r="AI3512" s="145"/>
      <x:c r="AJ3512"/>
    </x:row>
    <x:row r="3513">
      <x:c r="F3513" s="124"/>
      <x:c r="G3513" s="124"/>
      <x:c r="H3513" s="124"/>
      <x:c r="I3513" s="124"/>
      <x:c r="J3513" s="124"/>
      <x:c r="M3513" s="126"/>
      <x:c r="P3513" s="126"/>
      <x:c r="Q3513" s="126"/>
      <x:c r="R3513" s="126"/>
      <x:c r="S3513" s="124"/>
      <x:c r="T3513" s="124"/>
      <x:c r="U3513" s="124"/>
      <x:c r="V3513" s="124"/>
      <x:c r="W3513" s="124"/>
      <x:c r="X3513" s="124"/>
      <x:c r="AD3513"/>
      <x:c r="AE3513" s="145"/>
      <x:c r="AF3513" s="145"/>
      <x:c r="AG3513" s="145"/>
      <x:c r="AH3513" s="145"/>
      <x:c r="AI3513" s="145"/>
      <x:c r="AJ3513"/>
    </x:row>
    <x:row r="3514">
      <x:c r="F3514" s="124"/>
      <x:c r="G3514" s="124"/>
      <x:c r="H3514" s="124"/>
      <x:c r="I3514" s="124"/>
      <x:c r="J3514" s="124"/>
      <x:c r="M3514" s="126"/>
      <x:c r="P3514" s="126"/>
      <x:c r="Q3514" s="126"/>
      <x:c r="R3514" s="126"/>
      <x:c r="S3514" s="124"/>
      <x:c r="T3514" s="124"/>
      <x:c r="U3514" s="124"/>
      <x:c r="V3514" s="124"/>
      <x:c r="W3514" s="124"/>
      <x:c r="X3514" s="124"/>
      <x:c r="AD3514"/>
      <x:c r="AE3514" s="145"/>
      <x:c r="AF3514" s="145"/>
      <x:c r="AG3514" s="145"/>
      <x:c r="AH3514" s="145"/>
      <x:c r="AI3514" s="145"/>
      <x:c r="AJ3514"/>
    </x:row>
    <x:row r="3515">
      <x:c r="F3515" s="124"/>
      <x:c r="G3515" s="124"/>
      <x:c r="H3515" s="124"/>
      <x:c r="I3515" s="124"/>
      <x:c r="J3515" s="124"/>
      <x:c r="M3515" s="126"/>
      <x:c r="P3515" s="126"/>
      <x:c r="Q3515" s="126"/>
      <x:c r="R3515" s="126"/>
      <x:c r="S3515" s="124"/>
      <x:c r="T3515" s="124"/>
      <x:c r="U3515" s="124"/>
      <x:c r="V3515" s="124"/>
      <x:c r="W3515" s="124"/>
      <x:c r="X3515" s="124"/>
      <x:c r="AD3515"/>
      <x:c r="AE3515" s="145"/>
      <x:c r="AF3515" s="145"/>
      <x:c r="AG3515" s="145"/>
      <x:c r="AH3515" s="145"/>
      <x:c r="AI3515" s="145"/>
      <x:c r="AJ3515"/>
    </x:row>
    <x:row r="3516">
      <x:c r="F3516" s="124"/>
      <x:c r="G3516" s="124"/>
      <x:c r="H3516" s="124"/>
      <x:c r="I3516" s="124"/>
      <x:c r="J3516" s="124"/>
      <x:c r="M3516" s="126"/>
      <x:c r="P3516" s="126"/>
      <x:c r="Q3516" s="126"/>
      <x:c r="R3516" s="126"/>
      <x:c r="S3516" s="124"/>
      <x:c r="T3516" s="124"/>
      <x:c r="U3516" s="124"/>
      <x:c r="V3516" s="124"/>
      <x:c r="W3516" s="124"/>
      <x:c r="X3516" s="124"/>
      <x:c r="AD3516"/>
      <x:c r="AE3516" s="145"/>
      <x:c r="AF3516" s="145"/>
      <x:c r="AG3516" s="145"/>
      <x:c r="AH3516" s="145"/>
      <x:c r="AI3516" s="145"/>
      <x:c r="AJ3516"/>
    </x:row>
    <x:row r="3517">
      <x:c r="F3517" s="124"/>
      <x:c r="G3517" s="124"/>
      <x:c r="H3517" s="124"/>
      <x:c r="I3517" s="124"/>
      <x:c r="J3517" s="124"/>
      <x:c r="M3517" s="126"/>
      <x:c r="P3517" s="126"/>
      <x:c r="Q3517" s="126"/>
      <x:c r="R3517" s="126"/>
      <x:c r="S3517" s="124"/>
      <x:c r="T3517" s="124"/>
      <x:c r="U3517" s="124"/>
      <x:c r="V3517" s="124"/>
      <x:c r="W3517" s="124"/>
      <x:c r="X3517" s="124"/>
      <x:c r="AD3517"/>
      <x:c r="AE3517" s="145"/>
      <x:c r="AF3517" s="145"/>
      <x:c r="AG3517" s="145"/>
      <x:c r="AH3517" s="145"/>
      <x:c r="AI3517" s="145"/>
      <x:c r="AJ3517"/>
    </x:row>
    <x:row r="3518">
      <x:c r="F3518" s="124"/>
      <x:c r="G3518" s="124"/>
      <x:c r="H3518" s="124"/>
      <x:c r="I3518" s="124"/>
      <x:c r="J3518" s="124"/>
      <x:c r="M3518" s="126"/>
      <x:c r="P3518" s="126"/>
      <x:c r="Q3518" s="126"/>
      <x:c r="R3518" s="126"/>
      <x:c r="S3518" s="124"/>
      <x:c r="T3518" s="124"/>
      <x:c r="U3518" s="124"/>
      <x:c r="V3518" s="124"/>
      <x:c r="W3518" s="124"/>
      <x:c r="X3518" s="124"/>
      <x:c r="AD3518"/>
      <x:c r="AE3518" s="145"/>
      <x:c r="AF3518" s="145"/>
      <x:c r="AG3518" s="145"/>
      <x:c r="AH3518" s="145"/>
      <x:c r="AI3518" s="145"/>
      <x:c r="AJ3518"/>
    </x:row>
    <x:row r="3519">
      <x:c r="F3519" s="124"/>
      <x:c r="G3519" s="124"/>
      <x:c r="H3519" s="124"/>
      <x:c r="I3519" s="124"/>
      <x:c r="J3519" s="124"/>
      <x:c r="M3519" s="126"/>
      <x:c r="P3519" s="126"/>
      <x:c r="Q3519" s="126"/>
      <x:c r="R3519" s="126"/>
      <x:c r="S3519" s="124"/>
      <x:c r="T3519" s="124"/>
      <x:c r="U3519" s="124"/>
      <x:c r="V3519" s="124"/>
      <x:c r="W3519" s="124"/>
      <x:c r="X3519" s="124"/>
      <x:c r="AD3519"/>
      <x:c r="AE3519" s="145"/>
      <x:c r="AF3519" s="145"/>
      <x:c r="AG3519" s="145"/>
      <x:c r="AH3519" s="145"/>
      <x:c r="AI3519" s="145"/>
      <x:c r="AJ3519"/>
    </x:row>
    <x:row r="3520">
      <x:c r="F3520" s="124"/>
      <x:c r="G3520" s="124"/>
      <x:c r="H3520" s="124"/>
      <x:c r="I3520" s="124"/>
      <x:c r="J3520" s="124"/>
      <x:c r="M3520" s="126"/>
      <x:c r="P3520" s="126"/>
      <x:c r="Q3520" s="126"/>
      <x:c r="R3520" s="126"/>
      <x:c r="S3520" s="124"/>
      <x:c r="T3520" s="124"/>
      <x:c r="U3520" s="124"/>
      <x:c r="V3520" s="124"/>
      <x:c r="W3520" s="124"/>
      <x:c r="X3520" s="124"/>
      <x:c r="AD3520"/>
      <x:c r="AE3520" s="145"/>
      <x:c r="AF3520" s="145"/>
      <x:c r="AG3520" s="145"/>
      <x:c r="AH3520" s="145"/>
      <x:c r="AI3520" s="145"/>
      <x:c r="AJ3520"/>
    </x:row>
    <x:row r="3521">
      <x:c r="F3521" s="124"/>
      <x:c r="G3521" s="124"/>
      <x:c r="H3521" s="124"/>
      <x:c r="I3521" s="124"/>
      <x:c r="J3521" s="124"/>
      <x:c r="M3521" s="126"/>
      <x:c r="P3521" s="126"/>
      <x:c r="Q3521" s="126"/>
      <x:c r="R3521" s="126"/>
      <x:c r="S3521" s="124"/>
      <x:c r="T3521" s="124"/>
      <x:c r="U3521" s="124"/>
      <x:c r="V3521" s="124"/>
      <x:c r="W3521" s="124"/>
      <x:c r="X3521" s="124"/>
      <x:c r="AD3521"/>
      <x:c r="AE3521" s="145"/>
      <x:c r="AF3521" s="145"/>
      <x:c r="AG3521" s="145"/>
      <x:c r="AH3521" s="145"/>
      <x:c r="AI3521" s="145"/>
      <x:c r="AJ3521"/>
    </x:row>
    <x:row r="3522">
      <x:c r="F3522" s="124"/>
      <x:c r="G3522" s="124"/>
      <x:c r="H3522" s="124"/>
      <x:c r="I3522" s="124"/>
      <x:c r="J3522" s="124"/>
      <x:c r="M3522" s="126"/>
      <x:c r="P3522" s="126"/>
      <x:c r="Q3522" s="126"/>
      <x:c r="R3522" s="126"/>
      <x:c r="S3522" s="124"/>
      <x:c r="T3522" s="124"/>
      <x:c r="U3522" s="124"/>
      <x:c r="V3522" s="124"/>
      <x:c r="W3522" s="124"/>
      <x:c r="X3522" s="124"/>
      <x:c r="AD3522"/>
      <x:c r="AE3522" s="145"/>
      <x:c r="AF3522" s="145"/>
      <x:c r="AG3522" s="145"/>
      <x:c r="AH3522" s="145"/>
      <x:c r="AI3522" s="145"/>
      <x:c r="AJ3522"/>
    </x:row>
    <x:row r="3523">
      <x:c r="F3523" s="124"/>
      <x:c r="G3523" s="124"/>
      <x:c r="H3523" s="124"/>
      <x:c r="I3523" s="124"/>
      <x:c r="J3523" s="124"/>
      <x:c r="M3523" s="126"/>
      <x:c r="P3523" s="126"/>
      <x:c r="Q3523" s="126"/>
      <x:c r="R3523" s="126"/>
      <x:c r="S3523" s="124"/>
      <x:c r="T3523" s="124"/>
      <x:c r="U3523" s="124"/>
      <x:c r="V3523" s="124"/>
      <x:c r="W3523" s="124"/>
      <x:c r="X3523" s="124"/>
      <x:c r="AD3523"/>
      <x:c r="AE3523" s="145"/>
      <x:c r="AF3523" s="145"/>
      <x:c r="AG3523" s="145"/>
      <x:c r="AH3523" s="145"/>
      <x:c r="AI3523" s="145"/>
      <x:c r="AJ3523"/>
    </x:row>
    <x:row r="3524">
      <x:c r="F3524" s="124"/>
      <x:c r="G3524" s="124"/>
      <x:c r="H3524" s="124"/>
      <x:c r="I3524" s="124"/>
      <x:c r="J3524" s="124"/>
      <x:c r="M3524" s="126"/>
      <x:c r="P3524" s="126"/>
      <x:c r="Q3524" s="126"/>
      <x:c r="R3524" s="126"/>
      <x:c r="S3524" s="124"/>
      <x:c r="T3524" s="124"/>
      <x:c r="U3524" s="124"/>
      <x:c r="V3524" s="124"/>
      <x:c r="W3524" s="124"/>
      <x:c r="X3524" s="124"/>
      <x:c r="AD3524"/>
      <x:c r="AE3524" s="145"/>
      <x:c r="AF3524" s="145"/>
      <x:c r="AG3524" s="145"/>
      <x:c r="AH3524" s="145"/>
      <x:c r="AI3524" s="145"/>
      <x:c r="AJ3524"/>
    </x:row>
    <x:row r="3525">
      <x:c r="F3525" s="124"/>
      <x:c r="G3525" s="124"/>
      <x:c r="H3525" s="124"/>
      <x:c r="I3525" s="124"/>
      <x:c r="J3525" s="124"/>
      <x:c r="M3525" s="126"/>
      <x:c r="P3525" s="126"/>
      <x:c r="Q3525" s="126"/>
      <x:c r="R3525" s="126"/>
      <x:c r="S3525" s="124"/>
      <x:c r="T3525" s="124"/>
      <x:c r="U3525" s="124"/>
      <x:c r="V3525" s="124"/>
      <x:c r="W3525" s="124"/>
      <x:c r="X3525" s="124"/>
      <x:c r="AD3525"/>
      <x:c r="AE3525" s="145"/>
      <x:c r="AF3525" s="145"/>
      <x:c r="AG3525" s="145"/>
      <x:c r="AH3525" s="145"/>
      <x:c r="AI3525" s="145"/>
      <x:c r="AJ3525"/>
    </x:row>
    <x:row r="3526">
      <x:c r="F3526" s="124"/>
      <x:c r="G3526" s="124"/>
      <x:c r="H3526" s="124"/>
      <x:c r="I3526" s="124"/>
      <x:c r="J3526" s="124"/>
      <x:c r="M3526" s="126"/>
      <x:c r="P3526" s="126"/>
      <x:c r="Q3526" s="126"/>
      <x:c r="R3526" s="126"/>
      <x:c r="S3526" s="124"/>
      <x:c r="T3526" s="124"/>
      <x:c r="U3526" s="124"/>
      <x:c r="V3526" s="124"/>
      <x:c r="W3526" s="124"/>
      <x:c r="X3526" s="124"/>
      <x:c r="AD3526"/>
      <x:c r="AE3526" s="145"/>
      <x:c r="AF3526" s="145"/>
      <x:c r="AG3526" s="145"/>
      <x:c r="AH3526" s="145"/>
      <x:c r="AI3526" s="145"/>
      <x:c r="AJ3526"/>
    </x:row>
    <x:row r="3527">
      <x:c r="F3527" s="124"/>
      <x:c r="G3527" s="124"/>
      <x:c r="H3527" s="124"/>
      <x:c r="I3527" s="124"/>
      <x:c r="J3527" s="124"/>
      <x:c r="M3527" s="126"/>
      <x:c r="P3527" s="126"/>
      <x:c r="Q3527" s="126"/>
      <x:c r="R3527" s="126"/>
      <x:c r="S3527" s="124"/>
      <x:c r="T3527" s="124"/>
      <x:c r="U3527" s="124"/>
      <x:c r="V3527" s="124"/>
      <x:c r="W3527" s="124"/>
      <x:c r="X3527" s="124"/>
      <x:c r="AD3527"/>
      <x:c r="AE3527" s="145"/>
      <x:c r="AF3527" s="145"/>
      <x:c r="AG3527" s="145"/>
      <x:c r="AH3527" s="145"/>
      <x:c r="AI3527" s="145"/>
      <x:c r="AJ3527"/>
    </x:row>
    <x:row r="3528">
      <x:c r="F3528" s="124"/>
      <x:c r="G3528" s="124"/>
      <x:c r="H3528" s="124"/>
      <x:c r="I3528" s="124"/>
      <x:c r="J3528" s="124"/>
      <x:c r="M3528" s="126"/>
      <x:c r="P3528" s="126"/>
      <x:c r="Q3528" s="126"/>
      <x:c r="R3528" s="126"/>
      <x:c r="S3528" s="124"/>
      <x:c r="T3528" s="124"/>
      <x:c r="U3528" s="124"/>
      <x:c r="V3528" s="124"/>
      <x:c r="W3528" s="124"/>
      <x:c r="X3528" s="124"/>
      <x:c r="AD3528"/>
      <x:c r="AE3528" s="145"/>
      <x:c r="AF3528" s="145"/>
      <x:c r="AG3528" s="145"/>
      <x:c r="AH3528" s="145"/>
      <x:c r="AI3528" s="145"/>
      <x:c r="AJ3528"/>
    </x:row>
    <x:row r="3529">
      <x:c r="F3529" s="124"/>
      <x:c r="G3529" s="124"/>
      <x:c r="H3529" s="124"/>
      <x:c r="I3529" s="124"/>
      <x:c r="J3529" s="124"/>
      <x:c r="M3529" s="126"/>
      <x:c r="P3529" s="126"/>
      <x:c r="Q3529" s="126"/>
      <x:c r="R3529" s="126"/>
      <x:c r="S3529" s="124"/>
      <x:c r="T3529" s="124"/>
      <x:c r="U3529" s="124"/>
      <x:c r="V3529" s="124"/>
      <x:c r="W3529" s="124"/>
      <x:c r="X3529" s="124"/>
      <x:c r="AD3529"/>
      <x:c r="AE3529" s="145"/>
      <x:c r="AF3529" s="145"/>
      <x:c r="AG3529" s="145"/>
      <x:c r="AH3529" s="145"/>
      <x:c r="AI3529" s="145"/>
      <x:c r="AJ3529"/>
    </x:row>
    <x:row r="3530">
      <x:c r="F3530" s="124"/>
      <x:c r="G3530" s="124"/>
      <x:c r="H3530" s="124"/>
      <x:c r="I3530" s="124"/>
      <x:c r="J3530" s="124"/>
      <x:c r="M3530" s="126"/>
      <x:c r="P3530" s="126"/>
      <x:c r="Q3530" s="126"/>
      <x:c r="R3530" s="126"/>
      <x:c r="S3530" s="124"/>
      <x:c r="T3530" s="124"/>
      <x:c r="U3530" s="124"/>
      <x:c r="V3530" s="124"/>
      <x:c r="W3530" s="124"/>
      <x:c r="X3530" s="124"/>
      <x:c r="AD3530"/>
      <x:c r="AE3530" s="145"/>
      <x:c r="AF3530" s="145"/>
      <x:c r="AG3530" s="145"/>
      <x:c r="AH3530" s="145"/>
      <x:c r="AI3530" s="145"/>
      <x:c r="AJ3530"/>
    </x:row>
    <x:row r="3531">
      <x:c r="F3531" s="124"/>
      <x:c r="G3531" s="124"/>
      <x:c r="H3531" s="124"/>
      <x:c r="I3531" s="124"/>
      <x:c r="J3531" s="124"/>
      <x:c r="M3531" s="126"/>
      <x:c r="P3531" s="126"/>
      <x:c r="Q3531" s="126"/>
      <x:c r="R3531" s="126"/>
      <x:c r="S3531" s="124"/>
      <x:c r="T3531" s="124"/>
      <x:c r="U3531" s="124"/>
      <x:c r="V3531" s="124"/>
      <x:c r="W3531" s="124"/>
      <x:c r="X3531" s="124"/>
      <x:c r="AD3531"/>
      <x:c r="AE3531" s="145"/>
      <x:c r="AF3531" s="145"/>
      <x:c r="AG3531" s="145"/>
      <x:c r="AH3531" s="145"/>
      <x:c r="AI3531" s="145"/>
      <x:c r="AJ3531"/>
    </x:row>
    <x:row r="3532">
      <x:c r="F3532" s="124"/>
      <x:c r="G3532" s="124"/>
      <x:c r="H3532" s="124"/>
      <x:c r="I3532" s="124"/>
      <x:c r="J3532" s="124"/>
      <x:c r="M3532" s="126"/>
      <x:c r="P3532" s="126"/>
      <x:c r="Q3532" s="126"/>
      <x:c r="R3532" s="126"/>
      <x:c r="S3532" s="124"/>
      <x:c r="T3532" s="124"/>
      <x:c r="U3532" s="124"/>
      <x:c r="V3532" s="124"/>
      <x:c r="W3532" s="124"/>
      <x:c r="X3532" s="124"/>
      <x:c r="AD3532"/>
      <x:c r="AE3532" s="145"/>
      <x:c r="AF3532" s="145"/>
      <x:c r="AG3532" s="145"/>
      <x:c r="AH3532" s="145"/>
      <x:c r="AI3532" s="145"/>
      <x:c r="AJ3532"/>
    </x:row>
    <x:row r="3533">
      <x:c r="F3533" s="124"/>
      <x:c r="G3533" s="124"/>
      <x:c r="H3533" s="124"/>
      <x:c r="I3533" s="124"/>
      <x:c r="J3533" s="124"/>
      <x:c r="M3533" s="126"/>
      <x:c r="P3533" s="126"/>
      <x:c r="Q3533" s="126"/>
      <x:c r="R3533" s="126"/>
      <x:c r="S3533" s="124"/>
      <x:c r="T3533" s="124"/>
      <x:c r="U3533" s="124"/>
      <x:c r="V3533" s="124"/>
      <x:c r="W3533" s="124"/>
      <x:c r="X3533" s="124"/>
      <x:c r="AD3533"/>
      <x:c r="AE3533" s="145"/>
      <x:c r="AF3533" s="145"/>
      <x:c r="AG3533" s="145"/>
      <x:c r="AH3533" s="145"/>
      <x:c r="AI3533" s="145"/>
      <x:c r="AJ3533"/>
    </x:row>
    <x:row r="3534">
      <x:c r="F3534" s="124"/>
      <x:c r="G3534" s="124"/>
      <x:c r="H3534" s="124"/>
      <x:c r="I3534" s="124"/>
      <x:c r="J3534" s="124"/>
      <x:c r="M3534" s="126"/>
      <x:c r="P3534" s="126"/>
      <x:c r="Q3534" s="126"/>
      <x:c r="R3534" s="126"/>
      <x:c r="S3534" s="124"/>
      <x:c r="T3534" s="124"/>
      <x:c r="U3534" s="124"/>
      <x:c r="V3534" s="124"/>
      <x:c r="W3534" s="124"/>
      <x:c r="X3534" s="124"/>
      <x:c r="AD3534"/>
      <x:c r="AE3534" s="145"/>
      <x:c r="AF3534" s="145"/>
      <x:c r="AG3534" s="145"/>
      <x:c r="AH3534" s="145"/>
      <x:c r="AI3534" s="145"/>
      <x:c r="AJ3534"/>
    </x:row>
    <x:row r="3535">
      <x:c r="F3535" s="124"/>
      <x:c r="G3535" s="124"/>
      <x:c r="H3535" s="124"/>
      <x:c r="I3535" s="124"/>
      <x:c r="J3535" s="124"/>
      <x:c r="M3535" s="126"/>
      <x:c r="P3535" s="126"/>
      <x:c r="Q3535" s="126"/>
      <x:c r="R3535" s="126"/>
      <x:c r="S3535" s="124"/>
      <x:c r="T3535" s="124"/>
      <x:c r="U3535" s="124"/>
      <x:c r="V3535" s="124"/>
      <x:c r="W3535" s="124"/>
      <x:c r="X3535" s="124"/>
      <x:c r="AD3535"/>
      <x:c r="AE3535" s="145"/>
      <x:c r="AF3535" s="145"/>
      <x:c r="AG3535" s="145"/>
      <x:c r="AH3535" s="145"/>
      <x:c r="AI3535" s="145"/>
      <x:c r="AJ3535"/>
    </x:row>
    <x:row r="3536">
      <x:c r="F3536" s="124"/>
      <x:c r="G3536" s="124"/>
      <x:c r="H3536" s="124"/>
      <x:c r="I3536" s="124"/>
      <x:c r="J3536" s="124"/>
      <x:c r="M3536" s="126"/>
      <x:c r="P3536" s="126"/>
      <x:c r="Q3536" s="126"/>
      <x:c r="R3536" s="126"/>
      <x:c r="S3536" s="124"/>
      <x:c r="T3536" s="124"/>
      <x:c r="U3536" s="124"/>
      <x:c r="V3536" s="124"/>
      <x:c r="W3536" s="124"/>
      <x:c r="X3536" s="124"/>
      <x:c r="AD3536"/>
      <x:c r="AE3536" s="145"/>
      <x:c r="AF3536" s="145"/>
      <x:c r="AG3536" s="145"/>
      <x:c r="AH3536" s="145"/>
      <x:c r="AI3536" s="145"/>
      <x:c r="AJ3536"/>
    </x:row>
    <x:row r="3537">
      <x:c r="F3537" s="124"/>
      <x:c r="G3537" s="124"/>
      <x:c r="H3537" s="124"/>
      <x:c r="I3537" s="124"/>
      <x:c r="J3537" s="124"/>
      <x:c r="M3537" s="126"/>
      <x:c r="P3537" s="126"/>
      <x:c r="Q3537" s="126"/>
      <x:c r="R3537" s="126"/>
      <x:c r="S3537" s="124"/>
      <x:c r="T3537" s="124"/>
      <x:c r="U3537" s="124"/>
      <x:c r="V3537" s="124"/>
      <x:c r="W3537" s="124"/>
      <x:c r="X3537" s="124"/>
      <x:c r="AD3537"/>
      <x:c r="AE3537" s="145"/>
      <x:c r="AF3537" s="145"/>
      <x:c r="AG3537" s="145"/>
      <x:c r="AH3537" s="145"/>
      <x:c r="AI3537" s="145"/>
      <x:c r="AJ3537"/>
    </x:row>
    <x:row r="3538">
      <x:c r="F3538" s="124"/>
      <x:c r="G3538" s="124"/>
      <x:c r="H3538" s="124"/>
      <x:c r="I3538" s="124"/>
      <x:c r="J3538" s="124"/>
      <x:c r="M3538" s="126"/>
      <x:c r="P3538" s="126"/>
      <x:c r="Q3538" s="126"/>
      <x:c r="R3538" s="126"/>
      <x:c r="S3538" s="124"/>
      <x:c r="T3538" s="124"/>
      <x:c r="U3538" s="124"/>
      <x:c r="V3538" s="124"/>
      <x:c r="W3538" s="124"/>
      <x:c r="X3538" s="124"/>
      <x:c r="AD3538"/>
      <x:c r="AE3538" s="145"/>
      <x:c r="AF3538" s="145"/>
      <x:c r="AG3538" s="145"/>
      <x:c r="AH3538" s="145"/>
      <x:c r="AI3538" s="145"/>
      <x:c r="AJ3538"/>
    </x:row>
    <x:row r="3539">
      <x:c r="F3539" s="124"/>
      <x:c r="G3539" s="124"/>
      <x:c r="H3539" s="124"/>
      <x:c r="I3539" s="124"/>
      <x:c r="J3539" s="124"/>
      <x:c r="M3539" s="126"/>
      <x:c r="P3539" s="126"/>
      <x:c r="Q3539" s="126"/>
      <x:c r="R3539" s="126"/>
      <x:c r="S3539" s="124"/>
      <x:c r="T3539" s="124"/>
      <x:c r="U3539" s="124"/>
      <x:c r="V3539" s="124"/>
      <x:c r="W3539" s="124"/>
      <x:c r="X3539" s="124"/>
      <x:c r="AD3539"/>
      <x:c r="AE3539" s="145"/>
      <x:c r="AF3539" s="145"/>
      <x:c r="AG3539" s="145"/>
      <x:c r="AH3539" s="145"/>
      <x:c r="AI3539" s="145"/>
      <x:c r="AJ3539"/>
    </x:row>
    <x:row r="3540">
      <x:c r="F3540" s="124"/>
      <x:c r="G3540" s="124"/>
      <x:c r="H3540" s="124"/>
      <x:c r="I3540" s="124"/>
      <x:c r="J3540" s="124"/>
      <x:c r="M3540" s="126"/>
      <x:c r="P3540" s="126"/>
      <x:c r="Q3540" s="126"/>
      <x:c r="R3540" s="126"/>
      <x:c r="S3540" s="124"/>
      <x:c r="T3540" s="124"/>
      <x:c r="U3540" s="124"/>
      <x:c r="V3540" s="124"/>
      <x:c r="W3540" s="124"/>
      <x:c r="X3540" s="124"/>
      <x:c r="AD3540"/>
      <x:c r="AE3540" s="145"/>
      <x:c r="AF3540" s="145"/>
      <x:c r="AG3540" s="145"/>
      <x:c r="AH3540" s="145"/>
      <x:c r="AI3540" s="145"/>
      <x:c r="AJ3540"/>
    </x:row>
    <x:row r="3541">
      <x:c r="F3541" s="124"/>
      <x:c r="G3541" s="124"/>
      <x:c r="H3541" s="124"/>
      <x:c r="I3541" s="124"/>
      <x:c r="J3541" s="124"/>
      <x:c r="M3541" s="126"/>
      <x:c r="P3541" s="126"/>
      <x:c r="Q3541" s="126"/>
      <x:c r="R3541" s="126"/>
      <x:c r="S3541" s="124"/>
      <x:c r="T3541" s="124"/>
      <x:c r="U3541" s="124"/>
      <x:c r="V3541" s="124"/>
      <x:c r="W3541" s="124"/>
      <x:c r="X3541" s="124"/>
      <x:c r="AD3541"/>
      <x:c r="AE3541" s="145"/>
      <x:c r="AF3541" s="145"/>
      <x:c r="AG3541" s="145"/>
      <x:c r="AH3541" s="145"/>
      <x:c r="AI3541" s="145"/>
      <x:c r="AJ3541"/>
    </x:row>
    <x:row r="3542">
      <x:c r="F3542" s="124"/>
      <x:c r="G3542" s="124"/>
      <x:c r="H3542" s="124"/>
      <x:c r="I3542" s="124"/>
      <x:c r="J3542" s="124"/>
      <x:c r="M3542" s="126"/>
      <x:c r="P3542" s="126"/>
      <x:c r="Q3542" s="126"/>
      <x:c r="R3542" s="126"/>
      <x:c r="S3542" s="124"/>
      <x:c r="T3542" s="124"/>
      <x:c r="U3542" s="124"/>
      <x:c r="V3542" s="124"/>
      <x:c r="W3542" s="124"/>
      <x:c r="X3542" s="124"/>
      <x:c r="AD3542"/>
      <x:c r="AE3542" s="145"/>
      <x:c r="AF3542" s="145"/>
      <x:c r="AG3542" s="145"/>
      <x:c r="AH3542" s="145"/>
      <x:c r="AI3542" s="145"/>
      <x:c r="AJ3542"/>
    </x:row>
    <x:row r="3543">
      <x:c r="F3543" s="124"/>
      <x:c r="G3543" s="124"/>
      <x:c r="H3543" s="124"/>
      <x:c r="I3543" s="124"/>
      <x:c r="J3543" s="124"/>
      <x:c r="M3543" s="126"/>
      <x:c r="P3543" s="126"/>
      <x:c r="Q3543" s="126"/>
      <x:c r="R3543" s="126"/>
      <x:c r="S3543" s="124"/>
      <x:c r="T3543" s="124"/>
      <x:c r="U3543" s="124"/>
      <x:c r="V3543" s="124"/>
      <x:c r="W3543" s="124"/>
      <x:c r="X3543" s="124"/>
      <x:c r="AD3543"/>
      <x:c r="AE3543" s="145"/>
      <x:c r="AF3543" s="145"/>
      <x:c r="AG3543" s="145"/>
      <x:c r="AH3543" s="145"/>
      <x:c r="AI3543" s="145"/>
      <x:c r="AJ3543"/>
    </x:row>
    <x:row r="3544">
      <x:c r="F3544" s="124"/>
      <x:c r="G3544" s="124"/>
      <x:c r="H3544" s="124"/>
      <x:c r="I3544" s="124"/>
      <x:c r="J3544" s="124"/>
      <x:c r="M3544" s="126"/>
      <x:c r="P3544" s="126"/>
      <x:c r="Q3544" s="126"/>
      <x:c r="R3544" s="126"/>
      <x:c r="S3544" s="124"/>
      <x:c r="T3544" s="124"/>
      <x:c r="U3544" s="124"/>
      <x:c r="V3544" s="124"/>
      <x:c r="W3544" s="124"/>
      <x:c r="X3544" s="124"/>
      <x:c r="AD3544"/>
      <x:c r="AE3544" s="145"/>
      <x:c r="AF3544" s="145"/>
      <x:c r="AG3544" s="145"/>
      <x:c r="AH3544" s="145"/>
      <x:c r="AI3544" s="145"/>
      <x:c r="AJ3544"/>
    </x:row>
    <x:row r="3545">
      <x:c r="F3545" s="124"/>
      <x:c r="G3545" s="124"/>
      <x:c r="H3545" s="124"/>
      <x:c r="I3545" s="124"/>
      <x:c r="J3545" s="124"/>
      <x:c r="M3545" s="126"/>
      <x:c r="P3545" s="126"/>
      <x:c r="Q3545" s="126"/>
      <x:c r="R3545" s="126"/>
      <x:c r="S3545" s="124"/>
      <x:c r="T3545" s="124"/>
      <x:c r="U3545" s="124"/>
      <x:c r="V3545" s="124"/>
      <x:c r="W3545" s="124"/>
      <x:c r="X3545" s="124"/>
      <x:c r="AD3545"/>
      <x:c r="AE3545" s="145"/>
      <x:c r="AF3545" s="145"/>
      <x:c r="AG3545" s="145"/>
      <x:c r="AH3545" s="145"/>
      <x:c r="AI3545" s="145"/>
      <x:c r="AJ3545"/>
    </x:row>
    <x:row r="3546">
      <x:c r="F3546" s="124"/>
      <x:c r="G3546" s="124"/>
      <x:c r="H3546" s="124"/>
      <x:c r="I3546" s="124"/>
      <x:c r="J3546" s="124"/>
      <x:c r="M3546" s="126"/>
      <x:c r="P3546" s="126"/>
      <x:c r="Q3546" s="126"/>
      <x:c r="R3546" s="126"/>
      <x:c r="S3546" s="124"/>
      <x:c r="T3546" s="124"/>
      <x:c r="U3546" s="124"/>
      <x:c r="V3546" s="124"/>
      <x:c r="W3546" s="124"/>
      <x:c r="X3546" s="124"/>
      <x:c r="AD3546"/>
      <x:c r="AE3546" s="145"/>
      <x:c r="AF3546" s="145"/>
      <x:c r="AG3546" s="145"/>
      <x:c r="AH3546" s="145"/>
      <x:c r="AI3546" s="145"/>
      <x:c r="AJ3546"/>
    </x:row>
    <x:row r="3547">
      <x:c r="F3547" s="124"/>
      <x:c r="G3547" s="124"/>
      <x:c r="H3547" s="124"/>
      <x:c r="I3547" s="124"/>
      <x:c r="J3547" s="124"/>
      <x:c r="M3547" s="126"/>
      <x:c r="P3547" s="126"/>
      <x:c r="Q3547" s="126"/>
      <x:c r="R3547" s="126"/>
      <x:c r="S3547" s="124"/>
      <x:c r="T3547" s="124"/>
      <x:c r="U3547" s="124"/>
      <x:c r="V3547" s="124"/>
      <x:c r="W3547" s="124"/>
      <x:c r="X3547" s="124"/>
      <x:c r="AD3547"/>
      <x:c r="AE3547" s="145"/>
      <x:c r="AF3547" s="145"/>
      <x:c r="AG3547" s="145"/>
      <x:c r="AH3547" s="145"/>
      <x:c r="AI3547" s="145"/>
      <x:c r="AJ3547"/>
    </x:row>
    <x:row r="3548">
      <x:c r="F3548" s="124"/>
      <x:c r="G3548" s="124"/>
      <x:c r="H3548" s="124"/>
      <x:c r="I3548" s="124"/>
      <x:c r="J3548" s="124"/>
      <x:c r="M3548" s="126"/>
      <x:c r="P3548" s="126"/>
      <x:c r="Q3548" s="126"/>
      <x:c r="R3548" s="126"/>
      <x:c r="S3548" s="124"/>
      <x:c r="T3548" s="124"/>
      <x:c r="U3548" s="124"/>
      <x:c r="V3548" s="124"/>
      <x:c r="W3548" s="124"/>
      <x:c r="X3548" s="124"/>
      <x:c r="AD3548"/>
      <x:c r="AE3548" s="145"/>
      <x:c r="AF3548" s="145"/>
      <x:c r="AG3548" s="145"/>
      <x:c r="AH3548" s="145"/>
      <x:c r="AI3548" s="145"/>
      <x:c r="AJ3548"/>
    </x:row>
    <x:row r="3549">
      <x:c r="F3549" s="124"/>
      <x:c r="G3549" s="124"/>
      <x:c r="H3549" s="124"/>
      <x:c r="I3549" s="124"/>
      <x:c r="J3549" s="124"/>
      <x:c r="M3549" s="126"/>
      <x:c r="P3549" s="126"/>
      <x:c r="Q3549" s="126"/>
      <x:c r="R3549" s="126"/>
      <x:c r="S3549" s="124"/>
      <x:c r="T3549" s="124"/>
      <x:c r="U3549" s="124"/>
      <x:c r="V3549" s="124"/>
      <x:c r="W3549" s="124"/>
      <x:c r="X3549" s="124"/>
      <x:c r="AD3549"/>
      <x:c r="AE3549" s="145"/>
      <x:c r="AF3549" s="145"/>
      <x:c r="AG3549" s="145"/>
      <x:c r="AH3549" s="145"/>
      <x:c r="AI3549" s="145"/>
      <x:c r="AJ3549"/>
    </x:row>
    <x:row r="3550">
      <x:c r="F3550" s="124"/>
      <x:c r="G3550" s="124"/>
      <x:c r="H3550" s="124"/>
      <x:c r="I3550" s="124"/>
      <x:c r="J3550" s="124"/>
      <x:c r="M3550" s="126"/>
      <x:c r="P3550" s="126"/>
      <x:c r="Q3550" s="126"/>
      <x:c r="R3550" s="126"/>
      <x:c r="S3550" s="124"/>
      <x:c r="T3550" s="124"/>
      <x:c r="U3550" s="124"/>
      <x:c r="V3550" s="124"/>
      <x:c r="W3550" s="124"/>
      <x:c r="X3550" s="124"/>
      <x:c r="AD3550"/>
      <x:c r="AE3550" s="145"/>
      <x:c r="AF3550" s="145"/>
      <x:c r="AG3550" s="145"/>
      <x:c r="AH3550" s="145"/>
      <x:c r="AI3550" s="145"/>
      <x:c r="AJ3550"/>
    </x:row>
    <x:row r="3551">
      <x:c r="F3551" s="124"/>
      <x:c r="G3551" s="124"/>
      <x:c r="H3551" s="124"/>
      <x:c r="I3551" s="124"/>
      <x:c r="J3551" s="124"/>
      <x:c r="M3551" s="126"/>
      <x:c r="P3551" s="126"/>
      <x:c r="Q3551" s="126"/>
      <x:c r="R3551" s="126"/>
      <x:c r="S3551" s="124"/>
      <x:c r="T3551" s="124"/>
      <x:c r="U3551" s="124"/>
      <x:c r="V3551" s="124"/>
      <x:c r="W3551" s="124"/>
      <x:c r="X3551" s="124"/>
      <x:c r="AD3551"/>
      <x:c r="AE3551" s="145"/>
      <x:c r="AF3551" s="145"/>
      <x:c r="AG3551" s="145"/>
      <x:c r="AH3551" s="145"/>
      <x:c r="AI3551" s="145"/>
      <x:c r="AJ3551"/>
    </x:row>
    <x:row r="3552">
      <x:c r="F3552" s="124"/>
      <x:c r="G3552" s="124"/>
      <x:c r="H3552" s="124"/>
      <x:c r="I3552" s="124"/>
      <x:c r="J3552" s="124"/>
      <x:c r="M3552" s="126"/>
      <x:c r="P3552" s="126"/>
      <x:c r="Q3552" s="126"/>
      <x:c r="R3552" s="126"/>
      <x:c r="S3552" s="124"/>
      <x:c r="T3552" s="124"/>
      <x:c r="U3552" s="124"/>
      <x:c r="V3552" s="124"/>
      <x:c r="W3552" s="124"/>
      <x:c r="X3552" s="124"/>
      <x:c r="AD3552"/>
      <x:c r="AE3552" s="145"/>
      <x:c r="AF3552" s="145"/>
      <x:c r="AG3552" s="145"/>
      <x:c r="AH3552" s="145"/>
      <x:c r="AI3552" s="145"/>
      <x:c r="AJ3552"/>
    </x:row>
    <x:row r="3553">
      <x:c r="F3553" s="124"/>
      <x:c r="G3553" s="124"/>
      <x:c r="H3553" s="124"/>
      <x:c r="I3553" s="124"/>
      <x:c r="J3553" s="124"/>
      <x:c r="M3553" s="126"/>
      <x:c r="P3553" s="126"/>
      <x:c r="Q3553" s="126"/>
      <x:c r="R3553" s="126"/>
      <x:c r="S3553" s="124"/>
      <x:c r="T3553" s="124"/>
      <x:c r="U3553" s="124"/>
      <x:c r="V3553" s="124"/>
      <x:c r="W3553" s="124"/>
      <x:c r="X3553" s="124"/>
      <x:c r="AD3553"/>
      <x:c r="AE3553" s="145"/>
      <x:c r="AF3553" s="145"/>
      <x:c r="AG3553" s="145"/>
      <x:c r="AH3553" s="145"/>
      <x:c r="AI3553" s="145"/>
      <x:c r="AJ3553"/>
    </x:row>
    <x:row r="3554">
      <x:c r="F3554" s="124"/>
      <x:c r="G3554" s="124"/>
      <x:c r="H3554" s="124"/>
      <x:c r="I3554" s="124"/>
      <x:c r="J3554" s="124"/>
      <x:c r="M3554" s="126"/>
      <x:c r="P3554" s="126"/>
      <x:c r="Q3554" s="126"/>
      <x:c r="R3554" s="126"/>
      <x:c r="S3554" s="124"/>
      <x:c r="T3554" s="124"/>
      <x:c r="U3554" s="124"/>
      <x:c r="V3554" s="124"/>
      <x:c r="W3554" s="124"/>
      <x:c r="X3554" s="124"/>
      <x:c r="AD3554"/>
      <x:c r="AE3554" s="145"/>
      <x:c r="AF3554" s="145"/>
      <x:c r="AG3554" s="145"/>
      <x:c r="AH3554" s="145"/>
      <x:c r="AI3554" s="145"/>
      <x:c r="AJ3554"/>
    </x:row>
    <x:row r="3555">
      <x:c r="F3555" s="124"/>
      <x:c r="G3555" s="124"/>
      <x:c r="H3555" s="124"/>
      <x:c r="I3555" s="124"/>
      <x:c r="J3555" s="124"/>
      <x:c r="M3555" s="126"/>
      <x:c r="P3555" s="126"/>
      <x:c r="Q3555" s="126"/>
      <x:c r="R3555" s="126"/>
      <x:c r="S3555" s="124"/>
      <x:c r="T3555" s="124"/>
      <x:c r="U3555" s="124"/>
      <x:c r="V3555" s="124"/>
      <x:c r="W3555" s="124"/>
      <x:c r="X3555" s="124"/>
      <x:c r="AD3555"/>
      <x:c r="AE3555" s="145"/>
      <x:c r="AF3555" s="145"/>
      <x:c r="AG3555" s="145"/>
      <x:c r="AH3555" s="145"/>
      <x:c r="AI3555" s="145"/>
      <x:c r="AJ3555"/>
    </x:row>
    <x:row r="3556">
      <x:c r="F3556" s="124"/>
      <x:c r="G3556" s="124"/>
      <x:c r="H3556" s="124"/>
      <x:c r="I3556" s="124"/>
      <x:c r="J3556" s="124"/>
      <x:c r="M3556" s="126"/>
      <x:c r="P3556" s="126"/>
      <x:c r="Q3556" s="126"/>
      <x:c r="R3556" s="126"/>
      <x:c r="S3556" s="124"/>
      <x:c r="T3556" s="124"/>
      <x:c r="U3556" s="124"/>
      <x:c r="V3556" s="124"/>
      <x:c r="W3556" s="124"/>
      <x:c r="X3556" s="124"/>
      <x:c r="AD3556"/>
      <x:c r="AE3556" s="145"/>
      <x:c r="AF3556" s="145"/>
      <x:c r="AG3556" s="145"/>
      <x:c r="AH3556" s="145"/>
      <x:c r="AI3556" s="145"/>
      <x:c r="AJ3556"/>
    </x:row>
    <x:row r="3557">
      <x:c r="F3557" s="124"/>
      <x:c r="G3557" s="124"/>
      <x:c r="H3557" s="124"/>
      <x:c r="I3557" s="124"/>
      <x:c r="J3557" s="124"/>
      <x:c r="M3557" s="126"/>
      <x:c r="P3557" s="126"/>
      <x:c r="Q3557" s="126"/>
      <x:c r="R3557" s="126"/>
      <x:c r="S3557" s="124"/>
      <x:c r="T3557" s="124"/>
      <x:c r="U3557" s="124"/>
      <x:c r="V3557" s="124"/>
      <x:c r="W3557" s="124"/>
      <x:c r="X3557" s="124"/>
      <x:c r="AD3557"/>
      <x:c r="AE3557" s="145"/>
      <x:c r="AF3557" s="145"/>
      <x:c r="AG3557" s="145"/>
      <x:c r="AH3557" s="145"/>
      <x:c r="AI3557" s="145"/>
      <x:c r="AJ3557"/>
    </x:row>
    <x:row r="3558">
      <x:c r="F3558" s="124"/>
      <x:c r="G3558" s="124"/>
      <x:c r="H3558" s="124"/>
      <x:c r="I3558" s="124"/>
      <x:c r="J3558" s="124"/>
      <x:c r="M3558" s="126"/>
      <x:c r="P3558" s="126"/>
      <x:c r="Q3558" s="126"/>
      <x:c r="R3558" s="126"/>
      <x:c r="S3558" s="124"/>
      <x:c r="T3558" s="124"/>
      <x:c r="U3558" s="124"/>
      <x:c r="V3558" s="124"/>
      <x:c r="W3558" s="124"/>
      <x:c r="X3558" s="124"/>
      <x:c r="AD3558"/>
      <x:c r="AE3558" s="145"/>
      <x:c r="AF3558" s="145"/>
      <x:c r="AG3558" s="145"/>
      <x:c r="AH3558" s="145"/>
      <x:c r="AI3558" s="145"/>
      <x:c r="AJ3558"/>
    </x:row>
    <x:row r="3559">
      <x:c r="F3559" s="124"/>
      <x:c r="G3559" s="124"/>
      <x:c r="H3559" s="124"/>
      <x:c r="I3559" s="124"/>
      <x:c r="J3559" s="124"/>
      <x:c r="M3559" s="126"/>
      <x:c r="P3559" s="126"/>
      <x:c r="Q3559" s="126"/>
      <x:c r="R3559" s="126"/>
      <x:c r="S3559" s="124"/>
      <x:c r="T3559" s="124"/>
      <x:c r="U3559" s="124"/>
      <x:c r="V3559" s="124"/>
      <x:c r="W3559" s="124"/>
      <x:c r="X3559" s="124"/>
      <x:c r="AD3559"/>
      <x:c r="AE3559" s="145"/>
      <x:c r="AF3559" s="145"/>
      <x:c r="AG3559" s="145"/>
      <x:c r="AH3559" s="145"/>
      <x:c r="AI3559" s="145"/>
      <x:c r="AJ3559"/>
    </x:row>
    <x:row r="3560">
      <x:c r="F3560" s="124"/>
      <x:c r="G3560" s="124"/>
      <x:c r="H3560" s="124"/>
      <x:c r="I3560" s="124"/>
      <x:c r="J3560" s="124"/>
      <x:c r="M3560" s="126"/>
      <x:c r="P3560" s="126"/>
      <x:c r="Q3560" s="126"/>
      <x:c r="R3560" s="126"/>
      <x:c r="S3560" s="124"/>
      <x:c r="T3560" s="124"/>
      <x:c r="U3560" s="124"/>
      <x:c r="V3560" s="124"/>
      <x:c r="W3560" s="124"/>
      <x:c r="X3560" s="124"/>
      <x:c r="AD3560"/>
      <x:c r="AE3560" s="145"/>
      <x:c r="AF3560" s="145"/>
      <x:c r="AG3560" s="145"/>
      <x:c r="AH3560" s="145"/>
      <x:c r="AI3560" s="145"/>
      <x:c r="AJ3560"/>
    </x:row>
    <x:row r="3561">
      <x:c r="F3561" s="124"/>
      <x:c r="G3561" s="124"/>
      <x:c r="H3561" s="124"/>
      <x:c r="I3561" s="124"/>
      <x:c r="J3561" s="124"/>
      <x:c r="M3561" s="126"/>
      <x:c r="P3561" s="126"/>
      <x:c r="Q3561" s="126"/>
      <x:c r="R3561" s="126"/>
      <x:c r="S3561" s="124"/>
      <x:c r="T3561" s="124"/>
      <x:c r="U3561" s="124"/>
      <x:c r="V3561" s="124"/>
      <x:c r="W3561" s="124"/>
      <x:c r="X3561" s="124"/>
      <x:c r="AD3561"/>
      <x:c r="AE3561" s="145"/>
      <x:c r="AF3561" s="145"/>
      <x:c r="AG3561" s="145"/>
      <x:c r="AH3561" s="145"/>
      <x:c r="AI3561" s="145"/>
      <x:c r="AJ3561"/>
    </x:row>
    <x:row r="3562">
      <x:c r="F3562" s="124"/>
      <x:c r="G3562" s="124"/>
      <x:c r="H3562" s="124"/>
      <x:c r="I3562" s="124"/>
      <x:c r="J3562" s="124"/>
      <x:c r="M3562" s="126"/>
      <x:c r="P3562" s="126"/>
      <x:c r="Q3562" s="126"/>
      <x:c r="R3562" s="126"/>
      <x:c r="S3562" s="124"/>
      <x:c r="T3562" s="124"/>
      <x:c r="U3562" s="124"/>
      <x:c r="V3562" s="124"/>
      <x:c r="W3562" s="124"/>
      <x:c r="X3562" s="124"/>
      <x:c r="AD3562"/>
      <x:c r="AE3562" s="145"/>
      <x:c r="AF3562" s="145"/>
      <x:c r="AG3562" s="145"/>
      <x:c r="AH3562" s="145"/>
      <x:c r="AI3562" s="145"/>
      <x:c r="AJ3562"/>
    </x:row>
    <x:row r="3563">
      <x:c r="F3563" s="124"/>
      <x:c r="G3563" s="124"/>
      <x:c r="H3563" s="124"/>
      <x:c r="I3563" s="124"/>
      <x:c r="J3563" s="124"/>
      <x:c r="M3563" s="126"/>
      <x:c r="P3563" s="126"/>
      <x:c r="Q3563" s="126"/>
      <x:c r="R3563" s="126"/>
      <x:c r="S3563" s="124"/>
      <x:c r="T3563" s="124"/>
      <x:c r="U3563" s="124"/>
      <x:c r="V3563" s="124"/>
      <x:c r="W3563" s="124"/>
      <x:c r="X3563" s="124"/>
      <x:c r="AD3563"/>
      <x:c r="AE3563" s="145"/>
      <x:c r="AF3563" s="145"/>
      <x:c r="AG3563" s="145"/>
      <x:c r="AH3563" s="145"/>
      <x:c r="AI3563" s="145"/>
      <x:c r="AJ3563"/>
    </x:row>
    <x:row r="3564">
      <x:c r="F3564" s="124"/>
      <x:c r="G3564" s="124"/>
      <x:c r="H3564" s="124"/>
      <x:c r="I3564" s="124"/>
      <x:c r="J3564" s="124"/>
      <x:c r="M3564" s="126"/>
      <x:c r="P3564" s="126"/>
      <x:c r="Q3564" s="126"/>
      <x:c r="R3564" s="126"/>
      <x:c r="S3564" s="124"/>
      <x:c r="T3564" s="124"/>
      <x:c r="U3564" s="124"/>
      <x:c r="V3564" s="124"/>
      <x:c r="W3564" s="124"/>
      <x:c r="X3564" s="124"/>
      <x:c r="AD3564"/>
      <x:c r="AE3564" s="145"/>
      <x:c r="AF3564" s="145"/>
      <x:c r="AG3564" s="145"/>
      <x:c r="AH3564" s="145"/>
      <x:c r="AI3564" s="145"/>
      <x:c r="AJ3564"/>
    </x:row>
    <x:row r="3565">
      <x:c r="F3565" s="124"/>
      <x:c r="G3565" s="124"/>
      <x:c r="H3565" s="124"/>
      <x:c r="I3565" s="124"/>
      <x:c r="J3565" s="124"/>
      <x:c r="M3565" s="126"/>
      <x:c r="P3565" s="126"/>
      <x:c r="Q3565" s="126"/>
      <x:c r="R3565" s="126"/>
      <x:c r="S3565" s="124"/>
      <x:c r="T3565" s="124"/>
      <x:c r="U3565" s="124"/>
      <x:c r="V3565" s="124"/>
      <x:c r="W3565" s="124"/>
      <x:c r="X3565" s="124"/>
      <x:c r="AD3565"/>
      <x:c r="AE3565" s="145"/>
      <x:c r="AF3565" s="145"/>
      <x:c r="AG3565" s="145"/>
      <x:c r="AH3565" s="145"/>
      <x:c r="AI3565" s="145"/>
      <x:c r="AJ3565"/>
    </x:row>
    <x:row r="3566">
      <x:c r="F3566" s="124"/>
      <x:c r="G3566" s="124"/>
      <x:c r="H3566" s="124"/>
      <x:c r="I3566" s="124"/>
      <x:c r="J3566" s="124"/>
      <x:c r="M3566" s="126"/>
      <x:c r="P3566" s="126"/>
      <x:c r="Q3566" s="126"/>
      <x:c r="R3566" s="126"/>
      <x:c r="S3566" s="124"/>
      <x:c r="T3566" s="124"/>
      <x:c r="U3566" s="124"/>
      <x:c r="V3566" s="124"/>
      <x:c r="W3566" s="124"/>
      <x:c r="X3566" s="124"/>
      <x:c r="AD3566"/>
      <x:c r="AE3566" s="145"/>
      <x:c r="AF3566" s="145"/>
      <x:c r="AG3566" s="145"/>
      <x:c r="AH3566" s="145"/>
      <x:c r="AI3566" s="145"/>
      <x:c r="AJ3566"/>
    </x:row>
    <x:row r="3567">
      <x:c r="F3567" s="124"/>
      <x:c r="G3567" s="124"/>
      <x:c r="H3567" s="124"/>
      <x:c r="I3567" s="124"/>
      <x:c r="J3567" s="124"/>
      <x:c r="M3567" s="126"/>
      <x:c r="P3567" s="126"/>
      <x:c r="Q3567" s="126"/>
      <x:c r="R3567" s="126"/>
      <x:c r="S3567" s="124"/>
      <x:c r="T3567" s="124"/>
      <x:c r="U3567" s="124"/>
      <x:c r="V3567" s="124"/>
      <x:c r="W3567" s="124"/>
      <x:c r="X3567" s="124"/>
      <x:c r="AD3567"/>
      <x:c r="AE3567" s="145"/>
      <x:c r="AF3567" s="145"/>
      <x:c r="AG3567" s="145"/>
      <x:c r="AH3567" s="145"/>
      <x:c r="AI3567" s="145"/>
      <x:c r="AJ3567"/>
    </x:row>
    <x:row r="3568">
      <x:c r="F3568" s="124"/>
      <x:c r="G3568" s="124"/>
      <x:c r="H3568" s="124"/>
      <x:c r="I3568" s="124"/>
      <x:c r="J3568" s="124"/>
      <x:c r="M3568" s="126"/>
      <x:c r="P3568" s="126"/>
      <x:c r="Q3568" s="126"/>
      <x:c r="R3568" s="126"/>
      <x:c r="S3568" s="124"/>
      <x:c r="T3568" s="124"/>
      <x:c r="U3568" s="124"/>
      <x:c r="V3568" s="124"/>
      <x:c r="W3568" s="124"/>
      <x:c r="X3568" s="124"/>
      <x:c r="AD3568"/>
      <x:c r="AE3568" s="145"/>
      <x:c r="AF3568" s="145"/>
      <x:c r="AG3568" s="145"/>
      <x:c r="AH3568" s="145"/>
      <x:c r="AI3568" s="145"/>
      <x:c r="AJ3568"/>
    </x:row>
    <x:row r="3569">
      <x:c r="F3569" s="124"/>
      <x:c r="G3569" s="124"/>
      <x:c r="H3569" s="124"/>
      <x:c r="I3569" s="124"/>
      <x:c r="J3569" s="124"/>
      <x:c r="M3569" s="126"/>
      <x:c r="P3569" s="126"/>
      <x:c r="Q3569" s="126"/>
      <x:c r="R3569" s="126"/>
      <x:c r="S3569" s="124"/>
      <x:c r="T3569" s="124"/>
      <x:c r="U3569" s="124"/>
      <x:c r="V3569" s="124"/>
      <x:c r="W3569" s="124"/>
      <x:c r="X3569" s="124"/>
      <x:c r="AD3569"/>
      <x:c r="AE3569" s="145"/>
      <x:c r="AF3569" s="145"/>
      <x:c r="AG3569" s="145"/>
      <x:c r="AH3569" s="145"/>
      <x:c r="AI3569" s="145"/>
      <x:c r="AJ3569"/>
    </x:row>
    <x:row r="3570">
      <x:c r="F3570" s="124"/>
      <x:c r="G3570" s="124"/>
      <x:c r="H3570" s="124"/>
      <x:c r="I3570" s="124"/>
      <x:c r="J3570" s="124"/>
      <x:c r="M3570" s="126"/>
      <x:c r="P3570" s="126"/>
      <x:c r="Q3570" s="126"/>
      <x:c r="R3570" s="126"/>
      <x:c r="S3570" s="124"/>
      <x:c r="T3570" s="124"/>
      <x:c r="U3570" s="124"/>
      <x:c r="V3570" s="124"/>
      <x:c r="W3570" s="124"/>
      <x:c r="X3570" s="124"/>
      <x:c r="AD3570"/>
      <x:c r="AE3570" s="145"/>
      <x:c r="AF3570" s="145"/>
      <x:c r="AG3570" s="145"/>
      <x:c r="AH3570" s="145"/>
      <x:c r="AI3570" s="145"/>
      <x:c r="AJ3570"/>
    </x:row>
    <x:row r="3571">
      <x:c r="F3571" s="124"/>
      <x:c r="G3571" s="124"/>
      <x:c r="H3571" s="124"/>
      <x:c r="I3571" s="124"/>
      <x:c r="J3571" s="124"/>
      <x:c r="M3571" s="126"/>
      <x:c r="P3571" s="126"/>
      <x:c r="Q3571" s="126"/>
      <x:c r="R3571" s="126"/>
      <x:c r="S3571" s="124"/>
      <x:c r="T3571" s="124"/>
      <x:c r="U3571" s="124"/>
      <x:c r="V3571" s="124"/>
      <x:c r="W3571" s="124"/>
      <x:c r="X3571" s="124"/>
      <x:c r="AD3571"/>
      <x:c r="AE3571" s="145"/>
      <x:c r="AF3571" s="145"/>
      <x:c r="AG3571" s="145"/>
      <x:c r="AH3571" s="145"/>
      <x:c r="AI3571" s="145"/>
      <x:c r="AJ3571"/>
    </x:row>
    <x:row r="3572">
      <x:c r="F3572" s="124"/>
      <x:c r="G3572" s="124"/>
      <x:c r="H3572" s="124"/>
      <x:c r="I3572" s="124"/>
      <x:c r="J3572" s="124"/>
      <x:c r="M3572" s="126"/>
      <x:c r="P3572" s="126"/>
      <x:c r="Q3572" s="126"/>
      <x:c r="R3572" s="126"/>
      <x:c r="S3572" s="124"/>
      <x:c r="T3572" s="124"/>
      <x:c r="U3572" s="124"/>
      <x:c r="V3572" s="124"/>
      <x:c r="W3572" s="124"/>
      <x:c r="X3572" s="124"/>
      <x:c r="AD3572"/>
      <x:c r="AE3572" s="145"/>
      <x:c r="AF3572" s="145"/>
      <x:c r="AG3572" s="145"/>
      <x:c r="AH3572" s="145"/>
      <x:c r="AI3572" s="145"/>
      <x:c r="AJ3572"/>
    </x:row>
    <x:row r="3573">
      <x:c r="F3573" s="124"/>
      <x:c r="G3573" s="124"/>
      <x:c r="H3573" s="124"/>
      <x:c r="I3573" s="124"/>
      <x:c r="J3573" s="124"/>
      <x:c r="M3573" s="126"/>
      <x:c r="P3573" s="126"/>
      <x:c r="Q3573" s="126"/>
      <x:c r="R3573" s="126"/>
      <x:c r="S3573" s="124"/>
      <x:c r="T3573" s="124"/>
      <x:c r="U3573" s="124"/>
      <x:c r="V3573" s="124"/>
      <x:c r="W3573" s="124"/>
      <x:c r="X3573" s="124"/>
      <x:c r="AD3573"/>
      <x:c r="AE3573" s="145"/>
      <x:c r="AF3573" s="145"/>
      <x:c r="AG3573" s="145"/>
      <x:c r="AH3573" s="145"/>
      <x:c r="AI3573" s="145"/>
      <x:c r="AJ3573"/>
    </x:row>
    <x:row r="3574">
      <x:c r="F3574" s="124"/>
      <x:c r="G3574" s="124"/>
      <x:c r="H3574" s="124"/>
      <x:c r="I3574" s="124"/>
      <x:c r="J3574" s="124"/>
      <x:c r="M3574" s="126"/>
      <x:c r="P3574" s="126"/>
      <x:c r="Q3574" s="126"/>
      <x:c r="R3574" s="126"/>
      <x:c r="S3574" s="124"/>
      <x:c r="T3574" s="124"/>
      <x:c r="U3574" s="124"/>
      <x:c r="V3574" s="124"/>
      <x:c r="W3574" s="124"/>
      <x:c r="X3574" s="124"/>
      <x:c r="AD3574"/>
      <x:c r="AE3574" s="145"/>
      <x:c r="AF3574" s="145"/>
      <x:c r="AG3574" s="145"/>
      <x:c r="AH3574" s="145"/>
      <x:c r="AI3574" s="145"/>
      <x:c r="AJ3574"/>
    </x:row>
    <x:row r="3575">
      <x:c r="F3575" s="124"/>
      <x:c r="G3575" s="124"/>
      <x:c r="H3575" s="124"/>
      <x:c r="I3575" s="124"/>
      <x:c r="J3575" s="124"/>
      <x:c r="M3575" s="126"/>
      <x:c r="P3575" s="126"/>
      <x:c r="Q3575" s="126"/>
      <x:c r="R3575" s="126"/>
      <x:c r="S3575" s="124"/>
      <x:c r="T3575" s="124"/>
      <x:c r="U3575" s="124"/>
      <x:c r="V3575" s="124"/>
      <x:c r="W3575" s="124"/>
      <x:c r="X3575" s="124"/>
      <x:c r="AD3575"/>
      <x:c r="AE3575" s="145"/>
      <x:c r="AF3575" s="145"/>
      <x:c r="AG3575" s="145"/>
      <x:c r="AH3575" s="145"/>
      <x:c r="AI3575" s="145"/>
      <x:c r="AJ3575"/>
    </x:row>
    <x:row r="3576">
      <x:c r="F3576" s="124"/>
      <x:c r="G3576" s="124"/>
      <x:c r="H3576" s="124"/>
      <x:c r="I3576" s="124"/>
      <x:c r="J3576" s="124"/>
      <x:c r="M3576" s="126"/>
      <x:c r="P3576" s="126"/>
      <x:c r="Q3576" s="126"/>
      <x:c r="R3576" s="126"/>
      <x:c r="S3576" s="124"/>
      <x:c r="T3576" s="124"/>
      <x:c r="U3576" s="124"/>
      <x:c r="V3576" s="124"/>
      <x:c r="W3576" s="124"/>
      <x:c r="X3576" s="124"/>
      <x:c r="AD3576"/>
      <x:c r="AE3576" s="145"/>
      <x:c r="AF3576" s="145"/>
      <x:c r="AG3576" s="145"/>
      <x:c r="AH3576" s="145"/>
      <x:c r="AI3576" s="145"/>
      <x:c r="AJ3576"/>
    </x:row>
    <x:row r="3577">
      <x:c r="F3577" s="124"/>
      <x:c r="G3577" s="124"/>
      <x:c r="H3577" s="124"/>
      <x:c r="I3577" s="124"/>
      <x:c r="J3577" s="124"/>
      <x:c r="M3577" s="126"/>
      <x:c r="P3577" s="126"/>
      <x:c r="Q3577" s="126"/>
      <x:c r="R3577" s="126"/>
      <x:c r="S3577" s="124"/>
      <x:c r="T3577" s="124"/>
      <x:c r="U3577" s="124"/>
      <x:c r="V3577" s="124"/>
      <x:c r="W3577" s="124"/>
      <x:c r="X3577" s="124"/>
      <x:c r="AD3577"/>
      <x:c r="AE3577" s="145"/>
      <x:c r="AF3577" s="145"/>
      <x:c r="AG3577" s="145"/>
      <x:c r="AH3577" s="145"/>
      <x:c r="AI3577" s="145"/>
      <x:c r="AJ3577"/>
    </x:row>
    <x:row r="3578">
      <x:c r="F3578" s="124"/>
      <x:c r="G3578" s="124"/>
      <x:c r="H3578" s="124"/>
      <x:c r="I3578" s="124"/>
      <x:c r="J3578" s="124"/>
      <x:c r="M3578" s="126"/>
      <x:c r="P3578" s="126"/>
      <x:c r="Q3578" s="126"/>
      <x:c r="R3578" s="126"/>
      <x:c r="S3578" s="124"/>
      <x:c r="T3578" s="124"/>
      <x:c r="U3578" s="124"/>
      <x:c r="V3578" s="124"/>
      <x:c r="W3578" s="124"/>
      <x:c r="X3578" s="124"/>
      <x:c r="AD3578"/>
      <x:c r="AE3578" s="145"/>
      <x:c r="AF3578" s="145"/>
      <x:c r="AG3578" s="145"/>
      <x:c r="AH3578" s="145"/>
      <x:c r="AI3578" s="145"/>
      <x:c r="AJ3578"/>
    </x:row>
    <x:row r="3579">
      <x:c r="F3579" s="124"/>
      <x:c r="G3579" s="124"/>
      <x:c r="H3579" s="124"/>
      <x:c r="I3579" s="124"/>
      <x:c r="J3579" s="124"/>
      <x:c r="M3579" s="126"/>
      <x:c r="P3579" s="126"/>
      <x:c r="Q3579" s="126"/>
      <x:c r="R3579" s="126"/>
      <x:c r="S3579" s="124"/>
      <x:c r="T3579" s="124"/>
      <x:c r="U3579" s="124"/>
      <x:c r="V3579" s="124"/>
      <x:c r="W3579" s="124"/>
      <x:c r="X3579" s="124"/>
      <x:c r="AD3579"/>
      <x:c r="AE3579" s="145"/>
      <x:c r="AF3579" s="145"/>
      <x:c r="AG3579" s="145"/>
      <x:c r="AH3579" s="145"/>
      <x:c r="AI3579" s="145"/>
      <x:c r="AJ3579"/>
    </x:row>
    <x:row r="3580">
      <x:c r="F3580" s="124"/>
      <x:c r="G3580" s="124"/>
      <x:c r="H3580" s="124"/>
      <x:c r="I3580" s="124"/>
      <x:c r="J3580" s="124"/>
      <x:c r="M3580" s="126"/>
      <x:c r="P3580" s="126"/>
      <x:c r="Q3580" s="126"/>
      <x:c r="R3580" s="126"/>
      <x:c r="S3580" s="124"/>
      <x:c r="T3580" s="124"/>
      <x:c r="U3580" s="124"/>
      <x:c r="V3580" s="124"/>
      <x:c r="W3580" s="124"/>
      <x:c r="X3580" s="124"/>
      <x:c r="AD3580"/>
      <x:c r="AE3580" s="145"/>
      <x:c r="AF3580" s="145"/>
      <x:c r="AG3580" s="145"/>
      <x:c r="AH3580" s="145"/>
      <x:c r="AI3580" s="145"/>
      <x:c r="AJ3580"/>
    </x:row>
    <x:row r="3581">
      <x:c r="F3581" s="124"/>
      <x:c r="G3581" s="124"/>
      <x:c r="H3581" s="124"/>
      <x:c r="I3581" s="124"/>
      <x:c r="J3581" s="124"/>
      <x:c r="M3581" s="126"/>
      <x:c r="P3581" s="126"/>
      <x:c r="Q3581" s="126"/>
      <x:c r="R3581" s="126"/>
      <x:c r="S3581" s="124"/>
      <x:c r="T3581" s="124"/>
      <x:c r="U3581" s="124"/>
      <x:c r="V3581" s="124"/>
      <x:c r="W3581" s="124"/>
      <x:c r="X3581" s="124"/>
      <x:c r="AD3581"/>
      <x:c r="AE3581" s="145"/>
      <x:c r="AF3581" s="145"/>
      <x:c r="AG3581" s="145"/>
      <x:c r="AH3581" s="145"/>
      <x:c r="AI3581" s="145"/>
      <x:c r="AJ3581"/>
    </x:row>
    <x:row r="3582">
      <x:c r="F3582" s="124"/>
      <x:c r="G3582" s="124"/>
      <x:c r="H3582" s="124"/>
      <x:c r="I3582" s="124"/>
      <x:c r="J3582" s="124"/>
      <x:c r="M3582" s="126"/>
      <x:c r="P3582" s="126"/>
      <x:c r="Q3582" s="126"/>
      <x:c r="R3582" s="126"/>
      <x:c r="S3582" s="124"/>
      <x:c r="T3582" s="124"/>
      <x:c r="U3582" s="124"/>
      <x:c r="V3582" s="124"/>
      <x:c r="W3582" s="124"/>
      <x:c r="X3582" s="124"/>
      <x:c r="AD3582"/>
      <x:c r="AE3582" s="145"/>
      <x:c r="AF3582" s="145"/>
      <x:c r="AG3582" s="145"/>
      <x:c r="AH3582" s="145"/>
      <x:c r="AI3582" s="145"/>
      <x:c r="AJ3582"/>
    </x:row>
    <x:row r="3583">
      <x:c r="F3583" s="124"/>
      <x:c r="G3583" s="124"/>
      <x:c r="H3583" s="124"/>
      <x:c r="I3583" s="124"/>
      <x:c r="J3583" s="124"/>
      <x:c r="M3583" s="126"/>
      <x:c r="P3583" s="126"/>
      <x:c r="Q3583" s="126"/>
      <x:c r="R3583" s="126"/>
      <x:c r="S3583" s="124"/>
      <x:c r="T3583" s="124"/>
      <x:c r="U3583" s="124"/>
      <x:c r="V3583" s="124"/>
      <x:c r="W3583" s="124"/>
      <x:c r="X3583" s="124"/>
      <x:c r="AD3583"/>
      <x:c r="AE3583" s="145"/>
      <x:c r="AF3583" s="145"/>
      <x:c r="AG3583" s="145"/>
      <x:c r="AH3583" s="145"/>
      <x:c r="AI3583" s="145"/>
      <x:c r="AJ3583"/>
    </x:row>
    <x:row r="3584">
      <x:c r="F3584" s="124"/>
      <x:c r="G3584" s="124"/>
      <x:c r="H3584" s="124"/>
      <x:c r="I3584" s="124"/>
      <x:c r="J3584" s="124"/>
      <x:c r="M3584" s="126"/>
      <x:c r="P3584" s="126"/>
      <x:c r="Q3584" s="126"/>
      <x:c r="R3584" s="126"/>
      <x:c r="S3584" s="124"/>
      <x:c r="T3584" s="124"/>
      <x:c r="U3584" s="124"/>
      <x:c r="V3584" s="124"/>
      <x:c r="W3584" s="124"/>
      <x:c r="X3584" s="124"/>
      <x:c r="AD3584"/>
      <x:c r="AE3584" s="145"/>
      <x:c r="AF3584" s="145"/>
      <x:c r="AG3584" s="145"/>
      <x:c r="AH3584" s="145"/>
      <x:c r="AI3584" s="145"/>
      <x:c r="AJ3584"/>
    </x:row>
    <x:row r="3585">
      <x:c r="F3585" s="124"/>
      <x:c r="G3585" s="124"/>
      <x:c r="H3585" s="124"/>
      <x:c r="I3585" s="124"/>
      <x:c r="J3585" s="124"/>
      <x:c r="M3585" s="126"/>
      <x:c r="P3585" s="126"/>
      <x:c r="Q3585" s="126"/>
      <x:c r="R3585" s="126"/>
      <x:c r="S3585" s="124"/>
      <x:c r="T3585" s="124"/>
      <x:c r="U3585" s="124"/>
      <x:c r="V3585" s="124"/>
      <x:c r="W3585" s="124"/>
      <x:c r="X3585" s="124"/>
      <x:c r="AD3585"/>
      <x:c r="AE3585" s="145"/>
      <x:c r="AF3585" s="145"/>
      <x:c r="AG3585" s="145"/>
      <x:c r="AH3585" s="145"/>
      <x:c r="AI3585" s="145"/>
      <x:c r="AJ3585"/>
    </x:row>
    <x:row r="3586">
      <x:c r="F3586" s="124"/>
      <x:c r="G3586" s="124"/>
      <x:c r="H3586" s="124"/>
      <x:c r="I3586" s="124"/>
      <x:c r="J3586" s="124"/>
      <x:c r="M3586" s="126"/>
      <x:c r="P3586" s="126"/>
      <x:c r="Q3586" s="126"/>
      <x:c r="R3586" s="126"/>
      <x:c r="S3586" s="124"/>
      <x:c r="T3586" s="124"/>
      <x:c r="U3586" s="124"/>
      <x:c r="V3586" s="124"/>
      <x:c r="W3586" s="124"/>
      <x:c r="X3586" s="124"/>
      <x:c r="AD3586"/>
      <x:c r="AE3586" s="145"/>
      <x:c r="AF3586" s="145"/>
      <x:c r="AG3586" s="145"/>
      <x:c r="AH3586" s="145"/>
      <x:c r="AI3586" s="145"/>
      <x:c r="AJ3586"/>
    </x:row>
    <x:row r="3587">
      <x:c r="F3587" s="124"/>
      <x:c r="G3587" s="124"/>
      <x:c r="H3587" s="124"/>
      <x:c r="I3587" s="124"/>
      <x:c r="J3587" s="124"/>
      <x:c r="M3587" s="126"/>
      <x:c r="P3587" s="126"/>
      <x:c r="Q3587" s="126"/>
      <x:c r="R3587" s="126"/>
      <x:c r="S3587" s="124"/>
      <x:c r="T3587" s="124"/>
      <x:c r="U3587" s="124"/>
      <x:c r="V3587" s="124"/>
      <x:c r="W3587" s="124"/>
      <x:c r="X3587" s="124"/>
      <x:c r="AD3587"/>
      <x:c r="AE3587" s="145"/>
      <x:c r="AF3587" s="145"/>
      <x:c r="AG3587" s="145"/>
      <x:c r="AH3587" s="145"/>
      <x:c r="AI3587" s="145"/>
      <x:c r="AJ3587"/>
    </x:row>
    <x:row r="3588">
      <x:c r="F3588" s="124"/>
      <x:c r="G3588" s="124"/>
      <x:c r="H3588" s="124"/>
      <x:c r="I3588" s="124"/>
      <x:c r="J3588" s="124"/>
      <x:c r="M3588" s="126"/>
      <x:c r="P3588" s="126"/>
      <x:c r="Q3588" s="126"/>
      <x:c r="R3588" s="126"/>
      <x:c r="S3588" s="124"/>
      <x:c r="T3588" s="124"/>
      <x:c r="U3588" s="124"/>
      <x:c r="V3588" s="124"/>
      <x:c r="W3588" s="124"/>
      <x:c r="X3588" s="124"/>
      <x:c r="AD3588"/>
      <x:c r="AE3588" s="145"/>
      <x:c r="AF3588" s="145"/>
      <x:c r="AG3588" s="145"/>
      <x:c r="AH3588" s="145"/>
      <x:c r="AI3588" s="145"/>
      <x:c r="AJ3588"/>
    </x:row>
    <x:row r="3589">
      <x:c r="F3589" s="124"/>
      <x:c r="G3589" s="124"/>
      <x:c r="H3589" s="124"/>
      <x:c r="I3589" s="124"/>
      <x:c r="J3589" s="124"/>
      <x:c r="M3589" s="126"/>
      <x:c r="P3589" s="126"/>
      <x:c r="Q3589" s="126"/>
      <x:c r="R3589" s="126"/>
      <x:c r="S3589" s="124"/>
      <x:c r="T3589" s="124"/>
      <x:c r="U3589" s="124"/>
      <x:c r="V3589" s="124"/>
      <x:c r="W3589" s="124"/>
      <x:c r="X3589" s="124"/>
      <x:c r="AD3589"/>
      <x:c r="AE3589" s="145"/>
      <x:c r="AF3589" s="145"/>
      <x:c r="AG3589" s="145"/>
      <x:c r="AH3589" s="145"/>
      <x:c r="AI3589" s="145"/>
      <x:c r="AJ3589"/>
    </x:row>
    <x:row r="3590">
      <x:c r="F3590" s="124"/>
      <x:c r="G3590" s="124"/>
      <x:c r="H3590" s="124"/>
      <x:c r="I3590" s="124"/>
      <x:c r="J3590" s="124"/>
      <x:c r="M3590" s="126"/>
      <x:c r="P3590" s="126"/>
      <x:c r="Q3590" s="126"/>
      <x:c r="R3590" s="126"/>
      <x:c r="S3590" s="124"/>
      <x:c r="T3590" s="124"/>
      <x:c r="U3590" s="124"/>
      <x:c r="V3590" s="124"/>
      <x:c r="W3590" s="124"/>
      <x:c r="X3590" s="124"/>
      <x:c r="AD3590"/>
      <x:c r="AE3590" s="145"/>
      <x:c r="AF3590" s="145"/>
      <x:c r="AG3590" s="145"/>
      <x:c r="AH3590" s="145"/>
      <x:c r="AI3590" s="145"/>
      <x:c r="AJ3590"/>
    </x:row>
    <x:row r="3591">
      <x:c r="F3591" s="124"/>
      <x:c r="G3591" s="124"/>
      <x:c r="H3591" s="124"/>
      <x:c r="I3591" s="124"/>
      <x:c r="J3591" s="124"/>
      <x:c r="M3591" s="126"/>
      <x:c r="P3591" s="126"/>
      <x:c r="Q3591" s="126"/>
      <x:c r="R3591" s="126"/>
      <x:c r="S3591" s="124"/>
      <x:c r="T3591" s="124"/>
      <x:c r="U3591" s="124"/>
      <x:c r="V3591" s="124"/>
      <x:c r="W3591" s="124"/>
      <x:c r="X3591" s="124"/>
      <x:c r="AD3591"/>
      <x:c r="AE3591" s="145"/>
      <x:c r="AF3591" s="145"/>
      <x:c r="AG3591" s="145"/>
      <x:c r="AH3591" s="145"/>
      <x:c r="AI3591" s="145"/>
      <x:c r="AJ3591"/>
    </x:row>
    <x:row r="3592">
      <x:c r="F3592" s="124"/>
      <x:c r="G3592" s="124"/>
      <x:c r="H3592" s="124"/>
      <x:c r="I3592" s="124"/>
      <x:c r="J3592" s="124"/>
      <x:c r="M3592" s="126"/>
      <x:c r="P3592" s="126"/>
      <x:c r="Q3592" s="126"/>
      <x:c r="R3592" s="126"/>
      <x:c r="S3592" s="124"/>
      <x:c r="T3592" s="124"/>
      <x:c r="U3592" s="124"/>
      <x:c r="V3592" s="124"/>
      <x:c r="W3592" s="124"/>
      <x:c r="X3592" s="124"/>
      <x:c r="AD3592"/>
      <x:c r="AE3592" s="145"/>
      <x:c r="AF3592" s="145"/>
      <x:c r="AG3592" s="145"/>
      <x:c r="AH3592" s="145"/>
      <x:c r="AI3592" s="145"/>
      <x:c r="AJ3592"/>
    </x:row>
    <x:row r="3593">
      <x:c r="F3593" s="124"/>
      <x:c r="G3593" s="124"/>
      <x:c r="H3593" s="124"/>
      <x:c r="I3593" s="124"/>
      <x:c r="J3593" s="124"/>
      <x:c r="M3593" s="126"/>
      <x:c r="P3593" s="126"/>
      <x:c r="Q3593" s="126"/>
      <x:c r="R3593" s="126"/>
      <x:c r="S3593" s="124"/>
      <x:c r="T3593" s="124"/>
      <x:c r="U3593" s="124"/>
      <x:c r="V3593" s="124"/>
      <x:c r="W3593" s="124"/>
      <x:c r="X3593" s="124"/>
      <x:c r="AD3593"/>
      <x:c r="AE3593" s="145"/>
      <x:c r="AF3593" s="145"/>
      <x:c r="AG3593" s="145"/>
      <x:c r="AH3593" s="145"/>
      <x:c r="AI3593" s="145"/>
      <x:c r="AJ3593"/>
    </x:row>
    <x:row r="3594">
      <x:c r="F3594" s="124"/>
      <x:c r="G3594" s="124"/>
      <x:c r="H3594" s="124"/>
      <x:c r="I3594" s="124"/>
      <x:c r="J3594" s="124"/>
      <x:c r="M3594" s="126"/>
      <x:c r="P3594" s="126"/>
      <x:c r="Q3594" s="126"/>
      <x:c r="R3594" s="126"/>
      <x:c r="S3594" s="124"/>
      <x:c r="T3594" s="124"/>
      <x:c r="U3594" s="124"/>
      <x:c r="V3594" s="124"/>
      <x:c r="W3594" s="124"/>
      <x:c r="X3594" s="124"/>
      <x:c r="AD3594"/>
      <x:c r="AE3594" s="145"/>
      <x:c r="AF3594" s="145"/>
      <x:c r="AG3594" s="145"/>
      <x:c r="AH3594" s="145"/>
      <x:c r="AI3594" s="145"/>
      <x:c r="AJ3594"/>
    </x:row>
    <x:row r="3595">
      <x:c r="F3595" s="124"/>
      <x:c r="G3595" s="124"/>
      <x:c r="H3595" s="124"/>
      <x:c r="I3595" s="124"/>
      <x:c r="J3595" s="124"/>
      <x:c r="M3595" s="126"/>
      <x:c r="P3595" s="126"/>
      <x:c r="Q3595" s="126"/>
      <x:c r="R3595" s="126"/>
      <x:c r="S3595" s="124"/>
      <x:c r="T3595" s="124"/>
      <x:c r="U3595" s="124"/>
      <x:c r="V3595" s="124"/>
      <x:c r="W3595" s="124"/>
      <x:c r="X3595" s="124"/>
      <x:c r="AD3595"/>
      <x:c r="AE3595" s="145"/>
      <x:c r="AF3595" s="145"/>
      <x:c r="AG3595" s="145"/>
      <x:c r="AH3595" s="145"/>
      <x:c r="AI3595" s="145"/>
      <x:c r="AJ3595"/>
    </x:row>
    <x:row r="3596">
      <x:c r="F3596" s="124"/>
      <x:c r="G3596" s="124"/>
      <x:c r="H3596" s="124"/>
      <x:c r="I3596" s="124"/>
      <x:c r="J3596" s="124"/>
      <x:c r="M3596" s="126"/>
      <x:c r="P3596" s="126"/>
      <x:c r="Q3596" s="126"/>
      <x:c r="R3596" s="126"/>
      <x:c r="S3596" s="124"/>
      <x:c r="T3596" s="124"/>
      <x:c r="U3596" s="124"/>
      <x:c r="V3596" s="124"/>
      <x:c r="W3596" s="124"/>
      <x:c r="X3596" s="124"/>
      <x:c r="AD3596"/>
      <x:c r="AE3596" s="145"/>
      <x:c r="AF3596" s="145"/>
      <x:c r="AG3596" s="145"/>
      <x:c r="AH3596" s="145"/>
      <x:c r="AI3596" s="145"/>
      <x:c r="AJ3596"/>
    </x:row>
    <x:row r="3597">
      <x:c r="F3597" s="124"/>
      <x:c r="G3597" s="124"/>
      <x:c r="H3597" s="124"/>
      <x:c r="I3597" s="124"/>
      <x:c r="J3597" s="124"/>
      <x:c r="M3597" s="126"/>
      <x:c r="P3597" s="126"/>
      <x:c r="Q3597" s="126"/>
      <x:c r="R3597" s="126"/>
      <x:c r="S3597" s="124"/>
      <x:c r="T3597" s="124"/>
      <x:c r="U3597" s="124"/>
      <x:c r="V3597" s="124"/>
      <x:c r="W3597" s="124"/>
      <x:c r="X3597" s="124"/>
      <x:c r="AD3597"/>
      <x:c r="AE3597" s="145"/>
      <x:c r="AF3597" s="145"/>
      <x:c r="AG3597" s="145"/>
      <x:c r="AH3597" s="145"/>
      <x:c r="AI3597" s="145"/>
      <x:c r="AJ3597"/>
    </x:row>
    <x:row r="3598">
      <x:c r="F3598" s="124"/>
      <x:c r="G3598" s="124"/>
      <x:c r="H3598" s="124"/>
      <x:c r="I3598" s="124"/>
      <x:c r="J3598" s="124"/>
      <x:c r="M3598" s="126"/>
      <x:c r="P3598" s="126"/>
      <x:c r="Q3598" s="126"/>
      <x:c r="R3598" s="126"/>
      <x:c r="S3598" s="124"/>
      <x:c r="T3598" s="124"/>
      <x:c r="U3598" s="124"/>
      <x:c r="V3598" s="124"/>
      <x:c r="W3598" s="124"/>
      <x:c r="X3598" s="124"/>
      <x:c r="AD3598"/>
      <x:c r="AE3598" s="145"/>
      <x:c r="AF3598" s="145"/>
      <x:c r="AG3598" s="145"/>
      <x:c r="AH3598" s="145"/>
      <x:c r="AI3598" s="145"/>
      <x:c r="AJ3598"/>
    </x:row>
    <x:row r="3599">
      <x:c r="F3599" s="124"/>
      <x:c r="G3599" s="124"/>
      <x:c r="H3599" s="124"/>
      <x:c r="I3599" s="124"/>
      <x:c r="J3599" s="124"/>
      <x:c r="M3599" s="126"/>
      <x:c r="P3599" s="126"/>
      <x:c r="Q3599" s="126"/>
      <x:c r="R3599" s="126"/>
      <x:c r="S3599" s="124"/>
      <x:c r="T3599" s="124"/>
      <x:c r="U3599" s="124"/>
      <x:c r="V3599" s="124"/>
      <x:c r="W3599" s="124"/>
      <x:c r="X3599" s="124"/>
      <x:c r="AD3599"/>
      <x:c r="AE3599" s="145"/>
      <x:c r="AF3599" s="145"/>
      <x:c r="AG3599" s="145"/>
      <x:c r="AH3599" s="145"/>
      <x:c r="AI3599" s="145"/>
      <x:c r="AJ3599"/>
    </x:row>
    <x:row r="3600">
      <x:c r="F3600" s="124"/>
      <x:c r="G3600" s="124"/>
      <x:c r="H3600" s="124"/>
      <x:c r="I3600" s="124"/>
      <x:c r="J3600" s="124"/>
      <x:c r="M3600" s="126"/>
      <x:c r="P3600" s="126"/>
      <x:c r="Q3600" s="126"/>
      <x:c r="R3600" s="126"/>
      <x:c r="S3600" s="124"/>
      <x:c r="T3600" s="124"/>
      <x:c r="U3600" s="124"/>
      <x:c r="V3600" s="124"/>
      <x:c r="W3600" s="124"/>
      <x:c r="X3600" s="124"/>
      <x:c r="AD3600"/>
      <x:c r="AE3600" s="145"/>
      <x:c r="AF3600" s="145"/>
      <x:c r="AG3600" s="145"/>
      <x:c r="AH3600" s="145"/>
      <x:c r="AI3600" s="145"/>
      <x:c r="AJ3600"/>
    </x:row>
    <x:row r="3601">
      <x:c r="F3601" s="124"/>
      <x:c r="G3601" s="124"/>
      <x:c r="H3601" s="124"/>
      <x:c r="I3601" s="124"/>
      <x:c r="J3601" s="124"/>
      <x:c r="M3601" s="126"/>
      <x:c r="P3601" s="126"/>
      <x:c r="Q3601" s="126"/>
      <x:c r="R3601" s="126"/>
      <x:c r="S3601" s="124"/>
      <x:c r="T3601" s="124"/>
      <x:c r="U3601" s="124"/>
      <x:c r="V3601" s="124"/>
      <x:c r="W3601" s="124"/>
      <x:c r="X3601" s="124"/>
      <x:c r="AD3601"/>
      <x:c r="AE3601" s="145"/>
      <x:c r="AF3601" s="145"/>
      <x:c r="AG3601" s="145"/>
      <x:c r="AH3601" s="145"/>
      <x:c r="AI3601" s="145"/>
      <x:c r="AJ3601"/>
    </x:row>
    <x:row r="3602">
      <x:c r="F3602" s="124"/>
      <x:c r="G3602" s="124"/>
      <x:c r="H3602" s="124"/>
      <x:c r="I3602" s="124"/>
      <x:c r="J3602" s="124"/>
      <x:c r="M3602" s="126"/>
      <x:c r="P3602" s="126"/>
      <x:c r="Q3602" s="126"/>
      <x:c r="R3602" s="126"/>
      <x:c r="S3602" s="124"/>
      <x:c r="T3602" s="124"/>
      <x:c r="U3602" s="124"/>
      <x:c r="V3602" s="124"/>
      <x:c r="W3602" s="124"/>
      <x:c r="X3602" s="124"/>
      <x:c r="AD3602"/>
      <x:c r="AE3602" s="145"/>
      <x:c r="AF3602" s="145"/>
      <x:c r="AG3602" s="145"/>
      <x:c r="AH3602" s="145"/>
      <x:c r="AI3602" s="145"/>
      <x:c r="AJ3602"/>
    </x:row>
    <x:row r="3603">
      <x:c r="F3603" s="124"/>
      <x:c r="G3603" s="124"/>
      <x:c r="H3603" s="124"/>
      <x:c r="I3603" s="124"/>
      <x:c r="J3603" s="124"/>
      <x:c r="M3603" s="126"/>
      <x:c r="P3603" s="126"/>
      <x:c r="Q3603" s="126"/>
      <x:c r="R3603" s="126"/>
      <x:c r="S3603" s="124"/>
      <x:c r="T3603" s="124"/>
      <x:c r="U3603" s="124"/>
      <x:c r="V3603" s="124"/>
      <x:c r="W3603" s="124"/>
      <x:c r="X3603" s="124"/>
      <x:c r="AD3603"/>
      <x:c r="AE3603" s="145"/>
      <x:c r="AF3603" s="145"/>
      <x:c r="AG3603" s="145"/>
      <x:c r="AH3603" s="145"/>
      <x:c r="AI3603" s="145"/>
      <x:c r="AJ3603"/>
    </x:row>
    <x:row r="3604">
      <x:c r="F3604" s="124"/>
      <x:c r="G3604" s="124"/>
      <x:c r="H3604" s="124"/>
      <x:c r="I3604" s="124"/>
      <x:c r="J3604" s="124"/>
      <x:c r="M3604" s="126"/>
      <x:c r="P3604" s="126"/>
      <x:c r="Q3604" s="126"/>
      <x:c r="R3604" s="126"/>
      <x:c r="S3604" s="124"/>
      <x:c r="T3604" s="124"/>
      <x:c r="U3604" s="124"/>
      <x:c r="V3604" s="124"/>
      <x:c r="W3604" s="124"/>
      <x:c r="X3604" s="124"/>
      <x:c r="AD3604"/>
      <x:c r="AE3604" s="145"/>
      <x:c r="AF3604" s="145"/>
      <x:c r="AG3604" s="145"/>
      <x:c r="AH3604" s="145"/>
      <x:c r="AI3604" s="145"/>
      <x:c r="AJ3604"/>
    </x:row>
    <x:row r="3605">
      <x:c r="F3605" s="124"/>
      <x:c r="G3605" s="124"/>
      <x:c r="H3605" s="124"/>
      <x:c r="I3605" s="124"/>
      <x:c r="J3605" s="124"/>
      <x:c r="M3605" s="126"/>
      <x:c r="P3605" s="126"/>
      <x:c r="Q3605" s="126"/>
      <x:c r="R3605" s="126"/>
      <x:c r="S3605" s="124"/>
      <x:c r="T3605" s="124"/>
      <x:c r="U3605" s="124"/>
      <x:c r="V3605" s="124"/>
      <x:c r="W3605" s="124"/>
      <x:c r="X3605" s="124"/>
      <x:c r="AD3605"/>
      <x:c r="AE3605" s="145"/>
      <x:c r="AF3605" s="145"/>
      <x:c r="AG3605" s="145"/>
      <x:c r="AH3605" s="145"/>
      <x:c r="AI3605" s="145"/>
      <x:c r="AJ3605"/>
    </x:row>
    <x:row r="3606">
      <x:c r="F3606" s="124"/>
      <x:c r="G3606" s="124"/>
      <x:c r="H3606" s="124"/>
      <x:c r="I3606" s="124"/>
      <x:c r="J3606" s="124"/>
      <x:c r="M3606" s="126"/>
      <x:c r="P3606" s="126"/>
      <x:c r="Q3606" s="126"/>
      <x:c r="R3606" s="126"/>
      <x:c r="S3606" s="124"/>
      <x:c r="T3606" s="124"/>
      <x:c r="U3606" s="124"/>
      <x:c r="V3606" s="124"/>
      <x:c r="W3606" s="124"/>
      <x:c r="X3606" s="124"/>
      <x:c r="AD3606"/>
      <x:c r="AE3606" s="145"/>
      <x:c r="AF3606" s="145"/>
      <x:c r="AG3606" s="145"/>
      <x:c r="AH3606" s="145"/>
      <x:c r="AI3606" s="145"/>
      <x:c r="AJ3606"/>
    </x:row>
    <x:row r="3607">
      <x:c r="F3607" s="124"/>
      <x:c r="G3607" s="124"/>
      <x:c r="H3607" s="124"/>
      <x:c r="I3607" s="124"/>
      <x:c r="J3607" s="124"/>
      <x:c r="M3607" s="126"/>
      <x:c r="P3607" s="126"/>
      <x:c r="Q3607" s="126"/>
      <x:c r="R3607" s="126"/>
      <x:c r="S3607" s="124"/>
      <x:c r="T3607" s="124"/>
      <x:c r="U3607" s="124"/>
      <x:c r="V3607" s="124"/>
      <x:c r="W3607" s="124"/>
      <x:c r="X3607" s="124"/>
      <x:c r="AD3607"/>
      <x:c r="AE3607" s="145"/>
      <x:c r="AF3607" s="145"/>
      <x:c r="AG3607" s="145"/>
      <x:c r="AH3607" s="145"/>
      <x:c r="AI3607" s="145"/>
      <x:c r="AJ3607"/>
    </x:row>
    <x:row r="3608">
      <x:c r="F3608" s="124"/>
      <x:c r="G3608" s="124"/>
      <x:c r="H3608" s="124"/>
      <x:c r="I3608" s="124"/>
      <x:c r="J3608" s="124"/>
      <x:c r="M3608" s="126"/>
      <x:c r="P3608" s="126"/>
      <x:c r="Q3608" s="126"/>
      <x:c r="R3608" s="126"/>
      <x:c r="S3608" s="124"/>
      <x:c r="T3608" s="124"/>
      <x:c r="U3608" s="124"/>
      <x:c r="V3608" s="124"/>
      <x:c r="W3608" s="124"/>
      <x:c r="X3608" s="124"/>
      <x:c r="AD3608"/>
      <x:c r="AE3608" s="145"/>
      <x:c r="AF3608" s="145"/>
      <x:c r="AG3608" s="145"/>
      <x:c r="AH3608" s="145"/>
      <x:c r="AI3608" s="145"/>
      <x:c r="AJ3608"/>
    </x:row>
    <x:row r="3609">
      <x:c r="F3609" s="124"/>
      <x:c r="G3609" s="124"/>
      <x:c r="H3609" s="124"/>
      <x:c r="I3609" s="124"/>
      <x:c r="J3609" s="124"/>
      <x:c r="M3609" s="126"/>
      <x:c r="P3609" s="126"/>
      <x:c r="Q3609" s="126"/>
      <x:c r="R3609" s="126"/>
      <x:c r="S3609" s="124"/>
      <x:c r="T3609" s="124"/>
      <x:c r="U3609" s="124"/>
      <x:c r="V3609" s="124"/>
      <x:c r="W3609" s="124"/>
      <x:c r="X3609" s="124"/>
      <x:c r="AD3609"/>
      <x:c r="AE3609" s="145"/>
      <x:c r="AF3609" s="145"/>
      <x:c r="AG3609" s="145"/>
      <x:c r="AH3609" s="145"/>
      <x:c r="AI3609" s="145"/>
      <x:c r="AJ3609"/>
    </x:row>
    <x:row r="3610">
      <x:c r="F3610" s="124"/>
      <x:c r="G3610" s="124"/>
      <x:c r="H3610" s="124"/>
      <x:c r="I3610" s="124"/>
      <x:c r="J3610" s="124"/>
      <x:c r="M3610" s="126"/>
      <x:c r="P3610" s="126"/>
      <x:c r="Q3610" s="126"/>
      <x:c r="R3610" s="126"/>
      <x:c r="S3610" s="124"/>
      <x:c r="T3610" s="124"/>
      <x:c r="U3610" s="124"/>
      <x:c r="V3610" s="124"/>
      <x:c r="W3610" s="124"/>
      <x:c r="X3610" s="124"/>
      <x:c r="AD3610"/>
      <x:c r="AE3610" s="145"/>
      <x:c r="AF3610" s="145"/>
      <x:c r="AG3610" s="145"/>
      <x:c r="AH3610" s="145"/>
      <x:c r="AI3610" s="145"/>
      <x:c r="AJ3610"/>
    </x:row>
    <x:row r="3611">
      <x:c r="F3611" s="124"/>
      <x:c r="G3611" s="124"/>
      <x:c r="H3611" s="124"/>
      <x:c r="I3611" s="124"/>
      <x:c r="J3611" s="124"/>
      <x:c r="M3611" s="126"/>
      <x:c r="P3611" s="126"/>
      <x:c r="Q3611" s="126"/>
      <x:c r="R3611" s="126"/>
      <x:c r="S3611" s="124"/>
      <x:c r="T3611" s="124"/>
      <x:c r="U3611" s="124"/>
      <x:c r="V3611" s="124"/>
      <x:c r="W3611" s="124"/>
      <x:c r="X3611" s="124"/>
      <x:c r="AD3611"/>
      <x:c r="AE3611" s="145"/>
      <x:c r="AF3611" s="145"/>
      <x:c r="AG3611" s="145"/>
      <x:c r="AH3611" s="145"/>
      <x:c r="AI3611" s="145"/>
      <x:c r="AJ3611"/>
    </x:row>
    <x:row r="3612">
      <x:c r="F3612" s="124"/>
      <x:c r="G3612" s="124"/>
      <x:c r="H3612" s="124"/>
      <x:c r="I3612" s="124"/>
      <x:c r="J3612" s="124"/>
      <x:c r="M3612" s="126"/>
      <x:c r="P3612" s="126"/>
      <x:c r="Q3612" s="126"/>
      <x:c r="R3612" s="126"/>
      <x:c r="S3612" s="124"/>
      <x:c r="T3612" s="124"/>
      <x:c r="U3612" s="124"/>
      <x:c r="V3612" s="124"/>
      <x:c r="W3612" s="124"/>
      <x:c r="X3612" s="124"/>
      <x:c r="AD3612"/>
      <x:c r="AE3612" s="145"/>
      <x:c r="AF3612" s="145"/>
      <x:c r="AG3612" s="145"/>
      <x:c r="AH3612" s="145"/>
      <x:c r="AI3612" s="145"/>
      <x:c r="AJ3612"/>
    </x:row>
    <x:row r="3613">
      <x:c r="F3613" s="124"/>
      <x:c r="G3613" s="124"/>
      <x:c r="H3613" s="124"/>
      <x:c r="I3613" s="124"/>
      <x:c r="J3613" s="124"/>
      <x:c r="M3613" s="126"/>
      <x:c r="P3613" s="126"/>
      <x:c r="Q3613" s="126"/>
      <x:c r="R3613" s="126"/>
      <x:c r="S3613" s="124"/>
      <x:c r="T3613" s="124"/>
      <x:c r="U3613" s="124"/>
      <x:c r="V3613" s="124"/>
      <x:c r="W3613" s="124"/>
      <x:c r="X3613" s="124"/>
      <x:c r="AD3613"/>
      <x:c r="AE3613" s="145"/>
      <x:c r="AF3613" s="145"/>
      <x:c r="AG3613" s="145"/>
      <x:c r="AH3613" s="145"/>
      <x:c r="AI3613" s="145"/>
      <x:c r="AJ3613"/>
    </x:row>
    <x:row r="3614">
      <x:c r="F3614" s="124"/>
      <x:c r="G3614" s="124"/>
      <x:c r="H3614" s="124"/>
      <x:c r="I3614" s="124"/>
      <x:c r="J3614" s="124"/>
      <x:c r="M3614" s="126"/>
      <x:c r="P3614" s="126"/>
      <x:c r="Q3614" s="126"/>
      <x:c r="R3614" s="126"/>
      <x:c r="S3614" s="124"/>
      <x:c r="T3614" s="124"/>
      <x:c r="U3614" s="124"/>
      <x:c r="V3614" s="124"/>
      <x:c r="W3614" s="124"/>
      <x:c r="X3614" s="124"/>
      <x:c r="AD3614"/>
      <x:c r="AE3614" s="145"/>
      <x:c r="AF3614" s="145"/>
      <x:c r="AG3614" s="145"/>
      <x:c r="AH3614" s="145"/>
      <x:c r="AI3614" s="145"/>
      <x:c r="AJ3614"/>
    </x:row>
    <x:row r="3615">
      <x:c r="F3615" s="124"/>
      <x:c r="G3615" s="124"/>
      <x:c r="H3615" s="124"/>
      <x:c r="I3615" s="124"/>
      <x:c r="J3615" s="124"/>
      <x:c r="M3615" s="126"/>
      <x:c r="P3615" s="126"/>
      <x:c r="Q3615" s="126"/>
      <x:c r="R3615" s="126"/>
      <x:c r="S3615" s="124"/>
      <x:c r="T3615" s="124"/>
      <x:c r="U3615" s="124"/>
      <x:c r="V3615" s="124"/>
      <x:c r="W3615" s="124"/>
      <x:c r="X3615" s="124"/>
      <x:c r="AD3615"/>
      <x:c r="AE3615" s="145"/>
      <x:c r="AF3615" s="145"/>
      <x:c r="AG3615" s="145"/>
      <x:c r="AH3615" s="145"/>
      <x:c r="AI3615" s="145"/>
      <x:c r="AJ3615"/>
    </x:row>
    <x:row r="3616">
      <x:c r="F3616" s="124"/>
      <x:c r="G3616" s="124"/>
      <x:c r="H3616" s="124"/>
      <x:c r="I3616" s="124"/>
      <x:c r="J3616" s="124"/>
      <x:c r="M3616" s="126"/>
      <x:c r="P3616" s="126"/>
      <x:c r="Q3616" s="126"/>
      <x:c r="R3616" s="126"/>
      <x:c r="S3616" s="124"/>
      <x:c r="T3616" s="124"/>
      <x:c r="U3616" s="124"/>
      <x:c r="V3616" s="124"/>
      <x:c r="W3616" s="124"/>
      <x:c r="X3616" s="124"/>
      <x:c r="AD3616"/>
      <x:c r="AE3616" s="145"/>
      <x:c r="AF3616" s="145"/>
      <x:c r="AG3616" s="145"/>
      <x:c r="AH3616" s="145"/>
      <x:c r="AI3616" s="145"/>
      <x:c r="AJ3616"/>
    </x:row>
    <x:row r="3617">
      <x:c r="F3617" s="124"/>
      <x:c r="G3617" s="124"/>
      <x:c r="H3617" s="124"/>
      <x:c r="I3617" s="124"/>
      <x:c r="J3617" s="124"/>
      <x:c r="M3617" s="126"/>
      <x:c r="P3617" s="126"/>
      <x:c r="Q3617" s="126"/>
      <x:c r="R3617" s="126"/>
      <x:c r="S3617" s="124"/>
      <x:c r="T3617" s="124"/>
      <x:c r="U3617" s="124"/>
      <x:c r="V3617" s="124"/>
      <x:c r="W3617" s="124"/>
      <x:c r="X3617" s="124"/>
      <x:c r="AD3617"/>
      <x:c r="AE3617" s="145"/>
      <x:c r="AF3617" s="145"/>
      <x:c r="AG3617" s="145"/>
      <x:c r="AH3617" s="145"/>
      <x:c r="AI3617" s="145"/>
      <x:c r="AJ3617"/>
    </x:row>
    <x:row r="3618">
      <x:c r="F3618" s="124"/>
      <x:c r="G3618" s="124"/>
      <x:c r="H3618" s="124"/>
      <x:c r="I3618" s="124"/>
      <x:c r="J3618" s="124"/>
      <x:c r="M3618" s="126"/>
      <x:c r="P3618" s="126"/>
      <x:c r="Q3618" s="126"/>
      <x:c r="R3618" s="126"/>
      <x:c r="S3618" s="124"/>
      <x:c r="T3618" s="124"/>
      <x:c r="U3618" s="124"/>
      <x:c r="V3618" s="124"/>
      <x:c r="W3618" s="124"/>
      <x:c r="X3618" s="124"/>
      <x:c r="AD3618"/>
      <x:c r="AE3618" s="145"/>
      <x:c r="AF3618" s="145"/>
      <x:c r="AG3618" s="145"/>
      <x:c r="AH3618" s="145"/>
      <x:c r="AI3618" s="145"/>
      <x:c r="AJ3618"/>
    </x:row>
    <x:row r="3619">
      <x:c r="F3619" s="124"/>
      <x:c r="G3619" s="124"/>
      <x:c r="H3619" s="124"/>
      <x:c r="I3619" s="124"/>
      <x:c r="J3619" s="124"/>
      <x:c r="M3619" s="126"/>
      <x:c r="P3619" s="126"/>
      <x:c r="Q3619" s="126"/>
      <x:c r="R3619" s="126"/>
      <x:c r="S3619" s="124"/>
      <x:c r="T3619" s="124"/>
      <x:c r="U3619" s="124"/>
      <x:c r="V3619" s="124"/>
      <x:c r="W3619" s="124"/>
      <x:c r="X3619" s="124"/>
      <x:c r="AD3619"/>
      <x:c r="AE3619" s="145"/>
      <x:c r="AF3619" s="145"/>
      <x:c r="AG3619" s="145"/>
      <x:c r="AH3619" s="145"/>
      <x:c r="AI3619" s="145"/>
      <x:c r="AJ3619"/>
    </x:row>
    <x:row r="3620">
      <x:c r="F3620" s="124"/>
      <x:c r="G3620" s="124"/>
      <x:c r="H3620" s="124"/>
      <x:c r="I3620" s="124"/>
      <x:c r="J3620" s="124"/>
      <x:c r="M3620" s="126"/>
      <x:c r="P3620" s="126"/>
      <x:c r="Q3620" s="126"/>
      <x:c r="R3620" s="126"/>
      <x:c r="S3620" s="124"/>
      <x:c r="T3620" s="124"/>
      <x:c r="U3620" s="124"/>
      <x:c r="V3620" s="124"/>
      <x:c r="W3620" s="124"/>
      <x:c r="X3620" s="124"/>
      <x:c r="AD3620"/>
      <x:c r="AE3620" s="145"/>
      <x:c r="AF3620" s="145"/>
      <x:c r="AG3620" s="145"/>
      <x:c r="AH3620" s="145"/>
      <x:c r="AI3620" s="145"/>
      <x:c r="AJ3620"/>
    </x:row>
    <x:row r="3621">
      <x:c r="F3621" s="124"/>
      <x:c r="G3621" s="124"/>
      <x:c r="H3621" s="124"/>
      <x:c r="I3621" s="124"/>
      <x:c r="J3621" s="124"/>
      <x:c r="M3621" s="126"/>
      <x:c r="P3621" s="126"/>
      <x:c r="Q3621" s="126"/>
      <x:c r="R3621" s="126"/>
      <x:c r="S3621" s="124"/>
      <x:c r="T3621" s="124"/>
      <x:c r="U3621" s="124"/>
      <x:c r="V3621" s="124"/>
      <x:c r="W3621" s="124"/>
      <x:c r="X3621" s="124"/>
      <x:c r="AD3621"/>
      <x:c r="AE3621" s="145"/>
      <x:c r="AF3621" s="145"/>
      <x:c r="AG3621" s="145"/>
      <x:c r="AH3621" s="145"/>
      <x:c r="AI3621" s="145"/>
      <x:c r="AJ3621"/>
    </x:row>
    <x:row r="3622">
      <x:c r="F3622" s="124"/>
      <x:c r="G3622" s="124"/>
      <x:c r="H3622" s="124"/>
      <x:c r="I3622" s="124"/>
      <x:c r="J3622" s="124"/>
      <x:c r="M3622" s="126"/>
      <x:c r="P3622" s="126"/>
      <x:c r="Q3622" s="126"/>
      <x:c r="R3622" s="126"/>
      <x:c r="S3622" s="124"/>
      <x:c r="T3622" s="124"/>
      <x:c r="U3622" s="124"/>
      <x:c r="V3622" s="124"/>
      <x:c r="W3622" s="124"/>
      <x:c r="X3622" s="124"/>
      <x:c r="AD3622"/>
      <x:c r="AE3622" s="145"/>
      <x:c r="AF3622" s="145"/>
      <x:c r="AG3622" s="145"/>
      <x:c r="AH3622" s="145"/>
      <x:c r="AI3622" s="145"/>
      <x:c r="AJ3622"/>
    </x:row>
    <x:row r="3623">
      <x:c r="F3623" s="124"/>
      <x:c r="G3623" s="124"/>
      <x:c r="H3623" s="124"/>
      <x:c r="I3623" s="124"/>
      <x:c r="J3623" s="124"/>
      <x:c r="M3623" s="126"/>
      <x:c r="P3623" s="126"/>
      <x:c r="Q3623" s="126"/>
      <x:c r="R3623" s="126"/>
      <x:c r="S3623" s="124"/>
      <x:c r="T3623" s="124"/>
      <x:c r="U3623" s="124"/>
      <x:c r="V3623" s="124"/>
      <x:c r="W3623" s="124"/>
      <x:c r="X3623" s="124"/>
      <x:c r="AD3623"/>
      <x:c r="AE3623" s="145"/>
      <x:c r="AF3623" s="145"/>
      <x:c r="AG3623" s="145"/>
      <x:c r="AH3623" s="145"/>
      <x:c r="AI3623" s="145"/>
      <x:c r="AJ3623"/>
    </x:row>
    <x:row r="3624">
      <x:c r="F3624" s="124"/>
      <x:c r="G3624" s="124"/>
      <x:c r="H3624" s="124"/>
      <x:c r="I3624" s="124"/>
      <x:c r="J3624" s="124"/>
      <x:c r="M3624" s="126"/>
      <x:c r="P3624" s="126"/>
      <x:c r="Q3624" s="126"/>
      <x:c r="R3624" s="126"/>
      <x:c r="S3624" s="124"/>
      <x:c r="T3624" s="124"/>
      <x:c r="U3624" s="124"/>
      <x:c r="V3624" s="124"/>
      <x:c r="W3624" s="124"/>
      <x:c r="X3624" s="124"/>
      <x:c r="AD3624"/>
      <x:c r="AE3624" s="145"/>
      <x:c r="AF3624" s="145"/>
      <x:c r="AG3624" s="145"/>
      <x:c r="AH3624" s="145"/>
      <x:c r="AI3624" s="145"/>
      <x:c r="AJ3624"/>
    </x:row>
    <x:row r="3625">
      <x:c r="F3625" s="124"/>
      <x:c r="G3625" s="124"/>
      <x:c r="H3625" s="124"/>
      <x:c r="I3625" s="124"/>
      <x:c r="J3625" s="124"/>
      <x:c r="M3625" s="126"/>
      <x:c r="P3625" s="126"/>
      <x:c r="Q3625" s="126"/>
      <x:c r="R3625" s="126"/>
      <x:c r="S3625" s="124"/>
      <x:c r="T3625" s="124"/>
      <x:c r="U3625" s="124"/>
      <x:c r="V3625" s="124"/>
      <x:c r="W3625" s="124"/>
      <x:c r="X3625" s="124"/>
      <x:c r="AD3625"/>
      <x:c r="AE3625" s="145"/>
      <x:c r="AF3625" s="145"/>
      <x:c r="AG3625" s="145"/>
      <x:c r="AH3625" s="145"/>
      <x:c r="AI3625" s="145"/>
      <x:c r="AJ3625"/>
    </x:row>
    <x:row r="3626">
      <x:c r="F3626" s="124"/>
      <x:c r="G3626" s="124"/>
      <x:c r="H3626" s="124"/>
      <x:c r="I3626" s="124"/>
      <x:c r="J3626" s="124"/>
      <x:c r="M3626" s="126"/>
      <x:c r="P3626" s="126"/>
      <x:c r="Q3626" s="126"/>
      <x:c r="R3626" s="126"/>
      <x:c r="S3626" s="124"/>
      <x:c r="T3626" s="124"/>
      <x:c r="U3626" s="124"/>
      <x:c r="V3626" s="124"/>
      <x:c r="W3626" s="124"/>
      <x:c r="X3626" s="124"/>
      <x:c r="AD3626"/>
      <x:c r="AE3626" s="145"/>
      <x:c r="AF3626" s="145"/>
      <x:c r="AG3626" s="145"/>
      <x:c r="AH3626" s="145"/>
      <x:c r="AI3626" s="145"/>
      <x:c r="AJ3626"/>
    </x:row>
    <x:row r="3627">
      <x:c r="F3627" s="124"/>
      <x:c r="G3627" s="124"/>
      <x:c r="H3627" s="124"/>
      <x:c r="I3627" s="124"/>
      <x:c r="J3627" s="124"/>
      <x:c r="M3627" s="126"/>
      <x:c r="P3627" s="126"/>
      <x:c r="Q3627" s="126"/>
      <x:c r="R3627" s="126"/>
      <x:c r="S3627" s="124"/>
      <x:c r="T3627" s="124"/>
      <x:c r="U3627" s="124"/>
      <x:c r="V3627" s="124"/>
      <x:c r="W3627" s="124"/>
      <x:c r="X3627" s="124"/>
      <x:c r="AD3627"/>
      <x:c r="AE3627" s="145"/>
      <x:c r="AF3627" s="145"/>
      <x:c r="AG3627" s="145"/>
      <x:c r="AH3627" s="145"/>
      <x:c r="AI3627" s="145"/>
      <x:c r="AJ3627"/>
    </x:row>
    <x:row r="3628">
      <x:c r="F3628" s="124"/>
      <x:c r="G3628" s="124"/>
      <x:c r="H3628" s="124"/>
      <x:c r="I3628" s="124"/>
      <x:c r="J3628" s="124"/>
      <x:c r="M3628" s="126"/>
      <x:c r="P3628" s="126"/>
      <x:c r="Q3628" s="126"/>
      <x:c r="R3628" s="126"/>
      <x:c r="S3628" s="124"/>
      <x:c r="T3628" s="124"/>
      <x:c r="U3628" s="124"/>
      <x:c r="V3628" s="124"/>
      <x:c r="W3628" s="124"/>
      <x:c r="X3628" s="124"/>
      <x:c r="AD3628"/>
      <x:c r="AE3628" s="145"/>
      <x:c r="AF3628" s="145"/>
      <x:c r="AG3628" s="145"/>
      <x:c r="AH3628" s="145"/>
      <x:c r="AI3628" s="145"/>
      <x:c r="AJ3628"/>
    </x:row>
    <x:row r="3629">
      <x:c r="F3629" s="124"/>
      <x:c r="G3629" s="124"/>
      <x:c r="H3629" s="124"/>
      <x:c r="I3629" s="124"/>
      <x:c r="J3629" s="124"/>
      <x:c r="M3629" s="126"/>
      <x:c r="P3629" s="126"/>
      <x:c r="Q3629" s="126"/>
      <x:c r="R3629" s="126"/>
      <x:c r="S3629" s="124"/>
      <x:c r="T3629" s="124"/>
      <x:c r="U3629" s="124"/>
      <x:c r="V3629" s="124"/>
      <x:c r="W3629" s="124"/>
      <x:c r="X3629" s="124"/>
      <x:c r="AD3629"/>
      <x:c r="AE3629" s="145"/>
      <x:c r="AF3629" s="145"/>
      <x:c r="AG3629" s="145"/>
      <x:c r="AH3629" s="145"/>
      <x:c r="AI3629" s="145"/>
      <x:c r="AJ3629"/>
    </x:row>
    <x:row r="3630">
      <x:c r="F3630" s="124"/>
      <x:c r="G3630" s="124"/>
      <x:c r="H3630" s="124"/>
      <x:c r="I3630" s="124"/>
      <x:c r="J3630" s="124"/>
      <x:c r="M3630" s="126"/>
      <x:c r="P3630" s="126"/>
      <x:c r="Q3630" s="126"/>
      <x:c r="R3630" s="126"/>
      <x:c r="S3630" s="124"/>
      <x:c r="T3630" s="124"/>
      <x:c r="U3630" s="124"/>
      <x:c r="V3630" s="124"/>
      <x:c r="W3630" s="124"/>
      <x:c r="X3630" s="124"/>
      <x:c r="AD3630"/>
      <x:c r="AE3630" s="145"/>
      <x:c r="AF3630" s="145"/>
      <x:c r="AG3630" s="145"/>
      <x:c r="AH3630" s="145"/>
      <x:c r="AI3630" s="145"/>
      <x:c r="AJ3630"/>
    </x:row>
    <x:row r="3631">
      <x:c r="F3631" s="124"/>
      <x:c r="G3631" s="124"/>
      <x:c r="H3631" s="124"/>
      <x:c r="I3631" s="124"/>
      <x:c r="J3631" s="124"/>
      <x:c r="M3631" s="126"/>
      <x:c r="P3631" s="126"/>
      <x:c r="Q3631" s="126"/>
      <x:c r="R3631" s="126"/>
      <x:c r="S3631" s="124"/>
      <x:c r="T3631" s="124"/>
      <x:c r="U3631" s="124"/>
      <x:c r="V3631" s="124"/>
      <x:c r="W3631" s="124"/>
      <x:c r="X3631" s="124"/>
      <x:c r="AD3631"/>
      <x:c r="AE3631" s="145"/>
      <x:c r="AF3631" s="145"/>
      <x:c r="AG3631" s="145"/>
      <x:c r="AH3631" s="145"/>
      <x:c r="AI3631" s="145"/>
      <x:c r="AJ3631"/>
    </x:row>
    <x:row r="3632">
      <x:c r="F3632" s="124"/>
      <x:c r="G3632" s="124"/>
      <x:c r="H3632" s="124"/>
      <x:c r="I3632" s="124"/>
      <x:c r="J3632" s="124"/>
      <x:c r="M3632" s="126"/>
      <x:c r="P3632" s="126"/>
      <x:c r="Q3632" s="126"/>
      <x:c r="R3632" s="126"/>
      <x:c r="S3632" s="124"/>
      <x:c r="T3632" s="124"/>
      <x:c r="U3632" s="124"/>
      <x:c r="V3632" s="124"/>
      <x:c r="W3632" s="124"/>
      <x:c r="X3632" s="124"/>
      <x:c r="AD3632"/>
      <x:c r="AE3632" s="145"/>
      <x:c r="AF3632" s="145"/>
      <x:c r="AG3632" s="145"/>
      <x:c r="AH3632" s="145"/>
      <x:c r="AI3632" s="145"/>
      <x:c r="AJ3632"/>
    </x:row>
    <x:row r="3633">
      <x:c r="F3633" s="124"/>
      <x:c r="G3633" s="124"/>
      <x:c r="H3633" s="124"/>
      <x:c r="I3633" s="124"/>
      <x:c r="J3633" s="124"/>
      <x:c r="M3633" s="126"/>
      <x:c r="P3633" s="126"/>
      <x:c r="Q3633" s="126"/>
      <x:c r="R3633" s="126"/>
      <x:c r="S3633" s="124"/>
      <x:c r="T3633" s="124"/>
      <x:c r="U3633" s="124"/>
      <x:c r="V3633" s="124"/>
      <x:c r="W3633" s="124"/>
      <x:c r="X3633" s="124"/>
      <x:c r="AD3633"/>
      <x:c r="AE3633" s="145"/>
      <x:c r="AF3633" s="145"/>
      <x:c r="AG3633" s="145"/>
      <x:c r="AH3633" s="145"/>
      <x:c r="AI3633" s="145"/>
      <x:c r="AJ3633"/>
    </x:row>
    <x:row r="3634">
      <x:c r="F3634" s="124"/>
      <x:c r="G3634" s="124"/>
      <x:c r="H3634" s="124"/>
      <x:c r="I3634" s="124"/>
      <x:c r="J3634" s="124"/>
      <x:c r="M3634" s="126"/>
      <x:c r="P3634" s="126"/>
      <x:c r="Q3634" s="126"/>
      <x:c r="R3634" s="126"/>
      <x:c r="S3634" s="124"/>
      <x:c r="T3634" s="124"/>
      <x:c r="U3634" s="124"/>
      <x:c r="V3634" s="124"/>
      <x:c r="W3634" s="124"/>
      <x:c r="X3634" s="124"/>
      <x:c r="AD3634"/>
      <x:c r="AE3634" s="145"/>
      <x:c r="AF3634" s="145"/>
      <x:c r="AG3634" s="145"/>
      <x:c r="AH3634" s="145"/>
      <x:c r="AI3634" s="145"/>
      <x:c r="AJ3634"/>
    </x:row>
    <x:row r="3635">
      <x:c r="F3635" s="124"/>
      <x:c r="G3635" s="124"/>
      <x:c r="H3635" s="124"/>
      <x:c r="I3635" s="124"/>
      <x:c r="J3635" s="124"/>
      <x:c r="M3635" s="126"/>
      <x:c r="P3635" s="126"/>
      <x:c r="Q3635" s="126"/>
      <x:c r="R3635" s="126"/>
      <x:c r="S3635" s="124"/>
      <x:c r="T3635" s="124"/>
      <x:c r="U3635" s="124"/>
      <x:c r="V3635" s="124"/>
      <x:c r="W3635" s="124"/>
      <x:c r="X3635" s="124"/>
      <x:c r="AD3635"/>
      <x:c r="AE3635" s="145"/>
      <x:c r="AF3635" s="145"/>
      <x:c r="AG3635" s="145"/>
      <x:c r="AH3635" s="145"/>
      <x:c r="AI3635" s="145"/>
      <x:c r="AJ3635"/>
    </x:row>
    <x:row r="3636">
      <x:c r="F3636" s="124"/>
      <x:c r="G3636" s="124"/>
      <x:c r="H3636" s="124"/>
      <x:c r="I3636" s="124"/>
      <x:c r="J3636" s="124"/>
      <x:c r="M3636" s="126"/>
      <x:c r="P3636" s="126"/>
      <x:c r="Q3636" s="126"/>
      <x:c r="R3636" s="126"/>
      <x:c r="S3636" s="124"/>
      <x:c r="T3636" s="124"/>
      <x:c r="U3636" s="124"/>
      <x:c r="V3636" s="124"/>
      <x:c r="W3636" s="124"/>
      <x:c r="X3636" s="124"/>
      <x:c r="AD3636"/>
      <x:c r="AE3636" s="145"/>
      <x:c r="AF3636" s="145"/>
      <x:c r="AG3636" s="145"/>
      <x:c r="AH3636" s="145"/>
      <x:c r="AI3636" s="145"/>
      <x:c r="AJ3636"/>
    </x:row>
    <x:row r="3637">
      <x:c r="F3637" s="124"/>
      <x:c r="G3637" s="124"/>
      <x:c r="H3637" s="124"/>
      <x:c r="I3637" s="124"/>
      <x:c r="J3637" s="124"/>
      <x:c r="M3637" s="126"/>
      <x:c r="P3637" s="126"/>
      <x:c r="Q3637" s="126"/>
      <x:c r="R3637" s="126"/>
      <x:c r="S3637" s="124"/>
      <x:c r="T3637" s="124"/>
      <x:c r="U3637" s="124"/>
      <x:c r="V3637" s="124"/>
      <x:c r="W3637" s="124"/>
      <x:c r="X3637" s="124"/>
      <x:c r="AD3637"/>
      <x:c r="AE3637" s="145"/>
      <x:c r="AF3637" s="145"/>
      <x:c r="AG3637" s="145"/>
      <x:c r="AH3637" s="145"/>
      <x:c r="AI3637" s="145"/>
      <x:c r="AJ3637"/>
    </x:row>
    <x:row r="3638">
      <x:c r="F3638" s="124"/>
      <x:c r="G3638" s="124"/>
      <x:c r="H3638" s="124"/>
      <x:c r="I3638" s="124"/>
      <x:c r="J3638" s="124"/>
      <x:c r="M3638" s="126"/>
      <x:c r="P3638" s="126"/>
      <x:c r="Q3638" s="126"/>
      <x:c r="R3638" s="126"/>
      <x:c r="S3638" s="124"/>
      <x:c r="T3638" s="124"/>
      <x:c r="U3638" s="124"/>
      <x:c r="V3638" s="124"/>
      <x:c r="W3638" s="124"/>
      <x:c r="X3638" s="124"/>
      <x:c r="AD3638"/>
      <x:c r="AE3638" s="145"/>
      <x:c r="AF3638" s="145"/>
      <x:c r="AG3638" s="145"/>
      <x:c r="AH3638" s="145"/>
      <x:c r="AI3638" s="145"/>
      <x:c r="AJ3638"/>
    </x:row>
    <x:row r="3639">
      <x:c r="F3639" s="124"/>
      <x:c r="G3639" s="124"/>
      <x:c r="H3639" s="124"/>
      <x:c r="I3639" s="124"/>
      <x:c r="J3639" s="124"/>
      <x:c r="M3639" s="126"/>
      <x:c r="P3639" s="126"/>
      <x:c r="Q3639" s="126"/>
      <x:c r="R3639" s="126"/>
      <x:c r="S3639" s="124"/>
      <x:c r="T3639" s="124"/>
      <x:c r="U3639" s="124"/>
      <x:c r="V3639" s="124"/>
      <x:c r="W3639" s="124"/>
      <x:c r="X3639" s="124"/>
      <x:c r="AD3639"/>
      <x:c r="AE3639" s="145"/>
      <x:c r="AF3639" s="145"/>
      <x:c r="AG3639" s="145"/>
      <x:c r="AH3639" s="145"/>
      <x:c r="AI3639" s="145"/>
      <x:c r="AJ3639"/>
    </x:row>
    <x:row r="3640">
      <x:c r="F3640" s="124"/>
      <x:c r="G3640" s="124"/>
      <x:c r="H3640" s="124"/>
      <x:c r="I3640" s="124"/>
      <x:c r="J3640" s="124"/>
      <x:c r="M3640" s="126"/>
      <x:c r="P3640" s="126"/>
      <x:c r="Q3640" s="126"/>
      <x:c r="R3640" s="126"/>
      <x:c r="S3640" s="124"/>
      <x:c r="T3640" s="124"/>
      <x:c r="U3640" s="124"/>
      <x:c r="V3640" s="124"/>
      <x:c r="W3640" s="124"/>
      <x:c r="X3640" s="124"/>
      <x:c r="AD3640"/>
      <x:c r="AE3640" s="145"/>
      <x:c r="AF3640" s="145"/>
      <x:c r="AG3640" s="145"/>
      <x:c r="AH3640" s="145"/>
      <x:c r="AI3640" s="145"/>
      <x:c r="AJ3640"/>
    </x:row>
    <x:row r="3641">
      <x:c r="F3641" s="124"/>
      <x:c r="G3641" s="124"/>
      <x:c r="H3641" s="124"/>
      <x:c r="I3641" s="124"/>
      <x:c r="J3641" s="124"/>
      <x:c r="M3641" s="126"/>
      <x:c r="P3641" s="126"/>
      <x:c r="Q3641" s="126"/>
      <x:c r="R3641" s="126"/>
      <x:c r="S3641" s="124"/>
      <x:c r="T3641" s="124"/>
      <x:c r="U3641" s="124"/>
      <x:c r="V3641" s="124"/>
      <x:c r="W3641" s="124"/>
      <x:c r="X3641" s="124"/>
      <x:c r="AD3641"/>
      <x:c r="AE3641" s="145"/>
      <x:c r="AF3641" s="145"/>
      <x:c r="AG3641" s="145"/>
      <x:c r="AH3641" s="145"/>
      <x:c r="AI3641" s="145"/>
      <x:c r="AJ3641"/>
    </x:row>
    <x:row r="3642">
      <x:c r="F3642" s="124"/>
      <x:c r="G3642" s="124"/>
      <x:c r="H3642" s="124"/>
      <x:c r="I3642" s="124"/>
      <x:c r="J3642" s="124"/>
      <x:c r="M3642" s="126"/>
      <x:c r="P3642" s="126"/>
      <x:c r="Q3642" s="126"/>
      <x:c r="R3642" s="126"/>
      <x:c r="S3642" s="124"/>
      <x:c r="T3642" s="124"/>
      <x:c r="U3642" s="124"/>
      <x:c r="V3642" s="124"/>
      <x:c r="W3642" s="124"/>
      <x:c r="X3642" s="124"/>
      <x:c r="AD3642"/>
      <x:c r="AE3642" s="145"/>
      <x:c r="AF3642" s="145"/>
      <x:c r="AG3642" s="145"/>
      <x:c r="AH3642" s="145"/>
      <x:c r="AI3642" s="145"/>
      <x:c r="AJ3642"/>
    </x:row>
    <x:row r="3643">
      <x:c r="F3643" s="124"/>
      <x:c r="G3643" s="124"/>
      <x:c r="H3643" s="124"/>
      <x:c r="I3643" s="124"/>
      <x:c r="J3643" s="124"/>
      <x:c r="M3643" s="126"/>
      <x:c r="P3643" s="126"/>
      <x:c r="Q3643" s="126"/>
      <x:c r="R3643" s="126"/>
      <x:c r="S3643" s="124"/>
      <x:c r="T3643" s="124"/>
      <x:c r="U3643" s="124"/>
      <x:c r="V3643" s="124"/>
      <x:c r="W3643" s="124"/>
      <x:c r="X3643" s="124"/>
      <x:c r="AD3643"/>
      <x:c r="AE3643" s="145"/>
      <x:c r="AF3643" s="145"/>
      <x:c r="AG3643" s="145"/>
      <x:c r="AH3643" s="145"/>
      <x:c r="AI3643" s="145"/>
      <x:c r="AJ3643"/>
    </x:row>
    <x:row r="3644">
      <x:c r="F3644" s="124"/>
      <x:c r="G3644" s="124"/>
      <x:c r="H3644" s="124"/>
      <x:c r="I3644" s="124"/>
      <x:c r="J3644" s="124"/>
      <x:c r="M3644" s="126"/>
      <x:c r="P3644" s="126"/>
      <x:c r="Q3644" s="126"/>
      <x:c r="R3644" s="126"/>
      <x:c r="S3644" s="124"/>
      <x:c r="T3644" s="124"/>
      <x:c r="U3644" s="124"/>
      <x:c r="V3644" s="124"/>
      <x:c r="W3644" s="124"/>
      <x:c r="X3644" s="124"/>
      <x:c r="AD3644"/>
      <x:c r="AE3644" s="145"/>
      <x:c r="AF3644" s="145"/>
      <x:c r="AG3644" s="145"/>
      <x:c r="AH3644" s="145"/>
      <x:c r="AI3644" s="145"/>
      <x:c r="AJ3644"/>
    </x:row>
    <x:row r="3645">
      <x:c r="F3645" s="124"/>
      <x:c r="G3645" s="124"/>
      <x:c r="H3645" s="124"/>
      <x:c r="I3645" s="124"/>
      <x:c r="J3645" s="124"/>
      <x:c r="M3645" s="126"/>
      <x:c r="P3645" s="126"/>
      <x:c r="Q3645" s="126"/>
      <x:c r="R3645" s="126"/>
      <x:c r="S3645" s="124"/>
      <x:c r="T3645" s="124"/>
      <x:c r="U3645" s="124"/>
      <x:c r="V3645" s="124"/>
      <x:c r="W3645" s="124"/>
      <x:c r="X3645" s="124"/>
      <x:c r="AD3645"/>
      <x:c r="AE3645" s="145"/>
      <x:c r="AF3645" s="145"/>
      <x:c r="AG3645" s="145"/>
      <x:c r="AH3645" s="145"/>
      <x:c r="AI3645" s="145"/>
      <x:c r="AJ3645"/>
    </x:row>
    <x:row r="3646">
      <x:c r="F3646" s="124"/>
      <x:c r="G3646" s="124"/>
      <x:c r="H3646" s="124"/>
      <x:c r="I3646" s="124"/>
      <x:c r="J3646" s="124"/>
      <x:c r="M3646" s="126"/>
      <x:c r="P3646" s="126"/>
      <x:c r="Q3646" s="126"/>
      <x:c r="R3646" s="126"/>
      <x:c r="S3646" s="124"/>
      <x:c r="T3646" s="124"/>
      <x:c r="U3646" s="124"/>
      <x:c r="V3646" s="124"/>
      <x:c r="W3646" s="124"/>
      <x:c r="X3646" s="124"/>
      <x:c r="AD3646"/>
      <x:c r="AE3646" s="145"/>
      <x:c r="AF3646" s="145"/>
      <x:c r="AG3646" s="145"/>
      <x:c r="AH3646" s="145"/>
      <x:c r="AI3646" s="145"/>
      <x:c r="AJ3646"/>
    </x:row>
    <x:row r="3647">
      <x:c r="F3647" s="124"/>
      <x:c r="G3647" s="124"/>
      <x:c r="H3647" s="124"/>
      <x:c r="I3647" s="124"/>
      <x:c r="J3647" s="124"/>
      <x:c r="M3647" s="126"/>
      <x:c r="P3647" s="126"/>
      <x:c r="Q3647" s="126"/>
      <x:c r="R3647" s="126"/>
      <x:c r="S3647" s="124"/>
      <x:c r="T3647" s="124"/>
      <x:c r="U3647" s="124"/>
      <x:c r="V3647" s="124"/>
      <x:c r="W3647" s="124"/>
      <x:c r="X3647" s="124"/>
      <x:c r="AD3647"/>
      <x:c r="AE3647" s="145"/>
      <x:c r="AF3647" s="145"/>
      <x:c r="AG3647" s="145"/>
      <x:c r="AH3647" s="145"/>
      <x:c r="AI3647" s="145"/>
      <x:c r="AJ3647"/>
    </x:row>
    <x:row r="3648">
      <x:c r="F3648" s="124"/>
      <x:c r="G3648" s="124"/>
      <x:c r="H3648" s="124"/>
      <x:c r="I3648" s="124"/>
      <x:c r="J3648" s="124"/>
      <x:c r="M3648" s="126"/>
      <x:c r="P3648" s="126"/>
      <x:c r="Q3648" s="126"/>
      <x:c r="R3648" s="126"/>
      <x:c r="S3648" s="124"/>
      <x:c r="T3648" s="124"/>
      <x:c r="U3648" s="124"/>
      <x:c r="V3648" s="124"/>
      <x:c r="W3648" s="124"/>
      <x:c r="X3648" s="124"/>
      <x:c r="AD3648"/>
      <x:c r="AE3648" s="145"/>
      <x:c r="AF3648" s="145"/>
      <x:c r="AG3648" s="145"/>
      <x:c r="AH3648" s="145"/>
      <x:c r="AI3648" s="145"/>
      <x:c r="AJ3648"/>
    </x:row>
    <x:row r="3649">
      <x:c r="F3649" s="124"/>
      <x:c r="G3649" s="124"/>
      <x:c r="H3649" s="124"/>
      <x:c r="I3649" s="124"/>
      <x:c r="J3649" s="124"/>
      <x:c r="M3649" s="126"/>
      <x:c r="P3649" s="126"/>
      <x:c r="Q3649" s="126"/>
      <x:c r="R3649" s="126"/>
      <x:c r="S3649" s="124"/>
      <x:c r="T3649" s="124"/>
      <x:c r="U3649" s="124"/>
      <x:c r="V3649" s="124"/>
      <x:c r="W3649" s="124"/>
      <x:c r="X3649" s="124"/>
      <x:c r="AD3649"/>
      <x:c r="AE3649" s="145"/>
      <x:c r="AF3649" s="145"/>
      <x:c r="AG3649" s="145"/>
      <x:c r="AH3649" s="145"/>
      <x:c r="AI3649" s="145"/>
      <x:c r="AJ3649"/>
    </x:row>
    <x:row r="3650">
      <x:c r="F3650" s="124"/>
      <x:c r="G3650" s="124"/>
      <x:c r="H3650" s="124"/>
      <x:c r="I3650" s="124"/>
      <x:c r="J3650" s="124"/>
      <x:c r="M3650" s="126"/>
      <x:c r="P3650" s="126"/>
      <x:c r="Q3650" s="126"/>
      <x:c r="R3650" s="126"/>
      <x:c r="S3650" s="124"/>
      <x:c r="T3650" s="124"/>
      <x:c r="U3650" s="124"/>
      <x:c r="V3650" s="124"/>
      <x:c r="W3650" s="124"/>
      <x:c r="X3650" s="124"/>
      <x:c r="AD3650"/>
      <x:c r="AE3650" s="145"/>
      <x:c r="AF3650" s="145"/>
      <x:c r="AG3650" s="145"/>
      <x:c r="AH3650" s="145"/>
      <x:c r="AI3650" s="145"/>
      <x:c r="AJ3650"/>
    </x:row>
    <x:row r="3651">
      <x:c r="F3651" s="124"/>
      <x:c r="G3651" s="124"/>
      <x:c r="H3651" s="124"/>
      <x:c r="I3651" s="124"/>
      <x:c r="J3651" s="124"/>
      <x:c r="M3651" s="126"/>
      <x:c r="P3651" s="126"/>
      <x:c r="Q3651" s="126"/>
      <x:c r="R3651" s="126"/>
      <x:c r="S3651" s="124"/>
      <x:c r="T3651" s="124"/>
      <x:c r="U3651" s="124"/>
      <x:c r="V3651" s="124"/>
      <x:c r="W3651" s="124"/>
      <x:c r="X3651" s="124"/>
      <x:c r="AD3651"/>
      <x:c r="AE3651" s="145"/>
      <x:c r="AF3651" s="145"/>
      <x:c r="AG3651" s="145"/>
      <x:c r="AH3651" s="145"/>
      <x:c r="AI3651" s="145"/>
      <x:c r="AJ3651"/>
    </x:row>
    <x:row r="3652">
      <x:c r="F3652" s="124"/>
      <x:c r="G3652" s="124"/>
      <x:c r="H3652" s="124"/>
      <x:c r="I3652" s="124"/>
      <x:c r="J3652" s="124"/>
      <x:c r="M3652" s="126"/>
      <x:c r="P3652" s="126"/>
      <x:c r="Q3652" s="126"/>
      <x:c r="R3652" s="126"/>
      <x:c r="S3652" s="124"/>
      <x:c r="T3652" s="124"/>
      <x:c r="U3652" s="124"/>
      <x:c r="V3652" s="124"/>
      <x:c r="W3652" s="124"/>
      <x:c r="X3652" s="124"/>
      <x:c r="AD3652"/>
      <x:c r="AE3652" s="145"/>
      <x:c r="AF3652" s="145"/>
      <x:c r="AG3652" s="145"/>
      <x:c r="AH3652" s="145"/>
      <x:c r="AI3652" s="145"/>
      <x:c r="AJ3652"/>
    </x:row>
    <x:row r="3653">
      <x:c r="F3653" s="124"/>
      <x:c r="G3653" s="124"/>
      <x:c r="H3653" s="124"/>
      <x:c r="I3653" s="124"/>
      <x:c r="J3653" s="124"/>
      <x:c r="M3653" s="126"/>
      <x:c r="P3653" s="126"/>
      <x:c r="Q3653" s="126"/>
      <x:c r="R3653" s="126"/>
      <x:c r="S3653" s="124"/>
      <x:c r="T3653" s="124"/>
      <x:c r="U3653" s="124"/>
      <x:c r="V3653" s="124"/>
      <x:c r="W3653" s="124"/>
      <x:c r="X3653" s="124"/>
      <x:c r="AD3653"/>
      <x:c r="AE3653" s="145"/>
      <x:c r="AF3653" s="145"/>
      <x:c r="AG3653" s="145"/>
      <x:c r="AH3653" s="145"/>
      <x:c r="AI3653" s="145"/>
      <x:c r="AJ3653"/>
    </x:row>
    <x:row r="3654">
      <x:c r="F3654" s="124"/>
      <x:c r="G3654" s="124"/>
      <x:c r="H3654" s="124"/>
      <x:c r="I3654" s="124"/>
      <x:c r="J3654" s="124"/>
      <x:c r="M3654" s="126"/>
      <x:c r="P3654" s="126"/>
      <x:c r="Q3654" s="126"/>
      <x:c r="R3654" s="126"/>
      <x:c r="S3654" s="124"/>
      <x:c r="T3654" s="124"/>
      <x:c r="U3654" s="124"/>
      <x:c r="V3654" s="124"/>
      <x:c r="W3654" s="124"/>
      <x:c r="X3654" s="124"/>
      <x:c r="AD3654"/>
      <x:c r="AE3654" s="145"/>
      <x:c r="AF3654" s="145"/>
      <x:c r="AG3654" s="145"/>
      <x:c r="AH3654" s="145"/>
      <x:c r="AI3654" s="145"/>
      <x:c r="AJ3654"/>
    </x:row>
    <x:row r="3655">
      <x:c r="F3655" s="124"/>
      <x:c r="G3655" s="124"/>
      <x:c r="H3655" s="124"/>
      <x:c r="I3655" s="124"/>
      <x:c r="J3655" s="124"/>
      <x:c r="M3655" s="126"/>
      <x:c r="P3655" s="126"/>
      <x:c r="Q3655" s="126"/>
      <x:c r="R3655" s="126"/>
      <x:c r="S3655" s="124"/>
      <x:c r="T3655" s="124"/>
      <x:c r="U3655" s="124"/>
      <x:c r="V3655" s="124"/>
      <x:c r="W3655" s="124"/>
      <x:c r="X3655" s="124"/>
      <x:c r="AD3655"/>
      <x:c r="AE3655" s="145"/>
      <x:c r="AF3655" s="145"/>
      <x:c r="AG3655" s="145"/>
      <x:c r="AH3655" s="145"/>
      <x:c r="AI3655" s="145"/>
      <x:c r="AJ3655"/>
    </x:row>
    <x:row r="3656">
      <x:c r="F3656" s="124"/>
      <x:c r="G3656" s="124"/>
      <x:c r="H3656" s="124"/>
      <x:c r="I3656" s="124"/>
      <x:c r="J3656" s="124"/>
      <x:c r="M3656" s="126"/>
      <x:c r="P3656" s="126"/>
      <x:c r="Q3656" s="126"/>
      <x:c r="R3656" s="126"/>
      <x:c r="S3656" s="124"/>
      <x:c r="T3656" s="124"/>
      <x:c r="U3656" s="124"/>
      <x:c r="V3656" s="124"/>
      <x:c r="W3656" s="124"/>
      <x:c r="X3656" s="124"/>
      <x:c r="AD3656"/>
      <x:c r="AE3656" s="145"/>
      <x:c r="AF3656" s="145"/>
      <x:c r="AG3656" s="145"/>
      <x:c r="AH3656" s="145"/>
      <x:c r="AI3656" s="145"/>
      <x:c r="AJ3656"/>
    </x:row>
    <x:row r="3657">
      <x:c r="F3657" s="124"/>
      <x:c r="G3657" s="124"/>
      <x:c r="H3657" s="124"/>
      <x:c r="I3657" s="124"/>
      <x:c r="J3657" s="124"/>
      <x:c r="M3657" s="126"/>
      <x:c r="P3657" s="126"/>
      <x:c r="Q3657" s="126"/>
      <x:c r="R3657" s="126"/>
      <x:c r="S3657" s="124"/>
      <x:c r="T3657" s="124"/>
      <x:c r="U3657" s="124"/>
      <x:c r="V3657" s="124"/>
      <x:c r="W3657" s="124"/>
      <x:c r="X3657" s="124"/>
      <x:c r="AD3657"/>
      <x:c r="AE3657" s="145"/>
      <x:c r="AF3657" s="145"/>
      <x:c r="AG3657" s="145"/>
      <x:c r="AH3657" s="145"/>
      <x:c r="AI3657" s="145"/>
      <x:c r="AJ3657"/>
    </x:row>
    <x:row r="3658">
      <x:c r="F3658" s="124"/>
      <x:c r="G3658" s="124"/>
      <x:c r="H3658" s="124"/>
      <x:c r="I3658" s="124"/>
      <x:c r="J3658" s="124"/>
      <x:c r="M3658" s="126"/>
      <x:c r="P3658" s="126"/>
      <x:c r="Q3658" s="126"/>
      <x:c r="R3658" s="126"/>
      <x:c r="S3658" s="124"/>
      <x:c r="T3658" s="124"/>
      <x:c r="U3658" s="124"/>
      <x:c r="V3658" s="124"/>
      <x:c r="W3658" s="124"/>
      <x:c r="X3658" s="124"/>
      <x:c r="AD3658"/>
      <x:c r="AE3658" s="145"/>
      <x:c r="AF3658" s="145"/>
      <x:c r="AG3658" s="145"/>
      <x:c r="AH3658" s="145"/>
      <x:c r="AI3658" s="145"/>
      <x:c r="AJ3658"/>
    </x:row>
    <x:row r="3659">
      <x:c r="F3659" s="124"/>
      <x:c r="G3659" s="124"/>
      <x:c r="H3659" s="124"/>
      <x:c r="I3659" s="124"/>
      <x:c r="J3659" s="124"/>
      <x:c r="M3659" s="126"/>
      <x:c r="P3659" s="126"/>
      <x:c r="Q3659" s="126"/>
      <x:c r="R3659" s="126"/>
      <x:c r="S3659" s="124"/>
      <x:c r="T3659" s="124"/>
      <x:c r="U3659" s="124"/>
      <x:c r="V3659" s="124"/>
      <x:c r="W3659" s="124"/>
      <x:c r="X3659" s="124"/>
      <x:c r="AD3659"/>
      <x:c r="AE3659" s="145"/>
      <x:c r="AF3659" s="145"/>
      <x:c r="AG3659" s="145"/>
      <x:c r="AH3659" s="145"/>
      <x:c r="AI3659" s="145"/>
      <x:c r="AJ3659"/>
    </x:row>
    <x:row r="3660">
      <x:c r="F3660" s="124"/>
      <x:c r="G3660" s="124"/>
      <x:c r="H3660" s="124"/>
      <x:c r="I3660" s="124"/>
      <x:c r="J3660" s="124"/>
      <x:c r="M3660" s="126"/>
      <x:c r="P3660" s="126"/>
      <x:c r="Q3660" s="126"/>
      <x:c r="R3660" s="126"/>
      <x:c r="S3660" s="124"/>
      <x:c r="T3660" s="124"/>
      <x:c r="U3660" s="124"/>
      <x:c r="V3660" s="124"/>
      <x:c r="W3660" s="124"/>
      <x:c r="X3660" s="124"/>
      <x:c r="AD3660"/>
      <x:c r="AE3660" s="145"/>
      <x:c r="AF3660" s="145"/>
      <x:c r="AG3660" s="145"/>
      <x:c r="AH3660" s="145"/>
      <x:c r="AI3660" s="145"/>
      <x:c r="AJ3660"/>
    </x:row>
    <x:row r="3661">
      <x:c r="F3661" s="124"/>
      <x:c r="G3661" s="124"/>
      <x:c r="H3661" s="124"/>
      <x:c r="I3661" s="124"/>
      <x:c r="J3661" s="124"/>
      <x:c r="M3661" s="126"/>
      <x:c r="P3661" s="126"/>
      <x:c r="Q3661" s="126"/>
      <x:c r="R3661" s="126"/>
      <x:c r="S3661" s="124"/>
      <x:c r="T3661" s="124"/>
      <x:c r="U3661" s="124"/>
      <x:c r="V3661" s="124"/>
      <x:c r="W3661" s="124"/>
      <x:c r="X3661" s="124"/>
      <x:c r="AD3661"/>
      <x:c r="AE3661" s="145"/>
      <x:c r="AF3661" s="145"/>
      <x:c r="AG3661" s="145"/>
      <x:c r="AH3661" s="145"/>
      <x:c r="AI3661" s="145"/>
      <x:c r="AJ3661"/>
    </x:row>
    <x:row r="3662">
      <x:c r="F3662" s="124"/>
      <x:c r="G3662" s="124"/>
      <x:c r="H3662" s="124"/>
      <x:c r="I3662" s="124"/>
      <x:c r="J3662" s="124"/>
      <x:c r="M3662" s="126"/>
      <x:c r="P3662" s="126"/>
      <x:c r="Q3662" s="126"/>
      <x:c r="R3662" s="126"/>
      <x:c r="S3662" s="124"/>
      <x:c r="T3662" s="124"/>
      <x:c r="U3662" s="124"/>
      <x:c r="V3662" s="124"/>
      <x:c r="W3662" s="124"/>
      <x:c r="X3662" s="124"/>
      <x:c r="AD3662"/>
      <x:c r="AE3662" s="145"/>
      <x:c r="AF3662" s="145"/>
      <x:c r="AG3662" s="145"/>
      <x:c r="AH3662" s="145"/>
      <x:c r="AI3662" s="145"/>
      <x:c r="AJ3662"/>
    </x:row>
    <x:row r="3663">
      <x:c r="F3663" s="124"/>
      <x:c r="G3663" s="124"/>
      <x:c r="H3663" s="124"/>
      <x:c r="I3663" s="124"/>
      <x:c r="J3663" s="124"/>
      <x:c r="M3663" s="126"/>
      <x:c r="P3663" s="126"/>
      <x:c r="Q3663" s="126"/>
      <x:c r="R3663" s="126"/>
      <x:c r="S3663" s="124"/>
      <x:c r="T3663" s="124"/>
      <x:c r="U3663" s="124"/>
      <x:c r="V3663" s="124"/>
      <x:c r="W3663" s="124"/>
      <x:c r="X3663" s="124"/>
      <x:c r="AD3663"/>
      <x:c r="AE3663" s="145"/>
      <x:c r="AF3663" s="145"/>
      <x:c r="AG3663" s="145"/>
      <x:c r="AH3663" s="145"/>
      <x:c r="AI3663" s="145"/>
      <x:c r="AJ3663"/>
    </x:row>
    <x:row r="3664">
      <x:c r="F3664" s="124"/>
      <x:c r="G3664" s="124"/>
      <x:c r="H3664" s="124"/>
      <x:c r="I3664" s="124"/>
      <x:c r="J3664" s="124"/>
      <x:c r="M3664" s="126"/>
      <x:c r="P3664" s="126"/>
      <x:c r="Q3664" s="126"/>
      <x:c r="R3664" s="126"/>
      <x:c r="S3664" s="124"/>
      <x:c r="T3664" s="124"/>
      <x:c r="U3664" s="124"/>
      <x:c r="V3664" s="124"/>
      <x:c r="W3664" s="124"/>
      <x:c r="X3664" s="124"/>
      <x:c r="AD3664"/>
      <x:c r="AE3664" s="145"/>
      <x:c r="AF3664" s="145"/>
      <x:c r="AG3664" s="145"/>
      <x:c r="AH3664" s="145"/>
      <x:c r="AI3664" s="145"/>
      <x:c r="AJ3664"/>
    </x:row>
    <x:row r="3665">
      <x:c r="F3665" s="124"/>
      <x:c r="G3665" s="124"/>
      <x:c r="H3665" s="124"/>
      <x:c r="I3665" s="124"/>
      <x:c r="J3665" s="124"/>
      <x:c r="M3665" s="126"/>
      <x:c r="P3665" s="126"/>
      <x:c r="Q3665" s="126"/>
      <x:c r="R3665" s="126"/>
      <x:c r="S3665" s="124"/>
      <x:c r="T3665" s="124"/>
      <x:c r="U3665" s="124"/>
      <x:c r="V3665" s="124"/>
      <x:c r="W3665" s="124"/>
      <x:c r="X3665" s="124"/>
      <x:c r="AD3665"/>
      <x:c r="AE3665" s="145"/>
      <x:c r="AF3665" s="145"/>
      <x:c r="AG3665" s="145"/>
      <x:c r="AH3665" s="145"/>
      <x:c r="AI3665" s="145"/>
      <x:c r="AJ3665"/>
    </x:row>
    <x:row r="3666">
      <x:c r="F3666" s="124"/>
      <x:c r="G3666" s="124"/>
      <x:c r="H3666" s="124"/>
      <x:c r="I3666" s="124"/>
      <x:c r="J3666" s="124"/>
      <x:c r="M3666" s="126"/>
      <x:c r="P3666" s="126"/>
      <x:c r="Q3666" s="126"/>
      <x:c r="R3666" s="126"/>
      <x:c r="S3666" s="124"/>
      <x:c r="T3666" s="124"/>
      <x:c r="U3666" s="124"/>
      <x:c r="V3666" s="124"/>
      <x:c r="W3666" s="124"/>
      <x:c r="X3666" s="124"/>
      <x:c r="AD3666"/>
      <x:c r="AE3666" s="145"/>
      <x:c r="AF3666" s="145"/>
      <x:c r="AG3666" s="145"/>
      <x:c r="AH3666" s="145"/>
      <x:c r="AI3666" s="145"/>
      <x:c r="AJ3666"/>
    </x:row>
    <x:row r="3667">
      <x:c r="F3667" s="124"/>
      <x:c r="G3667" s="124"/>
      <x:c r="H3667" s="124"/>
      <x:c r="I3667" s="124"/>
      <x:c r="J3667" s="124"/>
      <x:c r="M3667" s="126"/>
      <x:c r="P3667" s="126"/>
      <x:c r="Q3667" s="126"/>
      <x:c r="R3667" s="126"/>
      <x:c r="S3667" s="124"/>
      <x:c r="T3667" s="124"/>
      <x:c r="U3667" s="124"/>
      <x:c r="V3667" s="124"/>
      <x:c r="W3667" s="124"/>
      <x:c r="X3667" s="124"/>
      <x:c r="AD3667"/>
      <x:c r="AE3667" s="145"/>
      <x:c r="AF3667" s="145"/>
      <x:c r="AG3667" s="145"/>
      <x:c r="AH3667" s="145"/>
      <x:c r="AI3667" s="145"/>
      <x:c r="AJ3667"/>
    </x:row>
    <x:row r="3668">
      <x:c r="F3668" s="124"/>
      <x:c r="G3668" s="124"/>
      <x:c r="H3668" s="124"/>
      <x:c r="I3668" s="124"/>
      <x:c r="J3668" s="124"/>
      <x:c r="M3668" s="126"/>
      <x:c r="P3668" s="126"/>
      <x:c r="Q3668" s="126"/>
      <x:c r="R3668" s="126"/>
      <x:c r="S3668" s="124"/>
      <x:c r="T3668" s="124"/>
      <x:c r="U3668" s="124"/>
      <x:c r="V3668" s="124"/>
      <x:c r="W3668" s="124"/>
      <x:c r="X3668" s="124"/>
      <x:c r="AD3668"/>
      <x:c r="AE3668" s="145"/>
      <x:c r="AF3668" s="145"/>
      <x:c r="AG3668" s="145"/>
      <x:c r="AH3668" s="145"/>
      <x:c r="AI3668" s="145"/>
      <x:c r="AJ3668"/>
    </x:row>
    <x:row r="3669">
      <x:c r="F3669" s="124"/>
      <x:c r="G3669" s="124"/>
      <x:c r="H3669" s="124"/>
      <x:c r="I3669" s="124"/>
      <x:c r="J3669" s="124"/>
      <x:c r="M3669" s="126"/>
      <x:c r="P3669" s="126"/>
      <x:c r="Q3669" s="126"/>
      <x:c r="R3669" s="126"/>
      <x:c r="S3669" s="124"/>
      <x:c r="T3669" s="124"/>
      <x:c r="U3669" s="124"/>
      <x:c r="V3669" s="124"/>
      <x:c r="W3669" s="124"/>
      <x:c r="X3669" s="124"/>
      <x:c r="AD3669"/>
      <x:c r="AE3669" s="145"/>
      <x:c r="AF3669" s="145"/>
      <x:c r="AG3669" s="145"/>
      <x:c r="AH3669" s="145"/>
      <x:c r="AI3669" s="145"/>
      <x:c r="AJ3669"/>
    </x:row>
    <x:row r="3670">
      <x:c r="F3670" s="124"/>
      <x:c r="G3670" s="124"/>
      <x:c r="H3670" s="124"/>
      <x:c r="I3670" s="124"/>
      <x:c r="J3670" s="124"/>
      <x:c r="M3670" s="126"/>
      <x:c r="P3670" s="126"/>
      <x:c r="Q3670" s="126"/>
      <x:c r="R3670" s="126"/>
      <x:c r="S3670" s="124"/>
      <x:c r="T3670" s="124"/>
      <x:c r="U3670" s="124"/>
      <x:c r="V3670" s="124"/>
      <x:c r="W3670" s="124"/>
      <x:c r="X3670" s="124"/>
      <x:c r="AD3670"/>
      <x:c r="AE3670" s="145"/>
      <x:c r="AF3670" s="145"/>
      <x:c r="AG3670" s="145"/>
      <x:c r="AH3670" s="145"/>
      <x:c r="AI3670" s="145"/>
      <x:c r="AJ3670"/>
    </x:row>
    <x:row r="3671">
      <x:c r="F3671" s="124"/>
      <x:c r="G3671" s="124"/>
      <x:c r="H3671" s="124"/>
      <x:c r="I3671" s="124"/>
      <x:c r="J3671" s="124"/>
      <x:c r="M3671" s="126"/>
      <x:c r="P3671" s="126"/>
      <x:c r="Q3671" s="126"/>
      <x:c r="R3671" s="126"/>
      <x:c r="S3671" s="124"/>
      <x:c r="T3671" s="124"/>
      <x:c r="U3671" s="124"/>
      <x:c r="V3671" s="124"/>
      <x:c r="W3671" s="124"/>
      <x:c r="X3671" s="124"/>
      <x:c r="AD3671"/>
      <x:c r="AE3671" s="145"/>
      <x:c r="AF3671" s="145"/>
      <x:c r="AG3671" s="145"/>
      <x:c r="AH3671" s="145"/>
      <x:c r="AI3671" s="145"/>
      <x:c r="AJ3671"/>
    </x:row>
    <x:row r="3672">
      <x:c r="F3672" s="124"/>
      <x:c r="G3672" s="124"/>
      <x:c r="H3672" s="124"/>
      <x:c r="I3672" s="124"/>
      <x:c r="J3672" s="124"/>
      <x:c r="M3672" s="126"/>
      <x:c r="P3672" s="126"/>
      <x:c r="Q3672" s="126"/>
      <x:c r="R3672" s="126"/>
      <x:c r="S3672" s="124"/>
      <x:c r="T3672" s="124"/>
      <x:c r="U3672" s="124"/>
      <x:c r="V3672" s="124"/>
      <x:c r="W3672" s="124"/>
      <x:c r="X3672" s="124"/>
      <x:c r="AD3672"/>
      <x:c r="AE3672" s="145"/>
      <x:c r="AF3672" s="145"/>
      <x:c r="AG3672" s="145"/>
      <x:c r="AH3672" s="145"/>
      <x:c r="AI3672" s="145"/>
      <x:c r="AJ3672"/>
    </x:row>
    <x:row r="3673">
      <x:c r="F3673" s="124"/>
      <x:c r="G3673" s="124"/>
      <x:c r="H3673" s="124"/>
      <x:c r="I3673" s="124"/>
      <x:c r="J3673" s="124"/>
      <x:c r="M3673" s="126"/>
      <x:c r="P3673" s="126"/>
      <x:c r="Q3673" s="126"/>
      <x:c r="R3673" s="126"/>
      <x:c r="S3673" s="124"/>
      <x:c r="T3673" s="124"/>
      <x:c r="U3673" s="124"/>
      <x:c r="V3673" s="124"/>
      <x:c r="W3673" s="124"/>
      <x:c r="X3673" s="124"/>
      <x:c r="AD3673"/>
      <x:c r="AE3673" s="145"/>
      <x:c r="AF3673" s="145"/>
      <x:c r="AG3673" s="145"/>
      <x:c r="AH3673" s="145"/>
      <x:c r="AI3673" s="145"/>
      <x:c r="AJ3673"/>
    </x:row>
    <x:row r="3674">
      <x:c r="F3674" s="124"/>
      <x:c r="G3674" s="124"/>
      <x:c r="H3674" s="124"/>
      <x:c r="I3674" s="124"/>
      <x:c r="J3674" s="124"/>
      <x:c r="M3674" s="126"/>
      <x:c r="P3674" s="126"/>
      <x:c r="Q3674" s="126"/>
      <x:c r="R3674" s="126"/>
      <x:c r="S3674" s="124"/>
      <x:c r="T3674" s="124"/>
      <x:c r="U3674" s="124"/>
      <x:c r="V3674" s="124"/>
      <x:c r="W3674" s="124"/>
      <x:c r="X3674" s="124"/>
      <x:c r="AD3674"/>
      <x:c r="AE3674" s="145"/>
      <x:c r="AF3674" s="145"/>
      <x:c r="AG3674" s="145"/>
      <x:c r="AH3674" s="145"/>
      <x:c r="AI3674" s="145"/>
      <x:c r="AJ3674"/>
    </x:row>
    <x:row r="3675">
      <x:c r="F3675" s="124"/>
      <x:c r="G3675" s="124"/>
      <x:c r="H3675" s="124"/>
      <x:c r="I3675" s="124"/>
      <x:c r="J3675" s="124"/>
      <x:c r="M3675" s="126"/>
      <x:c r="P3675" s="126"/>
      <x:c r="Q3675" s="126"/>
      <x:c r="R3675" s="126"/>
      <x:c r="S3675" s="124"/>
      <x:c r="T3675" s="124"/>
      <x:c r="U3675" s="124"/>
      <x:c r="V3675" s="124"/>
      <x:c r="W3675" s="124"/>
      <x:c r="X3675" s="124"/>
      <x:c r="AD3675"/>
      <x:c r="AE3675" s="145"/>
      <x:c r="AF3675" s="145"/>
      <x:c r="AG3675" s="145"/>
      <x:c r="AH3675" s="145"/>
      <x:c r="AI3675" s="145"/>
      <x:c r="AJ3675"/>
    </x:row>
    <x:row r="3676">
      <x:c r="F3676" s="124"/>
      <x:c r="G3676" s="124"/>
      <x:c r="H3676" s="124"/>
      <x:c r="I3676" s="124"/>
      <x:c r="J3676" s="124"/>
      <x:c r="M3676" s="126"/>
      <x:c r="P3676" s="126"/>
      <x:c r="Q3676" s="126"/>
      <x:c r="R3676" s="126"/>
      <x:c r="S3676" s="124"/>
      <x:c r="T3676" s="124"/>
      <x:c r="U3676" s="124"/>
      <x:c r="V3676" s="124"/>
      <x:c r="W3676" s="124"/>
      <x:c r="X3676" s="124"/>
      <x:c r="AD3676"/>
      <x:c r="AE3676" s="145"/>
      <x:c r="AF3676" s="145"/>
      <x:c r="AG3676" s="145"/>
      <x:c r="AH3676" s="145"/>
      <x:c r="AI3676" s="145"/>
      <x:c r="AJ3676"/>
    </x:row>
    <x:row r="3677">
      <x:c r="F3677" s="124"/>
      <x:c r="G3677" s="124"/>
      <x:c r="H3677" s="124"/>
      <x:c r="I3677" s="124"/>
      <x:c r="J3677" s="124"/>
      <x:c r="M3677" s="126"/>
      <x:c r="P3677" s="126"/>
      <x:c r="Q3677" s="126"/>
      <x:c r="R3677" s="126"/>
      <x:c r="S3677" s="124"/>
      <x:c r="T3677" s="124"/>
      <x:c r="U3677" s="124"/>
      <x:c r="V3677" s="124"/>
      <x:c r="W3677" s="124"/>
      <x:c r="X3677" s="124"/>
      <x:c r="AD3677"/>
      <x:c r="AE3677" s="145"/>
      <x:c r="AF3677" s="145"/>
      <x:c r="AG3677" s="145"/>
      <x:c r="AH3677" s="145"/>
      <x:c r="AI3677" s="145"/>
      <x:c r="AJ3677"/>
    </x:row>
    <x:row r="3678">
      <x:c r="F3678" s="124"/>
      <x:c r="G3678" s="124"/>
      <x:c r="H3678" s="124"/>
      <x:c r="I3678" s="124"/>
      <x:c r="J3678" s="124"/>
      <x:c r="M3678" s="126"/>
      <x:c r="P3678" s="126"/>
      <x:c r="Q3678" s="126"/>
      <x:c r="R3678" s="126"/>
      <x:c r="S3678" s="124"/>
      <x:c r="T3678" s="124"/>
      <x:c r="U3678" s="124"/>
      <x:c r="V3678" s="124"/>
      <x:c r="W3678" s="124"/>
      <x:c r="X3678" s="124"/>
      <x:c r="AD3678"/>
      <x:c r="AE3678" s="145"/>
      <x:c r="AF3678" s="145"/>
      <x:c r="AG3678" s="145"/>
      <x:c r="AH3678" s="145"/>
      <x:c r="AI3678" s="145"/>
      <x:c r="AJ3678"/>
    </x:row>
    <x:row r="3679">
      <x:c r="F3679" s="124"/>
      <x:c r="G3679" s="124"/>
      <x:c r="H3679" s="124"/>
      <x:c r="I3679" s="124"/>
      <x:c r="J3679" s="124"/>
      <x:c r="M3679" s="126"/>
      <x:c r="P3679" s="126"/>
      <x:c r="Q3679" s="126"/>
      <x:c r="R3679" s="126"/>
      <x:c r="S3679" s="124"/>
      <x:c r="T3679" s="124"/>
      <x:c r="U3679" s="124"/>
      <x:c r="V3679" s="124"/>
      <x:c r="W3679" s="124"/>
      <x:c r="X3679" s="124"/>
      <x:c r="AD3679"/>
      <x:c r="AE3679" s="145"/>
      <x:c r="AF3679" s="145"/>
      <x:c r="AG3679" s="145"/>
      <x:c r="AH3679" s="145"/>
      <x:c r="AI3679" s="145"/>
      <x:c r="AJ3679"/>
    </x:row>
    <x:row r="3680">
      <x:c r="F3680" s="124"/>
      <x:c r="G3680" s="124"/>
      <x:c r="H3680" s="124"/>
      <x:c r="I3680" s="124"/>
      <x:c r="J3680" s="124"/>
      <x:c r="M3680" s="126"/>
      <x:c r="P3680" s="126"/>
      <x:c r="Q3680" s="126"/>
      <x:c r="R3680" s="126"/>
      <x:c r="S3680" s="124"/>
      <x:c r="T3680" s="124"/>
      <x:c r="U3680" s="124"/>
      <x:c r="V3680" s="124"/>
      <x:c r="W3680" s="124"/>
      <x:c r="X3680" s="124"/>
      <x:c r="AD3680"/>
      <x:c r="AE3680" s="145"/>
      <x:c r="AF3680" s="145"/>
      <x:c r="AG3680" s="145"/>
      <x:c r="AH3680" s="145"/>
      <x:c r="AI3680" s="145"/>
      <x:c r="AJ3680"/>
    </x:row>
    <x:row r="3681">
      <x:c r="F3681" s="124"/>
      <x:c r="G3681" s="124"/>
      <x:c r="H3681" s="124"/>
      <x:c r="I3681" s="124"/>
      <x:c r="J3681" s="124"/>
      <x:c r="M3681" s="126"/>
      <x:c r="P3681" s="126"/>
      <x:c r="Q3681" s="126"/>
      <x:c r="R3681" s="126"/>
      <x:c r="S3681" s="124"/>
      <x:c r="T3681" s="124"/>
      <x:c r="U3681" s="124"/>
      <x:c r="V3681" s="124"/>
      <x:c r="W3681" s="124"/>
      <x:c r="X3681" s="124"/>
      <x:c r="AD3681"/>
      <x:c r="AE3681" s="145"/>
      <x:c r="AF3681" s="145"/>
      <x:c r="AG3681" s="145"/>
      <x:c r="AH3681" s="145"/>
      <x:c r="AI3681" s="145"/>
      <x:c r="AJ3681"/>
    </x:row>
    <x:row r="3682">
      <x:c r="F3682" s="124"/>
      <x:c r="G3682" s="124"/>
      <x:c r="H3682" s="124"/>
      <x:c r="I3682" s="124"/>
      <x:c r="J3682" s="124"/>
      <x:c r="M3682" s="126"/>
      <x:c r="P3682" s="126"/>
      <x:c r="Q3682" s="126"/>
      <x:c r="R3682" s="126"/>
      <x:c r="S3682" s="124"/>
      <x:c r="T3682" s="124"/>
      <x:c r="U3682" s="124"/>
      <x:c r="V3682" s="124"/>
      <x:c r="W3682" s="124"/>
      <x:c r="X3682" s="124"/>
      <x:c r="AD3682"/>
      <x:c r="AE3682" s="145"/>
      <x:c r="AF3682" s="145"/>
      <x:c r="AG3682" s="145"/>
      <x:c r="AH3682" s="145"/>
      <x:c r="AI3682" s="145"/>
      <x:c r="AJ3682"/>
    </x:row>
    <x:row r="3683">
      <x:c r="F3683" s="124"/>
      <x:c r="G3683" s="124"/>
      <x:c r="H3683" s="124"/>
      <x:c r="I3683" s="124"/>
      <x:c r="J3683" s="124"/>
      <x:c r="M3683" s="126"/>
      <x:c r="P3683" s="126"/>
      <x:c r="Q3683" s="126"/>
      <x:c r="R3683" s="126"/>
      <x:c r="S3683" s="124"/>
      <x:c r="T3683" s="124"/>
      <x:c r="U3683" s="124"/>
      <x:c r="V3683" s="124"/>
      <x:c r="W3683" s="124"/>
      <x:c r="X3683" s="124"/>
      <x:c r="AD3683"/>
      <x:c r="AE3683" s="145"/>
      <x:c r="AF3683" s="145"/>
      <x:c r="AG3683" s="145"/>
      <x:c r="AH3683" s="145"/>
      <x:c r="AI3683" s="145"/>
      <x:c r="AJ3683"/>
    </x:row>
    <x:row r="3684">
      <x:c r="F3684" s="124"/>
      <x:c r="G3684" s="124"/>
      <x:c r="H3684" s="124"/>
      <x:c r="I3684" s="124"/>
      <x:c r="J3684" s="124"/>
      <x:c r="M3684" s="126"/>
      <x:c r="P3684" s="126"/>
      <x:c r="Q3684" s="126"/>
      <x:c r="R3684" s="126"/>
      <x:c r="S3684" s="124"/>
      <x:c r="T3684" s="124"/>
      <x:c r="U3684" s="124"/>
      <x:c r="V3684" s="124"/>
      <x:c r="W3684" s="124"/>
      <x:c r="X3684" s="124"/>
      <x:c r="AD3684"/>
      <x:c r="AE3684" s="145"/>
      <x:c r="AF3684" s="145"/>
      <x:c r="AG3684" s="145"/>
      <x:c r="AH3684" s="145"/>
      <x:c r="AI3684" s="145"/>
      <x:c r="AJ3684"/>
    </x:row>
    <x:row r="3685">
      <x:c r="F3685" s="124"/>
      <x:c r="G3685" s="124"/>
      <x:c r="H3685" s="124"/>
      <x:c r="I3685" s="124"/>
      <x:c r="J3685" s="124"/>
      <x:c r="M3685" s="126"/>
      <x:c r="P3685" s="126"/>
      <x:c r="Q3685" s="126"/>
      <x:c r="R3685" s="126"/>
      <x:c r="S3685" s="124"/>
      <x:c r="T3685" s="124"/>
      <x:c r="U3685" s="124"/>
      <x:c r="V3685" s="124"/>
      <x:c r="W3685" s="124"/>
      <x:c r="X3685" s="124"/>
      <x:c r="AD3685"/>
      <x:c r="AE3685" s="145"/>
      <x:c r="AF3685" s="145"/>
      <x:c r="AG3685" s="145"/>
      <x:c r="AH3685" s="145"/>
      <x:c r="AI3685" s="145"/>
      <x:c r="AJ3685"/>
    </x:row>
    <x:row r="3686">
      <x:c r="F3686" s="124"/>
      <x:c r="G3686" s="124"/>
      <x:c r="H3686" s="124"/>
      <x:c r="I3686" s="124"/>
      <x:c r="J3686" s="124"/>
      <x:c r="M3686" s="126"/>
      <x:c r="P3686" s="126"/>
      <x:c r="Q3686" s="126"/>
      <x:c r="R3686" s="126"/>
      <x:c r="S3686" s="124"/>
      <x:c r="T3686" s="124"/>
      <x:c r="U3686" s="124"/>
      <x:c r="V3686" s="124"/>
      <x:c r="W3686" s="124"/>
      <x:c r="X3686" s="124"/>
      <x:c r="AD3686"/>
      <x:c r="AE3686" s="145"/>
      <x:c r="AF3686" s="145"/>
      <x:c r="AG3686" s="145"/>
      <x:c r="AH3686" s="145"/>
      <x:c r="AI3686" s="145"/>
      <x:c r="AJ3686"/>
    </x:row>
    <x:row r="3687">
      <x:c r="F3687" s="124"/>
      <x:c r="G3687" s="124"/>
      <x:c r="H3687" s="124"/>
      <x:c r="I3687" s="124"/>
      <x:c r="J3687" s="124"/>
      <x:c r="M3687" s="126"/>
      <x:c r="P3687" s="126"/>
      <x:c r="Q3687" s="126"/>
      <x:c r="R3687" s="126"/>
      <x:c r="S3687" s="124"/>
      <x:c r="T3687" s="124"/>
      <x:c r="U3687" s="124"/>
      <x:c r="V3687" s="124"/>
      <x:c r="W3687" s="124"/>
      <x:c r="X3687" s="124"/>
      <x:c r="AD3687"/>
      <x:c r="AE3687" s="145"/>
      <x:c r="AF3687" s="145"/>
      <x:c r="AG3687" s="145"/>
      <x:c r="AH3687" s="145"/>
      <x:c r="AI3687" s="145"/>
      <x:c r="AJ3687"/>
    </x:row>
    <x:row r="3688">
      <x:c r="F3688" s="124"/>
      <x:c r="G3688" s="124"/>
      <x:c r="H3688" s="124"/>
      <x:c r="I3688" s="124"/>
      <x:c r="J3688" s="124"/>
      <x:c r="M3688" s="126"/>
      <x:c r="P3688" s="126"/>
      <x:c r="Q3688" s="126"/>
      <x:c r="R3688" s="126"/>
      <x:c r="S3688" s="124"/>
      <x:c r="T3688" s="124"/>
      <x:c r="U3688" s="124"/>
      <x:c r="V3688" s="124"/>
      <x:c r="W3688" s="124"/>
      <x:c r="X3688" s="124"/>
      <x:c r="AD3688"/>
      <x:c r="AE3688" s="145"/>
      <x:c r="AF3688" s="145"/>
      <x:c r="AG3688" s="145"/>
      <x:c r="AH3688" s="145"/>
      <x:c r="AI3688" s="145"/>
      <x:c r="AJ3688"/>
    </x:row>
    <x:row r="3689">
      <x:c r="F3689" s="124"/>
      <x:c r="G3689" s="124"/>
      <x:c r="H3689" s="124"/>
      <x:c r="I3689" s="124"/>
      <x:c r="J3689" s="124"/>
      <x:c r="M3689" s="126"/>
      <x:c r="P3689" s="126"/>
      <x:c r="Q3689" s="126"/>
      <x:c r="R3689" s="126"/>
      <x:c r="S3689" s="124"/>
      <x:c r="T3689" s="124"/>
      <x:c r="U3689" s="124"/>
      <x:c r="V3689" s="124"/>
      <x:c r="W3689" s="124"/>
      <x:c r="X3689" s="124"/>
      <x:c r="AD3689"/>
      <x:c r="AE3689" s="145"/>
      <x:c r="AF3689" s="145"/>
      <x:c r="AG3689" s="145"/>
      <x:c r="AH3689" s="145"/>
      <x:c r="AI3689" s="145"/>
      <x:c r="AJ3689"/>
    </x:row>
    <x:row r="3690">
      <x:c r="F3690" s="124"/>
      <x:c r="G3690" s="124"/>
      <x:c r="H3690" s="124"/>
      <x:c r="I3690" s="124"/>
      <x:c r="J3690" s="124"/>
      <x:c r="M3690" s="126"/>
      <x:c r="P3690" s="126"/>
      <x:c r="Q3690" s="126"/>
      <x:c r="R3690" s="126"/>
      <x:c r="S3690" s="124"/>
      <x:c r="T3690" s="124"/>
      <x:c r="U3690" s="124"/>
      <x:c r="V3690" s="124"/>
      <x:c r="W3690" s="124"/>
      <x:c r="X3690" s="124"/>
      <x:c r="AD3690"/>
      <x:c r="AE3690" s="145"/>
      <x:c r="AF3690" s="145"/>
      <x:c r="AG3690" s="145"/>
      <x:c r="AH3690" s="145"/>
      <x:c r="AI3690" s="145"/>
      <x:c r="AJ3690"/>
    </x:row>
    <x:row r="3691">
      <x:c r="F3691" s="124"/>
      <x:c r="G3691" s="124"/>
      <x:c r="H3691" s="124"/>
      <x:c r="I3691" s="124"/>
      <x:c r="J3691" s="124"/>
      <x:c r="M3691" s="126"/>
      <x:c r="P3691" s="126"/>
      <x:c r="Q3691" s="126"/>
      <x:c r="R3691" s="126"/>
      <x:c r="S3691" s="124"/>
      <x:c r="T3691" s="124"/>
      <x:c r="U3691" s="124"/>
      <x:c r="V3691" s="124"/>
      <x:c r="W3691" s="124"/>
      <x:c r="X3691" s="124"/>
      <x:c r="AD3691"/>
      <x:c r="AE3691" s="145"/>
      <x:c r="AF3691" s="145"/>
      <x:c r="AG3691" s="145"/>
      <x:c r="AH3691" s="145"/>
      <x:c r="AI3691" s="145"/>
      <x:c r="AJ3691"/>
    </x:row>
    <x:row r="3692">
      <x:c r="F3692" s="124"/>
      <x:c r="G3692" s="124"/>
      <x:c r="H3692" s="124"/>
      <x:c r="I3692" s="124"/>
      <x:c r="J3692" s="124"/>
      <x:c r="M3692" s="126"/>
      <x:c r="P3692" s="126"/>
      <x:c r="Q3692" s="126"/>
      <x:c r="R3692" s="126"/>
      <x:c r="S3692" s="124"/>
      <x:c r="T3692" s="124"/>
      <x:c r="U3692" s="124"/>
      <x:c r="V3692" s="124"/>
      <x:c r="W3692" s="124"/>
      <x:c r="X3692" s="124"/>
      <x:c r="AD3692"/>
      <x:c r="AE3692" s="145"/>
      <x:c r="AF3692" s="145"/>
      <x:c r="AG3692" s="145"/>
      <x:c r="AH3692" s="145"/>
      <x:c r="AI3692" s="145"/>
      <x:c r="AJ3692"/>
    </x:row>
    <x:row r="3693">
      <x:c r="F3693" s="124"/>
      <x:c r="G3693" s="124"/>
      <x:c r="H3693" s="124"/>
      <x:c r="I3693" s="124"/>
      <x:c r="J3693" s="124"/>
      <x:c r="M3693" s="126"/>
      <x:c r="P3693" s="126"/>
      <x:c r="Q3693" s="126"/>
      <x:c r="R3693" s="126"/>
      <x:c r="S3693" s="124"/>
      <x:c r="T3693" s="124"/>
      <x:c r="U3693" s="124"/>
      <x:c r="V3693" s="124"/>
      <x:c r="W3693" s="124"/>
      <x:c r="X3693" s="124"/>
      <x:c r="AD3693"/>
      <x:c r="AE3693" s="145"/>
      <x:c r="AF3693" s="145"/>
      <x:c r="AG3693" s="145"/>
      <x:c r="AH3693" s="145"/>
      <x:c r="AI3693" s="145"/>
      <x:c r="AJ3693"/>
    </x:row>
    <x:row r="3694">
      <x:c r="F3694" s="124"/>
      <x:c r="G3694" s="124"/>
      <x:c r="H3694" s="124"/>
      <x:c r="I3694" s="124"/>
      <x:c r="J3694" s="124"/>
      <x:c r="M3694" s="126"/>
      <x:c r="P3694" s="126"/>
      <x:c r="Q3694" s="126"/>
      <x:c r="R3694" s="126"/>
      <x:c r="S3694" s="124"/>
      <x:c r="T3694" s="124"/>
      <x:c r="U3694" s="124"/>
      <x:c r="V3694" s="124"/>
      <x:c r="W3694" s="124"/>
      <x:c r="X3694" s="124"/>
      <x:c r="AD3694"/>
      <x:c r="AE3694" s="145"/>
      <x:c r="AF3694" s="145"/>
      <x:c r="AG3694" s="145"/>
      <x:c r="AH3694" s="145"/>
      <x:c r="AI3694" s="145"/>
      <x:c r="AJ3694"/>
    </x:row>
    <x:row r="3695">
      <x:c r="F3695" s="124"/>
      <x:c r="G3695" s="124"/>
      <x:c r="H3695" s="124"/>
      <x:c r="I3695" s="124"/>
      <x:c r="J3695" s="124"/>
      <x:c r="M3695" s="126"/>
      <x:c r="P3695" s="126"/>
      <x:c r="Q3695" s="126"/>
      <x:c r="R3695" s="126"/>
      <x:c r="S3695" s="124"/>
      <x:c r="T3695" s="124"/>
      <x:c r="U3695" s="124"/>
      <x:c r="V3695" s="124"/>
      <x:c r="W3695" s="124"/>
      <x:c r="X3695" s="124"/>
      <x:c r="AD3695"/>
      <x:c r="AE3695" s="145"/>
      <x:c r="AF3695" s="145"/>
      <x:c r="AG3695" s="145"/>
      <x:c r="AH3695" s="145"/>
      <x:c r="AI3695" s="145"/>
      <x:c r="AJ3695"/>
    </x:row>
    <x:row r="3696">
      <x:c r="F3696" s="124"/>
      <x:c r="G3696" s="124"/>
      <x:c r="H3696" s="124"/>
      <x:c r="I3696" s="124"/>
      <x:c r="J3696" s="124"/>
      <x:c r="M3696" s="126"/>
      <x:c r="P3696" s="126"/>
      <x:c r="Q3696" s="126"/>
      <x:c r="R3696" s="126"/>
      <x:c r="S3696" s="124"/>
      <x:c r="T3696" s="124"/>
      <x:c r="U3696" s="124"/>
      <x:c r="V3696" s="124"/>
      <x:c r="W3696" s="124"/>
      <x:c r="X3696" s="124"/>
      <x:c r="AD3696"/>
      <x:c r="AE3696" s="145"/>
      <x:c r="AF3696" s="145"/>
      <x:c r="AG3696" s="145"/>
      <x:c r="AH3696" s="145"/>
      <x:c r="AI3696" s="145"/>
      <x:c r="AJ3696"/>
    </x:row>
    <x:row r="3697">
      <x:c r="F3697" s="124"/>
      <x:c r="G3697" s="124"/>
      <x:c r="H3697" s="124"/>
      <x:c r="I3697" s="124"/>
      <x:c r="J3697" s="124"/>
      <x:c r="M3697" s="126"/>
      <x:c r="P3697" s="126"/>
      <x:c r="Q3697" s="126"/>
      <x:c r="R3697" s="126"/>
      <x:c r="S3697" s="124"/>
      <x:c r="T3697" s="124"/>
      <x:c r="U3697" s="124"/>
      <x:c r="V3697" s="124"/>
      <x:c r="W3697" s="124"/>
      <x:c r="X3697" s="124"/>
      <x:c r="AD3697"/>
      <x:c r="AE3697" s="145"/>
      <x:c r="AF3697" s="145"/>
      <x:c r="AG3697" s="145"/>
      <x:c r="AH3697" s="145"/>
      <x:c r="AI3697" s="145"/>
      <x:c r="AJ3697"/>
    </x:row>
    <x:row r="3698">
      <x:c r="F3698" s="124"/>
      <x:c r="G3698" s="124"/>
      <x:c r="H3698" s="124"/>
      <x:c r="I3698" s="124"/>
      <x:c r="J3698" s="124"/>
      <x:c r="M3698" s="126"/>
      <x:c r="P3698" s="126"/>
      <x:c r="Q3698" s="126"/>
      <x:c r="R3698" s="126"/>
      <x:c r="S3698" s="124"/>
      <x:c r="T3698" s="124"/>
      <x:c r="U3698" s="124"/>
      <x:c r="V3698" s="124"/>
      <x:c r="W3698" s="124"/>
      <x:c r="X3698" s="124"/>
      <x:c r="AD3698"/>
      <x:c r="AE3698" s="145"/>
      <x:c r="AF3698" s="145"/>
      <x:c r="AG3698" s="145"/>
      <x:c r="AH3698" s="145"/>
      <x:c r="AI3698" s="145"/>
      <x:c r="AJ3698"/>
    </x:row>
    <x:row r="3699">
      <x:c r="F3699" s="124"/>
      <x:c r="G3699" s="124"/>
      <x:c r="H3699" s="124"/>
      <x:c r="I3699" s="124"/>
      <x:c r="J3699" s="124"/>
      <x:c r="M3699" s="126"/>
      <x:c r="P3699" s="126"/>
      <x:c r="Q3699" s="126"/>
      <x:c r="R3699" s="126"/>
      <x:c r="S3699" s="124"/>
      <x:c r="T3699" s="124"/>
      <x:c r="U3699" s="124"/>
      <x:c r="V3699" s="124"/>
      <x:c r="W3699" s="124"/>
      <x:c r="X3699" s="124"/>
      <x:c r="AD3699"/>
      <x:c r="AE3699" s="145"/>
      <x:c r="AF3699" s="145"/>
      <x:c r="AG3699" s="145"/>
      <x:c r="AH3699" s="145"/>
      <x:c r="AI3699" s="145"/>
      <x:c r="AJ3699"/>
    </x:row>
    <x:row r="3700">
      <x:c r="F3700" s="124"/>
      <x:c r="G3700" s="124"/>
      <x:c r="H3700" s="124"/>
      <x:c r="I3700" s="124"/>
      <x:c r="J3700" s="124"/>
      <x:c r="M3700" s="126"/>
      <x:c r="P3700" s="126"/>
      <x:c r="Q3700" s="126"/>
      <x:c r="R3700" s="126"/>
      <x:c r="S3700" s="124"/>
      <x:c r="T3700" s="124"/>
      <x:c r="U3700" s="124"/>
      <x:c r="V3700" s="124"/>
      <x:c r="W3700" s="124"/>
      <x:c r="X3700" s="124"/>
      <x:c r="AD3700"/>
      <x:c r="AE3700" s="145"/>
      <x:c r="AF3700" s="145"/>
      <x:c r="AG3700" s="145"/>
      <x:c r="AH3700" s="145"/>
      <x:c r="AI3700" s="145"/>
      <x:c r="AJ3700"/>
    </x:row>
    <x:row r="3701">
      <x:c r="F3701" s="124"/>
      <x:c r="G3701" s="124"/>
      <x:c r="H3701" s="124"/>
      <x:c r="I3701" s="124"/>
      <x:c r="J3701" s="124"/>
      <x:c r="M3701" s="126"/>
      <x:c r="P3701" s="126"/>
      <x:c r="Q3701" s="126"/>
      <x:c r="R3701" s="126"/>
      <x:c r="S3701" s="124"/>
      <x:c r="T3701" s="124"/>
      <x:c r="U3701" s="124"/>
      <x:c r="V3701" s="124"/>
      <x:c r="W3701" s="124"/>
      <x:c r="X3701" s="124"/>
      <x:c r="AD3701"/>
      <x:c r="AE3701" s="145"/>
      <x:c r="AF3701" s="145"/>
      <x:c r="AG3701" s="145"/>
      <x:c r="AH3701" s="145"/>
      <x:c r="AI3701" s="145"/>
      <x:c r="AJ3701"/>
    </x:row>
    <x:row r="3702">
      <x:c r="F3702" s="124"/>
      <x:c r="G3702" s="124"/>
      <x:c r="H3702" s="124"/>
      <x:c r="I3702" s="124"/>
      <x:c r="J3702" s="124"/>
      <x:c r="M3702" s="126"/>
      <x:c r="P3702" s="126"/>
      <x:c r="Q3702" s="126"/>
      <x:c r="R3702" s="126"/>
      <x:c r="S3702" s="124"/>
      <x:c r="T3702" s="124"/>
      <x:c r="U3702" s="124"/>
      <x:c r="V3702" s="124"/>
      <x:c r="W3702" s="124"/>
      <x:c r="X3702" s="124"/>
      <x:c r="AD3702"/>
      <x:c r="AE3702" s="145"/>
      <x:c r="AF3702" s="145"/>
      <x:c r="AG3702" s="145"/>
      <x:c r="AH3702" s="145"/>
      <x:c r="AI3702" s="145"/>
      <x:c r="AJ3702"/>
    </x:row>
    <x:row r="3703">
      <x:c r="F3703" s="124"/>
      <x:c r="G3703" s="124"/>
      <x:c r="H3703" s="124"/>
      <x:c r="I3703" s="124"/>
      <x:c r="J3703" s="124"/>
      <x:c r="M3703" s="126"/>
      <x:c r="P3703" s="126"/>
      <x:c r="Q3703" s="126"/>
      <x:c r="R3703" s="126"/>
      <x:c r="S3703" s="124"/>
      <x:c r="T3703" s="124"/>
      <x:c r="U3703" s="124"/>
      <x:c r="V3703" s="124"/>
      <x:c r="W3703" s="124"/>
      <x:c r="X3703" s="124"/>
      <x:c r="AD3703"/>
      <x:c r="AE3703" s="145"/>
      <x:c r="AF3703" s="145"/>
      <x:c r="AG3703" s="145"/>
      <x:c r="AH3703" s="145"/>
      <x:c r="AI3703" s="145"/>
      <x:c r="AJ3703"/>
    </x:row>
    <x:row r="3704">
      <x:c r="F3704" s="124"/>
      <x:c r="G3704" s="124"/>
      <x:c r="H3704" s="124"/>
      <x:c r="I3704" s="124"/>
      <x:c r="J3704" s="124"/>
      <x:c r="M3704" s="126"/>
      <x:c r="P3704" s="126"/>
      <x:c r="Q3704" s="126"/>
      <x:c r="R3704" s="126"/>
      <x:c r="S3704" s="124"/>
      <x:c r="T3704" s="124"/>
      <x:c r="U3704" s="124"/>
      <x:c r="V3704" s="124"/>
      <x:c r="W3704" s="124"/>
      <x:c r="X3704" s="124"/>
      <x:c r="AD3704"/>
      <x:c r="AE3704" s="145"/>
      <x:c r="AF3704" s="145"/>
      <x:c r="AG3704" s="145"/>
      <x:c r="AH3704" s="145"/>
      <x:c r="AI3704" s="145"/>
      <x:c r="AJ3704"/>
    </x:row>
    <x:row r="3705">
      <x:c r="F3705" s="124"/>
      <x:c r="G3705" s="124"/>
      <x:c r="H3705" s="124"/>
      <x:c r="I3705" s="124"/>
      <x:c r="J3705" s="124"/>
      <x:c r="M3705" s="126"/>
      <x:c r="P3705" s="126"/>
      <x:c r="Q3705" s="126"/>
      <x:c r="R3705" s="126"/>
      <x:c r="S3705" s="124"/>
      <x:c r="T3705" s="124"/>
      <x:c r="U3705" s="124"/>
      <x:c r="V3705" s="124"/>
      <x:c r="W3705" s="124"/>
      <x:c r="X3705" s="124"/>
      <x:c r="AD3705"/>
      <x:c r="AE3705" s="145"/>
      <x:c r="AF3705" s="145"/>
      <x:c r="AG3705" s="145"/>
      <x:c r="AH3705" s="145"/>
      <x:c r="AI3705" s="145"/>
      <x:c r="AJ3705"/>
    </x:row>
    <x:row r="3706">
      <x:c r="F3706" s="124"/>
      <x:c r="G3706" s="124"/>
      <x:c r="H3706" s="124"/>
      <x:c r="I3706" s="124"/>
      <x:c r="J3706" s="124"/>
      <x:c r="M3706" s="126"/>
      <x:c r="P3706" s="126"/>
      <x:c r="Q3706" s="126"/>
      <x:c r="R3706" s="126"/>
      <x:c r="S3706" s="124"/>
      <x:c r="T3706" s="124"/>
      <x:c r="U3706" s="124"/>
      <x:c r="V3706" s="124"/>
      <x:c r="W3706" s="124"/>
      <x:c r="X3706" s="124"/>
      <x:c r="AD3706"/>
      <x:c r="AE3706" s="145"/>
      <x:c r="AF3706" s="145"/>
      <x:c r="AG3706" s="145"/>
      <x:c r="AH3706" s="145"/>
      <x:c r="AI3706" s="145"/>
      <x:c r="AJ3706"/>
    </x:row>
    <x:row r="3707">
      <x:c r="F3707" s="124"/>
      <x:c r="G3707" s="124"/>
      <x:c r="H3707" s="124"/>
      <x:c r="I3707" s="124"/>
      <x:c r="J3707" s="124"/>
      <x:c r="M3707" s="126"/>
      <x:c r="P3707" s="126"/>
      <x:c r="Q3707" s="126"/>
      <x:c r="R3707" s="126"/>
      <x:c r="S3707" s="124"/>
      <x:c r="T3707" s="124"/>
      <x:c r="U3707" s="124"/>
      <x:c r="V3707" s="124"/>
      <x:c r="W3707" s="124"/>
      <x:c r="X3707" s="124"/>
      <x:c r="AD3707"/>
      <x:c r="AE3707" s="145"/>
      <x:c r="AF3707" s="145"/>
      <x:c r="AG3707" s="145"/>
      <x:c r="AH3707" s="145"/>
      <x:c r="AI3707" s="145"/>
      <x:c r="AJ3707"/>
    </x:row>
    <x:row r="3708">
      <x:c r="F3708" s="124"/>
      <x:c r="G3708" s="124"/>
      <x:c r="H3708" s="124"/>
      <x:c r="I3708" s="124"/>
      <x:c r="J3708" s="124"/>
      <x:c r="M3708" s="126"/>
      <x:c r="P3708" s="126"/>
      <x:c r="Q3708" s="126"/>
      <x:c r="R3708" s="126"/>
      <x:c r="S3708" s="124"/>
      <x:c r="T3708" s="124"/>
      <x:c r="U3708" s="124"/>
      <x:c r="V3708" s="124"/>
      <x:c r="W3708" s="124"/>
      <x:c r="X3708" s="124"/>
      <x:c r="AD3708"/>
      <x:c r="AE3708" s="145"/>
      <x:c r="AF3708" s="145"/>
      <x:c r="AG3708" s="145"/>
      <x:c r="AH3708" s="145"/>
      <x:c r="AI3708" s="145"/>
      <x:c r="AJ3708"/>
    </x:row>
    <x:row r="3709">
      <x:c r="F3709" s="124"/>
      <x:c r="G3709" s="124"/>
      <x:c r="H3709" s="124"/>
      <x:c r="I3709" s="124"/>
      <x:c r="J3709" s="124"/>
      <x:c r="M3709" s="126"/>
      <x:c r="P3709" s="126"/>
      <x:c r="Q3709" s="126"/>
      <x:c r="R3709" s="126"/>
      <x:c r="S3709" s="124"/>
      <x:c r="T3709" s="124"/>
      <x:c r="U3709" s="124"/>
      <x:c r="V3709" s="124"/>
      <x:c r="W3709" s="124"/>
      <x:c r="X3709" s="124"/>
      <x:c r="AD3709"/>
      <x:c r="AE3709" s="145"/>
      <x:c r="AF3709" s="145"/>
      <x:c r="AG3709" s="145"/>
      <x:c r="AH3709" s="145"/>
      <x:c r="AI3709" s="145"/>
      <x:c r="AJ3709"/>
    </x:row>
    <x:row r="3710">
      <x:c r="F3710" s="124"/>
      <x:c r="G3710" s="124"/>
      <x:c r="H3710" s="124"/>
      <x:c r="I3710" s="124"/>
      <x:c r="J3710" s="124"/>
      <x:c r="M3710" s="126"/>
      <x:c r="P3710" s="126"/>
      <x:c r="Q3710" s="126"/>
      <x:c r="R3710" s="126"/>
      <x:c r="S3710" s="124"/>
      <x:c r="T3710" s="124"/>
      <x:c r="U3710" s="124"/>
      <x:c r="V3710" s="124"/>
      <x:c r="W3710" s="124"/>
      <x:c r="X3710" s="124"/>
      <x:c r="AD3710"/>
      <x:c r="AE3710" s="145"/>
      <x:c r="AF3710" s="145"/>
      <x:c r="AG3710" s="145"/>
      <x:c r="AH3710" s="145"/>
      <x:c r="AI3710" s="145"/>
      <x:c r="AJ3710"/>
    </x:row>
    <x:row r="3711">
      <x:c r="F3711" s="124"/>
      <x:c r="G3711" s="124"/>
      <x:c r="H3711" s="124"/>
      <x:c r="I3711" s="124"/>
      <x:c r="J3711" s="124"/>
      <x:c r="M3711" s="126"/>
      <x:c r="P3711" s="126"/>
      <x:c r="Q3711" s="126"/>
      <x:c r="R3711" s="126"/>
      <x:c r="S3711" s="124"/>
      <x:c r="T3711" s="124"/>
      <x:c r="U3711" s="124"/>
      <x:c r="V3711" s="124"/>
      <x:c r="W3711" s="124"/>
      <x:c r="X3711" s="124"/>
      <x:c r="AD3711"/>
      <x:c r="AE3711" s="145"/>
      <x:c r="AF3711" s="145"/>
      <x:c r="AG3711" s="145"/>
      <x:c r="AH3711" s="145"/>
      <x:c r="AI3711" s="145"/>
      <x:c r="AJ3711"/>
    </x:row>
    <x:row r="3712">
      <x:c r="F3712" s="124"/>
      <x:c r="G3712" s="124"/>
      <x:c r="H3712" s="124"/>
      <x:c r="I3712" s="124"/>
      <x:c r="J3712" s="124"/>
      <x:c r="M3712" s="126"/>
      <x:c r="P3712" s="126"/>
      <x:c r="Q3712" s="126"/>
      <x:c r="R3712" s="126"/>
      <x:c r="S3712" s="124"/>
      <x:c r="T3712" s="124"/>
      <x:c r="U3712" s="124"/>
      <x:c r="V3712" s="124"/>
      <x:c r="W3712" s="124"/>
      <x:c r="X3712" s="124"/>
      <x:c r="AD3712"/>
      <x:c r="AE3712" s="145"/>
      <x:c r="AF3712" s="145"/>
      <x:c r="AG3712" s="145"/>
      <x:c r="AH3712" s="145"/>
      <x:c r="AI3712" s="145"/>
      <x:c r="AJ3712"/>
    </x:row>
    <x:row r="3713">
      <x:c r="F3713" s="124"/>
      <x:c r="G3713" s="124"/>
      <x:c r="H3713" s="124"/>
      <x:c r="I3713" s="124"/>
      <x:c r="J3713" s="124"/>
      <x:c r="M3713" s="126"/>
      <x:c r="P3713" s="126"/>
      <x:c r="Q3713" s="126"/>
      <x:c r="R3713" s="126"/>
      <x:c r="S3713" s="124"/>
      <x:c r="T3713" s="124"/>
      <x:c r="U3713" s="124"/>
      <x:c r="V3713" s="124"/>
      <x:c r="W3713" s="124"/>
      <x:c r="X3713" s="124"/>
      <x:c r="AD3713"/>
      <x:c r="AE3713" s="145"/>
      <x:c r="AF3713" s="145"/>
      <x:c r="AG3713" s="145"/>
      <x:c r="AH3713" s="145"/>
      <x:c r="AI3713" s="145"/>
      <x:c r="AJ3713"/>
    </x:row>
    <x:row r="3714">
      <x:c r="F3714" s="124"/>
      <x:c r="G3714" s="124"/>
      <x:c r="H3714" s="124"/>
      <x:c r="I3714" s="124"/>
      <x:c r="J3714" s="124"/>
      <x:c r="M3714" s="126"/>
      <x:c r="P3714" s="126"/>
      <x:c r="Q3714" s="126"/>
      <x:c r="R3714" s="126"/>
      <x:c r="S3714" s="124"/>
      <x:c r="T3714" s="124"/>
      <x:c r="U3714" s="124"/>
      <x:c r="V3714" s="124"/>
      <x:c r="W3714" s="124"/>
      <x:c r="X3714" s="124"/>
      <x:c r="AD3714"/>
      <x:c r="AE3714" s="145"/>
      <x:c r="AF3714" s="145"/>
      <x:c r="AG3714" s="145"/>
      <x:c r="AH3714" s="145"/>
      <x:c r="AI3714" s="145"/>
      <x:c r="AJ3714"/>
    </x:row>
    <x:row r="3715">
      <x:c r="F3715" s="124"/>
      <x:c r="G3715" s="124"/>
      <x:c r="H3715" s="124"/>
      <x:c r="I3715" s="124"/>
      <x:c r="J3715" s="124"/>
      <x:c r="M3715" s="126"/>
      <x:c r="P3715" s="126"/>
      <x:c r="Q3715" s="126"/>
      <x:c r="R3715" s="126"/>
      <x:c r="S3715" s="124"/>
      <x:c r="T3715" s="124"/>
      <x:c r="U3715" s="124"/>
      <x:c r="V3715" s="124"/>
      <x:c r="W3715" s="124"/>
      <x:c r="X3715" s="124"/>
      <x:c r="AD3715"/>
      <x:c r="AE3715" s="145"/>
      <x:c r="AF3715" s="145"/>
      <x:c r="AG3715" s="145"/>
      <x:c r="AH3715" s="145"/>
      <x:c r="AI3715" s="145"/>
      <x:c r="AJ3715"/>
    </x:row>
    <x:row r="3716">
      <x:c r="F3716" s="124"/>
      <x:c r="G3716" s="124"/>
      <x:c r="H3716" s="124"/>
      <x:c r="I3716" s="124"/>
      <x:c r="J3716" s="124"/>
      <x:c r="M3716" s="126"/>
      <x:c r="P3716" s="126"/>
      <x:c r="Q3716" s="126"/>
      <x:c r="R3716" s="126"/>
      <x:c r="S3716" s="124"/>
      <x:c r="T3716" s="124"/>
      <x:c r="U3716" s="124"/>
      <x:c r="V3716" s="124"/>
      <x:c r="W3716" s="124"/>
      <x:c r="X3716" s="124"/>
      <x:c r="AD3716"/>
      <x:c r="AE3716" s="145"/>
      <x:c r="AF3716" s="145"/>
      <x:c r="AG3716" s="145"/>
      <x:c r="AH3716" s="145"/>
      <x:c r="AI3716" s="145"/>
      <x:c r="AJ3716"/>
    </x:row>
    <x:row r="3717">
      <x:c r="F3717" s="124"/>
      <x:c r="G3717" s="124"/>
      <x:c r="H3717" s="124"/>
      <x:c r="I3717" s="124"/>
      <x:c r="J3717" s="124"/>
      <x:c r="M3717" s="126"/>
      <x:c r="P3717" s="126"/>
      <x:c r="Q3717" s="126"/>
      <x:c r="R3717" s="126"/>
      <x:c r="S3717" s="124"/>
      <x:c r="T3717" s="124"/>
      <x:c r="U3717" s="124"/>
      <x:c r="V3717" s="124"/>
      <x:c r="W3717" s="124"/>
      <x:c r="X3717" s="124"/>
      <x:c r="AD3717"/>
      <x:c r="AE3717" s="145"/>
      <x:c r="AF3717" s="145"/>
      <x:c r="AG3717" s="145"/>
      <x:c r="AH3717" s="145"/>
      <x:c r="AI3717" s="145"/>
      <x:c r="AJ3717"/>
    </x:row>
    <x:row r="3718">
      <x:c r="F3718" s="124"/>
      <x:c r="G3718" s="124"/>
      <x:c r="H3718" s="124"/>
      <x:c r="I3718" s="124"/>
      <x:c r="J3718" s="124"/>
      <x:c r="M3718" s="126"/>
      <x:c r="P3718" s="126"/>
      <x:c r="Q3718" s="126"/>
      <x:c r="R3718" s="126"/>
      <x:c r="S3718" s="124"/>
      <x:c r="T3718" s="124"/>
      <x:c r="U3718" s="124"/>
      <x:c r="V3718" s="124"/>
      <x:c r="W3718" s="124"/>
      <x:c r="X3718" s="124"/>
      <x:c r="AD3718"/>
      <x:c r="AE3718" s="145"/>
      <x:c r="AF3718" s="145"/>
      <x:c r="AG3718" s="145"/>
      <x:c r="AH3718" s="145"/>
      <x:c r="AI3718" s="145"/>
      <x:c r="AJ3718"/>
    </x:row>
    <x:row r="3719">
      <x:c r="F3719" s="124"/>
      <x:c r="G3719" s="124"/>
      <x:c r="H3719" s="124"/>
      <x:c r="I3719" s="124"/>
      <x:c r="J3719" s="124"/>
      <x:c r="M3719" s="126"/>
      <x:c r="P3719" s="126"/>
      <x:c r="Q3719" s="126"/>
      <x:c r="R3719" s="126"/>
      <x:c r="S3719" s="124"/>
      <x:c r="T3719" s="124"/>
      <x:c r="U3719" s="124"/>
      <x:c r="V3719" s="124"/>
      <x:c r="W3719" s="124"/>
      <x:c r="X3719" s="124"/>
      <x:c r="AD3719"/>
      <x:c r="AE3719" s="145"/>
      <x:c r="AF3719" s="145"/>
      <x:c r="AG3719" s="145"/>
      <x:c r="AH3719" s="145"/>
      <x:c r="AI3719" s="145"/>
      <x:c r="AJ3719"/>
    </x:row>
    <x:row r="3720">
      <x:c r="F3720" s="124"/>
      <x:c r="G3720" s="124"/>
      <x:c r="H3720" s="124"/>
      <x:c r="I3720" s="124"/>
      <x:c r="J3720" s="124"/>
      <x:c r="M3720" s="126"/>
      <x:c r="P3720" s="126"/>
      <x:c r="Q3720" s="126"/>
      <x:c r="R3720" s="126"/>
      <x:c r="S3720" s="124"/>
      <x:c r="T3720" s="124"/>
      <x:c r="U3720" s="124"/>
      <x:c r="V3720" s="124"/>
      <x:c r="W3720" s="124"/>
      <x:c r="X3720" s="124"/>
      <x:c r="AD3720"/>
      <x:c r="AE3720" s="145"/>
      <x:c r="AF3720" s="145"/>
      <x:c r="AG3720" s="145"/>
      <x:c r="AH3720" s="145"/>
      <x:c r="AI3720" s="145"/>
      <x:c r="AJ3720"/>
    </x:row>
    <x:row r="3721">
      <x:c r="F3721" s="124"/>
      <x:c r="G3721" s="124"/>
      <x:c r="H3721" s="124"/>
      <x:c r="I3721" s="124"/>
      <x:c r="J3721" s="124"/>
      <x:c r="M3721" s="126"/>
      <x:c r="P3721" s="126"/>
      <x:c r="Q3721" s="126"/>
      <x:c r="R3721" s="126"/>
      <x:c r="S3721" s="124"/>
      <x:c r="T3721" s="124"/>
      <x:c r="U3721" s="124"/>
      <x:c r="V3721" s="124"/>
      <x:c r="W3721" s="124"/>
      <x:c r="X3721" s="124"/>
      <x:c r="AD3721"/>
      <x:c r="AE3721" s="145"/>
      <x:c r="AF3721" s="145"/>
      <x:c r="AG3721" s="145"/>
      <x:c r="AH3721" s="145"/>
      <x:c r="AI3721" s="145"/>
      <x:c r="AJ3721"/>
    </x:row>
    <x:row r="3722">
      <x:c r="F3722" s="124"/>
      <x:c r="G3722" s="124"/>
      <x:c r="H3722" s="124"/>
      <x:c r="I3722" s="124"/>
      <x:c r="J3722" s="124"/>
      <x:c r="M3722" s="126"/>
      <x:c r="P3722" s="126"/>
      <x:c r="Q3722" s="126"/>
      <x:c r="R3722" s="126"/>
      <x:c r="S3722" s="124"/>
      <x:c r="T3722" s="124"/>
      <x:c r="U3722" s="124"/>
      <x:c r="V3722" s="124"/>
      <x:c r="W3722" s="124"/>
      <x:c r="X3722" s="124"/>
      <x:c r="AD3722"/>
      <x:c r="AE3722" s="145"/>
      <x:c r="AF3722" s="145"/>
      <x:c r="AG3722" s="145"/>
      <x:c r="AH3722" s="145"/>
      <x:c r="AI3722" s="145"/>
      <x:c r="AJ3722"/>
    </x:row>
    <x:row r="3723">
      <x:c r="F3723" s="124"/>
      <x:c r="G3723" s="124"/>
      <x:c r="H3723" s="124"/>
      <x:c r="I3723" s="124"/>
      <x:c r="J3723" s="124"/>
      <x:c r="M3723" s="126"/>
      <x:c r="P3723" s="126"/>
      <x:c r="Q3723" s="126"/>
      <x:c r="R3723" s="126"/>
      <x:c r="S3723" s="124"/>
      <x:c r="T3723" s="124"/>
      <x:c r="U3723" s="124"/>
      <x:c r="V3723" s="124"/>
      <x:c r="W3723" s="124"/>
      <x:c r="X3723" s="124"/>
      <x:c r="AD3723"/>
      <x:c r="AE3723" s="145"/>
      <x:c r="AF3723" s="145"/>
      <x:c r="AG3723" s="145"/>
      <x:c r="AH3723" s="145"/>
      <x:c r="AI3723" s="145"/>
      <x:c r="AJ3723"/>
    </x:row>
    <x:row r="3724">
      <x:c r="F3724" s="124"/>
      <x:c r="G3724" s="124"/>
      <x:c r="H3724" s="124"/>
      <x:c r="I3724" s="124"/>
      <x:c r="J3724" s="124"/>
      <x:c r="M3724" s="126"/>
      <x:c r="P3724" s="126"/>
      <x:c r="Q3724" s="126"/>
      <x:c r="R3724" s="126"/>
      <x:c r="S3724" s="124"/>
      <x:c r="T3724" s="124"/>
      <x:c r="U3724" s="124"/>
      <x:c r="V3724" s="124"/>
      <x:c r="W3724" s="124"/>
      <x:c r="X3724" s="124"/>
      <x:c r="AD3724"/>
      <x:c r="AE3724" s="145"/>
      <x:c r="AF3724" s="145"/>
      <x:c r="AG3724" s="145"/>
      <x:c r="AH3724" s="145"/>
      <x:c r="AI3724" s="145"/>
      <x:c r="AJ3724"/>
    </x:row>
    <x:row r="3725">
      <x:c r="F3725" s="124"/>
      <x:c r="G3725" s="124"/>
      <x:c r="H3725" s="124"/>
      <x:c r="I3725" s="124"/>
      <x:c r="J3725" s="124"/>
      <x:c r="M3725" s="126"/>
      <x:c r="P3725" s="126"/>
      <x:c r="Q3725" s="126"/>
      <x:c r="R3725" s="126"/>
      <x:c r="S3725" s="124"/>
      <x:c r="T3725" s="124"/>
      <x:c r="U3725" s="124"/>
      <x:c r="V3725" s="124"/>
      <x:c r="W3725" s="124"/>
      <x:c r="X3725" s="124"/>
      <x:c r="AD3725"/>
      <x:c r="AE3725" s="145"/>
      <x:c r="AF3725" s="145"/>
      <x:c r="AG3725" s="145"/>
      <x:c r="AH3725" s="145"/>
      <x:c r="AI3725" s="145"/>
      <x:c r="AJ3725"/>
    </x:row>
    <x:row r="3726">
      <x:c r="F3726" s="124"/>
      <x:c r="G3726" s="124"/>
      <x:c r="H3726" s="124"/>
      <x:c r="I3726" s="124"/>
      <x:c r="J3726" s="124"/>
      <x:c r="M3726" s="126"/>
      <x:c r="P3726" s="126"/>
      <x:c r="Q3726" s="126"/>
      <x:c r="R3726" s="126"/>
      <x:c r="S3726" s="124"/>
      <x:c r="T3726" s="124"/>
      <x:c r="U3726" s="124"/>
      <x:c r="V3726" s="124"/>
      <x:c r="W3726" s="124"/>
      <x:c r="X3726" s="124"/>
      <x:c r="AD3726"/>
      <x:c r="AE3726" s="145"/>
      <x:c r="AF3726" s="145"/>
      <x:c r="AG3726" s="145"/>
      <x:c r="AH3726" s="145"/>
      <x:c r="AI3726" s="145"/>
      <x:c r="AJ3726"/>
    </x:row>
    <x:row r="3727">
      <x:c r="F3727" s="124"/>
      <x:c r="G3727" s="124"/>
      <x:c r="H3727" s="124"/>
      <x:c r="I3727" s="124"/>
      <x:c r="J3727" s="124"/>
      <x:c r="M3727" s="126"/>
      <x:c r="P3727" s="126"/>
      <x:c r="Q3727" s="126"/>
      <x:c r="R3727" s="126"/>
      <x:c r="S3727" s="124"/>
      <x:c r="T3727" s="124"/>
      <x:c r="U3727" s="124"/>
      <x:c r="V3727" s="124"/>
      <x:c r="W3727" s="124"/>
      <x:c r="X3727" s="124"/>
      <x:c r="AD3727"/>
      <x:c r="AE3727" s="145"/>
      <x:c r="AF3727" s="145"/>
      <x:c r="AG3727" s="145"/>
      <x:c r="AH3727" s="145"/>
      <x:c r="AI3727" s="145"/>
      <x:c r="AJ3727"/>
    </x:row>
    <x:row r="3728">
      <x:c r="F3728" s="124"/>
      <x:c r="G3728" s="124"/>
      <x:c r="H3728" s="124"/>
      <x:c r="I3728" s="124"/>
      <x:c r="J3728" s="124"/>
      <x:c r="M3728" s="126"/>
      <x:c r="P3728" s="126"/>
      <x:c r="Q3728" s="126"/>
      <x:c r="R3728" s="126"/>
      <x:c r="S3728" s="124"/>
      <x:c r="T3728" s="124"/>
      <x:c r="U3728" s="124"/>
      <x:c r="V3728" s="124"/>
      <x:c r="W3728" s="124"/>
      <x:c r="X3728" s="124"/>
      <x:c r="AD3728"/>
      <x:c r="AE3728" s="145"/>
      <x:c r="AF3728" s="145"/>
      <x:c r="AG3728" s="145"/>
      <x:c r="AH3728" s="145"/>
      <x:c r="AI3728" s="145"/>
      <x:c r="AJ3728"/>
    </x:row>
    <x:row r="3729">
      <x:c r="F3729" s="124"/>
      <x:c r="G3729" s="124"/>
      <x:c r="H3729" s="124"/>
      <x:c r="I3729" s="124"/>
      <x:c r="J3729" s="124"/>
      <x:c r="M3729" s="126"/>
      <x:c r="P3729" s="126"/>
      <x:c r="Q3729" s="126"/>
      <x:c r="R3729" s="126"/>
      <x:c r="S3729" s="124"/>
      <x:c r="T3729" s="124"/>
      <x:c r="U3729" s="124"/>
      <x:c r="V3729" s="124"/>
      <x:c r="W3729" s="124"/>
      <x:c r="X3729" s="124"/>
      <x:c r="AD3729"/>
      <x:c r="AE3729" s="145"/>
      <x:c r="AF3729" s="145"/>
      <x:c r="AG3729" s="145"/>
      <x:c r="AH3729" s="145"/>
      <x:c r="AI3729" s="145"/>
      <x:c r="AJ3729"/>
    </x:row>
    <x:row r="3730">
      <x:c r="F3730" s="124"/>
      <x:c r="G3730" s="124"/>
      <x:c r="H3730" s="124"/>
      <x:c r="I3730" s="124"/>
      <x:c r="J3730" s="124"/>
      <x:c r="M3730" s="126"/>
      <x:c r="P3730" s="126"/>
      <x:c r="Q3730" s="126"/>
      <x:c r="R3730" s="126"/>
      <x:c r="S3730" s="124"/>
      <x:c r="T3730" s="124"/>
      <x:c r="U3730" s="124"/>
      <x:c r="V3730" s="124"/>
      <x:c r="W3730" s="124"/>
      <x:c r="X3730" s="124"/>
      <x:c r="AD3730"/>
      <x:c r="AE3730" s="145"/>
      <x:c r="AF3730" s="145"/>
      <x:c r="AG3730" s="145"/>
      <x:c r="AH3730" s="145"/>
      <x:c r="AI3730" s="145"/>
      <x:c r="AJ3730"/>
    </x:row>
    <x:row r="3731">
      <x:c r="F3731" s="124"/>
      <x:c r="G3731" s="124"/>
      <x:c r="H3731" s="124"/>
      <x:c r="I3731" s="124"/>
      <x:c r="J3731" s="124"/>
      <x:c r="M3731" s="126"/>
      <x:c r="P3731" s="126"/>
      <x:c r="Q3731" s="126"/>
      <x:c r="R3731" s="126"/>
      <x:c r="S3731" s="124"/>
      <x:c r="T3731" s="124"/>
      <x:c r="U3731" s="124"/>
      <x:c r="V3731" s="124"/>
      <x:c r="W3731" s="124"/>
      <x:c r="X3731" s="124"/>
      <x:c r="AD3731"/>
      <x:c r="AE3731" s="145"/>
      <x:c r="AF3731" s="145"/>
      <x:c r="AG3731" s="145"/>
      <x:c r="AH3731" s="145"/>
      <x:c r="AI3731" s="145"/>
      <x:c r="AJ3731"/>
    </x:row>
    <x:row r="3732">
      <x:c r="F3732" s="124"/>
      <x:c r="G3732" s="124"/>
      <x:c r="H3732" s="124"/>
      <x:c r="I3732" s="124"/>
      <x:c r="J3732" s="124"/>
      <x:c r="M3732" s="126"/>
      <x:c r="P3732" s="126"/>
      <x:c r="Q3732" s="126"/>
      <x:c r="R3732" s="126"/>
      <x:c r="S3732" s="124"/>
      <x:c r="T3732" s="124"/>
      <x:c r="U3732" s="124"/>
      <x:c r="V3732" s="124"/>
      <x:c r="W3732" s="124"/>
      <x:c r="X3732" s="124"/>
      <x:c r="AD3732"/>
      <x:c r="AE3732" s="145"/>
      <x:c r="AF3732" s="145"/>
      <x:c r="AG3732" s="145"/>
      <x:c r="AH3732" s="145"/>
      <x:c r="AI3732" s="145"/>
      <x:c r="AJ3732"/>
    </x:row>
    <x:row r="3733">
      <x:c r="F3733" s="124"/>
      <x:c r="G3733" s="124"/>
      <x:c r="H3733" s="124"/>
      <x:c r="I3733" s="124"/>
      <x:c r="J3733" s="124"/>
      <x:c r="M3733" s="126"/>
      <x:c r="P3733" s="126"/>
      <x:c r="Q3733" s="126"/>
      <x:c r="R3733" s="126"/>
      <x:c r="S3733" s="124"/>
      <x:c r="T3733" s="124"/>
      <x:c r="U3733" s="124"/>
      <x:c r="V3733" s="124"/>
      <x:c r="W3733" s="124"/>
      <x:c r="X3733" s="124"/>
      <x:c r="AD3733"/>
      <x:c r="AE3733" s="145"/>
      <x:c r="AF3733" s="145"/>
      <x:c r="AG3733" s="145"/>
      <x:c r="AH3733" s="145"/>
      <x:c r="AI3733" s="145"/>
      <x:c r="AJ3733"/>
    </x:row>
    <x:row r="3734">
      <x:c r="F3734" s="124"/>
      <x:c r="G3734" s="124"/>
      <x:c r="H3734" s="124"/>
      <x:c r="I3734" s="124"/>
      <x:c r="J3734" s="124"/>
      <x:c r="M3734" s="126"/>
      <x:c r="P3734" s="126"/>
      <x:c r="Q3734" s="126"/>
      <x:c r="R3734" s="126"/>
      <x:c r="S3734" s="124"/>
      <x:c r="T3734" s="124"/>
      <x:c r="U3734" s="124"/>
      <x:c r="V3734" s="124"/>
      <x:c r="W3734" s="124"/>
      <x:c r="X3734" s="124"/>
      <x:c r="AD3734"/>
      <x:c r="AE3734" s="145"/>
      <x:c r="AF3734" s="145"/>
      <x:c r="AG3734" s="145"/>
      <x:c r="AH3734" s="145"/>
      <x:c r="AI3734" s="145"/>
      <x:c r="AJ3734"/>
    </x:row>
    <x:row r="3735">
      <x:c r="F3735" s="124"/>
      <x:c r="G3735" s="124"/>
      <x:c r="H3735" s="124"/>
      <x:c r="I3735" s="124"/>
      <x:c r="J3735" s="124"/>
      <x:c r="M3735" s="126"/>
      <x:c r="P3735" s="126"/>
      <x:c r="Q3735" s="126"/>
      <x:c r="R3735" s="126"/>
      <x:c r="S3735" s="124"/>
      <x:c r="T3735" s="124"/>
      <x:c r="U3735" s="124"/>
      <x:c r="V3735" s="124"/>
      <x:c r="W3735" s="124"/>
      <x:c r="X3735" s="124"/>
      <x:c r="AD3735"/>
      <x:c r="AE3735" s="145"/>
      <x:c r="AF3735" s="145"/>
      <x:c r="AG3735" s="145"/>
      <x:c r="AH3735" s="145"/>
      <x:c r="AI3735" s="145"/>
      <x:c r="AJ3735"/>
    </x:row>
    <x:row r="3736">
      <x:c r="F3736" s="124"/>
      <x:c r="G3736" s="124"/>
      <x:c r="H3736" s="124"/>
      <x:c r="I3736" s="124"/>
      <x:c r="J3736" s="124"/>
      <x:c r="M3736" s="126"/>
      <x:c r="P3736" s="126"/>
      <x:c r="Q3736" s="126"/>
      <x:c r="R3736" s="126"/>
      <x:c r="S3736" s="124"/>
      <x:c r="T3736" s="124"/>
      <x:c r="U3736" s="124"/>
      <x:c r="V3736" s="124"/>
      <x:c r="W3736" s="124"/>
      <x:c r="X3736" s="124"/>
      <x:c r="AD3736"/>
      <x:c r="AE3736" s="145"/>
      <x:c r="AF3736" s="145"/>
      <x:c r="AG3736" s="145"/>
      <x:c r="AH3736" s="145"/>
      <x:c r="AI3736" s="145"/>
      <x:c r="AJ3736"/>
    </x:row>
    <x:row r="3737">
      <x:c r="F3737" s="124"/>
      <x:c r="G3737" s="124"/>
      <x:c r="H3737" s="124"/>
      <x:c r="I3737" s="124"/>
      <x:c r="J3737" s="124"/>
      <x:c r="M3737" s="126"/>
      <x:c r="P3737" s="126"/>
      <x:c r="Q3737" s="126"/>
      <x:c r="R3737" s="126"/>
      <x:c r="S3737" s="124"/>
      <x:c r="T3737" s="124"/>
      <x:c r="U3737" s="124"/>
      <x:c r="V3737" s="124"/>
      <x:c r="W3737" s="124"/>
      <x:c r="X3737" s="124"/>
      <x:c r="AD3737"/>
      <x:c r="AE3737" s="145"/>
      <x:c r="AF3737" s="145"/>
      <x:c r="AG3737" s="145"/>
      <x:c r="AH3737" s="145"/>
      <x:c r="AI3737" s="145"/>
      <x:c r="AJ3737"/>
    </x:row>
    <x:row r="3738">
      <x:c r="F3738" s="124"/>
      <x:c r="G3738" s="124"/>
      <x:c r="H3738" s="124"/>
      <x:c r="I3738" s="124"/>
      <x:c r="J3738" s="124"/>
      <x:c r="M3738" s="126"/>
      <x:c r="P3738" s="126"/>
      <x:c r="Q3738" s="126"/>
      <x:c r="R3738" s="126"/>
      <x:c r="S3738" s="124"/>
      <x:c r="T3738" s="124"/>
      <x:c r="U3738" s="124"/>
      <x:c r="V3738" s="124"/>
      <x:c r="W3738" s="124"/>
      <x:c r="X3738" s="124"/>
      <x:c r="AD3738"/>
      <x:c r="AE3738" s="145"/>
      <x:c r="AF3738" s="145"/>
      <x:c r="AG3738" s="145"/>
      <x:c r="AH3738" s="145"/>
      <x:c r="AI3738" s="145"/>
      <x:c r="AJ3738"/>
    </x:row>
    <x:row r="3739">
      <x:c r="F3739" s="124"/>
      <x:c r="G3739" s="124"/>
      <x:c r="H3739" s="124"/>
      <x:c r="I3739" s="124"/>
      <x:c r="J3739" s="124"/>
      <x:c r="M3739" s="126"/>
      <x:c r="P3739" s="126"/>
      <x:c r="Q3739" s="126"/>
      <x:c r="R3739" s="126"/>
      <x:c r="S3739" s="124"/>
      <x:c r="T3739" s="124"/>
      <x:c r="U3739" s="124"/>
      <x:c r="V3739" s="124"/>
      <x:c r="W3739" s="124"/>
      <x:c r="X3739" s="124"/>
      <x:c r="AD3739"/>
      <x:c r="AE3739" s="145"/>
      <x:c r="AF3739" s="145"/>
      <x:c r="AG3739" s="145"/>
      <x:c r="AH3739" s="145"/>
      <x:c r="AI3739" s="145"/>
      <x:c r="AJ3739"/>
    </x:row>
    <x:row r="3740">
      <x:c r="F3740" s="124"/>
      <x:c r="G3740" s="124"/>
      <x:c r="H3740" s="124"/>
      <x:c r="I3740" s="124"/>
      <x:c r="J3740" s="124"/>
      <x:c r="M3740" s="126"/>
      <x:c r="P3740" s="126"/>
      <x:c r="Q3740" s="126"/>
      <x:c r="R3740" s="126"/>
      <x:c r="S3740" s="124"/>
      <x:c r="T3740" s="124"/>
      <x:c r="U3740" s="124"/>
      <x:c r="V3740" s="124"/>
      <x:c r="W3740" s="124"/>
      <x:c r="X3740" s="124"/>
      <x:c r="AD3740"/>
      <x:c r="AE3740" s="145"/>
      <x:c r="AF3740" s="145"/>
      <x:c r="AG3740" s="145"/>
      <x:c r="AH3740" s="145"/>
      <x:c r="AI3740" s="145"/>
      <x:c r="AJ3740"/>
    </x:row>
    <x:row r="3741">
      <x:c r="F3741" s="124"/>
      <x:c r="G3741" s="124"/>
      <x:c r="H3741" s="124"/>
      <x:c r="I3741" s="124"/>
      <x:c r="J3741" s="124"/>
      <x:c r="M3741" s="126"/>
      <x:c r="P3741" s="126"/>
      <x:c r="Q3741" s="126"/>
      <x:c r="R3741" s="126"/>
      <x:c r="S3741" s="124"/>
      <x:c r="T3741" s="124"/>
      <x:c r="U3741" s="124"/>
      <x:c r="V3741" s="124"/>
      <x:c r="W3741" s="124"/>
      <x:c r="X3741" s="124"/>
      <x:c r="AD3741"/>
      <x:c r="AE3741" s="145"/>
      <x:c r="AF3741" s="145"/>
      <x:c r="AG3741" s="145"/>
      <x:c r="AH3741" s="145"/>
      <x:c r="AI3741" s="145"/>
      <x:c r="AJ3741"/>
    </x:row>
    <x:row r="3742">
      <x:c r="F3742" s="124"/>
      <x:c r="G3742" s="124"/>
      <x:c r="H3742" s="124"/>
      <x:c r="I3742" s="124"/>
      <x:c r="J3742" s="124"/>
      <x:c r="M3742" s="126"/>
      <x:c r="P3742" s="126"/>
      <x:c r="Q3742" s="126"/>
      <x:c r="R3742" s="126"/>
      <x:c r="S3742" s="124"/>
      <x:c r="T3742" s="124"/>
      <x:c r="U3742" s="124"/>
      <x:c r="V3742" s="124"/>
      <x:c r="W3742" s="124"/>
      <x:c r="X3742" s="124"/>
      <x:c r="AD3742"/>
      <x:c r="AE3742" s="145"/>
      <x:c r="AF3742" s="145"/>
      <x:c r="AG3742" s="145"/>
      <x:c r="AH3742" s="145"/>
      <x:c r="AI3742" s="145"/>
      <x:c r="AJ3742"/>
    </x:row>
    <x:row r="3743">
      <x:c r="F3743" s="124"/>
      <x:c r="G3743" s="124"/>
      <x:c r="H3743" s="124"/>
      <x:c r="I3743" s="124"/>
      <x:c r="J3743" s="124"/>
      <x:c r="M3743" s="126"/>
      <x:c r="P3743" s="126"/>
      <x:c r="Q3743" s="126"/>
      <x:c r="R3743" s="126"/>
      <x:c r="S3743" s="124"/>
      <x:c r="T3743" s="124"/>
      <x:c r="U3743" s="124"/>
      <x:c r="V3743" s="124"/>
      <x:c r="W3743" s="124"/>
      <x:c r="X3743" s="124"/>
      <x:c r="AD3743"/>
      <x:c r="AE3743" s="145"/>
      <x:c r="AF3743" s="145"/>
      <x:c r="AG3743" s="145"/>
      <x:c r="AH3743" s="145"/>
      <x:c r="AI3743" s="145"/>
      <x:c r="AJ3743"/>
    </x:row>
    <x:row r="3744">
      <x:c r="F3744" s="124"/>
      <x:c r="G3744" s="124"/>
      <x:c r="H3744" s="124"/>
      <x:c r="I3744" s="124"/>
      <x:c r="J3744" s="124"/>
      <x:c r="M3744" s="126"/>
      <x:c r="P3744" s="126"/>
      <x:c r="Q3744" s="126"/>
      <x:c r="R3744" s="126"/>
      <x:c r="S3744" s="124"/>
      <x:c r="T3744" s="124"/>
      <x:c r="U3744" s="124"/>
      <x:c r="V3744" s="124"/>
      <x:c r="W3744" s="124"/>
      <x:c r="X3744" s="124"/>
      <x:c r="AD3744"/>
      <x:c r="AE3744" s="145"/>
      <x:c r="AF3744" s="145"/>
      <x:c r="AG3744" s="145"/>
      <x:c r="AH3744" s="145"/>
      <x:c r="AI3744" s="145"/>
      <x:c r="AJ3744"/>
    </x:row>
    <x:row r="3745">
      <x:c r="F3745" s="124"/>
      <x:c r="G3745" s="124"/>
      <x:c r="H3745" s="124"/>
      <x:c r="I3745" s="124"/>
      <x:c r="J3745" s="124"/>
      <x:c r="M3745" s="126"/>
      <x:c r="P3745" s="126"/>
      <x:c r="Q3745" s="126"/>
      <x:c r="R3745" s="126"/>
      <x:c r="S3745" s="124"/>
      <x:c r="T3745" s="124"/>
      <x:c r="U3745" s="124"/>
      <x:c r="V3745" s="124"/>
      <x:c r="W3745" s="124"/>
      <x:c r="X3745" s="124"/>
      <x:c r="AD3745"/>
      <x:c r="AE3745" s="145"/>
      <x:c r="AF3745" s="145"/>
      <x:c r="AG3745" s="145"/>
      <x:c r="AH3745" s="145"/>
      <x:c r="AI3745" s="145"/>
      <x:c r="AJ3745"/>
    </x:row>
    <x:row r="3746">
      <x:c r="F3746" s="124"/>
      <x:c r="G3746" s="124"/>
      <x:c r="H3746" s="124"/>
      <x:c r="I3746" s="124"/>
      <x:c r="J3746" s="124"/>
      <x:c r="M3746" s="126"/>
      <x:c r="P3746" s="126"/>
      <x:c r="Q3746" s="126"/>
      <x:c r="R3746" s="126"/>
      <x:c r="S3746" s="124"/>
      <x:c r="T3746" s="124"/>
      <x:c r="U3746" s="124"/>
      <x:c r="V3746" s="124"/>
      <x:c r="W3746" s="124"/>
      <x:c r="X3746" s="124"/>
      <x:c r="AD3746"/>
      <x:c r="AE3746" s="145"/>
      <x:c r="AF3746" s="145"/>
      <x:c r="AG3746" s="145"/>
      <x:c r="AH3746" s="145"/>
      <x:c r="AI3746" s="145"/>
      <x:c r="AJ3746"/>
    </x:row>
    <x:row r="3747">
      <x:c r="F3747" s="124"/>
      <x:c r="G3747" s="124"/>
      <x:c r="H3747" s="124"/>
      <x:c r="I3747" s="124"/>
      <x:c r="J3747" s="124"/>
      <x:c r="M3747" s="126"/>
      <x:c r="P3747" s="126"/>
      <x:c r="Q3747" s="126"/>
      <x:c r="R3747" s="126"/>
      <x:c r="S3747" s="124"/>
      <x:c r="T3747" s="124"/>
      <x:c r="U3747" s="124"/>
      <x:c r="V3747" s="124"/>
      <x:c r="W3747" s="124"/>
      <x:c r="X3747" s="124"/>
      <x:c r="AD3747"/>
      <x:c r="AE3747" s="145"/>
      <x:c r="AF3747" s="145"/>
      <x:c r="AG3747" s="145"/>
      <x:c r="AH3747" s="145"/>
      <x:c r="AI3747" s="145"/>
      <x:c r="AJ3747"/>
    </x:row>
    <x:row r="3748">
      <x:c r="F3748" s="124"/>
      <x:c r="G3748" s="124"/>
      <x:c r="H3748" s="124"/>
      <x:c r="I3748" s="124"/>
      <x:c r="J3748" s="124"/>
      <x:c r="M3748" s="126"/>
      <x:c r="P3748" s="126"/>
      <x:c r="Q3748" s="126"/>
      <x:c r="R3748" s="126"/>
      <x:c r="S3748" s="124"/>
      <x:c r="T3748" s="124"/>
      <x:c r="U3748" s="124"/>
      <x:c r="V3748" s="124"/>
      <x:c r="W3748" s="124"/>
      <x:c r="X3748" s="124"/>
      <x:c r="AD3748"/>
      <x:c r="AE3748" s="145"/>
      <x:c r="AF3748" s="145"/>
      <x:c r="AG3748" s="145"/>
      <x:c r="AH3748" s="145"/>
      <x:c r="AI3748" s="145"/>
      <x:c r="AJ3748"/>
    </x:row>
    <x:row r="3749">
      <x:c r="F3749" s="124"/>
      <x:c r="G3749" s="124"/>
      <x:c r="H3749" s="124"/>
      <x:c r="I3749" s="124"/>
      <x:c r="J3749" s="124"/>
      <x:c r="M3749" s="126"/>
      <x:c r="P3749" s="126"/>
      <x:c r="Q3749" s="126"/>
      <x:c r="R3749" s="126"/>
      <x:c r="S3749" s="124"/>
      <x:c r="T3749" s="124"/>
      <x:c r="U3749" s="124"/>
      <x:c r="V3749" s="124"/>
      <x:c r="W3749" s="124"/>
      <x:c r="X3749" s="124"/>
      <x:c r="AD3749"/>
      <x:c r="AE3749" s="145"/>
      <x:c r="AF3749" s="145"/>
      <x:c r="AG3749" s="145"/>
      <x:c r="AH3749" s="145"/>
      <x:c r="AI3749" s="145"/>
      <x:c r="AJ3749"/>
    </x:row>
    <x:row r="3750">
      <x:c r="F3750" s="124"/>
      <x:c r="G3750" s="124"/>
      <x:c r="H3750" s="124"/>
      <x:c r="I3750" s="124"/>
      <x:c r="J3750" s="124"/>
      <x:c r="M3750" s="126"/>
      <x:c r="P3750" s="126"/>
      <x:c r="Q3750" s="126"/>
      <x:c r="R3750" s="126"/>
      <x:c r="S3750" s="124"/>
      <x:c r="T3750" s="124"/>
      <x:c r="U3750" s="124"/>
      <x:c r="V3750" s="124"/>
      <x:c r="W3750" s="124"/>
      <x:c r="X3750" s="124"/>
      <x:c r="AD3750"/>
      <x:c r="AE3750" s="145"/>
      <x:c r="AF3750" s="145"/>
      <x:c r="AG3750" s="145"/>
      <x:c r="AH3750" s="145"/>
      <x:c r="AI3750" s="145"/>
      <x:c r="AJ3750"/>
    </x:row>
    <x:row r="3751">
      <x:c r="F3751" s="124"/>
      <x:c r="G3751" s="124"/>
      <x:c r="H3751" s="124"/>
      <x:c r="I3751" s="124"/>
      <x:c r="J3751" s="124"/>
      <x:c r="M3751" s="126"/>
      <x:c r="P3751" s="126"/>
      <x:c r="Q3751" s="126"/>
      <x:c r="R3751" s="126"/>
      <x:c r="S3751" s="124"/>
      <x:c r="T3751" s="124"/>
      <x:c r="U3751" s="124"/>
      <x:c r="V3751" s="124"/>
      <x:c r="W3751" s="124"/>
      <x:c r="X3751" s="124"/>
      <x:c r="AD3751"/>
      <x:c r="AE3751" s="145"/>
      <x:c r="AF3751" s="145"/>
      <x:c r="AG3751" s="145"/>
      <x:c r="AH3751" s="145"/>
      <x:c r="AI3751" s="145"/>
      <x:c r="AJ3751"/>
    </x:row>
    <x:row r="3752">
      <x:c r="F3752" s="124"/>
      <x:c r="G3752" s="124"/>
      <x:c r="H3752" s="124"/>
      <x:c r="I3752" s="124"/>
      <x:c r="J3752" s="124"/>
      <x:c r="M3752" s="126"/>
      <x:c r="P3752" s="126"/>
      <x:c r="Q3752" s="126"/>
      <x:c r="R3752" s="126"/>
      <x:c r="S3752" s="124"/>
      <x:c r="T3752" s="124"/>
      <x:c r="U3752" s="124"/>
      <x:c r="V3752" s="124"/>
      <x:c r="W3752" s="124"/>
      <x:c r="X3752" s="124"/>
      <x:c r="AD3752"/>
      <x:c r="AE3752" s="145"/>
      <x:c r="AF3752" s="145"/>
      <x:c r="AG3752" s="145"/>
      <x:c r="AH3752" s="145"/>
      <x:c r="AI3752" s="145"/>
      <x:c r="AJ3752"/>
    </x:row>
    <x:row r="3753">
      <x:c r="F3753" s="124"/>
      <x:c r="G3753" s="124"/>
      <x:c r="H3753" s="124"/>
      <x:c r="I3753" s="124"/>
      <x:c r="J3753" s="124"/>
      <x:c r="M3753" s="126"/>
      <x:c r="P3753" s="126"/>
      <x:c r="Q3753" s="126"/>
      <x:c r="R3753" s="126"/>
      <x:c r="S3753" s="124"/>
      <x:c r="T3753" s="124"/>
      <x:c r="U3753" s="124"/>
      <x:c r="V3753" s="124"/>
      <x:c r="W3753" s="124"/>
      <x:c r="X3753" s="124"/>
      <x:c r="AD3753"/>
      <x:c r="AE3753" s="145"/>
      <x:c r="AF3753" s="145"/>
      <x:c r="AG3753" s="145"/>
      <x:c r="AH3753" s="145"/>
      <x:c r="AI3753" s="145"/>
      <x:c r="AJ3753"/>
    </x:row>
    <x:row r="3754">
      <x:c r="F3754" s="124"/>
      <x:c r="G3754" s="124"/>
      <x:c r="H3754" s="124"/>
      <x:c r="I3754" s="124"/>
      <x:c r="J3754" s="124"/>
      <x:c r="M3754" s="126"/>
      <x:c r="P3754" s="126"/>
      <x:c r="Q3754" s="126"/>
      <x:c r="R3754" s="126"/>
      <x:c r="S3754" s="124"/>
      <x:c r="T3754" s="124"/>
      <x:c r="U3754" s="124"/>
      <x:c r="V3754" s="124"/>
      <x:c r="W3754" s="124"/>
      <x:c r="X3754" s="124"/>
      <x:c r="AD3754"/>
      <x:c r="AE3754" s="145"/>
      <x:c r="AF3754" s="145"/>
      <x:c r="AG3754" s="145"/>
      <x:c r="AH3754" s="145"/>
      <x:c r="AI3754" s="145"/>
      <x:c r="AJ3754"/>
    </x:row>
    <x:row r="3755">
      <x:c r="F3755" s="124"/>
      <x:c r="G3755" s="124"/>
      <x:c r="H3755" s="124"/>
      <x:c r="I3755" s="124"/>
      <x:c r="J3755" s="124"/>
      <x:c r="M3755" s="126"/>
      <x:c r="P3755" s="126"/>
      <x:c r="Q3755" s="126"/>
      <x:c r="R3755" s="126"/>
      <x:c r="S3755" s="124"/>
      <x:c r="T3755" s="124"/>
      <x:c r="U3755" s="124"/>
      <x:c r="V3755" s="124"/>
      <x:c r="W3755" s="124"/>
      <x:c r="X3755" s="124"/>
      <x:c r="AD3755"/>
      <x:c r="AE3755" s="145"/>
      <x:c r="AF3755" s="145"/>
      <x:c r="AG3755" s="145"/>
      <x:c r="AH3755" s="145"/>
      <x:c r="AI3755" s="145"/>
      <x:c r="AJ3755"/>
    </x:row>
    <x:row r="3756">
      <x:c r="F3756" s="124"/>
      <x:c r="G3756" s="124"/>
      <x:c r="H3756" s="124"/>
      <x:c r="I3756" s="124"/>
      <x:c r="J3756" s="124"/>
      <x:c r="M3756" s="126"/>
      <x:c r="P3756" s="126"/>
      <x:c r="Q3756" s="126"/>
      <x:c r="R3756" s="126"/>
      <x:c r="S3756" s="124"/>
      <x:c r="T3756" s="124"/>
      <x:c r="U3756" s="124"/>
      <x:c r="V3756" s="124"/>
      <x:c r="W3756" s="124"/>
      <x:c r="X3756" s="124"/>
      <x:c r="AD3756"/>
      <x:c r="AE3756" s="145"/>
      <x:c r="AF3756" s="145"/>
      <x:c r="AG3756" s="145"/>
      <x:c r="AH3756" s="145"/>
      <x:c r="AI3756" s="145"/>
      <x:c r="AJ3756"/>
    </x:row>
    <x:row r="3757">
      <x:c r="F3757" s="124"/>
      <x:c r="G3757" s="124"/>
      <x:c r="H3757" s="124"/>
      <x:c r="I3757" s="124"/>
      <x:c r="J3757" s="124"/>
      <x:c r="M3757" s="126"/>
      <x:c r="P3757" s="126"/>
      <x:c r="Q3757" s="126"/>
      <x:c r="R3757" s="126"/>
      <x:c r="S3757" s="124"/>
      <x:c r="T3757" s="124"/>
      <x:c r="U3757" s="124"/>
      <x:c r="V3757" s="124"/>
      <x:c r="W3757" s="124"/>
      <x:c r="X3757" s="124"/>
      <x:c r="AD3757"/>
      <x:c r="AE3757" s="145"/>
      <x:c r="AF3757" s="145"/>
      <x:c r="AG3757" s="145"/>
      <x:c r="AH3757" s="145"/>
      <x:c r="AI3757" s="145"/>
      <x:c r="AJ3757"/>
    </x:row>
    <x:row r="3758">
      <x:c r="F3758" s="124"/>
      <x:c r="G3758" s="124"/>
      <x:c r="H3758" s="124"/>
      <x:c r="I3758" s="124"/>
      <x:c r="J3758" s="124"/>
      <x:c r="M3758" s="126"/>
      <x:c r="P3758" s="126"/>
      <x:c r="Q3758" s="126"/>
      <x:c r="R3758" s="126"/>
      <x:c r="S3758" s="124"/>
      <x:c r="T3758" s="124"/>
      <x:c r="U3758" s="124"/>
      <x:c r="V3758" s="124"/>
      <x:c r="W3758" s="124"/>
      <x:c r="X3758" s="124"/>
      <x:c r="AD3758"/>
      <x:c r="AE3758" s="145"/>
      <x:c r="AF3758" s="145"/>
      <x:c r="AG3758" s="145"/>
      <x:c r="AH3758" s="145"/>
      <x:c r="AI3758" s="145"/>
      <x:c r="AJ3758"/>
    </x:row>
    <x:row r="3759">
      <x:c r="F3759" s="124"/>
      <x:c r="G3759" s="124"/>
      <x:c r="H3759" s="124"/>
      <x:c r="I3759" s="124"/>
      <x:c r="J3759" s="124"/>
      <x:c r="M3759" s="126"/>
      <x:c r="P3759" s="126"/>
      <x:c r="Q3759" s="126"/>
      <x:c r="R3759" s="126"/>
      <x:c r="S3759" s="124"/>
      <x:c r="T3759" s="124"/>
      <x:c r="U3759" s="124"/>
      <x:c r="V3759" s="124"/>
      <x:c r="W3759" s="124"/>
      <x:c r="X3759" s="124"/>
      <x:c r="AD3759"/>
      <x:c r="AE3759" s="145"/>
      <x:c r="AF3759" s="145"/>
      <x:c r="AG3759" s="145"/>
      <x:c r="AH3759" s="145"/>
      <x:c r="AI3759" s="145"/>
      <x:c r="AJ3759"/>
    </x:row>
    <x:row r="3760">
      <x:c r="F3760" s="124"/>
      <x:c r="G3760" s="124"/>
      <x:c r="H3760" s="124"/>
      <x:c r="I3760" s="124"/>
      <x:c r="J3760" s="124"/>
      <x:c r="M3760" s="126"/>
      <x:c r="P3760" s="126"/>
      <x:c r="Q3760" s="126"/>
      <x:c r="R3760" s="126"/>
      <x:c r="S3760" s="124"/>
      <x:c r="T3760" s="124"/>
      <x:c r="U3760" s="124"/>
      <x:c r="V3760" s="124"/>
      <x:c r="W3760" s="124"/>
      <x:c r="X3760" s="124"/>
      <x:c r="AD3760"/>
      <x:c r="AE3760" s="145"/>
      <x:c r="AF3760" s="145"/>
      <x:c r="AG3760" s="145"/>
      <x:c r="AH3760" s="145"/>
      <x:c r="AI3760" s="145"/>
      <x:c r="AJ3760"/>
    </x:row>
    <x:row r="3761">
      <x:c r="F3761" s="124"/>
      <x:c r="G3761" s="124"/>
      <x:c r="H3761" s="124"/>
      <x:c r="I3761" s="124"/>
      <x:c r="J3761" s="124"/>
      <x:c r="M3761" s="126"/>
      <x:c r="P3761" s="126"/>
      <x:c r="Q3761" s="126"/>
      <x:c r="R3761" s="126"/>
      <x:c r="S3761" s="124"/>
      <x:c r="T3761" s="124"/>
      <x:c r="U3761" s="124"/>
      <x:c r="V3761" s="124"/>
      <x:c r="W3761" s="124"/>
      <x:c r="X3761" s="124"/>
      <x:c r="AD3761"/>
      <x:c r="AE3761" s="145"/>
      <x:c r="AF3761" s="145"/>
      <x:c r="AG3761" s="145"/>
      <x:c r="AH3761" s="145"/>
      <x:c r="AI3761" s="145"/>
      <x:c r="AJ3761"/>
    </x:row>
    <x:row r="3762">
      <x:c r="F3762" s="124"/>
      <x:c r="G3762" s="124"/>
      <x:c r="H3762" s="124"/>
      <x:c r="I3762" s="124"/>
      <x:c r="J3762" s="124"/>
      <x:c r="M3762" s="126"/>
      <x:c r="P3762" s="126"/>
      <x:c r="Q3762" s="126"/>
      <x:c r="R3762" s="126"/>
      <x:c r="S3762" s="124"/>
      <x:c r="T3762" s="124"/>
      <x:c r="U3762" s="124"/>
      <x:c r="V3762" s="124"/>
      <x:c r="W3762" s="124"/>
      <x:c r="X3762" s="124"/>
      <x:c r="AD3762"/>
      <x:c r="AE3762" s="145"/>
      <x:c r="AF3762" s="145"/>
      <x:c r="AG3762" s="145"/>
      <x:c r="AH3762" s="145"/>
      <x:c r="AI3762" s="145"/>
      <x:c r="AJ3762"/>
    </x:row>
    <x:row r="3763">
      <x:c r="F3763" s="124"/>
      <x:c r="G3763" s="124"/>
      <x:c r="H3763" s="124"/>
      <x:c r="I3763" s="124"/>
      <x:c r="J3763" s="124"/>
      <x:c r="M3763" s="126"/>
      <x:c r="P3763" s="126"/>
      <x:c r="Q3763" s="126"/>
      <x:c r="R3763" s="126"/>
      <x:c r="S3763" s="124"/>
      <x:c r="T3763" s="124"/>
      <x:c r="U3763" s="124"/>
      <x:c r="V3763" s="124"/>
      <x:c r="W3763" s="124"/>
      <x:c r="X3763" s="124"/>
      <x:c r="AD3763"/>
      <x:c r="AE3763" s="145"/>
      <x:c r="AF3763" s="145"/>
      <x:c r="AG3763" s="145"/>
      <x:c r="AH3763" s="145"/>
      <x:c r="AI3763" s="145"/>
      <x:c r="AJ3763"/>
    </x:row>
    <x:row r="3764">
      <x:c r="F3764" s="124"/>
      <x:c r="G3764" s="124"/>
      <x:c r="H3764" s="124"/>
      <x:c r="I3764" s="124"/>
      <x:c r="J3764" s="124"/>
      <x:c r="M3764" s="126"/>
      <x:c r="P3764" s="126"/>
      <x:c r="Q3764" s="126"/>
      <x:c r="R3764" s="126"/>
      <x:c r="S3764" s="124"/>
      <x:c r="T3764" s="124"/>
      <x:c r="U3764" s="124"/>
      <x:c r="V3764" s="124"/>
      <x:c r="W3764" s="124"/>
      <x:c r="X3764" s="124"/>
      <x:c r="AD3764"/>
      <x:c r="AE3764" s="145"/>
      <x:c r="AF3764" s="145"/>
      <x:c r="AG3764" s="145"/>
      <x:c r="AH3764" s="145"/>
      <x:c r="AI3764" s="145"/>
      <x:c r="AJ3764"/>
    </x:row>
    <x:row r="3765">
      <x:c r="F3765" s="124"/>
      <x:c r="G3765" s="124"/>
      <x:c r="H3765" s="124"/>
      <x:c r="I3765" s="124"/>
      <x:c r="J3765" s="124"/>
      <x:c r="M3765" s="126"/>
      <x:c r="P3765" s="126"/>
      <x:c r="Q3765" s="126"/>
      <x:c r="R3765" s="126"/>
      <x:c r="S3765" s="124"/>
      <x:c r="T3765" s="124"/>
      <x:c r="U3765" s="124"/>
      <x:c r="V3765" s="124"/>
      <x:c r="W3765" s="124"/>
      <x:c r="X3765" s="124"/>
      <x:c r="AD3765"/>
      <x:c r="AE3765" s="145"/>
      <x:c r="AF3765" s="145"/>
      <x:c r="AG3765" s="145"/>
      <x:c r="AH3765" s="145"/>
      <x:c r="AI3765" s="145"/>
      <x:c r="AJ3765"/>
    </x:row>
    <x:row r="3766">
      <x:c r="F3766" s="124"/>
      <x:c r="G3766" s="124"/>
      <x:c r="H3766" s="124"/>
      <x:c r="I3766" s="124"/>
      <x:c r="J3766" s="124"/>
      <x:c r="M3766" s="126"/>
      <x:c r="P3766" s="126"/>
      <x:c r="Q3766" s="126"/>
      <x:c r="R3766" s="126"/>
      <x:c r="S3766" s="124"/>
      <x:c r="T3766" s="124"/>
      <x:c r="U3766" s="124"/>
      <x:c r="V3766" s="124"/>
      <x:c r="W3766" s="124"/>
      <x:c r="X3766" s="124"/>
      <x:c r="AD3766"/>
      <x:c r="AE3766" s="145"/>
      <x:c r="AF3766" s="145"/>
      <x:c r="AG3766" s="145"/>
      <x:c r="AH3766" s="145"/>
      <x:c r="AI3766" s="145"/>
      <x:c r="AJ3766"/>
    </x:row>
    <x:row r="3767">
      <x:c r="F3767" s="124"/>
      <x:c r="G3767" s="124"/>
      <x:c r="H3767" s="124"/>
      <x:c r="I3767" s="124"/>
      <x:c r="J3767" s="124"/>
      <x:c r="M3767" s="126"/>
      <x:c r="P3767" s="126"/>
      <x:c r="Q3767" s="126"/>
      <x:c r="R3767" s="126"/>
      <x:c r="S3767" s="124"/>
      <x:c r="T3767" s="124"/>
      <x:c r="U3767" s="124"/>
      <x:c r="V3767" s="124"/>
      <x:c r="W3767" s="124"/>
      <x:c r="X3767" s="124"/>
      <x:c r="AD3767"/>
      <x:c r="AE3767" s="145"/>
      <x:c r="AF3767" s="145"/>
      <x:c r="AG3767" s="145"/>
      <x:c r="AH3767" s="145"/>
      <x:c r="AI3767" s="145"/>
      <x:c r="AJ3767"/>
    </x:row>
    <x:row r="3768">
      <x:c r="F3768" s="124"/>
      <x:c r="G3768" s="124"/>
      <x:c r="H3768" s="124"/>
      <x:c r="I3768" s="124"/>
      <x:c r="J3768" s="124"/>
      <x:c r="M3768" s="126"/>
      <x:c r="P3768" s="126"/>
      <x:c r="Q3768" s="126"/>
      <x:c r="R3768" s="126"/>
      <x:c r="S3768" s="124"/>
      <x:c r="T3768" s="124"/>
      <x:c r="U3768" s="124"/>
      <x:c r="V3768" s="124"/>
      <x:c r="W3768" s="124"/>
      <x:c r="X3768" s="124"/>
      <x:c r="AD3768"/>
      <x:c r="AE3768" s="145"/>
      <x:c r="AF3768" s="145"/>
      <x:c r="AG3768" s="145"/>
      <x:c r="AH3768" s="145"/>
      <x:c r="AI3768" s="145"/>
      <x:c r="AJ3768"/>
    </x:row>
    <x:row r="3769">
      <x:c r="F3769" s="124"/>
      <x:c r="G3769" s="124"/>
      <x:c r="H3769" s="124"/>
      <x:c r="I3769" s="124"/>
      <x:c r="J3769" s="124"/>
      <x:c r="M3769" s="126"/>
      <x:c r="P3769" s="126"/>
      <x:c r="Q3769" s="126"/>
      <x:c r="R3769" s="126"/>
      <x:c r="S3769" s="124"/>
      <x:c r="T3769" s="124"/>
      <x:c r="U3769" s="124"/>
      <x:c r="V3769" s="124"/>
      <x:c r="W3769" s="124"/>
      <x:c r="X3769" s="124"/>
      <x:c r="AD3769"/>
      <x:c r="AE3769" s="145"/>
      <x:c r="AF3769" s="145"/>
      <x:c r="AG3769" s="145"/>
      <x:c r="AH3769" s="145"/>
      <x:c r="AI3769" s="145"/>
      <x:c r="AJ3769"/>
    </x:row>
    <x:row r="3770">
      <x:c r="F3770" s="124"/>
      <x:c r="G3770" s="124"/>
      <x:c r="H3770" s="124"/>
      <x:c r="I3770" s="124"/>
      <x:c r="J3770" s="124"/>
      <x:c r="M3770" s="126"/>
      <x:c r="P3770" s="126"/>
      <x:c r="Q3770" s="126"/>
      <x:c r="R3770" s="126"/>
      <x:c r="S3770" s="124"/>
      <x:c r="T3770" s="124"/>
      <x:c r="U3770" s="124"/>
      <x:c r="V3770" s="124"/>
      <x:c r="W3770" s="124"/>
      <x:c r="X3770" s="124"/>
      <x:c r="AD3770"/>
      <x:c r="AE3770" s="145"/>
      <x:c r="AF3770" s="145"/>
      <x:c r="AG3770" s="145"/>
      <x:c r="AH3770" s="145"/>
      <x:c r="AI3770" s="145"/>
      <x:c r="AJ3770"/>
    </x:row>
    <x:row r="3771">
      <x:c r="F3771" s="124"/>
      <x:c r="G3771" s="124"/>
      <x:c r="H3771" s="124"/>
      <x:c r="I3771" s="124"/>
      <x:c r="J3771" s="124"/>
      <x:c r="M3771" s="126"/>
      <x:c r="P3771" s="126"/>
      <x:c r="Q3771" s="126"/>
      <x:c r="R3771" s="126"/>
      <x:c r="S3771" s="124"/>
      <x:c r="T3771" s="124"/>
      <x:c r="U3771" s="124"/>
      <x:c r="V3771" s="124"/>
      <x:c r="W3771" s="124"/>
      <x:c r="X3771" s="124"/>
      <x:c r="AD3771"/>
      <x:c r="AE3771" s="145"/>
      <x:c r="AF3771" s="145"/>
      <x:c r="AG3771" s="145"/>
      <x:c r="AH3771" s="145"/>
      <x:c r="AI3771" s="145"/>
      <x:c r="AJ3771"/>
    </x:row>
    <x:row r="3772">
      <x:c r="F3772" s="124"/>
      <x:c r="G3772" s="124"/>
      <x:c r="H3772" s="124"/>
      <x:c r="I3772" s="124"/>
      <x:c r="J3772" s="124"/>
      <x:c r="M3772" s="126"/>
      <x:c r="P3772" s="126"/>
      <x:c r="Q3772" s="126"/>
      <x:c r="R3772" s="126"/>
      <x:c r="S3772" s="124"/>
      <x:c r="T3772" s="124"/>
      <x:c r="U3772" s="124"/>
      <x:c r="V3772" s="124"/>
      <x:c r="W3772" s="124"/>
      <x:c r="X3772" s="124"/>
      <x:c r="AD3772"/>
      <x:c r="AE3772" s="145"/>
      <x:c r="AF3772" s="145"/>
      <x:c r="AG3772" s="145"/>
      <x:c r="AH3772" s="145"/>
      <x:c r="AI3772" s="145"/>
      <x:c r="AJ3772"/>
    </x:row>
    <x:row r="3773">
      <x:c r="F3773" s="124"/>
      <x:c r="G3773" s="124"/>
      <x:c r="H3773" s="124"/>
      <x:c r="I3773" s="124"/>
      <x:c r="J3773" s="124"/>
      <x:c r="M3773" s="126"/>
      <x:c r="P3773" s="126"/>
      <x:c r="Q3773" s="126"/>
      <x:c r="R3773" s="126"/>
      <x:c r="S3773" s="124"/>
      <x:c r="T3773" s="124"/>
      <x:c r="U3773" s="124"/>
      <x:c r="V3773" s="124"/>
      <x:c r="W3773" s="124"/>
      <x:c r="X3773" s="124"/>
      <x:c r="AD3773"/>
      <x:c r="AE3773" s="145"/>
      <x:c r="AF3773" s="145"/>
      <x:c r="AG3773" s="145"/>
      <x:c r="AH3773" s="145"/>
      <x:c r="AI3773" s="145"/>
      <x:c r="AJ3773"/>
    </x:row>
    <x:row r="3774">
      <x:c r="F3774" s="124"/>
      <x:c r="G3774" s="124"/>
      <x:c r="H3774" s="124"/>
      <x:c r="I3774" s="124"/>
      <x:c r="J3774" s="124"/>
      <x:c r="M3774" s="126"/>
      <x:c r="P3774" s="126"/>
      <x:c r="Q3774" s="126"/>
      <x:c r="R3774" s="126"/>
      <x:c r="S3774" s="124"/>
      <x:c r="T3774" s="124"/>
      <x:c r="U3774" s="124"/>
      <x:c r="V3774" s="124"/>
      <x:c r="W3774" s="124"/>
      <x:c r="X3774" s="124"/>
      <x:c r="AD3774"/>
      <x:c r="AE3774" s="145"/>
      <x:c r="AF3774" s="145"/>
      <x:c r="AG3774" s="145"/>
      <x:c r="AH3774" s="145"/>
      <x:c r="AI3774" s="145"/>
      <x:c r="AJ3774"/>
    </x:row>
    <x:row r="3775">
      <x:c r="F3775" s="124"/>
      <x:c r="G3775" s="124"/>
      <x:c r="H3775" s="124"/>
      <x:c r="I3775" s="124"/>
      <x:c r="J3775" s="124"/>
      <x:c r="M3775" s="126"/>
      <x:c r="P3775" s="126"/>
      <x:c r="Q3775" s="126"/>
      <x:c r="R3775" s="126"/>
      <x:c r="S3775" s="124"/>
      <x:c r="T3775" s="124"/>
      <x:c r="U3775" s="124"/>
      <x:c r="V3775" s="124"/>
      <x:c r="W3775" s="124"/>
      <x:c r="X3775" s="124"/>
      <x:c r="AD3775"/>
      <x:c r="AE3775" s="145"/>
      <x:c r="AF3775" s="145"/>
      <x:c r="AG3775" s="145"/>
      <x:c r="AH3775" s="145"/>
      <x:c r="AI3775" s="145"/>
      <x:c r="AJ3775"/>
    </x:row>
    <x:row r="3776">
      <x:c r="F3776" s="124"/>
      <x:c r="G3776" s="124"/>
      <x:c r="H3776" s="124"/>
      <x:c r="I3776" s="124"/>
      <x:c r="J3776" s="124"/>
      <x:c r="M3776" s="126"/>
      <x:c r="P3776" s="126"/>
      <x:c r="Q3776" s="126"/>
      <x:c r="R3776" s="126"/>
      <x:c r="S3776" s="124"/>
      <x:c r="T3776" s="124"/>
      <x:c r="U3776" s="124"/>
      <x:c r="V3776" s="124"/>
      <x:c r="W3776" s="124"/>
      <x:c r="X3776" s="124"/>
      <x:c r="AD3776"/>
      <x:c r="AE3776" s="145"/>
      <x:c r="AF3776" s="145"/>
      <x:c r="AG3776" s="145"/>
      <x:c r="AH3776" s="145"/>
      <x:c r="AI3776" s="145"/>
      <x:c r="AJ3776"/>
    </x:row>
    <x:row r="3777">
      <x:c r="F3777" s="124"/>
      <x:c r="G3777" s="124"/>
      <x:c r="H3777" s="124"/>
      <x:c r="I3777" s="124"/>
      <x:c r="J3777" s="124"/>
      <x:c r="M3777" s="126"/>
      <x:c r="P3777" s="126"/>
      <x:c r="Q3777" s="126"/>
      <x:c r="R3777" s="126"/>
      <x:c r="S3777" s="124"/>
      <x:c r="T3777" s="124"/>
      <x:c r="U3777" s="124"/>
      <x:c r="V3777" s="124"/>
      <x:c r="W3777" s="124"/>
      <x:c r="X3777" s="124"/>
      <x:c r="AD3777"/>
      <x:c r="AE3777" s="145"/>
      <x:c r="AF3777" s="145"/>
      <x:c r="AG3777" s="145"/>
      <x:c r="AH3777" s="145"/>
      <x:c r="AI3777" s="145"/>
      <x:c r="AJ3777"/>
    </x:row>
    <x:row r="3778">
      <x:c r="F3778" s="124"/>
      <x:c r="G3778" s="124"/>
      <x:c r="H3778" s="124"/>
      <x:c r="I3778" s="124"/>
      <x:c r="J3778" s="124"/>
      <x:c r="M3778" s="126"/>
      <x:c r="P3778" s="126"/>
      <x:c r="Q3778" s="126"/>
      <x:c r="R3778" s="126"/>
      <x:c r="S3778" s="124"/>
      <x:c r="T3778" s="124"/>
      <x:c r="U3778" s="124"/>
      <x:c r="V3778" s="124"/>
      <x:c r="W3778" s="124"/>
      <x:c r="X3778" s="124"/>
      <x:c r="AD3778"/>
      <x:c r="AE3778" s="145"/>
      <x:c r="AF3778" s="145"/>
      <x:c r="AG3778" s="145"/>
      <x:c r="AH3778" s="145"/>
      <x:c r="AI3778" s="145"/>
      <x:c r="AJ3778"/>
    </x:row>
    <x:row r="3779">
      <x:c r="F3779" s="124"/>
      <x:c r="G3779" s="124"/>
      <x:c r="H3779" s="124"/>
      <x:c r="I3779" s="124"/>
      <x:c r="J3779" s="124"/>
      <x:c r="M3779" s="126"/>
      <x:c r="P3779" s="126"/>
      <x:c r="Q3779" s="126"/>
      <x:c r="R3779" s="126"/>
      <x:c r="S3779" s="124"/>
      <x:c r="T3779" s="124"/>
      <x:c r="U3779" s="124"/>
      <x:c r="V3779" s="124"/>
      <x:c r="W3779" s="124"/>
      <x:c r="X3779" s="124"/>
      <x:c r="AD3779"/>
      <x:c r="AE3779" s="145"/>
      <x:c r="AF3779" s="145"/>
      <x:c r="AG3779" s="145"/>
      <x:c r="AH3779" s="145"/>
      <x:c r="AI3779" s="145"/>
      <x:c r="AJ3779"/>
    </x:row>
    <x:row r="3780">
      <x:c r="F3780" s="124"/>
      <x:c r="G3780" s="124"/>
      <x:c r="H3780" s="124"/>
      <x:c r="I3780" s="124"/>
      <x:c r="J3780" s="124"/>
      <x:c r="M3780" s="126"/>
      <x:c r="P3780" s="126"/>
      <x:c r="Q3780" s="126"/>
      <x:c r="R3780" s="126"/>
      <x:c r="S3780" s="124"/>
      <x:c r="T3780" s="124"/>
      <x:c r="U3780" s="124"/>
      <x:c r="V3780" s="124"/>
      <x:c r="W3780" s="124"/>
      <x:c r="X3780" s="124"/>
      <x:c r="AD3780"/>
      <x:c r="AE3780" s="145"/>
      <x:c r="AF3780" s="145"/>
      <x:c r="AG3780" s="145"/>
      <x:c r="AH3780" s="145"/>
      <x:c r="AI3780" s="145"/>
      <x:c r="AJ3780"/>
    </x:row>
    <x:row r="3781">
      <x:c r="F3781" s="124"/>
      <x:c r="G3781" s="124"/>
      <x:c r="H3781" s="124"/>
      <x:c r="I3781" s="124"/>
      <x:c r="J3781" s="124"/>
      <x:c r="M3781" s="126"/>
      <x:c r="P3781" s="126"/>
      <x:c r="Q3781" s="126"/>
      <x:c r="R3781" s="126"/>
      <x:c r="S3781" s="124"/>
      <x:c r="T3781" s="124"/>
      <x:c r="U3781" s="124"/>
      <x:c r="V3781" s="124"/>
      <x:c r="W3781" s="124"/>
      <x:c r="X3781" s="124"/>
      <x:c r="AD3781"/>
      <x:c r="AE3781" s="145"/>
      <x:c r="AF3781" s="145"/>
      <x:c r="AG3781" s="145"/>
      <x:c r="AH3781" s="145"/>
      <x:c r="AI3781" s="145"/>
      <x:c r="AJ3781"/>
    </x:row>
    <x:row r="3782">
      <x:c r="F3782" s="124"/>
      <x:c r="G3782" s="124"/>
      <x:c r="H3782" s="124"/>
      <x:c r="I3782" s="124"/>
      <x:c r="J3782" s="124"/>
      <x:c r="M3782" s="126"/>
      <x:c r="P3782" s="126"/>
      <x:c r="Q3782" s="126"/>
      <x:c r="R3782" s="126"/>
      <x:c r="S3782" s="124"/>
      <x:c r="T3782" s="124"/>
      <x:c r="U3782" s="124"/>
      <x:c r="V3782" s="124"/>
      <x:c r="W3782" s="124"/>
      <x:c r="X3782" s="124"/>
      <x:c r="AD3782"/>
      <x:c r="AE3782" s="145"/>
      <x:c r="AF3782" s="145"/>
      <x:c r="AG3782" s="145"/>
      <x:c r="AH3782" s="145"/>
      <x:c r="AI3782" s="145"/>
      <x:c r="AJ3782"/>
    </x:row>
    <x:row r="3783">
      <x:c r="F3783" s="124"/>
      <x:c r="G3783" s="124"/>
      <x:c r="H3783" s="124"/>
      <x:c r="I3783" s="124"/>
      <x:c r="J3783" s="124"/>
      <x:c r="M3783" s="126"/>
      <x:c r="P3783" s="126"/>
      <x:c r="Q3783" s="126"/>
      <x:c r="R3783" s="126"/>
      <x:c r="S3783" s="124"/>
      <x:c r="T3783" s="124"/>
      <x:c r="U3783" s="124"/>
      <x:c r="V3783" s="124"/>
      <x:c r="W3783" s="124"/>
      <x:c r="X3783" s="124"/>
      <x:c r="AD3783"/>
      <x:c r="AE3783" s="145"/>
      <x:c r="AF3783" s="145"/>
      <x:c r="AG3783" s="145"/>
      <x:c r="AH3783" s="145"/>
      <x:c r="AI3783" s="145"/>
      <x:c r="AJ3783"/>
    </x:row>
    <x:row r="3784">
      <x:c r="F3784" s="124"/>
      <x:c r="G3784" s="124"/>
      <x:c r="H3784" s="124"/>
      <x:c r="I3784" s="124"/>
      <x:c r="J3784" s="124"/>
      <x:c r="M3784" s="126"/>
      <x:c r="P3784" s="126"/>
      <x:c r="Q3784" s="126"/>
      <x:c r="R3784" s="126"/>
      <x:c r="S3784" s="124"/>
      <x:c r="T3784" s="124"/>
      <x:c r="U3784" s="124"/>
      <x:c r="V3784" s="124"/>
      <x:c r="W3784" s="124"/>
      <x:c r="X3784" s="124"/>
      <x:c r="AD3784"/>
      <x:c r="AE3784" s="145"/>
      <x:c r="AF3784" s="145"/>
      <x:c r="AG3784" s="145"/>
      <x:c r="AH3784" s="145"/>
      <x:c r="AI3784" s="145"/>
      <x:c r="AJ3784"/>
    </x:row>
    <x:row r="3785">
      <x:c r="F3785" s="124"/>
      <x:c r="G3785" s="124"/>
      <x:c r="H3785" s="124"/>
      <x:c r="I3785" s="124"/>
      <x:c r="J3785" s="124"/>
      <x:c r="M3785" s="126"/>
      <x:c r="P3785" s="126"/>
      <x:c r="Q3785" s="126"/>
      <x:c r="R3785" s="126"/>
      <x:c r="S3785" s="124"/>
      <x:c r="T3785" s="124"/>
      <x:c r="U3785" s="124"/>
      <x:c r="V3785" s="124"/>
      <x:c r="W3785" s="124"/>
      <x:c r="X3785" s="124"/>
      <x:c r="AD3785"/>
      <x:c r="AE3785" s="145"/>
      <x:c r="AF3785" s="145"/>
      <x:c r="AG3785" s="145"/>
      <x:c r="AH3785" s="145"/>
      <x:c r="AI3785" s="145"/>
      <x:c r="AJ3785"/>
    </x:row>
    <x:row r="3786">
      <x:c r="F3786" s="124"/>
      <x:c r="G3786" s="124"/>
      <x:c r="H3786" s="124"/>
      <x:c r="I3786" s="124"/>
      <x:c r="J3786" s="124"/>
      <x:c r="M3786" s="126"/>
      <x:c r="P3786" s="126"/>
      <x:c r="Q3786" s="126"/>
      <x:c r="R3786" s="126"/>
      <x:c r="S3786" s="124"/>
      <x:c r="T3786" s="124"/>
      <x:c r="U3786" s="124"/>
      <x:c r="V3786" s="124"/>
      <x:c r="W3786" s="124"/>
      <x:c r="X3786" s="124"/>
      <x:c r="AD3786"/>
      <x:c r="AE3786" s="145"/>
      <x:c r="AF3786" s="145"/>
      <x:c r="AG3786" s="145"/>
      <x:c r="AH3786" s="145"/>
      <x:c r="AI3786" s="145"/>
      <x:c r="AJ3786"/>
    </x:row>
    <x:row r="3787">
      <x:c r="F3787" s="124"/>
      <x:c r="G3787" s="124"/>
      <x:c r="H3787" s="124"/>
      <x:c r="I3787" s="124"/>
      <x:c r="J3787" s="124"/>
      <x:c r="M3787" s="126"/>
      <x:c r="P3787" s="126"/>
      <x:c r="Q3787" s="126"/>
      <x:c r="R3787" s="126"/>
      <x:c r="S3787" s="124"/>
      <x:c r="T3787" s="124"/>
      <x:c r="U3787" s="124"/>
      <x:c r="V3787" s="124"/>
      <x:c r="W3787" s="124"/>
      <x:c r="X3787" s="124"/>
      <x:c r="AD3787"/>
      <x:c r="AE3787" s="145"/>
      <x:c r="AF3787" s="145"/>
      <x:c r="AG3787" s="145"/>
      <x:c r="AH3787" s="145"/>
      <x:c r="AI3787" s="145"/>
      <x:c r="AJ3787"/>
    </x:row>
    <x:row r="3788">
      <x:c r="F3788" s="124"/>
      <x:c r="G3788" s="124"/>
      <x:c r="H3788" s="124"/>
      <x:c r="I3788" s="124"/>
      <x:c r="J3788" s="124"/>
      <x:c r="M3788" s="126"/>
      <x:c r="P3788" s="126"/>
      <x:c r="Q3788" s="126"/>
      <x:c r="R3788" s="126"/>
      <x:c r="S3788" s="124"/>
      <x:c r="T3788" s="124"/>
      <x:c r="U3788" s="124"/>
      <x:c r="V3788" s="124"/>
      <x:c r="W3788" s="124"/>
      <x:c r="X3788" s="124"/>
      <x:c r="AD3788"/>
      <x:c r="AE3788" s="145"/>
      <x:c r="AF3788" s="145"/>
      <x:c r="AG3788" s="145"/>
      <x:c r="AH3788" s="145"/>
      <x:c r="AI3788" s="145"/>
      <x:c r="AJ3788"/>
    </x:row>
    <x:row r="3789">
      <x:c r="F3789" s="124"/>
      <x:c r="G3789" s="124"/>
      <x:c r="H3789" s="124"/>
      <x:c r="I3789" s="124"/>
      <x:c r="J3789" s="124"/>
      <x:c r="M3789" s="126"/>
      <x:c r="P3789" s="126"/>
      <x:c r="Q3789" s="126"/>
      <x:c r="R3789" s="126"/>
      <x:c r="S3789" s="124"/>
      <x:c r="T3789" s="124"/>
      <x:c r="U3789" s="124"/>
      <x:c r="V3789" s="124"/>
      <x:c r="W3789" s="124"/>
      <x:c r="X3789" s="124"/>
      <x:c r="AD3789"/>
      <x:c r="AE3789" s="145"/>
      <x:c r="AF3789" s="145"/>
      <x:c r="AG3789" s="145"/>
      <x:c r="AH3789" s="145"/>
      <x:c r="AI3789" s="145"/>
      <x:c r="AJ3789"/>
    </x:row>
    <x:row r="3790">
      <x:c r="F3790" s="124"/>
      <x:c r="G3790" s="124"/>
      <x:c r="H3790" s="124"/>
      <x:c r="I3790" s="124"/>
      <x:c r="J3790" s="124"/>
      <x:c r="M3790" s="126"/>
      <x:c r="P3790" s="126"/>
      <x:c r="Q3790" s="126"/>
      <x:c r="R3790" s="126"/>
      <x:c r="S3790" s="124"/>
      <x:c r="T3790" s="124"/>
      <x:c r="U3790" s="124"/>
      <x:c r="V3790" s="124"/>
      <x:c r="W3790" s="124"/>
      <x:c r="X3790" s="124"/>
      <x:c r="AD3790"/>
      <x:c r="AE3790" s="145"/>
      <x:c r="AF3790" s="145"/>
      <x:c r="AG3790" s="145"/>
      <x:c r="AH3790" s="145"/>
      <x:c r="AI3790" s="145"/>
      <x:c r="AJ3790"/>
    </x:row>
    <x:row r="3791">
      <x:c r="F3791" s="124"/>
      <x:c r="G3791" s="124"/>
      <x:c r="H3791" s="124"/>
      <x:c r="I3791" s="124"/>
      <x:c r="J3791" s="124"/>
      <x:c r="M3791" s="126"/>
      <x:c r="P3791" s="126"/>
      <x:c r="Q3791" s="126"/>
      <x:c r="R3791" s="126"/>
      <x:c r="S3791" s="124"/>
      <x:c r="T3791" s="124"/>
      <x:c r="U3791" s="124"/>
      <x:c r="V3791" s="124"/>
      <x:c r="W3791" s="124"/>
      <x:c r="X3791" s="124"/>
      <x:c r="AD3791"/>
      <x:c r="AE3791" s="145"/>
      <x:c r="AF3791" s="145"/>
      <x:c r="AG3791" s="145"/>
      <x:c r="AH3791" s="145"/>
      <x:c r="AI3791" s="145"/>
      <x:c r="AJ3791"/>
    </x:row>
    <x:row r="3792">
      <x:c r="F3792" s="124"/>
      <x:c r="G3792" s="124"/>
      <x:c r="H3792" s="124"/>
      <x:c r="I3792" s="124"/>
      <x:c r="J3792" s="124"/>
      <x:c r="M3792" s="126"/>
      <x:c r="P3792" s="126"/>
      <x:c r="Q3792" s="126"/>
      <x:c r="R3792" s="126"/>
      <x:c r="S3792" s="124"/>
      <x:c r="T3792" s="124"/>
      <x:c r="U3792" s="124"/>
      <x:c r="V3792" s="124"/>
      <x:c r="W3792" s="124"/>
      <x:c r="X3792" s="124"/>
      <x:c r="AD3792"/>
      <x:c r="AE3792" s="145"/>
      <x:c r="AF3792" s="145"/>
      <x:c r="AG3792" s="145"/>
      <x:c r="AH3792" s="145"/>
      <x:c r="AI3792" s="145"/>
      <x:c r="AJ3792"/>
    </x:row>
    <x:row r="3793">
      <x:c r="F3793" s="124"/>
      <x:c r="G3793" s="124"/>
      <x:c r="H3793" s="124"/>
      <x:c r="I3793" s="124"/>
      <x:c r="J3793" s="124"/>
      <x:c r="M3793" s="126"/>
      <x:c r="P3793" s="126"/>
      <x:c r="Q3793" s="126"/>
      <x:c r="R3793" s="126"/>
      <x:c r="S3793" s="124"/>
      <x:c r="T3793" s="124"/>
      <x:c r="U3793" s="124"/>
      <x:c r="V3793" s="124"/>
      <x:c r="W3793" s="124"/>
      <x:c r="X3793" s="124"/>
      <x:c r="AD3793"/>
      <x:c r="AE3793" s="145"/>
      <x:c r="AF3793" s="145"/>
      <x:c r="AG3793" s="145"/>
      <x:c r="AH3793" s="145"/>
      <x:c r="AI3793" s="145"/>
      <x:c r="AJ3793"/>
    </x:row>
    <x:row r="3794">
      <x:c r="F3794" s="124"/>
      <x:c r="G3794" s="124"/>
      <x:c r="H3794" s="124"/>
      <x:c r="I3794" s="124"/>
      <x:c r="J3794" s="124"/>
      <x:c r="M3794" s="126"/>
      <x:c r="P3794" s="126"/>
      <x:c r="Q3794" s="126"/>
      <x:c r="R3794" s="126"/>
      <x:c r="S3794" s="124"/>
      <x:c r="T3794" s="124"/>
      <x:c r="U3794" s="124"/>
      <x:c r="V3794" s="124"/>
      <x:c r="W3794" s="124"/>
      <x:c r="X3794" s="124"/>
      <x:c r="AD3794"/>
      <x:c r="AE3794" s="145"/>
      <x:c r="AF3794" s="145"/>
      <x:c r="AG3794" s="145"/>
      <x:c r="AH3794" s="145"/>
      <x:c r="AI3794" s="145"/>
      <x:c r="AJ3794"/>
    </x:row>
    <x:row r="3795">
      <x:c r="F3795" s="124"/>
      <x:c r="G3795" s="124"/>
      <x:c r="H3795" s="124"/>
      <x:c r="I3795" s="124"/>
      <x:c r="J3795" s="124"/>
      <x:c r="M3795" s="126"/>
      <x:c r="P3795" s="126"/>
      <x:c r="Q3795" s="126"/>
      <x:c r="R3795" s="126"/>
      <x:c r="S3795" s="124"/>
      <x:c r="T3795" s="124"/>
      <x:c r="U3795" s="124"/>
      <x:c r="V3795" s="124"/>
      <x:c r="W3795" s="124"/>
      <x:c r="X3795" s="124"/>
      <x:c r="AD3795"/>
      <x:c r="AE3795" s="145"/>
      <x:c r="AF3795" s="145"/>
      <x:c r="AG3795" s="145"/>
      <x:c r="AH3795" s="145"/>
      <x:c r="AI3795" s="145"/>
      <x:c r="AJ3795"/>
    </x:row>
    <x:row r="3796">
      <x:c r="F3796" s="124"/>
      <x:c r="G3796" s="124"/>
      <x:c r="H3796" s="124"/>
      <x:c r="I3796" s="124"/>
      <x:c r="J3796" s="124"/>
      <x:c r="M3796" s="126"/>
      <x:c r="P3796" s="126"/>
      <x:c r="Q3796" s="126"/>
      <x:c r="R3796" s="126"/>
      <x:c r="S3796" s="124"/>
      <x:c r="T3796" s="124"/>
      <x:c r="U3796" s="124"/>
      <x:c r="V3796" s="124"/>
      <x:c r="W3796" s="124"/>
      <x:c r="X3796" s="124"/>
      <x:c r="AD3796"/>
      <x:c r="AE3796" s="145"/>
      <x:c r="AF3796" s="145"/>
      <x:c r="AG3796" s="145"/>
      <x:c r="AH3796" s="145"/>
      <x:c r="AI3796" s="145"/>
      <x:c r="AJ3796"/>
    </x:row>
    <x:row r="3797">
      <x:c r="F3797" s="124"/>
      <x:c r="G3797" s="124"/>
      <x:c r="H3797" s="124"/>
      <x:c r="I3797" s="124"/>
      <x:c r="J3797" s="124"/>
      <x:c r="M3797" s="126"/>
      <x:c r="P3797" s="126"/>
      <x:c r="Q3797" s="126"/>
      <x:c r="R3797" s="126"/>
      <x:c r="S3797" s="124"/>
      <x:c r="T3797" s="124"/>
      <x:c r="U3797" s="124"/>
      <x:c r="V3797" s="124"/>
      <x:c r="W3797" s="124"/>
      <x:c r="X3797" s="124"/>
      <x:c r="AD3797"/>
      <x:c r="AE3797" s="145"/>
      <x:c r="AF3797" s="145"/>
      <x:c r="AG3797" s="145"/>
      <x:c r="AH3797" s="145"/>
      <x:c r="AI3797" s="145"/>
      <x:c r="AJ3797"/>
    </x:row>
    <x:row r="3798">
      <x:c r="F3798" s="124"/>
      <x:c r="G3798" s="124"/>
      <x:c r="H3798" s="124"/>
      <x:c r="I3798" s="124"/>
      <x:c r="J3798" s="124"/>
      <x:c r="M3798" s="126"/>
      <x:c r="P3798" s="126"/>
      <x:c r="Q3798" s="126"/>
      <x:c r="R3798" s="126"/>
      <x:c r="S3798" s="124"/>
      <x:c r="T3798" s="124"/>
      <x:c r="U3798" s="124"/>
      <x:c r="V3798" s="124"/>
      <x:c r="W3798" s="124"/>
      <x:c r="X3798" s="124"/>
      <x:c r="AD3798"/>
      <x:c r="AE3798" s="145"/>
      <x:c r="AF3798" s="145"/>
      <x:c r="AG3798" s="145"/>
      <x:c r="AH3798" s="145"/>
      <x:c r="AI3798" s="145"/>
      <x:c r="AJ3798"/>
    </x:row>
    <x:row r="3799">
      <x:c r="F3799" s="124"/>
      <x:c r="G3799" s="124"/>
      <x:c r="H3799" s="124"/>
      <x:c r="I3799" s="124"/>
      <x:c r="J3799" s="124"/>
      <x:c r="M3799" s="126"/>
      <x:c r="P3799" s="126"/>
      <x:c r="Q3799" s="126"/>
      <x:c r="R3799" s="126"/>
      <x:c r="S3799" s="124"/>
      <x:c r="T3799" s="124"/>
      <x:c r="U3799" s="124"/>
      <x:c r="V3799" s="124"/>
      <x:c r="W3799" s="124"/>
      <x:c r="X3799" s="124"/>
      <x:c r="AD3799"/>
      <x:c r="AE3799" s="145"/>
      <x:c r="AF3799" s="145"/>
      <x:c r="AG3799" s="145"/>
      <x:c r="AH3799" s="145"/>
      <x:c r="AI3799" s="145"/>
      <x:c r="AJ3799"/>
    </x:row>
    <x:row r="3800">
      <x:c r="F3800" s="124"/>
      <x:c r="G3800" s="124"/>
      <x:c r="H3800" s="124"/>
      <x:c r="I3800" s="124"/>
      <x:c r="J3800" s="124"/>
      <x:c r="M3800" s="126"/>
      <x:c r="P3800" s="126"/>
      <x:c r="Q3800" s="126"/>
      <x:c r="R3800" s="126"/>
      <x:c r="S3800" s="124"/>
      <x:c r="T3800" s="124"/>
      <x:c r="U3800" s="124"/>
      <x:c r="V3800" s="124"/>
      <x:c r="W3800" s="124"/>
      <x:c r="X3800" s="124"/>
      <x:c r="AD3800"/>
      <x:c r="AE3800" s="145"/>
      <x:c r="AF3800" s="145"/>
      <x:c r="AG3800" s="145"/>
      <x:c r="AH3800" s="145"/>
      <x:c r="AI3800" s="145"/>
      <x:c r="AJ3800"/>
    </x:row>
    <x:row r="3801">
      <x:c r="F3801" s="124"/>
      <x:c r="G3801" s="124"/>
      <x:c r="H3801" s="124"/>
      <x:c r="I3801" s="124"/>
      <x:c r="J3801" s="124"/>
      <x:c r="M3801" s="126"/>
      <x:c r="P3801" s="126"/>
      <x:c r="Q3801" s="126"/>
      <x:c r="R3801" s="126"/>
      <x:c r="S3801" s="124"/>
      <x:c r="T3801" s="124"/>
      <x:c r="U3801" s="124"/>
      <x:c r="V3801" s="124"/>
      <x:c r="W3801" s="124"/>
      <x:c r="X3801" s="124"/>
      <x:c r="AD3801"/>
      <x:c r="AE3801" s="145"/>
      <x:c r="AF3801" s="145"/>
      <x:c r="AG3801" s="145"/>
      <x:c r="AH3801" s="145"/>
      <x:c r="AI3801" s="145"/>
      <x:c r="AJ3801"/>
    </x:row>
    <x:row r="3802">
      <x:c r="F3802" s="124"/>
      <x:c r="G3802" s="124"/>
      <x:c r="H3802" s="124"/>
      <x:c r="I3802" s="124"/>
      <x:c r="J3802" s="124"/>
      <x:c r="M3802" s="126"/>
      <x:c r="P3802" s="126"/>
      <x:c r="Q3802" s="126"/>
      <x:c r="R3802" s="126"/>
      <x:c r="S3802" s="124"/>
      <x:c r="T3802" s="124"/>
      <x:c r="U3802" s="124"/>
      <x:c r="V3802" s="124"/>
      <x:c r="W3802" s="124"/>
      <x:c r="X3802" s="124"/>
      <x:c r="AD3802"/>
      <x:c r="AE3802" s="145"/>
      <x:c r="AF3802" s="145"/>
      <x:c r="AG3802" s="145"/>
      <x:c r="AH3802" s="145"/>
      <x:c r="AI3802" s="145"/>
      <x:c r="AJ3802"/>
    </x:row>
    <x:row r="3803">
      <x:c r="F3803" s="124"/>
      <x:c r="G3803" s="124"/>
      <x:c r="H3803" s="124"/>
      <x:c r="I3803" s="124"/>
      <x:c r="J3803" s="124"/>
      <x:c r="M3803" s="126"/>
      <x:c r="P3803" s="126"/>
      <x:c r="Q3803" s="126"/>
      <x:c r="R3803" s="126"/>
      <x:c r="S3803" s="124"/>
      <x:c r="T3803" s="124"/>
      <x:c r="U3803" s="124"/>
      <x:c r="V3803" s="124"/>
      <x:c r="W3803" s="124"/>
      <x:c r="X3803" s="124"/>
      <x:c r="AD3803"/>
      <x:c r="AE3803" s="145"/>
      <x:c r="AF3803" s="145"/>
      <x:c r="AG3803" s="145"/>
      <x:c r="AH3803" s="145"/>
      <x:c r="AI3803" s="145"/>
      <x:c r="AJ3803"/>
    </x:row>
    <x:row r="3804">
      <x:c r="F3804" s="124"/>
      <x:c r="G3804" s="124"/>
      <x:c r="H3804" s="124"/>
      <x:c r="I3804" s="124"/>
      <x:c r="J3804" s="124"/>
      <x:c r="M3804" s="126"/>
      <x:c r="P3804" s="126"/>
      <x:c r="Q3804" s="126"/>
      <x:c r="R3804" s="126"/>
      <x:c r="S3804" s="124"/>
      <x:c r="T3804" s="124"/>
      <x:c r="U3804" s="124"/>
      <x:c r="V3804" s="124"/>
      <x:c r="W3804" s="124"/>
      <x:c r="X3804" s="124"/>
      <x:c r="AD3804"/>
      <x:c r="AE3804" s="145"/>
      <x:c r="AF3804" s="145"/>
      <x:c r="AG3804" s="145"/>
      <x:c r="AH3804" s="145"/>
      <x:c r="AI3804" s="145"/>
      <x:c r="AJ3804"/>
    </x:row>
    <x:row r="3805">
      <x:c r="F3805" s="124"/>
      <x:c r="G3805" s="124"/>
      <x:c r="H3805" s="124"/>
      <x:c r="I3805" s="124"/>
      <x:c r="J3805" s="124"/>
      <x:c r="M3805" s="126"/>
      <x:c r="P3805" s="126"/>
      <x:c r="Q3805" s="126"/>
      <x:c r="R3805" s="126"/>
      <x:c r="S3805" s="124"/>
      <x:c r="T3805" s="124"/>
      <x:c r="U3805" s="124"/>
      <x:c r="V3805" s="124"/>
      <x:c r="W3805" s="124"/>
      <x:c r="X3805" s="124"/>
      <x:c r="AD3805"/>
      <x:c r="AE3805" s="145"/>
      <x:c r="AF3805" s="145"/>
      <x:c r="AG3805" s="145"/>
      <x:c r="AH3805" s="145"/>
      <x:c r="AI3805" s="145"/>
      <x:c r="AJ3805"/>
    </x:row>
    <x:row r="3806">
      <x:c r="F3806" s="124"/>
      <x:c r="G3806" s="124"/>
      <x:c r="H3806" s="124"/>
      <x:c r="I3806" s="124"/>
      <x:c r="J3806" s="124"/>
      <x:c r="M3806" s="126"/>
      <x:c r="P3806" s="126"/>
      <x:c r="Q3806" s="126"/>
      <x:c r="R3806" s="126"/>
      <x:c r="S3806" s="124"/>
      <x:c r="T3806" s="124"/>
      <x:c r="U3806" s="124"/>
      <x:c r="V3806" s="124"/>
      <x:c r="W3806" s="124"/>
      <x:c r="X3806" s="124"/>
      <x:c r="AD3806"/>
      <x:c r="AE3806" s="145"/>
      <x:c r="AF3806" s="145"/>
      <x:c r="AG3806" s="145"/>
      <x:c r="AH3806" s="145"/>
      <x:c r="AI3806" s="145"/>
      <x:c r="AJ3806"/>
    </x:row>
    <x:row r="3807">
      <x:c r="F3807" s="124"/>
      <x:c r="G3807" s="124"/>
      <x:c r="H3807" s="124"/>
      <x:c r="I3807" s="124"/>
      <x:c r="J3807" s="124"/>
      <x:c r="M3807" s="126"/>
      <x:c r="P3807" s="126"/>
      <x:c r="Q3807" s="126"/>
      <x:c r="R3807" s="126"/>
      <x:c r="S3807" s="124"/>
      <x:c r="T3807" s="124"/>
      <x:c r="U3807" s="124"/>
      <x:c r="V3807" s="124"/>
      <x:c r="W3807" s="124"/>
      <x:c r="X3807" s="124"/>
      <x:c r="AD3807"/>
      <x:c r="AE3807" s="145"/>
      <x:c r="AF3807" s="145"/>
      <x:c r="AG3807" s="145"/>
      <x:c r="AH3807" s="145"/>
      <x:c r="AI3807" s="145"/>
      <x:c r="AJ3807"/>
    </x:row>
    <x:row r="3808">
      <x:c r="F3808" s="124"/>
      <x:c r="G3808" s="124"/>
      <x:c r="H3808" s="124"/>
      <x:c r="I3808" s="124"/>
      <x:c r="J3808" s="124"/>
      <x:c r="M3808" s="126"/>
      <x:c r="P3808" s="126"/>
      <x:c r="Q3808" s="126"/>
      <x:c r="R3808" s="126"/>
      <x:c r="S3808" s="124"/>
      <x:c r="T3808" s="124"/>
      <x:c r="U3808" s="124"/>
      <x:c r="V3808" s="124"/>
      <x:c r="W3808" s="124"/>
      <x:c r="X3808" s="124"/>
      <x:c r="AD3808"/>
      <x:c r="AE3808" s="145"/>
      <x:c r="AF3808" s="145"/>
      <x:c r="AG3808" s="145"/>
      <x:c r="AH3808" s="145"/>
      <x:c r="AI3808" s="145"/>
      <x:c r="AJ3808"/>
    </x:row>
    <x:row r="3809">
      <x:c r="F3809" s="124"/>
      <x:c r="G3809" s="124"/>
      <x:c r="H3809" s="124"/>
      <x:c r="I3809" s="124"/>
      <x:c r="J3809" s="124"/>
      <x:c r="M3809" s="126"/>
      <x:c r="P3809" s="126"/>
      <x:c r="Q3809" s="126"/>
      <x:c r="R3809" s="126"/>
      <x:c r="S3809" s="124"/>
      <x:c r="T3809" s="124"/>
      <x:c r="U3809" s="124"/>
      <x:c r="V3809" s="124"/>
      <x:c r="W3809" s="124"/>
      <x:c r="X3809" s="124"/>
      <x:c r="AD3809"/>
      <x:c r="AE3809" s="145"/>
      <x:c r="AF3809" s="145"/>
      <x:c r="AG3809" s="145"/>
      <x:c r="AH3809" s="145"/>
      <x:c r="AI3809" s="145"/>
      <x:c r="AJ3809"/>
    </x:row>
    <x:row r="3810">
      <x:c r="F3810" s="124"/>
      <x:c r="G3810" s="124"/>
      <x:c r="H3810" s="124"/>
      <x:c r="I3810" s="124"/>
      <x:c r="J3810" s="124"/>
      <x:c r="M3810" s="126"/>
      <x:c r="P3810" s="126"/>
      <x:c r="Q3810" s="126"/>
      <x:c r="R3810" s="126"/>
      <x:c r="S3810" s="124"/>
      <x:c r="T3810" s="124"/>
      <x:c r="U3810" s="124"/>
      <x:c r="V3810" s="124"/>
      <x:c r="W3810" s="124"/>
      <x:c r="X3810" s="124"/>
      <x:c r="AD3810"/>
      <x:c r="AE3810" s="145"/>
      <x:c r="AF3810" s="145"/>
      <x:c r="AG3810" s="145"/>
      <x:c r="AH3810" s="145"/>
      <x:c r="AI3810" s="145"/>
      <x:c r="AJ3810"/>
    </x:row>
    <x:row r="3811">
      <x:c r="F3811" s="124"/>
      <x:c r="G3811" s="124"/>
      <x:c r="H3811" s="124"/>
      <x:c r="I3811" s="124"/>
      <x:c r="J3811" s="124"/>
      <x:c r="M3811" s="126"/>
      <x:c r="P3811" s="126"/>
      <x:c r="Q3811" s="126"/>
      <x:c r="R3811" s="126"/>
      <x:c r="S3811" s="124"/>
      <x:c r="T3811" s="124"/>
      <x:c r="U3811" s="124"/>
      <x:c r="V3811" s="124"/>
      <x:c r="W3811" s="124"/>
      <x:c r="X3811" s="124"/>
      <x:c r="AD3811"/>
      <x:c r="AE3811" s="145"/>
      <x:c r="AF3811" s="145"/>
      <x:c r="AG3811" s="145"/>
      <x:c r="AH3811" s="145"/>
      <x:c r="AI3811" s="145"/>
      <x:c r="AJ3811"/>
    </x:row>
    <x:row r="3812">
      <x:c r="F3812" s="124"/>
      <x:c r="G3812" s="124"/>
      <x:c r="H3812" s="124"/>
      <x:c r="I3812" s="124"/>
      <x:c r="J3812" s="124"/>
      <x:c r="M3812" s="126"/>
      <x:c r="P3812" s="126"/>
      <x:c r="Q3812" s="126"/>
      <x:c r="R3812" s="126"/>
      <x:c r="S3812" s="124"/>
      <x:c r="T3812" s="124"/>
      <x:c r="U3812" s="124"/>
      <x:c r="V3812" s="124"/>
      <x:c r="W3812" s="124"/>
      <x:c r="X3812" s="124"/>
      <x:c r="AD3812"/>
      <x:c r="AE3812" s="145"/>
      <x:c r="AF3812" s="145"/>
      <x:c r="AG3812" s="145"/>
      <x:c r="AH3812" s="145"/>
      <x:c r="AI3812" s="145"/>
      <x:c r="AJ3812"/>
    </x:row>
    <x:row r="3813">
      <x:c r="F3813" s="124"/>
      <x:c r="G3813" s="124"/>
      <x:c r="H3813" s="124"/>
      <x:c r="I3813" s="124"/>
      <x:c r="J3813" s="124"/>
      <x:c r="M3813" s="126"/>
      <x:c r="P3813" s="126"/>
      <x:c r="Q3813" s="126"/>
      <x:c r="R3813" s="126"/>
      <x:c r="S3813" s="124"/>
      <x:c r="T3813" s="124"/>
      <x:c r="U3813" s="124"/>
      <x:c r="V3813" s="124"/>
      <x:c r="W3813" s="124"/>
      <x:c r="X3813" s="124"/>
      <x:c r="AD3813"/>
      <x:c r="AE3813" s="145"/>
      <x:c r="AF3813" s="145"/>
      <x:c r="AG3813" s="145"/>
      <x:c r="AH3813" s="145"/>
      <x:c r="AI3813" s="145"/>
      <x:c r="AJ3813"/>
    </x:row>
    <x:row r="3814">
      <x:c r="F3814" s="124"/>
      <x:c r="G3814" s="124"/>
      <x:c r="H3814" s="124"/>
      <x:c r="I3814" s="124"/>
      <x:c r="J3814" s="124"/>
      <x:c r="M3814" s="126"/>
      <x:c r="P3814" s="126"/>
      <x:c r="Q3814" s="126"/>
      <x:c r="R3814" s="126"/>
      <x:c r="S3814" s="124"/>
      <x:c r="T3814" s="124"/>
      <x:c r="U3814" s="124"/>
      <x:c r="V3814" s="124"/>
      <x:c r="W3814" s="124"/>
      <x:c r="X3814" s="124"/>
      <x:c r="AD3814"/>
      <x:c r="AE3814" s="145"/>
      <x:c r="AF3814" s="145"/>
      <x:c r="AG3814" s="145"/>
      <x:c r="AH3814" s="145"/>
      <x:c r="AI3814" s="145"/>
      <x:c r="AJ3814"/>
    </x:row>
    <x:row r="3815">
      <x:c r="F3815" s="124"/>
      <x:c r="G3815" s="124"/>
      <x:c r="H3815" s="124"/>
      <x:c r="I3815" s="124"/>
      <x:c r="J3815" s="124"/>
      <x:c r="M3815" s="126"/>
      <x:c r="P3815" s="126"/>
      <x:c r="Q3815" s="126"/>
      <x:c r="R3815" s="126"/>
      <x:c r="S3815" s="124"/>
      <x:c r="T3815" s="124"/>
      <x:c r="U3815" s="124"/>
      <x:c r="V3815" s="124"/>
      <x:c r="W3815" s="124"/>
      <x:c r="X3815" s="124"/>
      <x:c r="AD3815"/>
      <x:c r="AE3815" s="145"/>
      <x:c r="AF3815" s="145"/>
      <x:c r="AG3815" s="145"/>
      <x:c r="AH3815" s="145"/>
      <x:c r="AI3815" s="145"/>
      <x:c r="AJ3815"/>
    </x:row>
    <x:row r="3816">
      <x:c r="F3816" s="124"/>
      <x:c r="G3816" s="124"/>
      <x:c r="H3816" s="124"/>
      <x:c r="I3816" s="124"/>
      <x:c r="J3816" s="124"/>
      <x:c r="M3816" s="126"/>
      <x:c r="P3816" s="126"/>
      <x:c r="Q3816" s="126"/>
      <x:c r="R3816" s="126"/>
      <x:c r="S3816" s="124"/>
      <x:c r="T3816" s="124"/>
      <x:c r="U3816" s="124"/>
      <x:c r="V3816" s="124"/>
      <x:c r="W3816" s="124"/>
      <x:c r="X3816" s="124"/>
      <x:c r="AD3816"/>
      <x:c r="AE3816" s="145"/>
      <x:c r="AF3816" s="145"/>
      <x:c r="AG3816" s="145"/>
      <x:c r="AH3816" s="145"/>
      <x:c r="AI3816" s="145"/>
      <x:c r="AJ3816"/>
    </x:row>
    <x:row r="3817">
      <x:c r="F3817" s="124"/>
      <x:c r="G3817" s="124"/>
      <x:c r="H3817" s="124"/>
      <x:c r="I3817" s="124"/>
      <x:c r="J3817" s="124"/>
      <x:c r="M3817" s="126"/>
      <x:c r="P3817" s="126"/>
      <x:c r="Q3817" s="126"/>
      <x:c r="R3817" s="126"/>
      <x:c r="S3817" s="124"/>
      <x:c r="T3817" s="124"/>
      <x:c r="U3817" s="124"/>
      <x:c r="V3817" s="124"/>
      <x:c r="W3817" s="124"/>
      <x:c r="X3817" s="124"/>
      <x:c r="AD3817"/>
      <x:c r="AE3817" s="145"/>
      <x:c r="AF3817" s="145"/>
      <x:c r="AG3817" s="145"/>
      <x:c r="AH3817" s="145"/>
      <x:c r="AI3817" s="145"/>
      <x:c r="AJ3817"/>
    </x:row>
    <x:row r="3818">
      <x:c r="F3818" s="124"/>
      <x:c r="G3818" s="124"/>
      <x:c r="H3818" s="124"/>
      <x:c r="I3818" s="124"/>
      <x:c r="J3818" s="124"/>
      <x:c r="M3818" s="126"/>
      <x:c r="P3818" s="126"/>
      <x:c r="Q3818" s="126"/>
      <x:c r="R3818" s="126"/>
      <x:c r="S3818" s="124"/>
      <x:c r="T3818" s="124"/>
      <x:c r="U3818" s="124"/>
      <x:c r="V3818" s="124"/>
      <x:c r="W3818" s="124"/>
      <x:c r="X3818" s="124"/>
      <x:c r="AD3818"/>
      <x:c r="AE3818" s="145"/>
      <x:c r="AF3818" s="145"/>
      <x:c r="AG3818" s="145"/>
      <x:c r="AH3818" s="145"/>
      <x:c r="AI3818" s="145"/>
      <x:c r="AJ3818"/>
    </x:row>
    <x:row r="3819">
      <x:c r="F3819" s="124"/>
      <x:c r="G3819" s="124"/>
      <x:c r="H3819" s="124"/>
      <x:c r="I3819" s="124"/>
      <x:c r="J3819" s="124"/>
      <x:c r="M3819" s="126"/>
      <x:c r="P3819" s="126"/>
      <x:c r="Q3819" s="126"/>
      <x:c r="R3819" s="126"/>
      <x:c r="S3819" s="124"/>
      <x:c r="T3819" s="124"/>
      <x:c r="U3819" s="124"/>
      <x:c r="V3819" s="124"/>
      <x:c r="W3819" s="124"/>
      <x:c r="X3819" s="124"/>
      <x:c r="AD3819"/>
      <x:c r="AE3819" s="145"/>
      <x:c r="AF3819" s="145"/>
      <x:c r="AG3819" s="145"/>
      <x:c r="AH3819" s="145"/>
      <x:c r="AI3819" s="145"/>
      <x:c r="AJ3819"/>
    </x:row>
    <x:row r="3820">
      <x:c r="F3820" s="124"/>
      <x:c r="G3820" s="124"/>
      <x:c r="H3820" s="124"/>
      <x:c r="I3820" s="124"/>
      <x:c r="J3820" s="124"/>
      <x:c r="M3820" s="126"/>
      <x:c r="P3820" s="126"/>
      <x:c r="Q3820" s="126"/>
      <x:c r="R3820" s="126"/>
      <x:c r="S3820" s="124"/>
      <x:c r="T3820" s="124"/>
      <x:c r="U3820" s="124"/>
      <x:c r="V3820" s="124"/>
      <x:c r="W3820" s="124"/>
      <x:c r="X3820" s="124"/>
      <x:c r="AD3820"/>
      <x:c r="AE3820" s="145"/>
      <x:c r="AF3820" s="145"/>
      <x:c r="AG3820" s="145"/>
      <x:c r="AH3820" s="145"/>
      <x:c r="AI3820" s="145"/>
      <x:c r="AJ3820"/>
    </x:row>
    <x:row r="3821">
      <x:c r="F3821" s="124"/>
      <x:c r="G3821" s="124"/>
      <x:c r="H3821" s="124"/>
      <x:c r="I3821" s="124"/>
      <x:c r="J3821" s="124"/>
      <x:c r="M3821" s="126"/>
      <x:c r="P3821" s="126"/>
      <x:c r="Q3821" s="126"/>
      <x:c r="R3821" s="126"/>
      <x:c r="S3821" s="124"/>
      <x:c r="T3821" s="124"/>
      <x:c r="U3821" s="124"/>
      <x:c r="V3821" s="124"/>
      <x:c r="W3821" s="124"/>
      <x:c r="X3821" s="124"/>
      <x:c r="AD3821"/>
      <x:c r="AE3821" s="145"/>
      <x:c r="AF3821" s="145"/>
      <x:c r="AG3821" s="145"/>
      <x:c r="AH3821" s="145"/>
      <x:c r="AI3821" s="145"/>
      <x:c r="AJ3821"/>
    </x:row>
    <x:row r="3822">
      <x:c r="F3822" s="124"/>
      <x:c r="G3822" s="124"/>
      <x:c r="H3822" s="124"/>
      <x:c r="I3822" s="124"/>
      <x:c r="J3822" s="124"/>
      <x:c r="M3822" s="126"/>
      <x:c r="P3822" s="126"/>
      <x:c r="Q3822" s="126"/>
      <x:c r="R3822" s="126"/>
      <x:c r="S3822" s="124"/>
      <x:c r="T3822" s="124"/>
      <x:c r="U3822" s="124"/>
      <x:c r="V3822" s="124"/>
      <x:c r="W3822" s="124"/>
      <x:c r="X3822" s="124"/>
      <x:c r="AD3822"/>
      <x:c r="AE3822" s="145"/>
      <x:c r="AF3822" s="145"/>
      <x:c r="AG3822" s="145"/>
      <x:c r="AH3822" s="145"/>
      <x:c r="AI3822" s="145"/>
      <x:c r="AJ3822"/>
    </x:row>
    <x:row r="3823">
      <x:c r="F3823" s="124"/>
      <x:c r="G3823" s="124"/>
      <x:c r="H3823" s="124"/>
      <x:c r="I3823" s="124"/>
      <x:c r="J3823" s="124"/>
      <x:c r="M3823" s="126"/>
      <x:c r="P3823" s="126"/>
      <x:c r="Q3823" s="126"/>
      <x:c r="R3823" s="126"/>
      <x:c r="S3823" s="124"/>
      <x:c r="T3823" s="124"/>
      <x:c r="U3823" s="124"/>
      <x:c r="V3823" s="124"/>
      <x:c r="W3823" s="124"/>
      <x:c r="X3823" s="124"/>
      <x:c r="AD3823"/>
      <x:c r="AE3823" s="145"/>
      <x:c r="AF3823" s="145"/>
      <x:c r="AG3823" s="145"/>
      <x:c r="AH3823" s="145"/>
      <x:c r="AI3823" s="145"/>
      <x:c r="AJ3823"/>
    </x:row>
    <x:row r="3824">
      <x:c r="F3824" s="124"/>
      <x:c r="G3824" s="124"/>
      <x:c r="H3824" s="124"/>
      <x:c r="I3824" s="124"/>
      <x:c r="J3824" s="124"/>
      <x:c r="M3824" s="126"/>
      <x:c r="P3824" s="126"/>
      <x:c r="Q3824" s="126"/>
      <x:c r="R3824" s="126"/>
      <x:c r="S3824" s="124"/>
      <x:c r="T3824" s="124"/>
      <x:c r="U3824" s="124"/>
      <x:c r="V3824" s="124"/>
      <x:c r="W3824" s="124"/>
      <x:c r="X3824" s="124"/>
      <x:c r="AD3824"/>
      <x:c r="AE3824" s="145"/>
      <x:c r="AF3824" s="145"/>
      <x:c r="AG3824" s="145"/>
      <x:c r="AH3824" s="145"/>
      <x:c r="AI3824" s="145"/>
      <x:c r="AJ3824"/>
    </x:row>
    <x:row r="3825">
      <x:c r="F3825" s="124"/>
      <x:c r="G3825" s="124"/>
      <x:c r="H3825" s="124"/>
      <x:c r="I3825" s="124"/>
      <x:c r="J3825" s="124"/>
      <x:c r="M3825" s="126"/>
      <x:c r="P3825" s="126"/>
      <x:c r="Q3825" s="126"/>
      <x:c r="R3825" s="126"/>
      <x:c r="S3825" s="124"/>
      <x:c r="T3825" s="124"/>
      <x:c r="U3825" s="124"/>
      <x:c r="V3825" s="124"/>
      <x:c r="W3825" s="124"/>
      <x:c r="X3825" s="124"/>
      <x:c r="AD3825"/>
      <x:c r="AE3825" s="145"/>
      <x:c r="AF3825" s="145"/>
      <x:c r="AG3825" s="145"/>
      <x:c r="AH3825" s="145"/>
      <x:c r="AI3825" s="145"/>
      <x:c r="AJ3825"/>
    </x:row>
    <x:row r="3826">
      <x:c r="F3826" s="124"/>
      <x:c r="G3826" s="124"/>
      <x:c r="H3826" s="124"/>
      <x:c r="I3826" s="124"/>
      <x:c r="J3826" s="124"/>
      <x:c r="M3826" s="126"/>
      <x:c r="P3826" s="126"/>
      <x:c r="Q3826" s="126"/>
      <x:c r="R3826" s="126"/>
      <x:c r="S3826" s="124"/>
      <x:c r="T3826" s="124"/>
      <x:c r="U3826" s="124"/>
      <x:c r="V3826" s="124"/>
      <x:c r="W3826" s="124"/>
      <x:c r="X3826" s="124"/>
      <x:c r="AD3826"/>
      <x:c r="AE3826" s="145"/>
      <x:c r="AF3826" s="145"/>
      <x:c r="AG3826" s="145"/>
      <x:c r="AH3826" s="145"/>
      <x:c r="AI3826" s="145"/>
      <x:c r="AJ3826"/>
    </x:row>
    <x:row r="3827">
      <x:c r="F3827" s="124"/>
      <x:c r="G3827" s="124"/>
      <x:c r="H3827" s="124"/>
      <x:c r="I3827" s="124"/>
      <x:c r="J3827" s="124"/>
      <x:c r="M3827" s="126"/>
      <x:c r="P3827" s="126"/>
      <x:c r="Q3827" s="126"/>
      <x:c r="R3827" s="126"/>
      <x:c r="S3827" s="124"/>
      <x:c r="T3827" s="124"/>
      <x:c r="U3827" s="124"/>
      <x:c r="V3827" s="124"/>
      <x:c r="W3827" s="124"/>
      <x:c r="X3827" s="124"/>
      <x:c r="AD3827"/>
      <x:c r="AE3827" s="145"/>
      <x:c r="AF3827" s="145"/>
      <x:c r="AG3827" s="145"/>
      <x:c r="AH3827" s="145"/>
      <x:c r="AI3827" s="145"/>
      <x:c r="AJ3827"/>
    </x:row>
    <x:row r="3828">
      <x:c r="F3828" s="124"/>
      <x:c r="G3828" s="124"/>
      <x:c r="H3828" s="124"/>
      <x:c r="I3828" s="124"/>
      <x:c r="J3828" s="124"/>
      <x:c r="M3828" s="126"/>
      <x:c r="P3828" s="126"/>
      <x:c r="Q3828" s="126"/>
      <x:c r="R3828" s="126"/>
      <x:c r="S3828" s="124"/>
      <x:c r="T3828" s="124"/>
      <x:c r="U3828" s="124"/>
      <x:c r="V3828" s="124"/>
      <x:c r="W3828" s="124"/>
      <x:c r="X3828" s="124"/>
      <x:c r="AD3828"/>
      <x:c r="AE3828" s="145"/>
      <x:c r="AF3828" s="145"/>
      <x:c r="AG3828" s="145"/>
      <x:c r="AH3828" s="145"/>
      <x:c r="AI3828" s="145"/>
      <x:c r="AJ3828"/>
    </x:row>
    <x:row r="3829">
      <x:c r="F3829" s="124"/>
      <x:c r="G3829" s="124"/>
      <x:c r="H3829" s="124"/>
      <x:c r="I3829" s="124"/>
      <x:c r="J3829" s="124"/>
      <x:c r="M3829" s="126"/>
      <x:c r="P3829" s="126"/>
      <x:c r="Q3829" s="126"/>
      <x:c r="R3829" s="126"/>
      <x:c r="S3829" s="124"/>
      <x:c r="T3829" s="124"/>
      <x:c r="U3829" s="124"/>
      <x:c r="V3829" s="124"/>
      <x:c r="W3829" s="124"/>
      <x:c r="X3829" s="124"/>
      <x:c r="AD3829"/>
      <x:c r="AE3829" s="145"/>
      <x:c r="AF3829" s="145"/>
      <x:c r="AG3829" s="145"/>
      <x:c r="AH3829" s="145"/>
      <x:c r="AI3829" s="145"/>
      <x:c r="AJ3829"/>
    </x:row>
    <x:row r="3830">
      <x:c r="F3830" s="124"/>
      <x:c r="G3830" s="124"/>
      <x:c r="H3830" s="124"/>
      <x:c r="I3830" s="124"/>
      <x:c r="J3830" s="124"/>
      <x:c r="M3830" s="126"/>
      <x:c r="P3830" s="126"/>
      <x:c r="Q3830" s="126"/>
      <x:c r="R3830" s="126"/>
      <x:c r="S3830" s="124"/>
      <x:c r="T3830" s="124"/>
      <x:c r="U3830" s="124"/>
      <x:c r="V3830" s="124"/>
      <x:c r="W3830" s="124"/>
      <x:c r="X3830" s="124"/>
      <x:c r="AD3830"/>
      <x:c r="AE3830" s="145"/>
      <x:c r="AF3830" s="145"/>
      <x:c r="AG3830" s="145"/>
      <x:c r="AH3830" s="145"/>
      <x:c r="AI3830" s="145"/>
      <x:c r="AJ3830"/>
    </x:row>
    <x:row r="3831">
      <x:c r="F3831" s="124"/>
      <x:c r="G3831" s="124"/>
      <x:c r="H3831" s="124"/>
      <x:c r="I3831" s="124"/>
      <x:c r="J3831" s="124"/>
      <x:c r="M3831" s="126"/>
      <x:c r="P3831" s="126"/>
      <x:c r="Q3831" s="126"/>
      <x:c r="R3831" s="126"/>
      <x:c r="S3831" s="124"/>
      <x:c r="T3831" s="124"/>
      <x:c r="U3831" s="124"/>
      <x:c r="V3831" s="124"/>
      <x:c r="W3831" s="124"/>
      <x:c r="X3831" s="124"/>
      <x:c r="AD3831"/>
      <x:c r="AE3831" s="145"/>
      <x:c r="AF3831" s="145"/>
      <x:c r="AG3831" s="145"/>
      <x:c r="AH3831" s="145"/>
      <x:c r="AI3831" s="145"/>
      <x:c r="AJ3831"/>
    </x:row>
    <x:row r="3832">
      <x:c r="F3832" s="124"/>
      <x:c r="G3832" s="124"/>
      <x:c r="H3832" s="124"/>
      <x:c r="I3832" s="124"/>
      <x:c r="J3832" s="124"/>
      <x:c r="M3832" s="126"/>
      <x:c r="P3832" s="126"/>
      <x:c r="Q3832" s="126"/>
      <x:c r="R3832" s="126"/>
      <x:c r="S3832" s="124"/>
      <x:c r="T3832" s="124"/>
      <x:c r="U3832" s="124"/>
      <x:c r="V3832" s="124"/>
      <x:c r="W3832" s="124"/>
      <x:c r="X3832" s="124"/>
      <x:c r="AD3832"/>
      <x:c r="AE3832" s="145"/>
      <x:c r="AF3832" s="145"/>
      <x:c r="AG3832" s="145"/>
      <x:c r="AH3832" s="145"/>
      <x:c r="AI3832" s="145"/>
      <x:c r="AJ3832"/>
    </x:row>
    <x:row r="3833">
      <x:c r="F3833" s="124"/>
      <x:c r="G3833" s="124"/>
      <x:c r="H3833" s="124"/>
      <x:c r="I3833" s="124"/>
      <x:c r="J3833" s="124"/>
      <x:c r="M3833" s="126"/>
      <x:c r="P3833" s="126"/>
      <x:c r="Q3833" s="126"/>
      <x:c r="R3833" s="126"/>
      <x:c r="S3833" s="124"/>
      <x:c r="T3833" s="124"/>
      <x:c r="U3833" s="124"/>
      <x:c r="V3833" s="124"/>
      <x:c r="W3833" s="124"/>
      <x:c r="X3833" s="124"/>
      <x:c r="AD3833"/>
      <x:c r="AE3833" s="145"/>
      <x:c r="AF3833" s="145"/>
      <x:c r="AG3833" s="145"/>
      <x:c r="AH3833" s="145"/>
      <x:c r="AI3833" s="145"/>
      <x:c r="AJ3833"/>
    </x:row>
    <x:row r="3834">
      <x:c r="F3834" s="124"/>
      <x:c r="G3834" s="124"/>
      <x:c r="H3834" s="124"/>
      <x:c r="I3834" s="124"/>
      <x:c r="J3834" s="124"/>
      <x:c r="M3834" s="126"/>
      <x:c r="P3834" s="126"/>
      <x:c r="Q3834" s="126"/>
      <x:c r="R3834" s="126"/>
      <x:c r="S3834" s="124"/>
      <x:c r="T3834" s="124"/>
      <x:c r="U3834" s="124"/>
      <x:c r="V3834" s="124"/>
      <x:c r="W3834" s="124"/>
      <x:c r="X3834" s="124"/>
      <x:c r="AD3834"/>
      <x:c r="AE3834" s="145"/>
      <x:c r="AF3834" s="145"/>
      <x:c r="AG3834" s="145"/>
      <x:c r="AH3834" s="145"/>
      <x:c r="AI3834" s="145"/>
      <x:c r="AJ3834"/>
    </x:row>
    <x:row r="3835">
      <x:c r="F3835" s="124"/>
      <x:c r="G3835" s="124"/>
      <x:c r="H3835" s="124"/>
      <x:c r="I3835" s="124"/>
      <x:c r="J3835" s="124"/>
      <x:c r="M3835" s="126"/>
      <x:c r="P3835" s="126"/>
      <x:c r="Q3835" s="126"/>
      <x:c r="R3835" s="126"/>
      <x:c r="S3835" s="124"/>
      <x:c r="T3835" s="124"/>
      <x:c r="U3835" s="124"/>
      <x:c r="V3835" s="124"/>
      <x:c r="W3835" s="124"/>
      <x:c r="X3835" s="124"/>
      <x:c r="AD3835"/>
      <x:c r="AE3835" s="145"/>
      <x:c r="AF3835" s="145"/>
      <x:c r="AG3835" s="145"/>
      <x:c r="AH3835" s="145"/>
      <x:c r="AI3835" s="145"/>
      <x:c r="AJ3835"/>
    </x:row>
    <x:row r="3836">
      <x:c r="F3836" s="124"/>
      <x:c r="G3836" s="124"/>
      <x:c r="H3836" s="124"/>
      <x:c r="I3836" s="124"/>
      <x:c r="J3836" s="124"/>
      <x:c r="M3836" s="126"/>
      <x:c r="P3836" s="126"/>
      <x:c r="Q3836" s="126"/>
      <x:c r="R3836" s="126"/>
      <x:c r="S3836" s="124"/>
      <x:c r="T3836" s="124"/>
      <x:c r="U3836" s="124"/>
      <x:c r="V3836" s="124"/>
      <x:c r="W3836" s="124"/>
      <x:c r="X3836" s="124"/>
      <x:c r="AD3836"/>
      <x:c r="AE3836" s="145"/>
      <x:c r="AF3836" s="145"/>
      <x:c r="AG3836" s="145"/>
      <x:c r="AH3836" s="145"/>
      <x:c r="AI3836" s="145"/>
      <x:c r="AJ3836"/>
    </x:row>
    <x:row r="3837">
      <x:c r="F3837" s="124"/>
      <x:c r="G3837" s="124"/>
      <x:c r="H3837" s="124"/>
      <x:c r="I3837" s="124"/>
      <x:c r="J3837" s="124"/>
      <x:c r="M3837" s="126"/>
      <x:c r="P3837" s="126"/>
      <x:c r="Q3837" s="126"/>
      <x:c r="R3837" s="126"/>
      <x:c r="S3837" s="124"/>
      <x:c r="T3837" s="124"/>
      <x:c r="U3837" s="124"/>
      <x:c r="V3837" s="124"/>
      <x:c r="W3837" s="124"/>
      <x:c r="X3837" s="124"/>
      <x:c r="AD3837"/>
      <x:c r="AE3837" s="145"/>
      <x:c r="AF3837" s="145"/>
      <x:c r="AG3837" s="145"/>
      <x:c r="AH3837" s="145"/>
      <x:c r="AI3837" s="145"/>
      <x:c r="AJ3837"/>
    </x:row>
    <x:row r="3838">
      <x:c r="F3838" s="124"/>
      <x:c r="G3838" s="124"/>
      <x:c r="H3838" s="124"/>
      <x:c r="I3838" s="124"/>
      <x:c r="J3838" s="124"/>
      <x:c r="M3838" s="126"/>
      <x:c r="P3838" s="126"/>
      <x:c r="Q3838" s="126"/>
      <x:c r="R3838" s="126"/>
      <x:c r="S3838" s="124"/>
      <x:c r="T3838" s="124"/>
      <x:c r="U3838" s="124"/>
      <x:c r="V3838" s="124"/>
      <x:c r="W3838" s="124"/>
      <x:c r="X3838" s="124"/>
      <x:c r="AD3838"/>
      <x:c r="AE3838" s="145"/>
      <x:c r="AF3838" s="145"/>
      <x:c r="AG3838" s="145"/>
      <x:c r="AH3838" s="145"/>
      <x:c r="AI3838" s="145"/>
      <x:c r="AJ3838"/>
    </x:row>
    <x:row r="3839">
      <x:c r="F3839" s="124"/>
      <x:c r="G3839" s="124"/>
      <x:c r="H3839" s="124"/>
      <x:c r="I3839" s="124"/>
      <x:c r="J3839" s="124"/>
      <x:c r="M3839" s="126"/>
      <x:c r="P3839" s="126"/>
      <x:c r="Q3839" s="126"/>
      <x:c r="R3839" s="126"/>
      <x:c r="S3839" s="124"/>
      <x:c r="T3839" s="124"/>
      <x:c r="U3839" s="124"/>
      <x:c r="V3839" s="124"/>
      <x:c r="W3839" s="124"/>
      <x:c r="X3839" s="124"/>
      <x:c r="AD3839"/>
      <x:c r="AE3839" s="145"/>
      <x:c r="AF3839" s="145"/>
      <x:c r="AG3839" s="145"/>
      <x:c r="AH3839" s="145"/>
      <x:c r="AI3839" s="145"/>
      <x:c r="AJ3839"/>
    </x:row>
    <x:row r="3840">
      <x:c r="F3840" s="124"/>
      <x:c r="G3840" s="124"/>
      <x:c r="H3840" s="124"/>
      <x:c r="I3840" s="124"/>
      <x:c r="J3840" s="124"/>
      <x:c r="M3840" s="126"/>
      <x:c r="P3840" s="126"/>
      <x:c r="Q3840" s="126"/>
      <x:c r="R3840" s="126"/>
      <x:c r="S3840" s="124"/>
      <x:c r="T3840" s="124"/>
      <x:c r="U3840" s="124"/>
      <x:c r="V3840" s="124"/>
      <x:c r="W3840" s="124"/>
      <x:c r="X3840" s="124"/>
      <x:c r="AD3840"/>
      <x:c r="AE3840" s="145"/>
      <x:c r="AF3840" s="145"/>
      <x:c r="AG3840" s="145"/>
      <x:c r="AH3840" s="145"/>
      <x:c r="AI3840" s="145"/>
      <x:c r="AJ3840"/>
    </x:row>
    <x:row r="3841">
      <x:c r="F3841" s="124"/>
      <x:c r="G3841" s="124"/>
      <x:c r="H3841" s="124"/>
      <x:c r="I3841" s="124"/>
      <x:c r="J3841" s="124"/>
      <x:c r="M3841" s="126"/>
      <x:c r="P3841" s="126"/>
      <x:c r="Q3841" s="126"/>
      <x:c r="R3841" s="126"/>
      <x:c r="S3841" s="124"/>
      <x:c r="T3841" s="124"/>
      <x:c r="U3841" s="124"/>
      <x:c r="V3841" s="124"/>
      <x:c r="W3841" s="124"/>
      <x:c r="X3841" s="124"/>
      <x:c r="AD3841"/>
      <x:c r="AE3841" s="145"/>
      <x:c r="AF3841" s="145"/>
      <x:c r="AG3841" s="145"/>
      <x:c r="AH3841" s="145"/>
      <x:c r="AI3841" s="145"/>
      <x:c r="AJ3841"/>
    </x:row>
    <x:row r="3842">
      <x:c r="F3842" s="124"/>
      <x:c r="G3842" s="124"/>
      <x:c r="H3842" s="124"/>
      <x:c r="I3842" s="124"/>
      <x:c r="J3842" s="124"/>
      <x:c r="M3842" s="126"/>
      <x:c r="P3842" s="126"/>
      <x:c r="Q3842" s="126"/>
      <x:c r="R3842" s="126"/>
      <x:c r="S3842" s="124"/>
      <x:c r="T3842" s="124"/>
      <x:c r="U3842" s="124"/>
      <x:c r="V3842" s="124"/>
      <x:c r="W3842" s="124"/>
      <x:c r="X3842" s="124"/>
      <x:c r="AD3842"/>
      <x:c r="AE3842" s="145"/>
      <x:c r="AF3842" s="145"/>
      <x:c r="AG3842" s="145"/>
      <x:c r="AH3842" s="145"/>
      <x:c r="AI3842" s="145"/>
      <x:c r="AJ3842"/>
    </x:row>
    <x:row r="3843">
      <x:c r="F3843" s="124"/>
      <x:c r="G3843" s="124"/>
      <x:c r="H3843" s="124"/>
      <x:c r="I3843" s="124"/>
      <x:c r="J3843" s="124"/>
      <x:c r="M3843" s="126"/>
      <x:c r="P3843" s="126"/>
      <x:c r="Q3843" s="126"/>
      <x:c r="R3843" s="126"/>
      <x:c r="S3843" s="124"/>
      <x:c r="T3843" s="124"/>
      <x:c r="U3843" s="124"/>
      <x:c r="V3843" s="124"/>
      <x:c r="W3843" s="124"/>
      <x:c r="X3843" s="124"/>
      <x:c r="AD3843"/>
      <x:c r="AE3843" s="145"/>
      <x:c r="AF3843" s="145"/>
      <x:c r="AG3843" s="145"/>
      <x:c r="AH3843" s="145"/>
      <x:c r="AI3843" s="145"/>
      <x:c r="AJ3843"/>
    </x:row>
    <x:row r="3844">
      <x:c r="F3844" s="124"/>
      <x:c r="G3844" s="124"/>
      <x:c r="H3844" s="124"/>
      <x:c r="I3844" s="124"/>
      <x:c r="J3844" s="124"/>
      <x:c r="M3844" s="126"/>
      <x:c r="P3844" s="126"/>
      <x:c r="Q3844" s="126"/>
      <x:c r="R3844" s="126"/>
      <x:c r="S3844" s="124"/>
      <x:c r="T3844" s="124"/>
      <x:c r="U3844" s="124"/>
      <x:c r="V3844" s="124"/>
      <x:c r="W3844" s="124"/>
      <x:c r="X3844" s="124"/>
      <x:c r="AD3844"/>
      <x:c r="AE3844" s="145"/>
      <x:c r="AF3844" s="145"/>
      <x:c r="AG3844" s="145"/>
      <x:c r="AH3844" s="145"/>
      <x:c r="AI3844" s="145"/>
      <x:c r="AJ3844"/>
    </x:row>
    <x:row r="3845">
      <x:c r="F3845" s="124"/>
      <x:c r="G3845" s="124"/>
      <x:c r="H3845" s="124"/>
      <x:c r="I3845" s="124"/>
      <x:c r="J3845" s="124"/>
      <x:c r="M3845" s="126"/>
      <x:c r="P3845" s="126"/>
      <x:c r="Q3845" s="126"/>
      <x:c r="R3845" s="126"/>
      <x:c r="S3845" s="124"/>
      <x:c r="T3845" s="124"/>
      <x:c r="U3845" s="124"/>
      <x:c r="V3845" s="124"/>
      <x:c r="W3845" s="124"/>
      <x:c r="X3845" s="124"/>
      <x:c r="AD3845"/>
      <x:c r="AE3845" s="145"/>
      <x:c r="AF3845" s="145"/>
      <x:c r="AG3845" s="145"/>
      <x:c r="AH3845" s="145"/>
      <x:c r="AI3845" s="145"/>
      <x:c r="AJ3845"/>
    </x:row>
    <x:row r="3846">
      <x:c r="F3846" s="124"/>
      <x:c r="G3846" s="124"/>
      <x:c r="H3846" s="124"/>
      <x:c r="I3846" s="124"/>
      <x:c r="J3846" s="124"/>
      <x:c r="M3846" s="126"/>
      <x:c r="P3846" s="126"/>
      <x:c r="Q3846" s="126"/>
      <x:c r="R3846" s="126"/>
      <x:c r="S3846" s="124"/>
      <x:c r="T3846" s="124"/>
      <x:c r="U3846" s="124"/>
      <x:c r="V3846" s="124"/>
      <x:c r="W3846" s="124"/>
      <x:c r="X3846" s="124"/>
      <x:c r="AD3846"/>
      <x:c r="AE3846" s="145"/>
      <x:c r="AF3846" s="145"/>
      <x:c r="AG3846" s="145"/>
      <x:c r="AH3846" s="145"/>
      <x:c r="AI3846" s="145"/>
      <x:c r="AJ3846"/>
    </x:row>
    <x:row r="3847">
      <x:c r="F3847" s="124"/>
      <x:c r="G3847" s="124"/>
      <x:c r="H3847" s="124"/>
      <x:c r="I3847" s="124"/>
      <x:c r="J3847" s="124"/>
      <x:c r="M3847" s="126"/>
      <x:c r="P3847" s="126"/>
      <x:c r="Q3847" s="126"/>
      <x:c r="R3847" s="126"/>
      <x:c r="S3847" s="124"/>
      <x:c r="T3847" s="124"/>
      <x:c r="U3847" s="124"/>
      <x:c r="V3847" s="124"/>
      <x:c r="W3847" s="124"/>
      <x:c r="X3847" s="124"/>
      <x:c r="AD3847"/>
      <x:c r="AE3847" s="145"/>
      <x:c r="AF3847" s="145"/>
      <x:c r="AG3847" s="145"/>
      <x:c r="AH3847" s="145"/>
      <x:c r="AI3847" s="145"/>
      <x:c r="AJ3847"/>
    </x:row>
    <x:row r="3848">
      <x:c r="F3848" s="124"/>
      <x:c r="G3848" s="124"/>
      <x:c r="H3848" s="124"/>
      <x:c r="I3848" s="124"/>
      <x:c r="J3848" s="124"/>
      <x:c r="M3848" s="126"/>
      <x:c r="P3848" s="126"/>
      <x:c r="Q3848" s="126"/>
      <x:c r="R3848" s="126"/>
      <x:c r="S3848" s="124"/>
      <x:c r="T3848" s="124"/>
      <x:c r="U3848" s="124"/>
      <x:c r="V3848" s="124"/>
      <x:c r="W3848" s="124"/>
      <x:c r="X3848" s="124"/>
      <x:c r="AD3848"/>
      <x:c r="AE3848" s="145"/>
      <x:c r="AF3848" s="145"/>
      <x:c r="AG3848" s="145"/>
      <x:c r="AH3848" s="145"/>
      <x:c r="AI3848" s="145"/>
      <x:c r="AJ3848"/>
    </x:row>
    <x:row r="3849">
      <x:c r="F3849" s="124"/>
      <x:c r="G3849" s="124"/>
      <x:c r="H3849" s="124"/>
      <x:c r="I3849" s="124"/>
      <x:c r="J3849" s="124"/>
      <x:c r="M3849" s="126"/>
      <x:c r="P3849" s="126"/>
      <x:c r="Q3849" s="126"/>
      <x:c r="R3849" s="126"/>
      <x:c r="S3849" s="124"/>
      <x:c r="T3849" s="124"/>
      <x:c r="U3849" s="124"/>
      <x:c r="V3849" s="124"/>
      <x:c r="W3849" s="124"/>
      <x:c r="X3849" s="124"/>
      <x:c r="AD3849"/>
      <x:c r="AE3849" s="145"/>
      <x:c r="AF3849" s="145"/>
      <x:c r="AG3849" s="145"/>
      <x:c r="AH3849" s="145"/>
      <x:c r="AI3849" s="145"/>
      <x:c r="AJ3849"/>
    </x:row>
    <x:row r="3850">
      <x:c r="F3850" s="124"/>
      <x:c r="G3850" s="124"/>
      <x:c r="H3850" s="124"/>
      <x:c r="I3850" s="124"/>
      <x:c r="J3850" s="124"/>
      <x:c r="M3850" s="126"/>
      <x:c r="P3850" s="126"/>
      <x:c r="Q3850" s="126"/>
      <x:c r="R3850" s="126"/>
      <x:c r="S3850" s="124"/>
      <x:c r="T3850" s="124"/>
      <x:c r="U3850" s="124"/>
      <x:c r="V3850" s="124"/>
      <x:c r="W3850" s="124"/>
      <x:c r="X3850" s="124"/>
      <x:c r="AD3850"/>
      <x:c r="AE3850" s="145"/>
      <x:c r="AF3850" s="145"/>
      <x:c r="AG3850" s="145"/>
      <x:c r="AH3850" s="145"/>
      <x:c r="AI3850" s="145"/>
      <x:c r="AJ3850"/>
    </x:row>
    <x:row r="3851">
      <x:c r="F3851" s="124"/>
      <x:c r="G3851" s="124"/>
      <x:c r="H3851" s="124"/>
      <x:c r="I3851" s="124"/>
      <x:c r="J3851" s="124"/>
      <x:c r="M3851" s="126"/>
      <x:c r="P3851" s="126"/>
      <x:c r="Q3851" s="126"/>
      <x:c r="R3851" s="126"/>
      <x:c r="S3851" s="124"/>
      <x:c r="T3851" s="124"/>
      <x:c r="U3851" s="124"/>
      <x:c r="V3851" s="124"/>
      <x:c r="W3851" s="124"/>
      <x:c r="X3851" s="124"/>
      <x:c r="AD3851"/>
      <x:c r="AE3851" s="145"/>
      <x:c r="AF3851" s="145"/>
      <x:c r="AG3851" s="145"/>
      <x:c r="AH3851" s="145"/>
      <x:c r="AI3851" s="145"/>
      <x:c r="AJ3851"/>
    </x:row>
    <x:row r="3852">
      <x:c r="F3852" s="124"/>
      <x:c r="G3852" s="124"/>
      <x:c r="H3852" s="124"/>
      <x:c r="I3852" s="124"/>
      <x:c r="J3852" s="124"/>
      <x:c r="M3852" s="126"/>
      <x:c r="P3852" s="126"/>
      <x:c r="Q3852" s="126"/>
      <x:c r="R3852" s="126"/>
      <x:c r="S3852" s="124"/>
      <x:c r="T3852" s="124"/>
      <x:c r="U3852" s="124"/>
      <x:c r="V3852" s="124"/>
      <x:c r="W3852" s="124"/>
      <x:c r="X3852" s="124"/>
      <x:c r="AD3852"/>
      <x:c r="AE3852" s="145"/>
      <x:c r="AF3852" s="145"/>
      <x:c r="AG3852" s="145"/>
      <x:c r="AH3852" s="145"/>
      <x:c r="AI3852" s="145"/>
      <x:c r="AJ3852"/>
    </x:row>
    <x:row r="3853">
      <x:c r="F3853" s="124"/>
      <x:c r="G3853" s="124"/>
      <x:c r="H3853" s="124"/>
      <x:c r="I3853" s="124"/>
      <x:c r="J3853" s="124"/>
      <x:c r="M3853" s="126"/>
      <x:c r="P3853" s="126"/>
      <x:c r="Q3853" s="126"/>
      <x:c r="R3853" s="126"/>
      <x:c r="S3853" s="124"/>
      <x:c r="T3853" s="124"/>
      <x:c r="U3853" s="124"/>
      <x:c r="V3853" s="124"/>
      <x:c r="W3853" s="124"/>
      <x:c r="X3853" s="124"/>
      <x:c r="AD3853"/>
      <x:c r="AE3853" s="145"/>
      <x:c r="AF3853" s="145"/>
      <x:c r="AG3853" s="145"/>
      <x:c r="AH3853" s="145"/>
      <x:c r="AI3853" s="145"/>
      <x:c r="AJ3853"/>
    </x:row>
    <x:row r="3854">
      <x:c r="F3854" s="124"/>
      <x:c r="G3854" s="124"/>
      <x:c r="H3854" s="124"/>
      <x:c r="I3854" s="124"/>
      <x:c r="J3854" s="124"/>
      <x:c r="M3854" s="126"/>
      <x:c r="P3854" s="126"/>
      <x:c r="Q3854" s="126"/>
      <x:c r="R3854" s="126"/>
      <x:c r="S3854" s="124"/>
      <x:c r="T3854" s="124"/>
      <x:c r="U3854" s="124"/>
      <x:c r="V3854" s="124"/>
      <x:c r="W3854" s="124"/>
      <x:c r="X3854" s="124"/>
      <x:c r="AD3854"/>
      <x:c r="AE3854" s="145"/>
      <x:c r="AF3854" s="145"/>
      <x:c r="AG3854" s="145"/>
      <x:c r="AH3854" s="145"/>
      <x:c r="AI3854" s="145"/>
      <x:c r="AJ3854"/>
    </x:row>
    <x:row r="3855">
      <x:c r="F3855" s="124"/>
      <x:c r="G3855" s="124"/>
      <x:c r="H3855" s="124"/>
      <x:c r="I3855" s="124"/>
      <x:c r="J3855" s="124"/>
      <x:c r="M3855" s="126"/>
      <x:c r="P3855" s="126"/>
      <x:c r="Q3855" s="126"/>
      <x:c r="R3855" s="126"/>
      <x:c r="S3855" s="124"/>
      <x:c r="T3855" s="124"/>
      <x:c r="U3855" s="124"/>
      <x:c r="V3855" s="124"/>
      <x:c r="W3855" s="124"/>
      <x:c r="X3855" s="124"/>
      <x:c r="AD3855"/>
      <x:c r="AE3855" s="145"/>
      <x:c r="AF3855" s="145"/>
      <x:c r="AG3855" s="145"/>
      <x:c r="AH3855" s="145"/>
      <x:c r="AI3855" s="145"/>
      <x:c r="AJ3855"/>
    </x:row>
    <x:row r="3856">
      <x:c r="F3856" s="124"/>
      <x:c r="G3856" s="124"/>
      <x:c r="H3856" s="124"/>
      <x:c r="I3856" s="124"/>
      <x:c r="J3856" s="124"/>
      <x:c r="M3856" s="126"/>
      <x:c r="P3856" s="126"/>
      <x:c r="Q3856" s="126"/>
      <x:c r="R3856" s="126"/>
      <x:c r="S3856" s="124"/>
      <x:c r="T3856" s="124"/>
      <x:c r="U3856" s="124"/>
      <x:c r="V3856" s="124"/>
      <x:c r="W3856" s="124"/>
      <x:c r="X3856" s="124"/>
      <x:c r="AD3856"/>
      <x:c r="AE3856" s="145"/>
      <x:c r="AF3856" s="145"/>
      <x:c r="AG3856" s="145"/>
      <x:c r="AH3856" s="145"/>
      <x:c r="AI3856" s="145"/>
      <x:c r="AJ3856"/>
    </x:row>
    <x:row r="3857">
      <x:c r="F3857" s="124"/>
      <x:c r="G3857" s="124"/>
      <x:c r="H3857" s="124"/>
      <x:c r="I3857" s="124"/>
      <x:c r="J3857" s="124"/>
      <x:c r="M3857" s="126"/>
      <x:c r="P3857" s="126"/>
      <x:c r="Q3857" s="126"/>
      <x:c r="R3857" s="126"/>
      <x:c r="S3857" s="124"/>
      <x:c r="T3857" s="124"/>
      <x:c r="U3857" s="124"/>
      <x:c r="V3857" s="124"/>
      <x:c r="W3857" s="124"/>
      <x:c r="X3857" s="124"/>
      <x:c r="AD3857"/>
      <x:c r="AE3857" s="145"/>
      <x:c r="AF3857" s="145"/>
      <x:c r="AG3857" s="145"/>
      <x:c r="AH3857" s="145"/>
      <x:c r="AI3857" s="145"/>
      <x:c r="AJ3857"/>
    </x:row>
    <x:row r="3858">
      <x:c r="F3858" s="124"/>
      <x:c r="G3858" s="124"/>
      <x:c r="H3858" s="124"/>
      <x:c r="I3858" s="124"/>
      <x:c r="J3858" s="124"/>
      <x:c r="M3858" s="126"/>
      <x:c r="P3858" s="126"/>
      <x:c r="Q3858" s="126"/>
      <x:c r="R3858" s="126"/>
      <x:c r="S3858" s="124"/>
      <x:c r="T3858" s="124"/>
      <x:c r="U3858" s="124"/>
      <x:c r="V3858" s="124"/>
      <x:c r="W3858" s="124"/>
      <x:c r="X3858" s="124"/>
      <x:c r="AD3858"/>
      <x:c r="AE3858" s="145"/>
      <x:c r="AF3858" s="145"/>
      <x:c r="AG3858" s="145"/>
      <x:c r="AH3858" s="145"/>
      <x:c r="AI3858" s="145"/>
      <x:c r="AJ3858"/>
    </x:row>
    <x:row r="3859">
      <x:c r="F3859" s="124"/>
      <x:c r="G3859" s="124"/>
      <x:c r="H3859" s="124"/>
      <x:c r="I3859" s="124"/>
      <x:c r="J3859" s="124"/>
      <x:c r="M3859" s="126"/>
      <x:c r="P3859" s="126"/>
      <x:c r="Q3859" s="126"/>
      <x:c r="R3859" s="126"/>
      <x:c r="S3859" s="124"/>
      <x:c r="T3859" s="124"/>
      <x:c r="U3859" s="124"/>
      <x:c r="V3859" s="124"/>
      <x:c r="W3859" s="124"/>
      <x:c r="X3859" s="124"/>
      <x:c r="AD3859"/>
      <x:c r="AE3859" s="145"/>
      <x:c r="AF3859" s="145"/>
      <x:c r="AG3859" s="145"/>
      <x:c r="AH3859" s="145"/>
      <x:c r="AI3859" s="145"/>
      <x:c r="AJ3859"/>
    </x:row>
    <x:row r="3860">
      <x:c r="F3860" s="124"/>
      <x:c r="G3860" s="124"/>
      <x:c r="H3860" s="124"/>
      <x:c r="I3860" s="124"/>
      <x:c r="J3860" s="124"/>
      <x:c r="M3860" s="126"/>
      <x:c r="P3860" s="126"/>
      <x:c r="Q3860" s="126"/>
      <x:c r="R3860" s="126"/>
      <x:c r="S3860" s="124"/>
      <x:c r="T3860" s="124"/>
      <x:c r="U3860" s="124"/>
      <x:c r="V3860" s="124"/>
      <x:c r="W3860" s="124"/>
      <x:c r="X3860" s="124"/>
      <x:c r="AD3860"/>
      <x:c r="AE3860" s="145"/>
      <x:c r="AF3860" s="145"/>
      <x:c r="AG3860" s="145"/>
      <x:c r="AH3860" s="145"/>
      <x:c r="AI3860" s="145"/>
      <x:c r="AJ3860"/>
    </x:row>
    <x:row r="3861">
      <x:c r="F3861" s="124"/>
      <x:c r="G3861" s="124"/>
      <x:c r="H3861" s="124"/>
      <x:c r="I3861" s="124"/>
      <x:c r="J3861" s="124"/>
      <x:c r="M3861" s="126"/>
      <x:c r="P3861" s="126"/>
      <x:c r="Q3861" s="126"/>
      <x:c r="R3861" s="126"/>
      <x:c r="S3861" s="124"/>
      <x:c r="T3861" s="124"/>
      <x:c r="U3861" s="124"/>
      <x:c r="V3861" s="124"/>
      <x:c r="W3861" s="124"/>
      <x:c r="X3861" s="124"/>
      <x:c r="AD3861"/>
      <x:c r="AE3861" s="145"/>
      <x:c r="AF3861" s="145"/>
      <x:c r="AG3861" s="145"/>
      <x:c r="AH3861" s="145"/>
      <x:c r="AI3861" s="145"/>
      <x:c r="AJ3861"/>
    </x:row>
    <x:row r="3862">
      <x:c r="F3862" s="124"/>
      <x:c r="G3862" s="124"/>
      <x:c r="H3862" s="124"/>
      <x:c r="I3862" s="124"/>
      <x:c r="J3862" s="124"/>
      <x:c r="M3862" s="126"/>
      <x:c r="P3862" s="126"/>
      <x:c r="Q3862" s="126"/>
      <x:c r="R3862" s="126"/>
      <x:c r="S3862" s="124"/>
      <x:c r="T3862" s="124"/>
      <x:c r="U3862" s="124"/>
      <x:c r="V3862" s="124"/>
      <x:c r="W3862" s="124"/>
      <x:c r="X3862" s="124"/>
      <x:c r="AD3862"/>
      <x:c r="AE3862" s="145"/>
      <x:c r="AF3862" s="145"/>
      <x:c r="AG3862" s="145"/>
      <x:c r="AH3862" s="145"/>
      <x:c r="AI3862" s="145"/>
      <x:c r="AJ3862"/>
    </x:row>
    <x:row r="3863">
      <x:c r="F3863" s="124"/>
      <x:c r="G3863" s="124"/>
      <x:c r="H3863" s="124"/>
      <x:c r="I3863" s="124"/>
      <x:c r="J3863" s="124"/>
      <x:c r="M3863" s="126"/>
      <x:c r="P3863" s="126"/>
      <x:c r="Q3863" s="126"/>
      <x:c r="R3863" s="126"/>
      <x:c r="S3863" s="124"/>
      <x:c r="T3863" s="124"/>
      <x:c r="U3863" s="124"/>
      <x:c r="V3863" s="124"/>
      <x:c r="W3863" s="124"/>
      <x:c r="X3863" s="124"/>
      <x:c r="AD3863"/>
      <x:c r="AE3863" s="145"/>
      <x:c r="AF3863" s="145"/>
      <x:c r="AG3863" s="145"/>
      <x:c r="AH3863" s="145"/>
      <x:c r="AI3863" s="145"/>
      <x:c r="AJ3863"/>
    </x:row>
    <x:row r="3864">
      <x:c r="F3864" s="124"/>
      <x:c r="G3864" s="124"/>
      <x:c r="H3864" s="124"/>
      <x:c r="I3864" s="124"/>
      <x:c r="J3864" s="124"/>
      <x:c r="M3864" s="126"/>
      <x:c r="P3864" s="126"/>
      <x:c r="Q3864" s="126"/>
      <x:c r="R3864" s="126"/>
      <x:c r="S3864" s="124"/>
      <x:c r="T3864" s="124"/>
      <x:c r="U3864" s="124"/>
      <x:c r="V3864" s="124"/>
      <x:c r="W3864" s="124"/>
      <x:c r="X3864" s="124"/>
      <x:c r="AD3864"/>
      <x:c r="AE3864" s="145"/>
      <x:c r="AF3864" s="145"/>
      <x:c r="AG3864" s="145"/>
      <x:c r="AH3864" s="145"/>
      <x:c r="AI3864" s="145"/>
      <x:c r="AJ3864"/>
    </x:row>
    <x:row r="3865">
      <x:c r="F3865" s="124"/>
      <x:c r="G3865" s="124"/>
      <x:c r="H3865" s="124"/>
      <x:c r="I3865" s="124"/>
      <x:c r="J3865" s="124"/>
      <x:c r="M3865" s="126"/>
      <x:c r="P3865" s="126"/>
      <x:c r="Q3865" s="126"/>
      <x:c r="R3865" s="126"/>
      <x:c r="S3865" s="124"/>
      <x:c r="T3865" s="124"/>
      <x:c r="U3865" s="124"/>
      <x:c r="V3865" s="124"/>
      <x:c r="W3865" s="124"/>
      <x:c r="X3865" s="124"/>
      <x:c r="AD3865"/>
      <x:c r="AE3865" s="145"/>
      <x:c r="AF3865" s="145"/>
      <x:c r="AG3865" s="145"/>
      <x:c r="AH3865" s="145"/>
      <x:c r="AI3865" s="145"/>
      <x:c r="AJ3865"/>
    </x:row>
    <x:row r="3866">
      <x:c r="F3866" s="124"/>
      <x:c r="G3866" s="124"/>
      <x:c r="H3866" s="124"/>
      <x:c r="I3866" s="124"/>
      <x:c r="J3866" s="124"/>
      <x:c r="M3866" s="126"/>
      <x:c r="P3866" s="126"/>
      <x:c r="Q3866" s="126"/>
      <x:c r="R3866" s="126"/>
      <x:c r="S3866" s="124"/>
      <x:c r="T3866" s="124"/>
      <x:c r="U3866" s="124"/>
      <x:c r="V3866" s="124"/>
      <x:c r="W3866" s="124"/>
      <x:c r="X3866" s="124"/>
      <x:c r="AD3866"/>
      <x:c r="AE3866" s="145"/>
      <x:c r="AF3866" s="145"/>
      <x:c r="AG3866" s="145"/>
      <x:c r="AH3866" s="145"/>
      <x:c r="AI3866" s="145"/>
      <x:c r="AJ3866"/>
    </x:row>
    <x:row r="3867">
      <x:c r="F3867" s="124"/>
      <x:c r="G3867" s="124"/>
      <x:c r="H3867" s="124"/>
      <x:c r="I3867" s="124"/>
      <x:c r="J3867" s="124"/>
      <x:c r="M3867" s="126"/>
      <x:c r="P3867" s="126"/>
      <x:c r="Q3867" s="126"/>
      <x:c r="R3867" s="126"/>
      <x:c r="S3867" s="124"/>
      <x:c r="T3867" s="124"/>
      <x:c r="U3867" s="124"/>
      <x:c r="V3867" s="124"/>
      <x:c r="W3867" s="124"/>
      <x:c r="X3867" s="124"/>
      <x:c r="AD3867"/>
      <x:c r="AE3867" s="145"/>
      <x:c r="AF3867" s="145"/>
      <x:c r="AG3867" s="145"/>
      <x:c r="AH3867" s="145"/>
      <x:c r="AI3867" s="145"/>
      <x:c r="AJ3867"/>
    </x:row>
    <x:row r="3868">
      <x:c r="F3868" s="124"/>
      <x:c r="G3868" s="124"/>
      <x:c r="H3868" s="124"/>
      <x:c r="I3868" s="124"/>
      <x:c r="J3868" s="124"/>
      <x:c r="M3868" s="126"/>
      <x:c r="P3868" s="126"/>
      <x:c r="Q3868" s="126"/>
      <x:c r="R3868" s="126"/>
      <x:c r="S3868" s="124"/>
      <x:c r="T3868" s="124"/>
      <x:c r="U3868" s="124"/>
      <x:c r="V3868" s="124"/>
      <x:c r="W3868" s="124"/>
      <x:c r="X3868" s="124"/>
      <x:c r="AD3868"/>
      <x:c r="AE3868" s="145"/>
      <x:c r="AF3868" s="145"/>
      <x:c r="AG3868" s="145"/>
      <x:c r="AH3868" s="145"/>
      <x:c r="AI3868" s="145"/>
      <x:c r="AJ3868"/>
    </x:row>
    <x:row r="3869">
      <x:c r="F3869" s="124"/>
      <x:c r="G3869" s="124"/>
      <x:c r="H3869" s="124"/>
      <x:c r="I3869" s="124"/>
      <x:c r="J3869" s="124"/>
      <x:c r="M3869" s="126"/>
      <x:c r="P3869" s="126"/>
      <x:c r="Q3869" s="126"/>
      <x:c r="R3869" s="126"/>
      <x:c r="S3869" s="124"/>
      <x:c r="T3869" s="124"/>
      <x:c r="U3869" s="124"/>
      <x:c r="V3869" s="124"/>
      <x:c r="W3869" s="124"/>
      <x:c r="X3869" s="124"/>
      <x:c r="AD3869"/>
      <x:c r="AE3869" s="145"/>
      <x:c r="AF3869" s="145"/>
      <x:c r="AG3869" s="145"/>
      <x:c r="AH3869" s="145"/>
      <x:c r="AI3869" s="145"/>
      <x:c r="AJ3869"/>
    </x:row>
    <x:row r="3870">
      <x:c r="F3870" s="124"/>
      <x:c r="G3870" s="124"/>
      <x:c r="H3870" s="124"/>
      <x:c r="I3870" s="124"/>
      <x:c r="J3870" s="124"/>
      <x:c r="M3870" s="126"/>
      <x:c r="P3870" s="126"/>
      <x:c r="Q3870" s="126"/>
      <x:c r="R3870" s="126"/>
      <x:c r="S3870" s="124"/>
      <x:c r="T3870" s="124"/>
      <x:c r="U3870" s="124"/>
      <x:c r="V3870" s="124"/>
      <x:c r="W3870" s="124"/>
      <x:c r="X3870" s="124"/>
      <x:c r="AD3870"/>
      <x:c r="AE3870" s="145"/>
      <x:c r="AF3870" s="145"/>
      <x:c r="AG3870" s="145"/>
      <x:c r="AH3870" s="145"/>
      <x:c r="AI3870" s="145"/>
      <x:c r="AJ3870"/>
    </x:row>
    <x:row r="3871">
      <x:c r="F3871" s="124"/>
      <x:c r="G3871" s="124"/>
      <x:c r="H3871" s="124"/>
      <x:c r="I3871" s="124"/>
      <x:c r="J3871" s="124"/>
      <x:c r="M3871" s="126"/>
      <x:c r="P3871" s="126"/>
      <x:c r="Q3871" s="126"/>
      <x:c r="R3871" s="126"/>
      <x:c r="S3871" s="124"/>
      <x:c r="T3871" s="124"/>
      <x:c r="U3871" s="124"/>
      <x:c r="V3871" s="124"/>
      <x:c r="W3871" s="124"/>
      <x:c r="X3871" s="124"/>
      <x:c r="AD3871"/>
      <x:c r="AE3871" s="145"/>
      <x:c r="AF3871" s="145"/>
      <x:c r="AG3871" s="145"/>
      <x:c r="AH3871" s="145"/>
      <x:c r="AI3871" s="145"/>
      <x:c r="AJ3871"/>
    </x:row>
    <x:row r="3872">
      <x:c r="F3872" s="124"/>
      <x:c r="G3872" s="124"/>
      <x:c r="H3872" s="124"/>
      <x:c r="I3872" s="124"/>
      <x:c r="J3872" s="124"/>
      <x:c r="M3872" s="126"/>
      <x:c r="P3872" s="126"/>
      <x:c r="Q3872" s="126"/>
      <x:c r="R3872" s="126"/>
      <x:c r="S3872" s="124"/>
      <x:c r="T3872" s="124"/>
      <x:c r="U3872" s="124"/>
      <x:c r="V3872" s="124"/>
      <x:c r="W3872" s="124"/>
      <x:c r="X3872" s="124"/>
      <x:c r="AD3872"/>
      <x:c r="AE3872" s="145"/>
      <x:c r="AF3872" s="145"/>
      <x:c r="AG3872" s="145"/>
      <x:c r="AH3872" s="145"/>
      <x:c r="AI3872" s="145"/>
      <x:c r="AJ3872"/>
    </x:row>
    <x:row r="3873">
      <x:c r="F3873" s="124"/>
      <x:c r="G3873" s="124"/>
      <x:c r="H3873" s="124"/>
      <x:c r="I3873" s="124"/>
      <x:c r="J3873" s="124"/>
      <x:c r="M3873" s="126"/>
      <x:c r="P3873" s="126"/>
      <x:c r="Q3873" s="126"/>
      <x:c r="R3873" s="126"/>
      <x:c r="S3873" s="124"/>
      <x:c r="T3873" s="124"/>
      <x:c r="U3873" s="124"/>
      <x:c r="V3873" s="124"/>
      <x:c r="W3873" s="124"/>
      <x:c r="X3873" s="124"/>
      <x:c r="AD3873"/>
      <x:c r="AE3873" s="145"/>
      <x:c r="AF3873" s="145"/>
      <x:c r="AG3873" s="145"/>
      <x:c r="AH3873" s="145"/>
      <x:c r="AI3873" s="145"/>
      <x:c r="AJ3873"/>
    </x:row>
    <x:row r="3874">
      <x:c r="F3874" s="124"/>
      <x:c r="G3874" s="124"/>
      <x:c r="H3874" s="124"/>
      <x:c r="I3874" s="124"/>
      <x:c r="J3874" s="124"/>
      <x:c r="M3874" s="126"/>
      <x:c r="P3874" s="126"/>
      <x:c r="Q3874" s="126"/>
      <x:c r="R3874" s="126"/>
      <x:c r="S3874" s="124"/>
      <x:c r="T3874" s="124"/>
      <x:c r="U3874" s="124"/>
      <x:c r="V3874" s="124"/>
      <x:c r="W3874" s="124"/>
      <x:c r="X3874" s="124"/>
      <x:c r="AD3874"/>
      <x:c r="AE3874" s="145"/>
      <x:c r="AF3874" s="145"/>
      <x:c r="AG3874" s="145"/>
      <x:c r="AH3874" s="145"/>
      <x:c r="AI3874" s="145"/>
      <x:c r="AJ3874"/>
    </x:row>
    <x:row r="3875">
      <x:c r="F3875" s="124"/>
      <x:c r="G3875" s="124"/>
      <x:c r="H3875" s="124"/>
      <x:c r="I3875" s="124"/>
      <x:c r="J3875" s="124"/>
      <x:c r="M3875" s="126"/>
      <x:c r="P3875" s="126"/>
      <x:c r="Q3875" s="126"/>
      <x:c r="R3875" s="126"/>
      <x:c r="S3875" s="124"/>
      <x:c r="T3875" s="124"/>
      <x:c r="U3875" s="124"/>
      <x:c r="V3875" s="124"/>
      <x:c r="W3875" s="124"/>
      <x:c r="X3875" s="124"/>
      <x:c r="AD3875"/>
      <x:c r="AE3875" s="145"/>
      <x:c r="AF3875" s="145"/>
      <x:c r="AG3875" s="145"/>
      <x:c r="AH3875" s="145"/>
      <x:c r="AI3875" s="145"/>
      <x:c r="AJ3875"/>
    </x:row>
    <x:row r="3876">
      <x:c r="F3876" s="124"/>
      <x:c r="G3876" s="124"/>
      <x:c r="H3876" s="124"/>
      <x:c r="I3876" s="124"/>
      <x:c r="J3876" s="124"/>
      <x:c r="M3876" s="126"/>
      <x:c r="P3876" s="126"/>
      <x:c r="Q3876" s="126"/>
      <x:c r="R3876" s="126"/>
      <x:c r="S3876" s="124"/>
      <x:c r="T3876" s="124"/>
      <x:c r="U3876" s="124"/>
      <x:c r="V3876" s="124"/>
      <x:c r="W3876" s="124"/>
      <x:c r="X3876" s="124"/>
      <x:c r="AD3876"/>
      <x:c r="AE3876" s="145"/>
      <x:c r="AF3876" s="145"/>
      <x:c r="AG3876" s="145"/>
      <x:c r="AH3876" s="145"/>
      <x:c r="AI3876" s="145"/>
      <x:c r="AJ3876"/>
    </x:row>
    <x:row r="3877">
      <x:c r="F3877" s="124"/>
      <x:c r="G3877" s="124"/>
      <x:c r="H3877" s="124"/>
      <x:c r="I3877" s="124"/>
      <x:c r="J3877" s="124"/>
      <x:c r="M3877" s="126"/>
      <x:c r="P3877" s="126"/>
      <x:c r="Q3877" s="126"/>
      <x:c r="R3877" s="126"/>
      <x:c r="S3877" s="124"/>
      <x:c r="T3877" s="124"/>
      <x:c r="U3877" s="124"/>
      <x:c r="V3877" s="124"/>
      <x:c r="W3877" s="124"/>
      <x:c r="X3877" s="124"/>
      <x:c r="AD3877"/>
      <x:c r="AE3877" s="145"/>
      <x:c r="AF3877" s="145"/>
      <x:c r="AG3877" s="145"/>
      <x:c r="AH3877" s="145"/>
      <x:c r="AI3877" s="145"/>
      <x:c r="AJ3877"/>
    </x:row>
    <x:row r="3878">
      <x:c r="F3878" s="124"/>
      <x:c r="G3878" s="124"/>
      <x:c r="H3878" s="124"/>
      <x:c r="I3878" s="124"/>
      <x:c r="J3878" s="124"/>
      <x:c r="M3878" s="126"/>
      <x:c r="P3878" s="126"/>
      <x:c r="Q3878" s="126"/>
      <x:c r="R3878" s="126"/>
      <x:c r="S3878" s="124"/>
      <x:c r="T3878" s="124"/>
      <x:c r="U3878" s="124"/>
      <x:c r="V3878" s="124"/>
      <x:c r="W3878" s="124"/>
      <x:c r="X3878" s="124"/>
      <x:c r="AD3878"/>
      <x:c r="AE3878" s="145"/>
      <x:c r="AF3878" s="145"/>
      <x:c r="AG3878" s="145"/>
      <x:c r="AH3878" s="145"/>
      <x:c r="AI3878" s="145"/>
      <x:c r="AJ3878"/>
    </x:row>
    <x:row r="3879">
      <x:c r="F3879" s="124"/>
      <x:c r="G3879" s="124"/>
      <x:c r="H3879" s="124"/>
      <x:c r="I3879" s="124"/>
      <x:c r="J3879" s="124"/>
      <x:c r="M3879" s="126"/>
      <x:c r="P3879" s="126"/>
      <x:c r="Q3879" s="126"/>
      <x:c r="R3879" s="126"/>
      <x:c r="S3879" s="124"/>
      <x:c r="T3879" s="124"/>
      <x:c r="U3879" s="124"/>
      <x:c r="V3879" s="124"/>
      <x:c r="W3879" s="124"/>
      <x:c r="X3879" s="124"/>
      <x:c r="AD3879"/>
      <x:c r="AE3879" s="145"/>
      <x:c r="AF3879" s="145"/>
      <x:c r="AG3879" s="145"/>
      <x:c r="AH3879" s="145"/>
      <x:c r="AI3879" s="145"/>
      <x:c r="AJ3879"/>
    </x:row>
    <x:row r="3880">
      <x:c r="F3880" s="124"/>
      <x:c r="G3880" s="124"/>
      <x:c r="H3880" s="124"/>
      <x:c r="I3880" s="124"/>
      <x:c r="J3880" s="124"/>
      <x:c r="M3880" s="126"/>
      <x:c r="P3880" s="126"/>
      <x:c r="Q3880" s="126"/>
      <x:c r="R3880" s="126"/>
      <x:c r="S3880" s="124"/>
      <x:c r="T3880" s="124"/>
      <x:c r="U3880" s="124"/>
      <x:c r="V3880" s="124"/>
      <x:c r="W3880" s="124"/>
      <x:c r="X3880" s="124"/>
      <x:c r="AD3880"/>
      <x:c r="AE3880" s="145"/>
      <x:c r="AF3880" s="145"/>
      <x:c r="AG3880" s="145"/>
      <x:c r="AH3880" s="145"/>
      <x:c r="AI3880" s="145"/>
      <x:c r="AJ3880"/>
    </x:row>
    <x:row r="3881">
      <x:c r="F3881" s="124"/>
      <x:c r="G3881" s="124"/>
      <x:c r="H3881" s="124"/>
      <x:c r="I3881" s="124"/>
      <x:c r="J3881" s="124"/>
      <x:c r="M3881" s="126"/>
      <x:c r="P3881" s="126"/>
      <x:c r="Q3881" s="126"/>
      <x:c r="R3881" s="126"/>
      <x:c r="S3881" s="124"/>
      <x:c r="T3881" s="124"/>
      <x:c r="U3881" s="124"/>
      <x:c r="V3881" s="124"/>
      <x:c r="W3881" s="124"/>
      <x:c r="X3881" s="124"/>
      <x:c r="AD3881"/>
      <x:c r="AE3881" s="145"/>
      <x:c r="AF3881" s="145"/>
      <x:c r="AG3881" s="145"/>
      <x:c r="AH3881" s="145"/>
      <x:c r="AI3881" s="145"/>
      <x:c r="AJ3881"/>
    </x:row>
    <x:row r="3882">
      <x:c r="F3882" s="124"/>
      <x:c r="G3882" s="124"/>
      <x:c r="H3882" s="124"/>
      <x:c r="I3882" s="124"/>
      <x:c r="J3882" s="124"/>
      <x:c r="M3882" s="126"/>
      <x:c r="P3882" s="126"/>
      <x:c r="Q3882" s="126"/>
      <x:c r="R3882" s="126"/>
      <x:c r="S3882" s="124"/>
      <x:c r="T3882" s="124"/>
      <x:c r="U3882" s="124"/>
      <x:c r="V3882" s="124"/>
      <x:c r="W3882" s="124"/>
      <x:c r="X3882" s="124"/>
      <x:c r="AD3882"/>
      <x:c r="AE3882" s="145"/>
      <x:c r="AF3882" s="145"/>
      <x:c r="AG3882" s="145"/>
      <x:c r="AH3882" s="145"/>
      <x:c r="AI3882" s="145"/>
      <x:c r="AJ3882"/>
    </x:row>
    <x:row r="3883">
      <x:c r="F3883" s="124"/>
      <x:c r="G3883" s="124"/>
      <x:c r="H3883" s="124"/>
      <x:c r="I3883" s="124"/>
      <x:c r="J3883" s="124"/>
      <x:c r="M3883" s="126"/>
      <x:c r="P3883" s="126"/>
      <x:c r="Q3883" s="126"/>
      <x:c r="R3883" s="126"/>
      <x:c r="S3883" s="124"/>
      <x:c r="T3883" s="124"/>
      <x:c r="U3883" s="124"/>
      <x:c r="V3883" s="124"/>
      <x:c r="W3883" s="124"/>
      <x:c r="X3883" s="124"/>
      <x:c r="AD3883"/>
      <x:c r="AE3883" s="145"/>
      <x:c r="AF3883" s="145"/>
      <x:c r="AG3883" s="145"/>
      <x:c r="AH3883" s="145"/>
      <x:c r="AI3883" s="145"/>
      <x:c r="AJ3883"/>
    </x:row>
    <x:row r="3884">
      <x:c r="F3884" s="124"/>
      <x:c r="G3884" s="124"/>
      <x:c r="H3884" s="124"/>
      <x:c r="I3884" s="124"/>
      <x:c r="J3884" s="124"/>
      <x:c r="M3884" s="126"/>
      <x:c r="P3884" s="126"/>
      <x:c r="Q3884" s="126"/>
      <x:c r="R3884" s="126"/>
      <x:c r="S3884" s="124"/>
      <x:c r="T3884" s="124"/>
      <x:c r="U3884" s="124"/>
      <x:c r="V3884" s="124"/>
      <x:c r="W3884" s="124"/>
      <x:c r="X3884" s="124"/>
      <x:c r="AD3884"/>
      <x:c r="AE3884" s="145"/>
      <x:c r="AF3884" s="145"/>
      <x:c r="AG3884" s="145"/>
      <x:c r="AH3884" s="145"/>
      <x:c r="AI3884" s="145"/>
      <x:c r="AJ3884"/>
    </x:row>
    <x:row r="3885">
      <x:c r="F3885" s="124"/>
      <x:c r="G3885" s="124"/>
      <x:c r="H3885" s="124"/>
      <x:c r="I3885" s="124"/>
      <x:c r="J3885" s="124"/>
      <x:c r="M3885" s="126"/>
      <x:c r="P3885" s="126"/>
      <x:c r="Q3885" s="126"/>
      <x:c r="R3885" s="126"/>
      <x:c r="S3885" s="124"/>
      <x:c r="T3885" s="124"/>
      <x:c r="U3885" s="124"/>
      <x:c r="V3885" s="124"/>
      <x:c r="W3885" s="124"/>
      <x:c r="X3885" s="124"/>
      <x:c r="AD3885"/>
      <x:c r="AE3885" s="145"/>
      <x:c r="AF3885" s="145"/>
      <x:c r="AG3885" s="145"/>
      <x:c r="AH3885" s="145"/>
      <x:c r="AI3885" s="145"/>
      <x:c r="AJ3885"/>
    </x:row>
    <x:row r="3886">
      <x:c r="F3886" s="124"/>
      <x:c r="G3886" s="124"/>
      <x:c r="H3886" s="124"/>
      <x:c r="I3886" s="124"/>
      <x:c r="J3886" s="124"/>
      <x:c r="M3886" s="126"/>
      <x:c r="P3886" s="126"/>
      <x:c r="Q3886" s="126"/>
      <x:c r="R3886" s="126"/>
      <x:c r="S3886" s="124"/>
      <x:c r="T3886" s="124"/>
      <x:c r="U3886" s="124"/>
      <x:c r="V3886" s="124"/>
      <x:c r="W3886" s="124"/>
      <x:c r="X3886" s="124"/>
      <x:c r="AD3886"/>
      <x:c r="AE3886" s="145"/>
      <x:c r="AF3886" s="145"/>
      <x:c r="AG3886" s="145"/>
      <x:c r="AH3886" s="145"/>
      <x:c r="AI3886" s="145"/>
      <x:c r="AJ3886"/>
    </x:row>
    <x:row r="3887">
      <x:c r="F3887" s="124"/>
      <x:c r="G3887" s="124"/>
      <x:c r="H3887" s="124"/>
      <x:c r="I3887" s="124"/>
      <x:c r="J3887" s="124"/>
      <x:c r="M3887" s="126"/>
      <x:c r="P3887" s="126"/>
      <x:c r="Q3887" s="126"/>
      <x:c r="R3887" s="126"/>
      <x:c r="S3887" s="124"/>
      <x:c r="T3887" s="124"/>
      <x:c r="U3887" s="124"/>
      <x:c r="V3887" s="124"/>
      <x:c r="W3887" s="124"/>
      <x:c r="X3887" s="124"/>
      <x:c r="AD3887"/>
      <x:c r="AE3887" s="145"/>
      <x:c r="AF3887" s="145"/>
      <x:c r="AG3887" s="145"/>
      <x:c r="AH3887" s="145"/>
      <x:c r="AI3887" s="145"/>
      <x:c r="AJ3887"/>
    </x:row>
    <x:row r="3888">
      <x:c r="F3888" s="124"/>
      <x:c r="G3888" s="124"/>
      <x:c r="H3888" s="124"/>
      <x:c r="I3888" s="124"/>
      <x:c r="J3888" s="124"/>
      <x:c r="M3888" s="126"/>
      <x:c r="P3888" s="126"/>
      <x:c r="Q3888" s="126"/>
      <x:c r="R3888" s="126"/>
      <x:c r="S3888" s="124"/>
      <x:c r="T3888" s="124"/>
      <x:c r="U3888" s="124"/>
      <x:c r="V3888" s="124"/>
      <x:c r="W3888" s="124"/>
      <x:c r="X3888" s="124"/>
      <x:c r="AD3888"/>
      <x:c r="AE3888" s="145"/>
      <x:c r="AF3888" s="145"/>
      <x:c r="AG3888" s="145"/>
      <x:c r="AH3888" s="145"/>
      <x:c r="AI3888" s="145"/>
      <x:c r="AJ3888"/>
    </x:row>
    <x:row r="3889">
      <x:c r="F3889" s="124"/>
      <x:c r="G3889" s="124"/>
      <x:c r="H3889" s="124"/>
      <x:c r="I3889" s="124"/>
      <x:c r="J3889" s="124"/>
      <x:c r="M3889" s="126"/>
      <x:c r="P3889" s="126"/>
      <x:c r="Q3889" s="126"/>
      <x:c r="R3889" s="126"/>
      <x:c r="S3889" s="124"/>
      <x:c r="T3889" s="124"/>
      <x:c r="U3889" s="124"/>
      <x:c r="V3889" s="124"/>
      <x:c r="W3889" s="124"/>
      <x:c r="X3889" s="124"/>
      <x:c r="AD3889"/>
      <x:c r="AE3889" s="145"/>
      <x:c r="AF3889" s="145"/>
      <x:c r="AG3889" s="145"/>
      <x:c r="AH3889" s="145"/>
      <x:c r="AI3889" s="145"/>
      <x:c r="AJ3889"/>
    </x:row>
    <x:row r="3890">
      <x:c r="F3890" s="124"/>
      <x:c r="G3890" s="124"/>
      <x:c r="H3890" s="124"/>
      <x:c r="I3890" s="124"/>
      <x:c r="J3890" s="124"/>
      <x:c r="M3890" s="126"/>
      <x:c r="P3890" s="126"/>
      <x:c r="Q3890" s="126"/>
      <x:c r="R3890" s="126"/>
      <x:c r="S3890" s="124"/>
      <x:c r="T3890" s="124"/>
      <x:c r="U3890" s="124"/>
      <x:c r="V3890" s="124"/>
      <x:c r="W3890" s="124"/>
      <x:c r="X3890" s="124"/>
      <x:c r="AD3890"/>
      <x:c r="AE3890" s="145"/>
      <x:c r="AF3890" s="145"/>
      <x:c r="AG3890" s="145"/>
      <x:c r="AH3890" s="145"/>
      <x:c r="AI3890" s="145"/>
      <x:c r="AJ3890"/>
    </x:row>
    <x:row r="3891">
      <x:c r="F3891" s="124"/>
      <x:c r="G3891" s="124"/>
      <x:c r="H3891" s="124"/>
      <x:c r="I3891" s="124"/>
      <x:c r="J3891" s="124"/>
      <x:c r="M3891" s="126"/>
      <x:c r="P3891" s="126"/>
      <x:c r="Q3891" s="126"/>
      <x:c r="R3891" s="126"/>
      <x:c r="S3891" s="124"/>
      <x:c r="T3891" s="124"/>
      <x:c r="U3891" s="124"/>
      <x:c r="V3891" s="124"/>
      <x:c r="W3891" s="124"/>
      <x:c r="X3891" s="124"/>
      <x:c r="AD3891"/>
      <x:c r="AE3891" s="145"/>
      <x:c r="AF3891" s="145"/>
      <x:c r="AG3891" s="145"/>
      <x:c r="AH3891" s="145"/>
      <x:c r="AI3891" s="145"/>
      <x:c r="AJ3891"/>
    </x:row>
    <x:row r="3892">
      <x:c r="F3892" s="124"/>
      <x:c r="G3892" s="124"/>
      <x:c r="H3892" s="124"/>
      <x:c r="I3892" s="124"/>
      <x:c r="J3892" s="124"/>
      <x:c r="M3892" s="126"/>
      <x:c r="P3892" s="126"/>
      <x:c r="Q3892" s="126"/>
      <x:c r="R3892" s="126"/>
      <x:c r="S3892" s="124"/>
      <x:c r="T3892" s="124"/>
      <x:c r="U3892" s="124"/>
      <x:c r="V3892" s="124"/>
      <x:c r="W3892" s="124"/>
      <x:c r="X3892" s="124"/>
      <x:c r="AD3892"/>
      <x:c r="AE3892" s="145"/>
      <x:c r="AF3892" s="145"/>
      <x:c r="AG3892" s="145"/>
      <x:c r="AH3892" s="145"/>
      <x:c r="AI3892" s="145"/>
      <x:c r="AJ3892"/>
    </x:row>
    <x:row r="3893">
      <x:c r="F3893" s="124"/>
      <x:c r="G3893" s="124"/>
      <x:c r="H3893" s="124"/>
      <x:c r="I3893" s="124"/>
      <x:c r="J3893" s="124"/>
      <x:c r="M3893" s="126"/>
      <x:c r="P3893" s="126"/>
      <x:c r="Q3893" s="126"/>
      <x:c r="R3893" s="126"/>
      <x:c r="S3893" s="124"/>
      <x:c r="T3893" s="124"/>
      <x:c r="U3893" s="124"/>
      <x:c r="V3893" s="124"/>
      <x:c r="W3893" s="124"/>
      <x:c r="X3893" s="124"/>
      <x:c r="AD3893"/>
      <x:c r="AE3893" s="145"/>
      <x:c r="AF3893" s="145"/>
      <x:c r="AG3893" s="145"/>
      <x:c r="AH3893" s="145"/>
      <x:c r="AI3893" s="145"/>
      <x:c r="AJ3893"/>
    </x:row>
    <x:row r="3894">
      <x:c r="F3894" s="124"/>
      <x:c r="G3894" s="124"/>
      <x:c r="H3894" s="124"/>
      <x:c r="I3894" s="124"/>
      <x:c r="J3894" s="124"/>
      <x:c r="M3894" s="126"/>
      <x:c r="P3894" s="126"/>
      <x:c r="Q3894" s="126"/>
      <x:c r="R3894" s="126"/>
      <x:c r="S3894" s="124"/>
      <x:c r="T3894" s="124"/>
      <x:c r="U3894" s="124"/>
      <x:c r="V3894" s="124"/>
      <x:c r="W3894" s="124"/>
      <x:c r="X3894" s="124"/>
      <x:c r="AD3894"/>
      <x:c r="AE3894" s="145"/>
      <x:c r="AF3894" s="145"/>
      <x:c r="AG3894" s="145"/>
      <x:c r="AH3894" s="145"/>
      <x:c r="AI3894" s="145"/>
      <x:c r="AJ3894"/>
    </x:row>
    <x:row r="3895">
      <x:c r="F3895" s="124"/>
      <x:c r="G3895" s="124"/>
      <x:c r="H3895" s="124"/>
      <x:c r="I3895" s="124"/>
      <x:c r="J3895" s="124"/>
      <x:c r="M3895" s="126"/>
      <x:c r="P3895" s="126"/>
      <x:c r="Q3895" s="126"/>
      <x:c r="R3895" s="126"/>
      <x:c r="S3895" s="124"/>
      <x:c r="T3895" s="124"/>
      <x:c r="U3895" s="124"/>
      <x:c r="V3895" s="124"/>
      <x:c r="W3895" s="124"/>
      <x:c r="X3895" s="124"/>
      <x:c r="AD3895"/>
      <x:c r="AE3895" s="145"/>
      <x:c r="AF3895" s="145"/>
      <x:c r="AG3895" s="145"/>
      <x:c r="AH3895" s="145"/>
      <x:c r="AI3895" s="145"/>
      <x:c r="AJ3895"/>
    </x:row>
    <x:row r="3896">
      <x:c r="F3896" s="124"/>
      <x:c r="G3896" s="124"/>
      <x:c r="H3896" s="124"/>
      <x:c r="I3896" s="124"/>
      <x:c r="J3896" s="124"/>
      <x:c r="M3896" s="126"/>
      <x:c r="P3896" s="126"/>
      <x:c r="Q3896" s="126"/>
      <x:c r="R3896" s="126"/>
      <x:c r="S3896" s="124"/>
      <x:c r="T3896" s="124"/>
      <x:c r="U3896" s="124"/>
      <x:c r="V3896" s="124"/>
      <x:c r="W3896" s="124"/>
      <x:c r="X3896" s="124"/>
      <x:c r="AD3896"/>
      <x:c r="AE3896" s="145"/>
      <x:c r="AF3896" s="145"/>
      <x:c r="AG3896" s="145"/>
      <x:c r="AH3896" s="145"/>
      <x:c r="AI3896" s="145"/>
      <x:c r="AJ3896"/>
    </x:row>
    <x:row r="3897">
      <x:c r="F3897" s="124"/>
      <x:c r="G3897" s="124"/>
      <x:c r="H3897" s="124"/>
      <x:c r="I3897" s="124"/>
      <x:c r="J3897" s="124"/>
      <x:c r="M3897" s="126"/>
      <x:c r="P3897" s="126"/>
      <x:c r="Q3897" s="126"/>
      <x:c r="R3897" s="126"/>
      <x:c r="S3897" s="124"/>
      <x:c r="T3897" s="124"/>
      <x:c r="U3897" s="124"/>
      <x:c r="V3897" s="124"/>
      <x:c r="W3897" s="124"/>
      <x:c r="X3897" s="124"/>
      <x:c r="AD3897"/>
      <x:c r="AE3897" s="145"/>
      <x:c r="AF3897" s="145"/>
      <x:c r="AG3897" s="145"/>
      <x:c r="AH3897" s="145"/>
      <x:c r="AI3897" s="145"/>
      <x:c r="AJ3897"/>
    </x:row>
    <x:row r="3898">
      <x:c r="F3898" s="124"/>
      <x:c r="G3898" s="124"/>
      <x:c r="H3898" s="124"/>
      <x:c r="I3898" s="124"/>
      <x:c r="J3898" s="124"/>
      <x:c r="M3898" s="126"/>
      <x:c r="P3898" s="126"/>
      <x:c r="Q3898" s="126"/>
      <x:c r="R3898" s="126"/>
      <x:c r="S3898" s="124"/>
      <x:c r="T3898" s="124"/>
      <x:c r="U3898" s="124"/>
      <x:c r="V3898" s="124"/>
      <x:c r="W3898" s="124"/>
      <x:c r="X3898" s="124"/>
      <x:c r="AD3898"/>
      <x:c r="AE3898" s="145"/>
      <x:c r="AF3898" s="145"/>
      <x:c r="AG3898" s="145"/>
      <x:c r="AH3898" s="145"/>
      <x:c r="AI3898" s="145"/>
      <x:c r="AJ3898"/>
    </x:row>
    <x:row r="3899">
      <x:c r="F3899" s="124"/>
      <x:c r="G3899" s="124"/>
      <x:c r="H3899" s="124"/>
      <x:c r="I3899" s="124"/>
      <x:c r="J3899" s="124"/>
      <x:c r="M3899" s="126"/>
      <x:c r="P3899" s="126"/>
      <x:c r="Q3899" s="126"/>
      <x:c r="R3899" s="126"/>
      <x:c r="S3899" s="124"/>
      <x:c r="T3899" s="124"/>
      <x:c r="U3899" s="124"/>
      <x:c r="V3899" s="124"/>
      <x:c r="W3899" s="124"/>
      <x:c r="X3899" s="124"/>
      <x:c r="AD3899"/>
      <x:c r="AE3899" s="145"/>
      <x:c r="AF3899" s="145"/>
      <x:c r="AG3899" s="145"/>
      <x:c r="AH3899" s="145"/>
      <x:c r="AI3899" s="145"/>
      <x:c r="AJ3899"/>
    </x:row>
    <x:row r="3900">
      <x:c r="F3900" s="124"/>
      <x:c r="G3900" s="124"/>
      <x:c r="H3900" s="124"/>
      <x:c r="I3900" s="124"/>
      <x:c r="J3900" s="124"/>
      <x:c r="M3900" s="126"/>
      <x:c r="P3900" s="126"/>
      <x:c r="Q3900" s="126"/>
      <x:c r="R3900" s="126"/>
      <x:c r="S3900" s="124"/>
      <x:c r="T3900" s="124"/>
      <x:c r="U3900" s="124"/>
      <x:c r="V3900" s="124"/>
      <x:c r="W3900" s="124"/>
      <x:c r="X3900" s="124"/>
      <x:c r="AD3900"/>
      <x:c r="AE3900" s="145"/>
      <x:c r="AF3900" s="145"/>
      <x:c r="AG3900" s="145"/>
      <x:c r="AH3900" s="145"/>
      <x:c r="AI3900" s="145"/>
      <x:c r="AJ3900"/>
    </x:row>
    <x:row r="3901">
      <x:c r="F3901" s="124"/>
      <x:c r="G3901" s="124"/>
      <x:c r="H3901" s="124"/>
      <x:c r="I3901" s="124"/>
      <x:c r="J3901" s="124"/>
      <x:c r="M3901" s="126"/>
      <x:c r="P3901" s="126"/>
      <x:c r="Q3901" s="126"/>
      <x:c r="R3901" s="126"/>
      <x:c r="S3901" s="124"/>
      <x:c r="T3901" s="124"/>
      <x:c r="U3901" s="124"/>
      <x:c r="V3901" s="124"/>
      <x:c r="W3901" s="124"/>
      <x:c r="X3901" s="124"/>
      <x:c r="AD3901"/>
      <x:c r="AE3901" s="145"/>
      <x:c r="AF3901" s="145"/>
      <x:c r="AG3901" s="145"/>
      <x:c r="AH3901" s="145"/>
      <x:c r="AI3901" s="145"/>
      <x:c r="AJ3901"/>
    </x:row>
    <x:row r="3902">
      <x:c r="F3902" s="124"/>
      <x:c r="G3902" s="124"/>
      <x:c r="H3902" s="124"/>
      <x:c r="I3902" s="124"/>
      <x:c r="J3902" s="124"/>
      <x:c r="M3902" s="126"/>
      <x:c r="P3902" s="126"/>
      <x:c r="Q3902" s="126"/>
      <x:c r="R3902" s="126"/>
      <x:c r="S3902" s="124"/>
      <x:c r="T3902" s="124"/>
      <x:c r="U3902" s="124"/>
      <x:c r="V3902" s="124"/>
      <x:c r="W3902" s="124"/>
      <x:c r="X3902" s="124"/>
      <x:c r="AD3902"/>
      <x:c r="AE3902" s="145"/>
      <x:c r="AF3902" s="145"/>
      <x:c r="AG3902" s="145"/>
      <x:c r="AH3902" s="145"/>
      <x:c r="AI3902" s="145"/>
      <x:c r="AJ3902"/>
    </x:row>
    <x:row r="3903">
      <x:c r="F3903" s="124"/>
      <x:c r="G3903" s="124"/>
      <x:c r="H3903" s="124"/>
      <x:c r="I3903" s="124"/>
      <x:c r="J3903" s="124"/>
      <x:c r="M3903" s="126"/>
      <x:c r="P3903" s="126"/>
      <x:c r="Q3903" s="126"/>
      <x:c r="R3903" s="126"/>
      <x:c r="S3903" s="124"/>
      <x:c r="T3903" s="124"/>
      <x:c r="U3903" s="124"/>
      <x:c r="V3903" s="124"/>
      <x:c r="W3903" s="124"/>
      <x:c r="X3903" s="124"/>
      <x:c r="AD3903"/>
      <x:c r="AE3903" s="145"/>
      <x:c r="AF3903" s="145"/>
      <x:c r="AG3903" s="145"/>
      <x:c r="AH3903" s="145"/>
      <x:c r="AI3903" s="145"/>
      <x:c r="AJ3903"/>
    </x:row>
    <x:row r="3904">
      <x:c r="F3904" s="124"/>
      <x:c r="G3904" s="124"/>
      <x:c r="H3904" s="124"/>
      <x:c r="I3904" s="124"/>
      <x:c r="J3904" s="124"/>
      <x:c r="M3904" s="126"/>
      <x:c r="P3904" s="126"/>
      <x:c r="Q3904" s="126"/>
      <x:c r="R3904" s="126"/>
      <x:c r="S3904" s="124"/>
      <x:c r="T3904" s="124"/>
      <x:c r="U3904" s="124"/>
      <x:c r="V3904" s="124"/>
      <x:c r="W3904" s="124"/>
      <x:c r="X3904" s="124"/>
      <x:c r="AD3904"/>
      <x:c r="AE3904" s="145"/>
      <x:c r="AF3904" s="145"/>
      <x:c r="AG3904" s="145"/>
      <x:c r="AH3904" s="145"/>
      <x:c r="AI3904" s="145"/>
      <x:c r="AJ3904"/>
    </x:row>
    <x:row r="3905">
      <x:c r="F3905" s="124"/>
      <x:c r="G3905" s="124"/>
      <x:c r="H3905" s="124"/>
      <x:c r="I3905" s="124"/>
      <x:c r="J3905" s="124"/>
      <x:c r="M3905" s="126"/>
      <x:c r="P3905" s="126"/>
      <x:c r="Q3905" s="126"/>
      <x:c r="R3905" s="126"/>
      <x:c r="S3905" s="124"/>
      <x:c r="T3905" s="124"/>
      <x:c r="U3905" s="124"/>
      <x:c r="V3905" s="124"/>
      <x:c r="W3905" s="124"/>
      <x:c r="X3905" s="124"/>
      <x:c r="AD3905"/>
      <x:c r="AE3905" s="145"/>
      <x:c r="AF3905" s="145"/>
      <x:c r="AG3905" s="145"/>
      <x:c r="AH3905" s="145"/>
      <x:c r="AI3905" s="145"/>
      <x:c r="AJ3905"/>
    </x:row>
    <x:row r="3906">
      <x:c r="F3906" s="124"/>
      <x:c r="G3906" s="124"/>
      <x:c r="H3906" s="124"/>
      <x:c r="I3906" s="124"/>
      <x:c r="J3906" s="124"/>
      <x:c r="M3906" s="126"/>
      <x:c r="P3906" s="126"/>
      <x:c r="Q3906" s="126"/>
      <x:c r="R3906" s="126"/>
      <x:c r="S3906" s="124"/>
      <x:c r="T3906" s="124"/>
      <x:c r="U3906" s="124"/>
      <x:c r="V3906" s="124"/>
      <x:c r="W3906" s="124"/>
      <x:c r="X3906" s="124"/>
      <x:c r="AD3906"/>
      <x:c r="AE3906" s="145"/>
      <x:c r="AF3906" s="145"/>
      <x:c r="AG3906" s="145"/>
      <x:c r="AH3906" s="145"/>
      <x:c r="AI3906" s="145"/>
      <x:c r="AJ3906"/>
    </x:row>
    <x:row r="3907">
      <x:c r="F3907" s="124"/>
      <x:c r="G3907" s="124"/>
      <x:c r="H3907" s="124"/>
      <x:c r="I3907" s="124"/>
      <x:c r="J3907" s="124"/>
      <x:c r="M3907" s="126"/>
      <x:c r="P3907" s="126"/>
      <x:c r="Q3907" s="126"/>
      <x:c r="R3907" s="126"/>
      <x:c r="S3907" s="124"/>
      <x:c r="T3907" s="124"/>
      <x:c r="U3907" s="124"/>
      <x:c r="V3907" s="124"/>
      <x:c r="W3907" s="124"/>
      <x:c r="X3907" s="124"/>
      <x:c r="AD3907"/>
      <x:c r="AE3907" s="145"/>
      <x:c r="AF3907" s="145"/>
      <x:c r="AG3907" s="145"/>
      <x:c r="AH3907" s="145"/>
      <x:c r="AI3907" s="145"/>
      <x:c r="AJ3907"/>
    </x:row>
    <x:row r="3908">
      <x:c r="F3908" s="124"/>
      <x:c r="G3908" s="124"/>
      <x:c r="H3908" s="124"/>
      <x:c r="I3908" s="124"/>
      <x:c r="J3908" s="124"/>
      <x:c r="M3908" s="126"/>
      <x:c r="P3908" s="126"/>
      <x:c r="Q3908" s="126"/>
      <x:c r="R3908" s="126"/>
      <x:c r="S3908" s="124"/>
      <x:c r="T3908" s="124"/>
      <x:c r="U3908" s="124"/>
      <x:c r="V3908" s="124"/>
      <x:c r="W3908" s="124"/>
      <x:c r="X3908" s="124"/>
      <x:c r="AD3908"/>
      <x:c r="AE3908" s="145"/>
      <x:c r="AF3908" s="145"/>
      <x:c r="AG3908" s="145"/>
      <x:c r="AH3908" s="145"/>
      <x:c r="AI3908" s="145"/>
      <x:c r="AJ3908"/>
    </x:row>
    <x:row r="3909">
      <x:c r="F3909" s="124"/>
      <x:c r="G3909" s="124"/>
      <x:c r="H3909" s="124"/>
      <x:c r="I3909" s="124"/>
      <x:c r="J3909" s="124"/>
      <x:c r="M3909" s="126"/>
      <x:c r="P3909" s="126"/>
      <x:c r="Q3909" s="126"/>
      <x:c r="R3909" s="126"/>
      <x:c r="S3909" s="124"/>
      <x:c r="T3909" s="124"/>
      <x:c r="U3909" s="124"/>
      <x:c r="V3909" s="124"/>
      <x:c r="W3909" s="124"/>
      <x:c r="X3909" s="124"/>
      <x:c r="AD3909"/>
      <x:c r="AE3909" s="145"/>
      <x:c r="AF3909" s="145"/>
      <x:c r="AG3909" s="145"/>
      <x:c r="AH3909" s="145"/>
      <x:c r="AI3909" s="145"/>
      <x:c r="AJ3909"/>
    </x:row>
    <x:row r="3910">
      <x:c r="F3910" s="124"/>
      <x:c r="G3910" s="124"/>
      <x:c r="H3910" s="124"/>
      <x:c r="I3910" s="124"/>
      <x:c r="J3910" s="124"/>
      <x:c r="M3910" s="126"/>
      <x:c r="P3910" s="126"/>
      <x:c r="Q3910" s="126"/>
      <x:c r="R3910" s="126"/>
      <x:c r="S3910" s="124"/>
      <x:c r="T3910" s="124"/>
      <x:c r="U3910" s="124"/>
      <x:c r="V3910" s="124"/>
      <x:c r="W3910" s="124"/>
      <x:c r="X3910" s="124"/>
      <x:c r="AD3910"/>
      <x:c r="AE3910" s="145"/>
      <x:c r="AF3910" s="145"/>
      <x:c r="AG3910" s="145"/>
      <x:c r="AH3910" s="145"/>
      <x:c r="AI3910" s="145"/>
      <x:c r="AJ3910"/>
    </x:row>
    <x:row r="3911">
      <x:c r="F3911" s="124"/>
      <x:c r="G3911" s="124"/>
      <x:c r="H3911" s="124"/>
      <x:c r="I3911" s="124"/>
      <x:c r="J3911" s="124"/>
      <x:c r="M3911" s="126"/>
      <x:c r="P3911" s="126"/>
      <x:c r="Q3911" s="126"/>
      <x:c r="R3911" s="126"/>
      <x:c r="S3911" s="124"/>
      <x:c r="T3911" s="124"/>
      <x:c r="U3911" s="124"/>
      <x:c r="V3911" s="124"/>
      <x:c r="W3911" s="124"/>
      <x:c r="X3911" s="124"/>
      <x:c r="AD3911"/>
      <x:c r="AE3911" s="145"/>
      <x:c r="AF3911" s="145"/>
      <x:c r="AG3911" s="145"/>
      <x:c r="AH3911" s="145"/>
      <x:c r="AI3911" s="145"/>
      <x:c r="AJ3911"/>
    </x:row>
    <x:row r="3912">
      <x:c r="F3912" s="124"/>
      <x:c r="G3912" s="124"/>
      <x:c r="H3912" s="124"/>
      <x:c r="I3912" s="124"/>
      <x:c r="J3912" s="124"/>
      <x:c r="M3912" s="126"/>
      <x:c r="P3912" s="126"/>
      <x:c r="Q3912" s="126"/>
      <x:c r="R3912" s="126"/>
      <x:c r="S3912" s="124"/>
      <x:c r="T3912" s="124"/>
      <x:c r="U3912" s="124"/>
      <x:c r="V3912" s="124"/>
      <x:c r="W3912" s="124"/>
      <x:c r="X3912" s="124"/>
      <x:c r="AD3912"/>
      <x:c r="AE3912" s="145"/>
      <x:c r="AF3912" s="145"/>
      <x:c r="AG3912" s="145"/>
      <x:c r="AH3912" s="145"/>
      <x:c r="AI3912" s="145"/>
      <x:c r="AJ3912"/>
    </x:row>
    <x:row r="3913">
      <x:c r="F3913" s="124"/>
      <x:c r="G3913" s="124"/>
      <x:c r="H3913" s="124"/>
      <x:c r="I3913" s="124"/>
      <x:c r="J3913" s="124"/>
      <x:c r="M3913" s="126"/>
      <x:c r="P3913" s="126"/>
      <x:c r="Q3913" s="126"/>
      <x:c r="R3913" s="126"/>
      <x:c r="S3913" s="124"/>
      <x:c r="T3913" s="124"/>
      <x:c r="U3913" s="124"/>
      <x:c r="V3913" s="124"/>
      <x:c r="W3913" s="124"/>
      <x:c r="X3913" s="124"/>
      <x:c r="AD3913"/>
      <x:c r="AE3913" s="145"/>
      <x:c r="AF3913" s="145"/>
      <x:c r="AG3913" s="145"/>
      <x:c r="AH3913" s="145"/>
      <x:c r="AI3913" s="145"/>
      <x:c r="AJ3913"/>
    </x:row>
    <x:row r="3914">
      <x:c r="F3914" s="124"/>
      <x:c r="G3914" s="124"/>
      <x:c r="H3914" s="124"/>
      <x:c r="I3914" s="124"/>
      <x:c r="J3914" s="124"/>
      <x:c r="M3914" s="126"/>
      <x:c r="P3914" s="126"/>
      <x:c r="Q3914" s="126"/>
      <x:c r="R3914" s="126"/>
      <x:c r="S3914" s="124"/>
      <x:c r="T3914" s="124"/>
      <x:c r="U3914" s="124"/>
      <x:c r="V3914" s="124"/>
      <x:c r="W3914" s="124"/>
      <x:c r="X3914" s="124"/>
      <x:c r="AD3914"/>
      <x:c r="AE3914" s="145"/>
      <x:c r="AF3914" s="145"/>
      <x:c r="AG3914" s="145"/>
      <x:c r="AH3914" s="145"/>
      <x:c r="AI3914" s="145"/>
      <x:c r="AJ3914"/>
    </x:row>
    <x:row r="3915">
      <x:c r="F3915" s="124"/>
      <x:c r="G3915" s="124"/>
      <x:c r="H3915" s="124"/>
      <x:c r="I3915" s="124"/>
      <x:c r="J3915" s="124"/>
      <x:c r="M3915" s="126"/>
      <x:c r="P3915" s="126"/>
      <x:c r="Q3915" s="126"/>
      <x:c r="R3915" s="126"/>
      <x:c r="S3915" s="124"/>
      <x:c r="T3915" s="124"/>
      <x:c r="U3915" s="124"/>
      <x:c r="V3915" s="124"/>
      <x:c r="W3915" s="124"/>
      <x:c r="X3915" s="124"/>
      <x:c r="AD3915"/>
      <x:c r="AE3915" s="145"/>
      <x:c r="AF3915" s="145"/>
      <x:c r="AG3915" s="145"/>
      <x:c r="AH3915" s="145"/>
      <x:c r="AI3915" s="145"/>
      <x:c r="AJ3915"/>
    </x:row>
    <x:row r="3916">
      <x:c r="F3916" s="124"/>
      <x:c r="G3916" s="124"/>
      <x:c r="H3916" s="124"/>
      <x:c r="I3916" s="124"/>
      <x:c r="J3916" s="124"/>
      <x:c r="M3916" s="126"/>
      <x:c r="P3916" s="126"/>
      <x:c r="Q3916" s="126"/>
      <x:c r="R3916" s="126"/>
      <x:c r="S3916" s="124"/>
      <x:c r="T3916" s="124"/>
      <x:c r="U3916" s="124"/>
      <x:c r="V3916" s="124"/>
      <x:c r="W3916" s="124"/>
      <x:c r="X3916" s="124"/>
      <x:c r="AD3916"/>
      <x:c r="AE3916" s="145"/>
      <x:c r="AF3916" s="145"/>
      <x:c r="AG3916" s="145"/>
      <x:c r="AH3916" s="145"/>
      <x:c r="AI3916" s="145"/>
      <x:c r="AJ3916"/>
    </x:row>
    <x:row r="3917">
      <x:c r="F3917" s="124"/>
      <x:c r="G3917" s="124"/>
      <x:c r="H3917" s="124"/>
      <x:c r="I3917" s="124"/>
      <x:c r="J3917" s="124"/>
      <x:c r="M3917" s="126"/>
      <x:c r="P3917" s="126"/>
      <x:c r="Q3917" s="126"/>
      <x:c r="R3917" s="126"/>
      <x:c r="S3917" s="124"/>
      <x:c r="T3917" s="124"/>
      <x:c r="U3917" s="124"/>
      <x:c r="V3917" s="124"/>
      <x:c r="W3917" s="124"/>
      <x:c r="X3917" s="124"/>
      <x:c r="AD3917"/>
      <x:c r="AE3917" s="145"/>
      <x:c r="AF3917" s="145"/>
      <x:c r="AG3917" s="145"/>
      <x:c r="AH3917" s="145"/>
      <x:c r="AI3917" s="145"/>
      <x:c r="AJ3917"/>
    </x:row>
    <x:row r="3918">
      <x:c r="F3918" s="124"/>
      <x:c r="G3918" s="124"/>
      <x:c r="H3918" s="124"/>
      <x:c r="I3918" s="124"/>
      <x:c r="J3918" s="124"/>
      <x:c r="M3918" s="126"/>
      <x:c r="P3918" s="126"/>
      <x:c r="Q3918" s="126"/>
      <x:c r="R3918" s="126"/>
      <x:c r="S3918" s="124"/>
      <x:c r="T3918" s="124"/>
      <x:c r="U3918" s="124"/>
      <x:c r="V3918" s="124"/>
      <x:c r="W3918" s="124"/>
      <x:c r="X3918" s="124"/>
      <x:c r="AD3918"/>
      <x:c r="AE3918" s="145"/>
      <x:c r="AF3918" s="145"/>
      <x:c r="AG3918" s="145"/>
      <x:c r="AH3918" s="145"/>
      <x:c r="AI3918" s="145"/>
      <x:c r="AJ3918"/>
    </x:row>
    <x:row r="3919">
      <x:c r="F3919" s="124"/>
      <x:c r="G3919" s="124"/>
      <x:c r="H3919" s="124"/>
      <x:c r="I3919" s="124"/>
      <x:c r="J3919" s="124"/>
      <x:c r="M3919" s="126"/>
      <x:c r="P3919" s="126"/>
      <x:c r="Q3919" s="126"/>
      <x:c r="R3919" s="126"/>
      <x:c r="S3919" s="124"/>
      <x:c r="T3919" s="124"/>
      <x:c r="U3919" s="124"/>
      <x:c r="V3919" s="124"/>
      <x:c r="W3919" s="124"/>
      <x:c r="X3919" s="124"/>
      <x:c r="AD3919"/>
      <x:c r="AE3919" s="145"/>
      <x:c r="AF3919" s="145"/>
      <x:c r="AG3919" s="145"/>
      <x:c r="AH3919" s="145"/>
      <x:c r="AI3919" s="145"/>
      <x:c r="AJ3919"/>
    </x:row>
    <x:row r="3920">
      <x:c r="F3920" s="124"/>
      <x:c r="G3920" s="124"/>
      <x:c r="H3920" s="124"/>
      <x:c r="I3920" s="124"/>
      <x:c r="J3920" s="124"/>
      <x:c r="M3920" s="126"/>
      <x:c r="P3920" s="126"/>
      <x:c r="Q3920" s="126"/>
      <x:c r="R3920" s="126"/>
      <x:c r="S3920" s="124"/>
      <x:c r="T3920" s="124"/>
      <x:c r="U3920" s="124"/>
      <x:c r="V3920" s="124"/>
      <x:c r="W3920" s="124"/>
      <x:c r="X3920" s="124"/>
      <x:c r="AD3920"/>
      <x:c r="AE3920" s="145"/>
      <x:c r="AF3920" s="145"/>
      <x:c r="AG3920" s="145"/>
      <x:c r="AH3920" s="145"/>
      <x:c r="AI3920" s="145"/>
      <x:c r="AJ3920"/>
    </x:row>
    <x:row r="3921">
      <x:c r="F3921" s="124"/>
      <x:c r="G3921" s="124"/>
      <x:c r="H3921" s="124"/>
      <x:c r="I3921" s="124"/>
      <x:c r="J3921" s="124"/>
      <x:c r="M3921" s="126"/>
      <x:c r="P3921" s="126"/>
      <x:c r="Q3921" s="126"/>
      <x:c r="R3921" s="126"/>
      <x:c r="S3921" s="124"/>
      <x:c r="T3921" s="124"/>
      <x:c r="U3921" s="124"/>
      <x:c r="V3921" s="124"/>
      <x:c r="W3921" s="124"/>
      <x:c r="X3921" s="124"/>
      <x:c r="AD3921"/>
      <x:c r="AE3921" s="145"/>
      <x:c r="AF3921" s="145"/>
      <x:c r="AG3921" s="145"/>
      <x:c r="AH3921" s="145"/>
      <x:c r="AI3921" s="145"/>
      <x:c r="AJ3921"/>
    </x:row>
    <x:row r="3922">
      <x:c r="F3922" s="124"/>
      <x:c r="G3922" s="124"/>
      <x:c r="H3922" s="124"/>
      <x:c r="I3922" s="124"/>
      <x:c r="J3922" s="124"/>
      <x:c r="M3922" s="126"/>
      <x:c r="P3922" s="126"/>
      <x:c r="Q3922" s="126"/>
      <x:c r="R3922" s="126"/>
      <x:c r="S3922" s="124"/>
      <x:c r="T3922" s="124"/>
      <x:c r="U3922" s="124"/>
      <x:c r="V3922" s="124"/>
      <x:c r="W3922" s="124"/>
      <x:c r="X3922" s="124"/>
      <x:c r="AD3922"/>
      <x:c r="AE3922" s="145"/>
      <x:c r="AF3922" s="145"/>
      <x:c r="AG3922" s="145"/>
      <x:c r="AH3922" s="145"/>
      <x:c r="AI3922" s="145"/>
      <x:c r="AJ3922"/>
    </x:row>
    <x:row r="3923">
      <x:c r="F3923" s="124"/>
      <x:c r="G3923" s="124"/>
      <x:c r="H3923" s="124"/>
      <x:c r="I3923" s="124"/>
      <x:c r="J3923" s="124"/>
      <x:c r="M3923" s="126"/>
      <x:c r="P3923" s="126"/>
      <x:c r="Q3923" s="126"/>
      <x:c r="R3923" s="126"/>
      <x:c r="S3923" s="124"/>
      <x:c r="T3923" s="124"/>
      <x:c r="U3923" s="124"/>
      <x:c r="V3923" s="124"/>
      <x:c r="W3923" s="124"/>
      <x:c r="X3923" s="124"/>
      <x:c r="AD3923"/>
      <x:c r="AE3923" s="145"/>
      <x:c r="AF3923" s="145"/>
      <x:c r="AG3923" s="145"/>
      <x:c r="AH3923" s="145"/>
      <x:c r="AI3923" s="145"/>
      <x:c r="AJ3923"/>
    </x:row>
    <x:row r="3924">
      <x:c r="F3924" s="124"/>
      <x:c r="G3924" s="124"/>
      <x:c r="H3924" s="124"/>
      <x:c r="I3924" s="124"/>
      <x:c r="J3924" s="124"/>
      <x:c r="M3924" s="126"/>
      <x:c r="P3924" s="126"/>
      <x:c r="Q3924" s="126"/>
      <x:c r="R3924" s="126"/>
      <x:c r="S3924" s="124"/>
      <x:c r="T3924" s="124"/>
      <x:c r="U3924" s="124"/>
      <x:c r="V3924" s="124"/>
      <x:c r="W3924" s="124"/>
      <x:c r="X3924" s="124"/>
      <x:c r="AD3924"/>
      <x:c r="AE3924" s="145"/>
      <x:c r="AF3924" s="145"/>
      <x:c r="AG3924" s="145"/>
      <x:c r="AH3924" s="145"/>
      <x:c r="AI3924" s="145"/>
      <x:c r="AJ3924"/>
    </x:row>
    <x:row r="3925">
      <x:c r="F3925" s="124"/>
      <x:c r="G3925" s="124"/>
      <x:c r="H3925" s="124"/>
      <x:c r="I3925" s="124"/>
      <x:c r="J3925" s="124"/>
      <x:c r="M3925" s="126"/>
      <x:c r="P3925" s="126"/>
      <x:c r="Q3925" s="126"/>
      <x:c r="R3925" s="126"/>
      <x:c r="S3925" s="124"/>
      <x:c r="T3925" s="124"/>
      <x:c r="U3925" s="124"/>
      <x:c r="V3925" s="124"/>
      <x:c r="W3925" s="124"/>
      <x:c r="X3925" s="124"/>
      <x:c r="AD3925"/>
      <x:c r="AE3925" s="145"/>
      <x:c r="AF3925" s="145"/>
      <x:c r="AG3925" s="145"/>
      <x:c r="AH3925" s="145"/>
      <x:c r="AI3925" s="145"/>
      <x:c r="AJ3925"/>
    </x:row>
    <x:row r="3926">
      <x:c r="F3926" s="124"/>
      <x:c r="G3926" s="124"/>
      <x:c r="H3926" s="124"/>
      <x:c r="I3926" s="124"/>
      <x:c r="J3926" s="124"/>
      <x:c r="M3926" s="126"/>
      <x:c r="P3926" s="126"/>
      <x:c r="Q3926" s="126"/>
      <x:c r="R3926" s="126"/>
      <x:c r="S3926" s="124"/>
      <x:c r="T3926" s="124"/>
      <x:c r="U3926" s="124"/>
      <x:c r="V3926" s="124"/>
      <x:c r="W3926" s="124"/>
      <x:c r="X3926" s="124"/>
      <x:c r="AD3926"/>
      <x:c r="AE3926" s="145"/>
      <x:c r="AF3926" s="145"/>
      <x:c r="AG3926" s="145"/>
      <x:c r="AH3926" s="145"/>
      <x:c r="AI3926" s="145"/>
      <x:c r="AJ3926"/>
    </x:row>
    <x:row r="3927">
      <x:c r="F3927" s="124"/>
      <x:c r="G3927" s="124"/>
      <x:c r="H3927" s="124"/>
      <x:c r="I3927" s="124"/>
      <x:c r="J3927" s="124"/>
      <x:c r="M3927" s="126"/>
      <x:c r="P3927" s="126"/>
      <x:c r="Q3927" s="126"/>
      <x:c r="R3927" s="126"/>
      <x:c r="S3927" s="124"/>
      <x:c r="T3927" s="124"/>
      <x:c r="U3927" s="124"/>
      <x:c r="V3927" s="124"/>
      <x:c r="W3927" s="124"/>
      <x:c r="X3927" s="124"/>
      <x:c r="AD3927"/>
      <x:c r="AE3927" s="145"/>
      <x:c r="AF3927" s="145"/>
      <x:c r="AG3927" s="145"/>
      <x:c r="AH3927" s="145"/>
      <x:c r="AI3927" s="145"/>
      <x:c r="AJ3927"/>
    </x:row>
    <x:row r="3928">
      <x:c r="F3928" s="124"/>
      <x:c r="G3928" s="124"/>
      <x:c r="H3928" s="124"/>
      <x:c r="I3928" s="124"/>
      <x:c r="J3928" s="124"/>
      <x:c r="M3928" s="126"/>
      <x:c r="P3928" s="126"/>
      <x:c r="Q3928" s="126"/>
      <x:c r="R3928" s="126"/>
      <x:c r="S3928" s="124"/>
      <x:c r="T3928" s="124"/>
      <x:c r="U3928" s="124"/>
      <x:c r="V3928" s="124"/>
      <x:c r="W3928" s="124"/>
      <x:c r="X3928" s="124"/>
      <x:c r="AD3928"/>
      <x:c r="AE3928" s="145"/>
      <x:c r="AF3928" s="145"/>
      <x:c r="AG3928" s="145"/>
      <x:c r="AH3928" s="145"/>
      <x:c r="AI3928" s="145"/>
      <x:c r="AJ3928"/>
    </x:row>
    <x:row r="3929">
      <x:c r="F3929" s="124"/>
      <x:c r="G3929" s="124"/>
      <x:c r="H3929" s="124"/>
      <x:c r="I3929" s="124"/>
      <x:c r="J3929" s="124"/>
      <x:c r="M3929" s="126"/>
      <x:c r="P3929" s="126"/>
      <x:c r="Q3929" s="126"/>
      <x:c r="R3929" s="126"/>
      <x:c r="S3929" s="124"/>
      <x:c r="T3929" s="124"/>
      <x:c r="U3929" s="124"/>
      <x:c r="V3929" s="124"/>
      <x:c r="W3929" s="124"/>
      <x:c r="X3929" s="124"/>
      <x:c r="AD3929"/>
      <x:c r="AE3929" s="145"/>
      <x:c r="AF3929" s="145"/>
      <x:c r="AG3929" s="145"/>
      <x:c r="AH3929" s="145"/>
      <x:c r="AI3929" s="145"/>
      <x:c r="AJ3929"/>
    </x:row>
    <x:row r="3930">
      <x:c r="F3930" s="124"/>
      <x:c r="G3930" s="124"/>
      <x:c r="H3930" s="124"/>
      <x:c r="I3930" s="124"/>
      <x:c r="J3930" s="124"/>
      <x:c r="M3930" s="126"/>
      <x:c r="P3930" s="126"/>
      <x:c r="Q3930" s="126"/>
      <x:c r="R3930" s="126"/>
      <x:c r="S3930" s="124"/>
      <x:c r="T3930" s="124"/>
      <x:c r="U3930" s="124"/>
      <x:c r="V3930" s="124"/>
      <x:c r="W3930" s="124"/>
      <x:c r="X3930" s="124"/>
      <x:c r="AD3930"/>
      <x:c r="AE3930" s="145"/>
      <x:c r="AF3930" s="145"/>
      <x:c r="AG3930" s="145"/>
      <x:c r="AH3930" s="145"/>
      <x:c r="AI3930" s="145"/>
      <x:c r="AJ3930"/>
    </x:row>
    <x:row r="3931">
      <x:c r="F3931" s="124"/>
      <x:c r="G3931" s="124"/>
      <x:c r="H3931" s="124"/>
      <x:c r="I3931" s="124"/>
      <x:c r="J3931" s="124"/>
      <x:c r="M3931" s="126"/>
      <x:c r="P3931" s="126"/>
      <x:c r="Q3931" s="126"/>
      <x:c r="R3931" s="126"/>
      <x:c r="S3931" s="124"/>
      <x:c r="T3931" s="124"/>
      <x:c r="U3931" s="124"/>
      <x:c r="V3931" s="124"/>
      <x:c r="W3931" s="124"/>
      <x:c r="X3931" s="124"/>
      <x:c r="AD3931"/>
      <x:c r="AE3931" s="145"/>
      <x:c r="AF3931" s="145"/>
      <x:c r="AG3931" s="145"/>
      <x:c r="AH3931" s="145"/>
      <x:c r="AI3931" s="145"/>
      <x:c r="AJ3931"/>
    </x:row>
    <x:row r="3932">
      <x:c r="F3932" s="124"/>
      <x:c r="G3932" s="124"/>
      <x:c r="H3932" s="124"/>
      <x:c r="I3932" s="124"/>
      <x:c r="J3932" s="124"/>
      <x:c r="M3932" s="126"/>
      <x:c r="P3932" s="126"/>
      <x:c r="Q3932" s="126"/>
      <x:c r="R3932" s="126"/>
      <x:c r="S3932" s="124"/>
      <x:c r="T3932" s="124"/>
      <x:c r="U3932" s="124"/>
      <x:c r="V3932" s="124"/>
      <x:c r="W3932" s="124"/>
      <x:c r="X3932" s="124"/>
      <x:c r="AD3932"/>
      <x:c r="AE3932" s="145"/>
      <x:c r="AF3932" s="145"/>
      <x:c r="AG3932" s="145"/>
      <x:c r="AH3932" s="145"/>
      <x:c r="AI3932" s="145"/>
      <x:c r="AJ3932"/>
    </x:row>
    <x:row r="3933">
      <x:c r="F3933" s="124"/>
      <x:c r="G3933" s="124"/>
      <x:c r="H3933" s="124"/>
      <x:c r="I3933" s="124"/>
      <x:c r="J3933" s="124"/>
      <x:c r="M3933" s="126"/>
      <x:c r="P3933" s="126"/>
      <x:c r="Q3933" s="126"/>
      <x:c r="R3933" s="126"/>
      <x:c r="S3933" s="124"/>
      <x:c r="T3933" s="124"/>
      <x:c r="U3933" s="124"/>
      <x:c r="V3933" s="124"/>
      <x:c r="W3933" s="124"/>
      <x:c r="X3933" s="124"/>
      <x:c r="AD3933"/>
      <x:c r="AE3933" s="145"/>
      <x:c r="AF3933" s="145"/>
      <x:c r="AG3933" s="145"/>
      <x:c r="AH3933" s="145"/>
      <x:c r="AI3933" s="145"/>
      <x:c r="AJ3933"/>
    </x:row>
    <x:row r="3934">
      <x:c r="F3934" s="124"/>
      <x:c r="G3934" s="124"/>
      <x:c r="H3934" s="124"/>
      <x:c r="I3934" s="124"/>
      <x:c r="J3934" s="124"/>
      <x:c r="M3934" s="126"/>
      <x:c r="P3934" s="126"/>
      <x:c r="Q3934" s="126"/>
      <x:c r="R3934" s="126"/>
      <x:c r="S3934" s="124"/>
      <x:c r="T3934" s="124"/>
      <x:c r="U3934" s="124"/>
      <x:c r="V3934" s="124"/>
      <x:c r="W3934" s="124"/>
      <x:c r="X3934" s="124"/>
      <x:c r="AD3934"/>
      <x:c r="AE3934" s="145"/>
      <x:c r="AF3934" s="145"/>
      <x:c r="AG3934" s="145"/>
      <x:c r="AH3934" s="145"/>
      <x:c r="AI3934" s="145"/>
      <x:c r="AJ3934"/>
    </x:row>
    <x:row r="3935">
      <x:c r="F3935" s="124"/>
      <x:c r="G3935" s="124"/>
      <x:c r="H3935" s="124"/>
      <x:c r="I3935" s="124"/>
      <x:c r="J3935" s="124"/>
      <x:c r="M3935" s="126"/>
      <x:c r="P3935" s="126"/>
      <x:c r="Q3935" s="126"/>
      <x:c r="R3935" s="126"/>
      <x:c r="S3935" s="124"/>
      <x:c r="T3935" s="124"/>
      <x:c r="U3935" s="124"/>
      <x:c r="V3935" s="124"/>
      <x:c r="W3935" s="124"/>
      <x:c r="X3935" s="124"/>
      <x:c r="AD3935"/>
      <x:c r="AE3935" s="145"/>
      <x:c r="AF3935" s="145"/>
      <x:c r="AG3935" s="145"/>
      <x:c r="AH3935" s="145"/>
      <x:c r="AI3935" s="145"/>
      <x:c r="AJ3935"/>
    </x:row>
    <x:row r="3936">
      <x:c r="F3936" s="124"/>
      <x:c r="G3936" s="124"/>
      <x:c r="H3936" s="124"/>
      <x:c r="I3936" s="124"/>
      <x:c r="J3936" s="124"/>
      <x:c r="M3936" s="126"/>
      <x:c r="P3936" s="126"/>
      <x:c r="Q3936" s="126"/>
      <x:c r="R3936" s="126"/>
      <x:c r="S3936" s="124"/>
      <x:c r="T3936" s="124"/>
      <x:c r="U3936" s="124"/>
      <x:c r="V3936" s="124"/>
      <x:c r="W3936" s="124"/>
      <x:c r="X3936" s="124"/>
      <x:c r="AD3936"/>
      <x:c r="AE3936" s="145"/>
      <x:c r="AF3936" s="145"/>
      <x:c r="AG3936" s="145"/>
      <x:c r="AH3936" s="145"/>
      <x:c r="AI3936" s="145"/>
      <x:c r="AJ3936"/>
    </x:row>
    <x:row r="3937">
      <x:c r="F3937" s="124"/>
      <x:c r="G3937" s="124"/>
      <x:c r="H3937" s="124"/>
      <x:c r="I3937" s="124"/>
      <x:c r="J3937" s="124"/>
      <x:c r="M3937" s="126"/>
      <x:c r="P3937" s="126"/>
      <x:c r="Q3937" s="126"/>
      <x:c r="R3937" s="126"/>
      <x:c r="S3937" s="124"/>
      <x:c r="T3937" s="124"/>
      <x:c r="U3937" s="124"/>
      <x:c r="V3937" s="124"/>
      <x:c r="W3937" s="124"/>
      <x:c r="X3937" s="124"/>
      <x:c r="AD3937"/>
      <x:c r="AE3937" s="145"/>
      <x:c r="AF3937" s="145"/>
      <x:c r="AG3937" s="145"/>
      <x:c r="AH3937" s="145"/>
      <x:c r="AI3937" s="145"/>
      <x:c r="AJ3937"/>
    </x:row>
    <x:row r="3938">
      <x:c r="F3938" s="124"/>
      <x:c r="G3938" s="124"/>
      <x:c r="H3938" s="124"/>
      <x:c r="I3938" s="124"/>
      <x:c r="J3938" s="124"/>
      <x:c r="M3938" s="126"/>
      <x:c r="P3938" s="126"/>
      <x:c r="Q3938" s="126"/>
      <x:c r="R3938" s="126"/>
      <x:c r="S3938" s="124"/>
      <x:c r="T3938" s="124"/>
      <x:c r="U3938" s="124"/>
      <x:c r="V3938" s="124"/>
      <x:c r="W3938" s="124"/>
      <x:c r="X3938" s="124"/>
      <x:c r="AD3938"/>
      <x:c r="AE3938" s="145"/>
      <x:c r="AF3938" s="145"/>
      <x:c r="AG3938" s="145"/>
      <x:c r="AH3938" s="145"/>
      <x:c r="AI3938" s="145"/>
      <x:c r="AJ3938"/>
    </x:row>
    <x:row r="3939">
      <x:c r="F3939" s="124"/>
      <x:c r="G3939" s="124"/>
      <x:c r="H3939" s="124"/>
      <x:c r="I3939" s="124"/>
      <x:c r="J3939" s="124"/>
      <x:c r="M3939" s="126"/>
      <x:c r="P3939" s="126"/>
      <x:c r="Q3939" s="126"/>
      <x:c r="R3939" s="126"/>
      <x:c r="S3939" s="124"/>
      <x:c r="T3939" s="124"/>
      <x:c r="U3939" s="124"/>
      <x:c r="V3939" s="124"/>
      <x:c r="W3939" s="124"/>
      <x:c r="X3939" s="124"/>
      <x:c r="AD3939"/>
      <x:c r="AE3939" s="145"/>
      <x:c r="AF3939" s="145"/>
      <x:c r="AG3939" s="145"/>
      <x:c r="AH3939" s="145"/>
      <x:c r="AI3939" s="145"/>
      <x:c r="AJ3939"/>
    </x:row>
    <x:row r="3940">
      <x:c r="F3940" s="124"/>
      <x:c r="G3940" s="124"/>
      <x:c r="H3940" s="124"/>
      <x:c r="I3940" s="124"/>
      <x:c r="J3940" s="124"/>
      <x:c r="M3940" s="126"/>
      <x:c r="P3940" s="126"/>
      <x:c r="Q3940" s="126"/>
      <x:c r="R3940" s="126"/>
      <x:c r="S3940" s="124"/>
      <x:c r="T3940" s="124"/>
      <x:c r="U3940" s="124"/>
      <x:c r="V3940" s="124"/>
      <x:c r="W3940" s="124"/>
      <x:c r="X3940" s="124"/>
      <x:c r="AD3940"/>
      <x:c r="AE3940" s="145"/>
      <x:c r="AF3940" s="145"/>
      <x:c r="AG3940" s="145"/>
      <x:c r="AH3940" s="145"/>
      <x:c r="AI3940" s="145"/>
      <x:c r="AJ3940"/>
    </x:row>
    <x:row r="3941">
      <x:c r="F3941" s="124"/>
      <x:c r="G3941" s="124"/>
      <x:c r="H3941" s="124"/>
      <x:c r="I3941" s="124"/>
      <x:c r="J3941" s="124"/>
      <x:c r="M3941" s="126"/>
      <x:c r="P3941" s="126"/>
      <x:c r="Q3941" s="126"/>
      <x:c r="R3941" s="126"/>
      <x:c r="S3941" s="124"/>
      <x:c r="T3941" s="124"/>
      <x:c r="U3941" s="124"/>
      <x:c r="V3941" s="124"/>
      <x:c r="W3941" s="124"/>
      <x:c r="X3941" s="124"/>
      <x:c r="AD3941"/>
      <x:c r="AE3941" s="145"/>
      <x:c r="AF3941" s="145"/>
      <x:c r="AG3941" s="145"/>
      <x:c r="AH3941" s="145"/>
      <x:c r="AI3941" s="145"/>
      <x:c r="AJ3941"/>
    </x:row>
    <x:row r="3942">
      <x:c r="F3942" s="124"/>
      <x:c r="G3942" s="124"/>
      <x:c r="H3942" s="124"/>
      <x:c r="I3942" s="124"/>
      <x:c r="J3942" s="124"/>
      <x:c r="M3942" s="126"/>
      <x:c r="P3942" s="126"/>
      <x:c r="Q3942" s="126"/>
      <x:c r="R3942" s="126"/>
      <x:c r="S3942" s="124"/>
      <x:c r="T3942" s="124"/>
      <x:c r="U3942" s="124"/>
      <x:c r="V3942" s="124"/>
      <x:c r="W3942" s="124"/>
      <x:c r="X3942" s="124"/>
      <x:c r="AD3942"/>
      <x:c r="AE3942" s="145"/>
      <x:c r="AF3942" s="145"/>
      <x:c r="AG3942" s="145"/>
      <x:c r="AH3942" s="145"/>
      <x:c r="AI3942" s="145"/>
      <x:c r="AJ3942"/>
    </x:row>
    <x:row r="3943">
      <x:c r="F3943" s="124"/>
      <x:c r="G3943" s="124"/>
      <x:c r="H3943" s="124"/>
      <x:c r="I3943" s="124"/>
      <x:c r="J3943" s="124"/>
      <x:c r="M3943" s="126"/>
      <x:c r="P3943" s="126"/>
      <x:c r="Q3943" s="126"/>
      <x:c r="R3943" s="126"/>
      <x:c r="S3943" s="124"/>
      <x:c r="T3943" s="124"/>
      <x:c r="U3943" s="124"/>
      <x:c r="V3943" s="124"/>
      <x:c r="W3943" s="124"/>
      <x:c r="X3943" s="124"/>
      <x:c r="AD3943"/>
      <x:c r="AE3943" s="145"/>
      <x:c r="AF3943" s="145"/>
      <x:c r="AG3943" s="145"/>
      <x:c r="AH3943" s="145"/>
      <x:c r="AI3943" s="145"/>
      <x:c r="AJ3943"/>
    </x:row>
    <x:row r="3944">
      <x:c r="F3944" s="124"/>
      <x:c r="G3944" s="124"/>
      <x:c r="H3944" s="124"/>
      <x:c r="I3944" s="124"/>
      <x:c r="J3944" s="124"/>
      <x:c r="M3944" s="126"/>
      <x:c r="P3944" s="126"/>
      <x:c r="Q3944" s="126"/>
      <x:c r="R3944" s="126"/>
      <x:c r="S3944" s="124"/>
      <x:c r="T3944" s="124"/>
      <x:c r="U3944" s="124"/>
      <x:c r="V3944" s="124"/>
      <x:c r="W3944" s="124"/>
      <x:c r="X3944" s="124"/>
      <x:c r="AD3944"/>
      <x:c r="AE3944" s="145"/>
      <x:c r="AF3944" s="145"/>
      <x:c r="AG3944" s="145"/>
      <x:c r="AH3944" s="145"/>
      <x:c r="AI3944" s="145"/>
      <x:c r="AJ3944"/>
    </x:row>
    <x:row r="3945">
      <x:c r="F3945" s="124"/>
      <x:c r="G3945" s="124"/>
      <x:c r="H3945" s="124"/>
      <x:c r="I3945" s="124"/>
      <x:c r="J3945" s="124"/>
      <x:c r="M3945" s="126"/>
      <x:c r="P3945" s="126"/>
      <x:c r="Q3945" s="126"/>
      <x:c r="R3945" s="126"/>
      <x:c r="S3945" s="124"/>
      <x:c r="T3945" s="124"/>
      <x:c r="U3945" s="124"/>
      <x:c r="V3945" s="124"/>
      <x:c r="W3945" s="124"/>
      <x:c r="X3945" s="124"/>
      <x:c r="AD3945"/>
      <x:c r="AE3945" s="145"/>
      <x:c r="AF3945" s="145"/>
      <x:c r="AG3945" s="145"/>
      <x:c r="AH3945" s="145"/>
      <x:c r="AI3945" s="145"/>
      <x:c r="AJ3945"/>
    </x:row>
    <x:row r="3946">
      <x:c r="F3946" s="124"/>
      <x:c r="G3946" s="124"/>
      <x:c r="H3946" s="124"/>
      <x:c r="I3946" s="124"/>
      <x:c r="J3946" s="124"/>
      <x:c r="M3946" s="126"/>
      <x:c r="P3946" s="126"/>
      <x:c r="Q3946" s="126"/>
      <x:c r="R3946" s="126"/>
      <x:c r="S3946" s="124"/>
      <x:c r="T3946" s="124"/>
      <x:c r="U3946" s="124"/>
      <x:c r="V3946" s="124"/>
      <x:c r="W3946" s="124"/>
      <x:c r="X3946" s="124"/>
      <x:c r="AD3946"/>
      <x:c r="AE3946" s="145"/>
      <x:c r="AF3946" s="145"/>
      <x:c r="AG3946" s="145"/>
      <x:c r="AH3946" s="145"/>
      <x:c r="AI3946" s="145"/>
      <x:c r="AJ3946"/>
    </x:row>
    <x:row r="3947">
      <x:c r="F3947" s="124"/>
      <x:c r="G3947" s="124"/>
      <x:c r="H3947" s="124"/>
      <x:c r="I3947" s="124"/>
      <x:c r="J3947" s="124"/>
      <x:c r="M3947" s="126"/>
      <x:c r="P3947" s="126"/>
      <x:c r="Q3947" s="126"/>
      <x:c r="R3947" s="126"/>
      <x:c r="S3947" s="124"/>
      <x:c r="T3947" s="124"/>
      <x:c r="U3947" s="124"/>
      <x:c r="V3947" s="124"/>
      <x:c r="W3947" s="124"/>
      <x:c r="X3947" s="124"/>
      <x:c r="AD3947"/>
      <x:c r="AE3947" s="145"/>
      <x:c r="AF3947" s="145"/>
      <x:c r="AG3947" s="145"/>
      <x:c r="AH3947" s="145"/>
      <x:c r="AI3947" s="145"/>
      <x:c r="AJ3947"/>
    </x:row>
    <x:row r="3948">
      <x:c r="F3948" s="124"/>
      <x:c r="G3948" s="124"/>
      <x:c r="H3948" s="124"/>
      <x:c r="I3948" s="124"/>
      <x:c r="J3948" s="124"/>
      <x:c r="M3948" s="126"/>
      <x:c r="P3948" s="126"/>
      <x:c r="Q3948" s="126"/>
      <x:c r="R3948" s="126"/>
      <x:c r="S3948" s="124"/>
      <x:c r="T3948" s="124"/>
      <x:c r="U3948" s="124"/>
      <x:c r="V3948" s="124"/>
      <x:c r="W3948" s="124"/>
      <x:c r="X3948" s="124"/>
      <x:c r="AD3948"/>
      <x:c r="AE3948" s="145"/>
      <x:c r="AF3948" s="145"/>
      <x:c r="AG3948" s="145"/>
      <x:c r="AH3948" s="145"/>
      <x:c r="AI3948" s="145"/>
      <x:c r="AJ3948"/>
    </x:row>
    <x:row r="3949">
      <x:c r="F3949" s="124"/>
      <x:c r="G3949" s="124"/>
      <x:c r="H3949" s="124"/>
      <x:c r="I3949" s="124"/>
      <x:c r="J3949" s="124"/>
      <x:c r="M3949" s="126"/>
      <x:c r="P3949" s="126"/>
      <x:c r="Q3949" s="126"/>
      <x:c r="R3949" s="126"/>
      <x:c r="S3949" s="124"/>
      <x:c r="T3949" s="124"/>
      <x:c r="U3949" s="124"/>
      <x:c r="V3949" s="124"/>
      <x:c r="W3949" s="124"/>
      <x:c r="X3949" s="124"/>
      <x:c r="AD3949"/>
      <x:c r="AE3949" s="145"/>
      <x:c r="AF3949" s="145"/>
      <x:c r="AG3949" s="145"/>
      <x:c r="AH3949" s="145"/>
      <x:c r="AI3949" s="145"/>
      <x:c r="AJ3949"/>
    </x:row>
    <x:row r="3950">
      <x:c r="F3950" s="124"/>
      <x:c r="G3950" s="124"/>
      <x:c r="H3950" s="124"/>
      <x:c r="I3950" s="124"/>
      <x:c r="J3950" s="124"/>
      <x:c r="M3950" s="126"/>
      <x:c r="P3950" s="126"/>
      <x:c r="Q3950" s="126"/>
      <x:c r="R3950" s="126"/>
      <x:c r="S3950" s="124"/>
      <x:c r="T3950" s="124"/>
      <x:c r="U3950" s="124"/>
      <x:c r="V3950" s="124"/>
      <x:c r="W3950" s="124"/>
      <x:c r="X3950" s="124"/>
      <x:c r="AD3950"/>
      <x:c r="AE3950" s="145"/>
      <x:c r="AF3950" s="145"/>
      <x:c r="AG3950" s="145"/>
      <x:c r="AH3950" s="145"/>
      <x:c r="AI3950" s="145"/>
      <x:c r="AJ3950"/>
    </x:row>
    <x:row r="3951">
      <x:c r="F3951" s="124"/>
      <x:c r="G3951" s="124"/>
      <x:c r="H3951" s="124"/>
      <x:c r="I3951" s="124"/>
      <x:c r="J3951" s="124"/>
      <x:c r="M3951" s="126"/>
      <x:c r="P3951" s="126"/>
      <x:c r="Q3951" s="126"/>
      <x:c r="R3951" s="126"/>
      <x:c r="S3951" s="124"/>
      <x:c r="T3951" s="124"/>
      <x:c r="U3951" s="124"/>
      <x:c r="V3951" s="124"/>
      <x:c r="W3951" s="124"/>
      <x:c r="X3951" s="124"/>
      <x:c r="AD3951"/>
      <x:c r="AE3951" s="145"/>
      <x:c r="AF3951" s="145"/>
      <x:c r="AG3951" s="145"/>
      <x:c r="AH3951" s="145"/>
      <x:c r="AI3951" s="145"/>
      <x:c r="AJ3951"/>
    </x:row>
    <x:row r="3952">
      <x:c r="F3952" s="124"/>
      <x:c r="G3952" s="124"/>
      <x:c r="H3952" s="124"/>
      <x:c r="I3952" s="124"/>
      <x:c r="J3952" s="124"/>
      <x:c r="M3952" s="126"/>
      <x:c r="P3952" s="126"/>
      <x:c r="Q3952" s="126"/>
      <x:c r="R3952" s="126"/>
      <x:c r="S3952" s="124"/>
      <x:c r="T3952" s="124"/>
      <x:c r="U3952" s="124"/>
      <x:c r="V3952" s="124"/>
      <x:c r="W3952" s="124"/>
      <x:c r="X3952" s="124"/>
      <x:c r="AD3952"/>
      <x:c r="AE3952" s="145"/>
      <x:c r="AF3952" s="145"/>
      <x:c r="AG3952" s="145"/>
      <x:c r="AH3952" s="145"/>
      <x:c r="AI3952" s="145"/>
      <x:c r="AJ3952"/>
    </x:row>
    <x:row r="3953">
      <x:c r="F3953" s="124"/>
      <x:c r="G3953" s="124"/>
      <x:c r="H3953" s="124"/>
      <x:c r="I3953" s="124"/>
      <x:c r="J3953" s="124"/>
      <x:c r="M3953" s="126"/>
      <x:c r="P3953" s="126"/>
      <x:c r="Q3953" s="126"/>
      <x:c r="R3953" s="126"/>
      <x:c r="S3953" s="124"/>
      <x:c r="T3953" s="124"/>
      <x:c r="U3953" s="124"/>
      <x:c r="V3953" s="124"/>
      <x:c r="W3953" s="124"/>
      <x:c r="X3953" s="124"/>
      <x:c r="AD3953"/>
      <x:c r="AE3953" s="145"/>
      <x:c r="AF3953" s="145"/>
      <x:c r="AG3953" s="145"/>
      <x:c r="AH3953" s="145"/>
      <x:c r="AI3953" s="145"/>
      <x:c r="AJ3953"/>
    </x:row>
    <x:row r="3954">
      <x:c r="F3954" s="124"/>
      <x:c r="G3954" s="124"/>
      <x:c r="H3954" s="124"/>
      <x:c r="I3954" s="124"/>
      <x:c r="J3954" s="124"/>
      <x:c r="M3954" s="126"/>
      <x:c r="P3954" s="126"/>
      <x:c r="Q3954" s="126"/>
      <x:c r="R3954" s="126"/>
      <x:c r="S3954" s="124"/>
      <x:c r="T3954" s="124"/>
      <x:c r="U3954" s="124"/>
      <x:c r="V3954" s="124"/>
      <x:c r="W3954" s="124"/>
      <x:c r="X3954" s="124"/>
      <x:c r="AD3954"/>
      <x:c r="AE3954" s="145"/>
      <x:c r="AF3954" s="145"/>
      <x:c r="AG3954" s="145"/>
      <x:c r="AH3954" s="145"/>
      <x:c r="AI3954" s="145"/>
      <x:c r="AJ3954"/>
    </x:row>
    <x:row r="3955">
      <x:c r="F3955" s="124"/>
      <x:c r="G3955" s="124"/>
      <x:c r="H3955" s="124"/>
      <x:c r="I3955" s="124"/>
      <x:c r="J3955" s="124"/>
      <x:c r="M3955" s="126"/>
      <x:c r="P3955" s="126"/>
      <x:c r="Q3955" s="126"/>
      <x:c r="R3955" s="126"/>
      <x:c r="S3955" s="124"/>
      <x:c r="T3955" s="124"/>
      <x:c r="U3955" s="124"/>
      <x:c r="V3955" s="124"/>
      <x:c r="W3955" s="124"/>
      <x:c r="X3955" s="124"/>
      <x:c r="AD3955"/>
      <x:c r="AE3955" s="145"/>
      <x:c r="AF3955" s="145"/>
      <x:c r="AG3955" s="145"/>
      <x:c r="AH3955" s="145"/>
      <x:c r="AI3955" s="145"/>
      <x:c r="AJ3955"/>
    </x:row>
    <x:row r="3956">
      <x:c r="F3956" s="124"/>
      <x:c r="G3956" s="124"/>
      <x:c r="H3956" s="124"/>
      <x:c r="I3956" s="124"/>
      <x:c r="J3956" s="124"/>
      <x:c r="M3956" s="126"/>
      <x:c r="P3956" s="126"/>
      <x:c r="Q3956" s="126"/>
      <x:c r="R3956" s="126"/>
      <x:c r="S3956" s="124"/>
      <x:c r="T3956" s="124"/>
      <x:c r="U3956" s="124"/>
      <x:c r="V3956" s="124"/>
      <x:c r="W3956" s="124"/>
      <x:c r="X3956" s="124"/>
      <x:c r="AD3956"/>
      <x:c r="AE3956" s="145"/>
      <x:c r="AF3956" s="145"/>
      <x:c r="AG3956" s="145"/>
      <x:c r="AH3956" s="145"/>
      <x:c r="AI3956" s="145"/>
      <x:c r="AJ3956"/>
    </x:row>
    <x:row r="3957">
      <x:c r="F3957" s="124"/>
      <x:c r="G3957" s="124"/>
      <x:c r="H3957" s="124"/>
      <x:c r="I3957" s="124"/>
      <x:c r="J3957" s="124"/>
      <x:c r="M3957" s="126"/>
      <x:c r="P3957" s="126"/>
      <x:c r="Q3957" s="126"/>
      <x:c r="R3957" s="126"/>
      <x:c r="S3957" s="124"/>
      <x:c r="T3957" s="124"/>
      <x:c r="U3957" s="124"/>
      <x:c r="V3957" s="124"/>
      <x:c r="W3957" s="124"/>
      <x:c r="X3957" s="124"/>
      <x:c r="AD3957"/>
      <x:c r="AE3957" s="145"/>
      <x:c r="AF3957" s="145"/>
      <x:c r="AG3957" s="145"/>
      <x:c r="AH3957" s="145"/>
      <x:c r="AI3957" s="145"/>
      <x:c r="AJ3957"/>
    </x:row>
    <x:row r="3958">
      <x:c r="F3958" s="124"/>
      <x:c r="G3958" s="124"/>
      <x:c r="H3958" s="124"/>
      <x:c r="I3958" s="124"/>
      <x:c r="J3958" s="124"/>
      <x:c r="M3958" s="126"/>
      <x:c r="P3958" s="126"/>
      <x:c r="Q3958" s="126"/>
      <x:c r="R3958" s="126"/>
      <x:c r="S3958" s="124"/>
      <x:c r="T3958" s="124"/>
      <x:c r="U3958" s="124"/>
      <x:c r="V3958" s="124"/>
      <x:c r="W3958" s="124"/>
      <x:c r="X3958" s="124"/>
      <x:c r="AD3958"/>
      <x:c r="AE3958" s="145"/>
      <x:c r="AF3958" s="145"/>
      <x:c r="AG3958" s="145"/>
      <x:c r="AH3958" s="145"/>
      <x:c r="AI3958" s="145"/>
      <x:c r="AJ3958"/>
    </x:row>
    <x:row r="3959">
      <x:c r="F3959" s="124"/>
      <x:c r="G3959" s="124"/>
      <x:c r="H3959" s="124"/>
      <x:c r="I3959" s="124"/>
      <x:c r="J3959" s="124"/>
      <x:c r="M3959" s="126"/>
      <x:c r="P3959" s="126"/>
      <x:c r="Q3959" s="126"/>
      <x:c r="R3959" s="126"/>
      <x:c r="S3959" s="124"/>
      <x:c r="T3959" s="124"/>
      <x:c r="U3959" s="124"/>
      <x:c r="V3959" s="124"/>
      <x:c r="W3959" s="124"/>
      <x:c r="X3959" s="124"/>
      <x:c r="AD3959"/>
      <x:c r="AE3959" s="145"/>
      <x:c r="AF3959" s="145"/>
      <x:c r="AG3959" s="145"/>
      <x:c r="AH3959" s="145"/>
      <x:c r="AI3959" s="145"/>
      <x:c r="AJ3959"/>
    </x:row>
    <x:row r="3960">
      <x:c r="F3960" s="124"/>
      <x:c r="G3960" s="124"/>
      <x:c r="H3960" s="124"/>
      <x:c r="I3960" s="124"/>
      <x:c r="J3960" s="124"/>
      <x:c r="M3960" s="126"/>
      <x:c r="P3960" s="126"/>
      <x:c r="Q3960" s="126"/>
      <x:c r="R3960" s="126"/>
      <x:c r="S3960" s="124"/>
      <x:c r="T3960" s="124"/>
      <x:c r="U3960" s="124"/>
      <x:c r="V3960" s="124"/>
      <x:c r="W3960" s="124"/>
      <x:c r="X3960" s="124"/>
      <x:c r="AD3960"/>
      <x:c r="AE3960" s="145"/>
      <x:c r="AF3960" s="145"/>
      <x:c r="AG3960" s="145"/>
      <x:c r="AH3960" s="145"/>
      <x:c r="AI3960" s="145"/>
      <x:c r="AJ3960"/>
    </x:row>
    <x:row r="3961">
      <x:c r="F3961" s="124"/>
      <x:c r="G3961" s="124"/>
      <x:c r="H3961" s="124"/>
      <x:c r="I3961" s="124"/>
      <x:c r="J3961" s="124"/>
      <x:c r="M3961" s="126"/>
      <x:c r="P3961" s="126"/>
      <x:c r="Q3961" s="126"/>
      <x:c r="R3961" s="126"/>
      <x:c r="S3961" s="124"/>
      <x:c r="T3961" s="124"/>
      <x:c r="U3961" s="124"/>
      <x:c r="V3961" s="124"/>
      <x:c r="W3961" s="124"/>
      <x:c r="X3961" s="124"/>
      <x:c r="AD3961"/>
      <x:c r="AE3961" s="145"/>
      <x:c r="AF3961" s="145"/>
      <x:c r="AG3961" s="145"/>
      <x:c r="AH3961" s="145"/>
      <x:c r="AI3961" s="145"/>
      <x:c r="AJ3961"/>
    </x:row>
    <x:row r="3962">
      <x:c r="F3962" s="124"/>
      <x:c r="G3962" s="124"/>
      <x:c r="H3962" s="124"/>
      <x:c r="I3962" s="124"/>
      <x:c r="J3962" s="124"/>
      <x:c r="M3962" s="126"/>
      <x:c r="P3962" s="126"/>
      <x:c r="Q3962" s="126"/>
      <x:c r="R3962" s="126"/>
      <x:c r="S3962" s="124"/>
      <x:c r="T3962" s="124"/>
      <x:c r="U3962" s="124"/>
      <x:c r="V3962" s="124"/>
      <x:c r="W3962" s="124"/>
      <x:c r="X3962" s="124"/>
      <x:c r="AD3962"/>
      <x:c r="AE3962" s="145"/>
      <x:c r="AF3962" s="145"/>
      <x:c r="AG3962" s="145"/>
      <x:c r="AH3962" s="145"/>
      <x:c r="AI3962" s="145"/>
      <x:c r="AJ3962"/>
    </x:row>
    <x:row r="3963">
      <x:c r="F3963" s="124"/>
      <x:c r="G3963" s="124"/>
      <x:c r="H3963" s="124"/>
      <x:c r="I3963" s="124"/>
      <x:c r="J3963" s="124"/>
      <x:c r="M3963" s="126"/>
      <x:c r="P3963" s="126"/>
      <x:c r="Q3963" s="126"/>
      <x:c r="R3963" s="126"/>
      <x:c r="S3963" s="124"/>
      <x:c r="T3963" s="124"/>
      <x:c r="U3963" s="124"/>
      <x:c r="V3963" s="124"/>
      <x:c r="W3963" s="124"/>
      <x:c r="X3963" s="124"/>
      <x:c r="AD3963"/>
      <x:c r="AE3963" s="145"/>
      <x:c r="AF3963" s="145"/>
      <x:c r="AG3963" s="145"/>
      <x:c r="AH3963" s="145"/>
      <x:c r="AI3963" s="145"/>
      <x:c r="AJ3963"/>
    </x:row>
    <x:row r="3964">
      <x:c r="F3964" s="124"/>
      <x:c r="G3964" s="124"/>
      <x:c r="H3964" s="124"/>
      <x:c r="I3964" s="124"/>
      <x:c r="J3964" s="124"/>
      <x:c r="M3964" s="126"/>
      <x:c r="P3964" s="126"/>
      <x:c r="Q3964" s="126"/>
      <x:c r="R3964" s="126"/>
      <x:c r="S3964" s="124"/>
      <x:c r="T3964" s="124"/>
      <x:c r="U3964" s="124"/>
      <x:c r="V3964" s="124"/>
      <x:c r="W3964" s="124"/>
      <x:c r="X3964" s="124"/>
      <x:c r="AD3964"/>
      <x:c r="AE3964" s="145"/>
      <x:c r="AF3964" s="145"/>
      <x:c r="AG3964" s="145"/>
      <x:c r="AH3964" s="145"/>
      <x:c r="AI3964" s="145"/>
      <x:c r="AJ3964"/>
    </x:row>
    <x:row r="3965">
      <x:c r="F3965" s="124"/>
      <x:c r="G3965" s="124"/>
      <x:c r="H3965" s="124"/>
      <x:c r="I3965" s="124"/>
      <x:c r="J3965" s="124"/>
      <x:c r="M3965" s="126"/>
      <x:c r="P3965" s="126"/>
      <x:c r="Q3965" s="126"/>
      <x:c r="R3965" s="126"/>
      <x:c r="S3965" s="124"/>
      <x:c r="T3965" s="124"/>
      <x:c r="U3965" s="124"/>
      <x:c r="V3965" s="124"/>
      <x:c r="W3965" s="124"/>
      <x:c r="X3965" s="124"/>
      <x:c r="AD3965"/>
      <x:c r="AE3965" s="145"/>
      <x:c r="AF3965" s="145"/>
      <x:c r="AG3965" s="145"/>
      <x:c r="AH3965" s="145"/>
      <x:c r="AI3965" s="145"/>
      <x:c r="AJ3965"/>
    </x:row>
    <x:row r="3966">
      <x:c r="F3966" s="124"/>
      <x:c r="G3966" s="124"/>
      <x:c r="H3966" s="124"/>
      <x:c r="I3966" s="124"/>
      <x:c r="J3966" s="124"/>
      <x:c r="M3966" s="126"/>
      <x:c r="P3966" s="126"/>
      <x:c r="Q3966" s="126"/>
      <x:c r="R3966" s="126"/>
      <x:c r="S3966" s="124"/>
      <x:c r="T3966" s="124"/>
      <x:c r="U3966" s="124"/>
      <x:c r="V3966" s="124"/>
      <x:c r="W3966" s="124"/>
      <x:c r="X3966" s="124"/>
      <x:c r="AD3966"/>
      <x:c r="AE3966" s="145"/>
      <x:c r="AF3966" s="145"/>
      <x:c r="AG3966" s="145"/>
      <x:c r="AH3966" s="145"/>
      <x:c r="AI3966" s="145"/>
      <x:c r="AJ3966"/>
    </x:row>
    <x:row r="3967">
      <x:c r="F3967" s="124"/>
      <x:c r="G3967" s="124"/>
      <x:c r="H3967" s="124"/>
      <x:c r="I3967" s="124"/>
      <x:c r="J3967" s="124"/>
      <x:c r="M3967" s="126"/>
      <x:c r="P3967" s="126"/>
      <x:c r="Q3967" s="126"/>
      <x:c r="R3967" s="126"/>
      <x:c r="S3967" s="124"/>
      <x:c r="T3967" s="124"/>
      <x:c r="U3967" s="124"/>
      <x:c r="V3967" s="124"/>
      <x:c r="W3967" s="124"/>
      <x:c r="X3967" s="124"/>
      <x:c r="AD3967"/>
      <x:c r="AE3967" s="145"/>
      <x:c r="AF3967" s="145"/>
      <x:c r="AG3967" s="145"/>
      <x:c r="AH3967" s="145"/>
      <x:c r="AI3967" s="145"/>
      <x:c r="AJ3967"/>
    </x:row>
    <x:row r="3968">
      <x:c r="F3968" s="124"/>
      <x:c r="G3968" s="124"/>
      <x:c r="H3968" s="124"/>
      <x:c r="I3968" s="124"/>
      <x:c r="J3968" s="124"/>
      <x:c r="M3968" s="126"/>
      <x:c r="P3968" s="126"/>
      <x:c r="Q3968" s="126"/>
      <x:c r="R3968" s="126"/>
      <x:c r="S3968" s="124"/>
      <x:c r="T3968" s="124"/>
      <x:c r="U3968" s="124"/>
      <x:c r="V3968" s="124"/>
      <x:c r="W3968" s="124"/>
      <x:c r="X3968" s="124"/>
      <x:c r="AD3968"/>
      <x:c r="AE3968" s="145"/>
      <x:c r="AF3968" s="145"/>
      <x:c r="AG3968" s="145"/>
      <x:c r="AH3968" s="145"/>
      <x:c r="AI3968" s="145"/>
      <x:c r="AJ3968"/>
    </x:row>
    <x:row r="3969">
      <x:c r="F3969" s="124"/>
      <x:c r="G3969" s="124"/>
      <x:c r="H3969" s="124"/>
      <x:c r="I3969" s="124"/>
      <x:c r="J3969" s="124"/>
      <x:c r="M3969" s="126"/>
      <x:c r="P3969" s="126"/>
      <x:c r="Q3969" s="126"/>
      <x:c r="R3969" s="126"/>
      <x:c r="S3969" s="124"/>
      <x:c r="T3969" s="124"/>
      <x:c r="U3969" s="124"/>
      <x:c r="V3969" s="124"/>
      <x:c r="W3969" s="124"/>
      <x:c r="X3969" s="124"/>
      <x:c r="AD3969"/>
      <x:c r="AE3969" s="145"/>
      <x:c r="AF3969" s="145"/>
      <x:c r="AG3969" s="145"/>
      <x:c r="AH3969" s="145"/>
      <x:c r="AI3969" s="145"/>
      <x:c r="AJ3969"/>
    </x:row>
    <x:row r="3970">
      <x:c r="F3970" s="124"/>
      <x:c r="G3970" s="124"/>
      <x:c r="H3970" s="124"/>
      <x:c r="I3970" s="124"/>
      <x:c r="J3970" s="124"/>
      <x:c r="M3970" s="126"/>
      <x:c r="P3970" s="126"/>
      <x:c r="Q3970" s="126"/>
      <x:c r="R3970" s="126"/>
      <x:c r="S3970" s="124"/>
      <x:c r="T3970" s="124"/>
      <x:c r="U3970" s="124"/>
      <x:c r="V3970" s="124"/>
      <x:c r="W3970" s="124"/>
      <x:c r="X3970" s="124"/>
      <x:c r="AD3970"/>
      <x:c r="AE3970" s="145"/>
      <x:c r="AF3970" s="145"/>
      <x:c r="AG3970" s="145"/>
      <x:c r="AH3970" s="145"/>
      <x:c r="AI3970" s="145"/>
      <x:c r="AJ3970"/>
    </x:row>
    <x:row r="3971">
      <x:c r="F3971" s="124"/>
      <x:c r="G3971" s="124"/>
      <x:c r="H3971" s="124"/>
      <x:c r="I3971" s="124"/>
      <x:c r="J3971" s="124"/>
      <x:c r="M3971" s="126"/>
      <x:c r="P3971" s="126"/>
      <x:c r="Q3971" s="126"/>
      <x:c r="R3971" s="126"/>
      <x:c r="S3971" s="124"/>
      <x:c r="T3971" s="124"/>
      <x:c r="U3971" s="124"/>
      <x:c r="V3971" s="124"/>
      <x:c r="W3971" s="124"/>
      <x:c r="X3971" s="124"/>
      <x:c r="AD3971"/>
      <x:c r="AE3971" s="145"/>
      <x:c r="AF3971" s="145"/>
      <x:c r="AG3971" s="145"/>
      <x:c r="AH3971" s="145"/>
      <x:c r="AI3971" s="145"/>
      <x:c r="AJ3971"/>
    </x:row>
    <x:row r="3972">
      <x:c r="F3972" s="124"/>
      <x:c r="G3972" s="124"/>
      <x:c r="H3972" s="124"/>
      <x:c r="I3972" s="124"/>
      <x:c r="J3972" s="124"/>
      <x:c r="M3972" s="126"/>
      <x:c r="P3972" s="126"/>
      <x:c r="Q3972" s="126"/>
      <x:c r="R3972" s="126"/>
      <x:c r="S3972" s="124"/>
      <x:c r="T3972" s="124"/>
      <x:c r="U3972" s="124"/>
      <x:c r="V3972" s="124"/>
      <x:c r="W3972" s="124"/>
      <x:c r="X3972" s="124"/>
      <x:c r="AD3972"/>
      <x:c r="AE3972" s="145"/>
      <x:c r="AF3972" s="145"/>
      <x:c r="AG3972" s="145"/>
      <x:c r="AH3972" s="145"/>
      <x:c r="AI3972" s="145"/>
      <x:c r="AJ3972"/>
    </x:row>
    <x:row r="3973">
      <x:c r="F3973" s="124"/>
      <x:c r="G3973" s="124"/>
      <x:c r="H3973" s="124"/>
      <x:c r="I3973" s="124"/>
      <x:c r="J3973" s="124"/>
      <x:c r="M3973" s="126"/>
      <x:c r="P3973" s="126"/>
      <x:c r="Q3973" s="126"/>
      <x:c r="R3973" s="126"/>
      <x:c r="S3973" s="124"/>
      <x:c r="T3973" s="124"/>
      <x:c r="U3973" s="124"/>
      <x:c r="V3973" s="124"/>
      <x:c r="W3973" s="124"/>
      <x:c r="X3973" s="124"/>
      <x:c r="AD3973"/>
      <x:c r="AE3973" s="145"/>
      <x:c r="AF3973" s="145"/>
      <x:c r="AG3973" s="145"/>
      <x:c r="AH3973" s="145"/>
      <x:c r="AI3973" s="145"/>
      <x:c r="AJ3973"/>
    </x:row>
    <x:row r="3974">
      <x:c r="F3974" s="124"/>
      <x:c r="G3974" s="124"/>
      <x:c r="H3974" s="124"/>
      <x:c r="I3974" s="124"/>
      <x:c r="J3974" s="124"/>
      <x:c r="M3974" s="126"/>
      <x:c r="P3974" s="126"/>
      <x:c r="Q3974" s="126"/>
      <x:c r="R3974" s="126"/>
      <x:c r="S3974" s="124"/>
      <x:c r="T3974" s="124"/>
      <x:c r="U3974" s="124"/>
      <x:c r="V3974" s="124"/>
      <x:c r="W3974" s="124"/>
      <x:c r="X3974" s="124"/>
      <x:c r="AD3974"/>
      <x:c r="AE3974" s="145"/>
      <x:c r="AF3974" s="145"/>
      <x:c r="AG3974" s="145"/>
      <x:c r="AH3974" s="145"/>
      <x:c r="AI3974" s="145"/>
      <x:c r="AJ3974"/>
    </x:row>
    <x:row r="3975">
      <x:c r="F3975" s="124"/>
      <x:c r="G3975" s="124"/>
      <x:c r="H3975" s="124"/>
      <x:c r="I3975" s="124"/>
      <x:c r="J3975" s="124"/>
      <x:c r="M3975" s="126"/>
      <x:c r="P3975" s="126"/>
      <x:c r="Q3975" s="126"/>
      <x:c r="R3975" s="126"/>
      <x:c r="S3975" s="124"/>
      <x:c r="T3975" s="124"/>
      <x:c r="U3975" s="124"/>
      <x:c r="V3975" s="124"/>
      <x:c r="W3975" s="124"/>
      <x:c r="X3975" s="124"/>
      <x:c r="AD3975"/>
      <x:c r="AE3975" s="145"/>
      <x:c r="AF3975" s="145"/>
      <x:c r="AG3975" s="145"/>
      <x:c r="AH3975" s="145"/>
      <x:c r="AI3975" s="145"/>
      <x:c r="AJ3975"/>
    </x:row>
    <x:row r="3976">
      <x:c r="F3976" s="124"/>
      <x:c r="G3976" s="124"/>
      <x:c r="H3976" s="124"/>
      <x:c r="I3976" s="124"/>
      <x:c r="J3976" s="124"/>
      <x:c r="M3976" s="126"/>
      <x:c r="P3976" s="126"/>
      <x:c r="Q3976" s="126"/>
      <x:c r="R3976" s="126"/>
      <x:c r="S3976" s="124"/>
      <x:c r="T3976" s="124"/>
      <x:c r="U3976" s="124"/>
      <x:c r="V3976" s="124"/>
      <x:c r="W3976" s="124"/>
      <x:c r="X3976" s="124"/>
      <x:c r="AD3976"/>
      <x:c r="AE3976" s="145"/>
      <x:c r="AF3976" s="145"/>
      <x:c r="AG3976" s="145"/>
      <x:c r="AH3976" s="145"/>
      <x:c r="AI3976" s="145"/>
      <x:c r="AJ3976"/>
    </x:row>
    <x:row r="3977">
      <x:c r="F3977" s="124"/>
      <x:c r="G3977" s="124"/>
      <x:c r="H3977" s="124"/>
      <x:c r="I3977" s="124"/>
      <x:c r="J3977" s="124"/>
      <x:c r="M3977" s="126"/>
      <x:c r="P3977" s="126"/>
      <x:c r="Q3977" s="126"/>
      <x:c r="R3977" s="126"/>
      <x:c r="S3977" s="124"/>
      <x:c r="T3977" s="124"/>
      <x:c r="U3977" s="124"/>
      <x:c r="V3977" s="124"/>
      <x:c r="W3977" s="124"/>
      <x:c r="X3977" s="124"/>
      <x:c r="AD3977"/>
      <x:c r="AE3977" s="145"/>
      <x:c r="AF3977" s="145"/>
      <x:c r="AG3977" s="145"/>
      <x:c r="AH3977" s="145"/>
      <x:c r="AI3977" s="145"/>
      <x:c r="AJ3977"/>
    </x:row>
    <x:row r="3978">
      <x:c r="F3978" s="124"/>
      <x:c r="G3978" s="124"/>
      <x:c r="H3978" s="124"/>
      <x:c r="I3978" s="124"/>
      <x:c r="J3978" s="124"/>
      <x:c r="M3978" s="126"/>
      <x:c r="P3978" s="126"/>
      <x:c r="Q3978" s="126"/>
      <x:c r="R3978" s="126"/>
      <x:c r="S3978" s="124"/>
      <x:c r="T3978" s="124"/>
      <x:c r="U3978" s="124"/>
      <x:c r="V3978" s="124"/>
      <x:c r="W3978" s="124"/>
      <x:c r="X3978" s="124"/>
      <x:c r="AD3978"/>
      <x:c r="AE3978" s="145"/>
      <x:c r="AF3978" s="145"/>
      <x:c r="AG3978" s="145"/>
      <x:c r="AH3978" s="145"/>
      <x:c r="AI3978" s="145"/>
      <x:c r="AJ3978"/>
    </x:row>
    <x:row r="3979">
      <x:c r="F3979" s="124"/>
      <x:c r="G3979" s="124"/>
      <x:c r="H3979" s="124"/>
      <x:c r="I3979" s="124"/>
      <x:c r="J3979" s="124"/>
      <x:c r="M3979" s="126"/>
      <x:c r="P3979" s="126"/>
      <x:c r="Q3979" s="126"/>
      <x:c r="R3979" s="126"/>
      <x:c r="S3979" s="124"/>
      <x:c r="T3979" s="124"/>
      <x:c r="U3979" s="124"/>
      <x:c r="V3979" s="124"/>
      <x:c r="W3979" s="124"/>
      <x:c r="X3979" s="124"/>
      <x:c r="AD3979"/>
      <x:c r="AE3979" s="145"/>
      <x:c r="AF3979" s="145"/>
      <x:c r="AG3979" s="145"/>
      <x:c r="AH3979" s="145"/>
      <x:c r="AI3979" s="145"/>
      <x:c r="AJ3979"/>
    </x:row>
    <x:row r="3980">
      <x:c r="F3980" s="124"/>
      <x:c r="G3980" s="124"/>
      <x:c r="H3980" s="124"/>
      <x:c r="I3980" s="124"/>
      <x:c r="J3980" s="124"/>
      <x:c r="M3980" s="126"/>
      <x:c r="P3980" s="126"/>
      <x:c r="Q3980" s="126"/>
      <x:c r="R3980" s="126"/>
      <x:c r="S3980" s="124"/>
      <x:c r="T3980" s="124"/>
      <x:c r="U3980" s="124"/>
      <x:c r="V3980" s="124"/>
      <x:c r="W3980" s="124"/>
      <x:c r="X3980" s="124"/>
      <x:c r="AD3980"/>
      <x:c r="AE3980" s="145"/>
      <x:c r="AF3980" s="145"/>
      <x:c r="AG3980" s="145"/>
      <x:c r="AH3980" s="145"/>
      <x:c r="AI3980" s="145"/>
      <x:c r="AJ3980"/>
    </x:row>
    <x:row r="3981">
      <x:c r="F3981" s="124"/>
      <x:c r="G3981" s="124"/>
      <x:c r="H3981" s="124"/>
      <x:c r="I3981" s="124"/>
      <x:c r="J3981" s="124"/>
      <x:c r="M3981" s="126"/>
      <x:c r="P3981" s="126"/>
      <x:c r="Q3981" s="126"/>
      <x:c r="R3981" s="126"/>
      <x:c r="S3981" s="124"/>
      <x:c r="T3981" s="124"/>
      <x:c r="U3981" s="124"/>
      <x:c r="V3981" s="124"/>
      <x:c r="W3981" s="124"/>
      <x:c r="X3981" s="124"/>
      <x:c r="AD3981"/>
      <x:c r="AE3981" s="145"/>
      <x:c r="AF3981" s="145"/>
      <x:c r="AG3981" s="145"/>
      <x:c r="AH3981" s="145"/>
      <x:c r="AI3981" s="145"/>
      <x:c r="AJ3981"/>
    </x:row>
    <x:row r="3982">
      <x:c r="F3982" s="124"/>
      <x:c r="G3982" s="124"/>
      <x:c r="H3982" s="124"/>
      <x:c r="I3982" s="124"/>
      <x:c r="J3982" s="124"/>
      <x:c r="M3982" s="126"/>
      <x:c r="P3982" s="126"/>
      <x:c r="Q3982" s="126"/>
      <x:c r="R3982" s="126"/>
      <x:c r="S3982" s="124"/>
      <x:c r="T3982" s="124"/>
      <x:c r="U3982" s="124"/>
      <x:c r="V3982" s="124"/>
      <x:c r="W3982" s="124"/>
      <x:c r="X3982" s="124"/>
      <x:c r="AD3982"/>
      <x:c r="AE3982" s="145"/>
      <x:c r="AF3982" s="145"/>
      <x:c r="AG3982" s="145"/>
      <x:c r="AH3982" s="145"/>
      <x:c r="AI3982" s="145"/>
      <x:c r="AJ3982"/>
    </x:row>
    <x:row r="3983">
      <x:c r="F3983" s="124"/>
      <x:c r="G3983" s="124"/>
      <x:c r="H3983" s="124"/>
      <x:c r="I3983" s="124"/>
      <x:c r="J3983" s="124"/>
      <x:c r="M3983" s="126"/>
      <x:c r="P3983" s="126"/>
      <x:c r="Q3983" s="126"/>
      <x:c r="R3983" s="126"/>
      <x:c r="S3983" s="124"/>
      <x:c r="T3983" s="124"/>
      <x:c r="U3983" s="124"/>
      <x:c r="V3983" s="124"/>
      <x:c r="W3983" s="124"/>
      <x:c r="X3983" s="124"/>
      <x:c r="AD3983"/>
      <x:c r="AE3983" s="145"/>
      <x:c r="AF3983" s="145"/>
      <x:c r="AG3983" s="145"/>
      <x:c r="AH3983" s="145"/>
      <x:c r="AI3983" s="145"/>
      <x:c r="AJ3983"/>
    </x:row>
    <x:row r="3984">
      <x:c r="F3984" s="124"/>
      <x:c r="G3984" s="124"/>
      <x:c r="H3984" s="124"/>
      <x:c r="I3984" s="124"/>
      <x:c r="J3984" s="124"/>
      <x:c r="M3984" s="126"/>
      <x:c r="P3984" s="126"/>
      <x:c r="Q3984" s="126"/>
      <x:c r="R3984" s="126"/>
      <x:c r="S3984" s="124"/>
      <x:c r="T3984" s="124"/>
      <x:c r="U3984" s="124"/>
      <x:c r="V3984" s="124"/>
      <x:c r="W3984" s="124"/>
      <x:c r="X3984" s="124"/>
      <x:c r="AD3984"/>
      <x:c r="AE3984" s="145"/>
      <x:c r="AF3984" s="145"/>
      <x:c r="AG3984" s="145"/>
      <x:c r="AH3984" s="145"/>
      <x:c r="AI3984" s="145"/>
      <x:c r="AJ3984"/>
    </x:row>
    <x:row r="3985">
      <x:c r="F3985" s="124"/>
      <x:c r="G3985" s="124"/>
      <x:c r="H3985" s="124"/>
      <x:c r="I3985" s="124"/>
      <x:c r="J3985" s="124"/>
      <x:c r="M3985" s="126"/>
      <x:c r="P3985" s="126"/>
      <x:c r="Q3985" s="126"/>
      <x:c r="R3985" s="126"/>
      <x:c r="S3985" s="124"/>
      <x:c r="T3985" s="124"/>
      <x:c r="U3985" s="124"/>
      <x:c r="V3985" s="124"/>
      <x:c r="W3985" s="124"/>
      <x:c r="X3985" s="124"/>
      <x:c r="AD3985"/>
      <x:c r="AE3985" s="145"/>
      <x:c r="AF3985" s="145"/>
      <x:c r="AG3985" s="145"/>
      <x:c r="AH3985" s="145"/>
      <x:c r="AI3985" s="145"/>
      <x:c r="AJ3985"/>
    </x:row>
    <x:row r="3986">
      <x:c r="F3986" s="124"/>
      <x:c r="G3986" s="124"/>
      <x:c r="H3986" s="124"/>
      <x:c r="I3986" s="124"/>
      <x:c r="J3986" s="124"/>
      <x:c r="M3986" s="126"/>
      <x:c r="P3986" s="126"/>
      <x:c r="Q3986" s="126"/>
      <x:c r="R3986" s="126"/>
      <x:c r="S3986" s="124"/>
      <x:c r="T3986" s="124"/>
      <x:c r="U3986" s="124"/>
      <x:c r="V3986" s="124"/>
      <x:c r="W3986" s="124"/>
      <x:c r="X3986" s="124"/>
      <x:c r="AD3986"/>
      <x:c r="AE3986" s="145"/>
      <x:c r="AF3986" s="145"/>
      <x:c r="AG3986" s="145"/>
      <x:c r="AH3986" s="145"/>
      <x:c r="AI3986" s="145"/>
      <x:c r="AJ3986"/>
    </x:row>
    <x:row r="3987">
      <x:c r="F3987" s="124"/>
      <x:c r="G3987" s="124"/>
      <x:c r="H3987" s="124"/>
      <x:c r="I3987" s="124"/>
      <x:c r="J3987" s="124"/>
      <x:c r="M3987" s="126"/>
      <x:c r="P3987" s="126"/>
      <x:c r="Q3987" s="126"/>
      <x:c r="R3987" s="126"/>
      <x:c r="S3987" s="124"/>
      <x:c r="T3987" s="124"/>
      <x:c r="U3987" s="124"/>
      <x:c r="V3987" s="124"/>
      <x:c r="W3987" s="124"/>
      <x:c r="X3987" s="124"/>
      <x:c r="AD3987"/>
      <x:c r="AE3987" s="145"/>
      <x:c r="AF3987" s="145"/>
      <x:c r="AG3987" s="145"/>
      <x:c r="AH3987" s="145"/>
      <x:c r="AI3987" s="145"/>
      <x:c r="AJ3987"/>
    </x:row>
    <x:row r="3988">
      <x:c r="F3988" s="124"/>
      <x:c r="G3988" s="124"/>
      <x:c r="H3988" s="124"/>
      <x:c r="I3988" s="124"/>
      <x:c r="J3988" s="124"/>
      <x:c r="M3988" s="126"/>
      <x:c r="P3988" s="126"/>
      <x:c r="Q3988" s="126"/>
      <x:c r="R3988" s="126"/>
      <x:c r="S3988" s="124"/>
      <x:c r="T3988" s="124"/>
      <x:c r="U3988" s="124"/>
      <x:c r="V3988" s="124"/>
      <x:c r="W3988" s="124"/>
      <x:c r="X3988" s="124"/>
      <x:c r="AD3988"/>
      <x:c r="AE3988" s="145"/>
      <x:c r="AF3988" s="145"/>
      <x:c r="AG3988" s="145"/>
      <x:c r="AH3988" s="145"/>
      <x:c r="AI3988" s="145"/>
      <x:c r="AJ3988"/>
    </x:row>
    <x:row r="3989">
      <x:c r="F3989" s="124"/>
      <x:c r="G3989" s="124"/>
      <x:c r="H3989" s="124"/>
      <x:c r="I3989" s="124"/>
      <x:c r="J3989" s="124"/>
      <x:c r="M3989" s="126"/>
      <x:c r="P3989" s="126"/>
      <x:c r="Q3989" s="126"/>
      <x:c r="R3989" s="126"/>
      <x:c r="S3989" s="124"/>
      <x:c r="T3989" s="124"/>
      <x:c r="U3989" s="124"/>
      <x:c r="V3989" s="124"/>
      <x:c r="W3989" s="124"/>
      <x:c r="X3989" s="124"/>
      <x:c r="AD3989"/>
      <x:c r="AE3989" s="145"/>
      <x:c r="AF3989" s="145"/>
      <x:c r="AG3989" s="145"/>
      <x:c r="AH3989" s="145"/>
      <x:c r="AI3989" s="145"/>
      <x:c r="AJ3989"/>
    </x:row>
    <x:row r="3990">
      <x:c r="F3990" s="124"/>
      <x:c r="G3990" s="124"/>
      <x:c r="H3990" s="124"/>
      <x:c r="I3990" s="124"/>
      <x:c r="J3990" s="124"/>
      <x:c r="M3990" s="126"/>
      <x:c r="P3990" s="126"/>
      <x:c r="Q3990" s="126"/>
      <x:c r="R3990" s="126"/>
      <x:c r="S3990" s="124"/>
      <x:c r="T3990" s="124"/>
      <x:c r="U3990" s="124"/>
      <x:c r="V3990" s="124"/>
      <x:c r="W3990" s="124"/>
      <x:c r="X3990" s="124"/>
      <x:c r="AD3990"/>
      <x:c r="AE3990" s="145"/>
      <x:c r="AF3990" s="145"/>
      <x:c r="AG3990" s="145"/>
      <x:c r="AH3990" s="145"/>
      <x:c r="AI3990" s="145"/>
      <x:c r="AJ3990"/>
    </x:row>
    <x:row r="3991">
      <x:c r="F3991" s="124"/>
      <x:c r="G3991" s="124"/>
      <x:c r="H3991" s="124"/>
      <x:c r="I3991" s="124"/>
      <x:c r="J3991" s="124"/>
      <x:c r="M3991" s="126"/>
      <x:c r="P3991" s="126"/>
      <x:c r="Q3991" s="126"/>
      <x:c r="R3991" s="126"/>
      <x:c r="S3991" s="124"/>
      <x:c r="T3991" s="124"/>
      <x:c r="U3991" s="124"/>
      <x:c r="V3991" s="124"/>
      <x:c r="W3991" s="124"/>
      <x:c r="X3991" s="124"/>
      <x:c r="AD3991"/>
      <x:c r="AE3991" s="145"/>
      <x:c r="AF3991" s="145"/>
      <x:c r="AG3991" s="145"/>
      <x:c r="AH3991" s="145"/>
      <x:c r="AI3991" s="145"/>
      <x:c r="AJ3991"/>
    </x:row>
    <x:row r="3992">
      <x:c r="F3992" s="124"/>
      <x:c r="G3992" s="124"/>
      <x:c r="H3992" s="124"/>
      <x:c r="I3992" s="124"/>
      <x:c r="J3992" s="124"/>
      <x:c r="M3992" s="126"/>
      <x:c r="P3992" s="126"/>
      <x:c r="Q3992" s="126"/>
      <x:c r="R3992" s="126"/>
      <x:c r="S3992" s="124"/>
      <x:c r="T3992" s="124"/>
      <x:c r="U3992" s="124"/>
      <x:c r="V3992" s="124"/>
      <x:c r="W3992" s="124"/>
      <x:c r="X3992" s="124"/>
      <x:c r="AD3992"/>
      <x:c r="AE3992" s="145"/>
      <x:c r="AF3992" s="145"/>
      <x:c r="AG3992" s="145"/>
      <x:c r="AH3992" s="145"/>
      <x:c r="AI3992" s="145"/>
      <x:c r="AJ3992"/>
    </x:row>
    <x:row r="3993">
      <x:c r="F3993" s="124"/>
      <x:c r="G3993" s="124"/>
      <x:c r="H3993" s="124"/>
      <x:c r="I3993" s="124"/>
      <x:c r="J3993" s="124"/>
      <x:c r="M3993" s="126"/>
      <x:c r="P3993" s="126"/>
      <x:c r="Q3993" s="126"/>
      <x:c r="R3993" s="126"/>
      <x:c r="S3993" s="124"/>
      <x:c r="T3993" s="124"/>
      <x:c r="U3993" s="124"/>
      <x:c r="V3993" s="124"/>
      <x:c r="W3993" s="124"/>
      <x:c r="X3993" s="124"/>
      <x:c r="AD3993"/>
      <x:c r="AE3993" s="145"/>
      <x:c r="AF3993" s="145"/>
      <x:c r="AG3993" s="145"/>
      <x:c r="AH3993" s="145"/>
      <x:c r="AI3993" s="145"/>
      <x:c r="AJ3993"/>
    </x:row>
    <x:row r="3994">
      <x:c r="F3994" s="124"/>
      <x:c r="G3994" s="124"/>
      <x:c r="H3994" s="124"/>
      <x:c r="I3994" s="124"/>
      <x:c r="J3994" s="124"/>
      <x:c r="M3994" s="126"/>
      <x:c r="P3994" s="126"/>
      <x:c r="Q3994" s="126"/>
      <x:c r="R3994" s="126"/>
      <x:c r="S3994" s="124"/>
      <x:c r="T3994" s="124"/>
      <x:c r="U3994" s="124"/>
      <x:c r="V3994" s="124"/>
      <x:c r="W3994" s="124"/>
      <x:c r="X3994" s="124"/>
      <x:c r="AD3994"/>
      <x:c r="AE3994" s="145"/>
      <x:c r="AF3994" s="145"/>
      <x:c r="AG3994" s="145"/>
      <x:c r="AH3994" s="145"/>
      <x:c r="AI3994" s="145"/>
      <x:c r="AJ3994"/>
    </x:row>
    <x:row r="3995">
      <x:c r="F3995" s="124"/>
      <x:c r="G3995" s="124"/>
      <x:c r="H3995" s="124"/>
      <x:c r="I3995" s="124"/>
      <x:c r="J3995" s="124"/>
      <x:c r="M3995" s="126"/>
      <x:c r="P3995" s="126"/>
      <x:c r="Q3995" s="126"/>
      <x:c r="R3995" s="126"/>
      <x:c r="S3995" s="124"/>
      <x:c r="T3995" s="124"/>
      <x:c r="U3995" s="124"/>
      <x:c r="V3995" s="124"/>
      <x:c r="W3995" s="124"/>
      <x:c r="X3995" s="124"/>
      <x:c r="AD3995"/>
      <x:c r="AE3995" s="145"/>
      <x:c r="AF3995" s="145"/>
      <x:c r="AG3995" s="145"/>
      <x:c r="AH3995" s="145"/>
      <x:c r="AI3995" s="145"/>
      <x:c r="AJ3995"/>
    </x:row>
    <x:row r="3996">
      <x:c r="F3996" s="124"/>
      <x:c r="G3996" s="124"/>
      <x:c r="H3996" s="124"/>
      <x:c r="I3996" s="124"/>
      <x:c r="J3996" s="124"/>
      <x:c r="M3996" s="126"/>
      <x:c r="P3996" s="126"/>
      <x:c r="Q3996" s="126"/>
      <x:c r="R3996" s="126"/>
      <x:c r="S3996" s="124"/>
      <x:c r="T3996" s="124"/>
      <x:c r="U3996" s="124"/>
      <x:c r="V3996" s="124"/>
      <x:c r="W3996" s="124"/>
      <x:c r="X3996" s="124"/>
      <x:c r="AD3996"/>
      <x:c r="AE3996" s="145"/>
      <x:c r="AF3996" s="145"/>
      <x:c r="AG3996" s="145"/>
      <x:c r="AH3996" s="145"/>
      <x:c r="AI3996" s="145"/>
      <x:c r="AJ3996"/>
    </x:row>
    <x:row r="3997">
      <x:c r="F3997" s="124"/>
      <x:c r="G3997" s="124"/>
      <x:c r="H3997" s="124"/>
      <x:c r="I3997" s="124"/>
      <x:c r="J3997" s="124"/>
      <x:c r="M3997" s="126"/>
      <x:c r="P3997" s="126"/>
      <x:c r="Q3997" s="126"/>
      <x:c r="R3997" s="126"/>
      <x:c r="S3997" s="124"/>
      <x:c r="T3997" s="124"/>
      <x:c r="U3997" s="124"/>
      <x:c r="V3997" s="124"/>
      <x:c r="W3997" s="124"/>
      <x:c r="X3997" s="124"/>
      <x:c r="AD3997"/>
      <x:c r="AE3997" s="145"/>
      <x:c r="AF3997" s="145"/>
      <x:c r="AG3997" s="145"/>
      <x:c r="AH3997" s="145"/>
      <x:c r="AI3997" s="145"/>
      <x:c r="AJ3997"/>
    </x:row>
    <x:row r="3998">
      <x:c r="F3998" s="124"/>
      <x:c r="G3998" s="124"/>
      <x:c r="H3998" s="124"/>
      <x:c r="I3998" s="124"/>
      <x:c r="J3998" s="124"/>
      <x:c r="M3998" s="126"/>
      <x:c r="P3998" s="126"/>
      <x:c r="Q3998" s="126"/>
      <x:c r="R3998" s="126"/>
      <x:c r="S3998" s="124"/>
      <x:c r="T3998" s="124"/>
      <x:c r="U3998" s="124"/>
      <x:c r="V3998" s="124"/>
      <x:c r="W3998" s="124"/>
      <x:c r="X3998" s="124"/>
      <x:c r="AD3998"/>
      <x:c r="AE3998" s="145"/>
      <x:c r="AF3998" s="145"/>
      <x:c r="AG3998" s="145"/>
      <x:c r="AH3998" s="145"/>
      <x:c r="AI3998" s="145"/>
      <x:c r="AJ3998"/>
    </x:row>
    <x:row r="3999">
      <x:c r="F3999" s="124"/>
      <x:c r="G3999" s="124"/>
      <x:c r="H3999" s="124"/>
      <x:c r="I3999" s="124"/>
      <x:c r="J3999" s="124"/>
      <x:c r="M3999" s="126"/>
      <x:c r="P3999" s="126"/>
      <x:c r="Q3999" s="126"/>
      <x:c r="R3999" s="126"/>
      <x:c r="S3999" s="124"/>
      <x:c r="T3999" s="124"/>
      <x:c r="U3999" s="124"/>
      <x:c r="V3999" s="124"/>
      <x:c r="W3999" s="124"/>
      <x:c r="X3999" s="124"/>
      <x:c r="AD3999"/>
      <x:c r="AE3999" s="145"/>
      <x:c r="AF3999" s="145"/>
      <x:c r="AG3999" s="145"/>
      <x:c r="AH3999" s="145"/>
      <x:c r="AI3999" s="145"/>
      <x:c r="AJ3999"/>
    </x:row>
    <x:row r="4000">
      <x:c r="F4000" s="124"/>
      <x:c r="G4000" s="124"/>
      <x:c r="H4000" s="124"/>
      <x:c r="I4000" s="124"/>
      <x:c r="J4000" s="124"/>
      <x:c r="M4000" s="126"/>
      <x:c r="P4000" s="126"/>
      <x:c r="Q4000" s="126"/>
      <x:c r="R4000" s="126"/>
      <x:c r="S4000" s="124"/>
      <x:c r="T4000" s="124"/>
      <x:c r="U4000" s="124"/>
      <x:c r="V4000" s="124"/>
      <x:c r="W4000" s="124"/>
      <x:c r="X4000" s="124"/>
      <x:c r="AD4000"/>
      <x:c r="AE4000" s="145"/>
      <x:c r="AF4000" s="145"/>
      <x:c r="AG4000" s="145"/>
      <x:c r="AH4000" s="145"/>
      <x:c r="AI4000" s="145"/>
      <x:c r="AJ4000"/>
    </x:row>
    <x:row r="4001">
      <x:c r="F4001" s="124"/>
      <x:c r="G4001" s="124"/>
      <x:c r="H4001" s="124"/>
      <x:c r="I4001" s="124"/>
      <x:c r="J4001" s="124"/>
      <x:c r="M4001" s="126"/>
      <x:c r="P4001" s="126"/>
      <x:c r="Q4001" s="126"/>
      <x:c r="R4001" s="126"/>
      <x:c r="S4001" s="124"/>
      <x:c r="T4001" s="124"/>
      <x:c r="U4001" s="124"/>
      <x:c r="V4001" s="124"/>
      <x:c r="W4001" s="124"/>
      <x:c r="X4001" s="124"/>
      <x:c r="AD4001"/>
      <x:c r="AE4001" s="145"/>
      <x:c r="AF4001" s="145"/>
      <x:c r="AG4001" s="145"/>
      <x:c r="AH4001" s="145"/>
      <x:c r="AI4001" s="145"/>
      <x:c r="AJ4001"/>
    </x:row>
    <x:row r="4002">
      <x:c r="F4002" s="124"/>
      <x:c r="G4002" s="124"/>
      <x:c r="H4002" s="124"/>
      <x:c r="I4002" s="124"/>
      <x:c r="J4002" s="124"/>
      <x:c r="M4002" s="126"/>
      <x:c r="P4002" s="126"/>
      <x:c r="Q4002" s="126"/>
      <x:c r="R4002" s="126"/>
      <x:c r="S4002" s="124"/>
      <x:c r="T4002" s="124"/>
      <x:c r="U4002" s="124"/>
      <x:c r="V4002" s="124"/>
      <x:c r="W4002" s="124"/>
      <x:c r="X4002" s="124"/>
      <x:c r="AD4002"/>
      <x:c r="AE4002" s="145"/>
      <x:c r="AF4002" s="145"/>
      <x:c r="AG4002" s="145"/>
      <x:c r="AH4002" s="145"/>
      <x:c r="AI4002" s="145"/>
      <x:c r="AJ4002"/>
    </x:row>
    <x:row r="4003">
      <x:c r="F4003" s="124"/>
      <x:c r="G4003" s="124"/>
      <x:c r="H4003" s="124"/>
      <x:c r="I4003" s="124"/>
      <x:c r="J4003" s="124"/>
      <x:c r="M4003" s="126"/>
      <x:c r="P4003" s="126"/>
      <x:c r="Q4003" s="126"/>
      <x:c r="R4003" s="126"/>
      <x:c r="S4003" s="124"/>
      <x:c r="T4003" s="124"/>
      <x:c r="U4003" s="124"/>
      <x:c r="V4003" s="124"/>
      <x:c r="W4003" s="124"/>
      <x:c r="X4003" s="124"/>
      <x:c r="AD4003"/>
      <x:c r="AE4003" s="145"/>
      <x:c r="AF4003" s="145"/>
      <x:c r="AG4003" s="145"/>
      <x:c r="AH4003" s="145"/>
      <x:c r="AI4003" s="145"/>
      <x:c r="AJ4003"/>
    </x:row>
    <x:row r="4004">
      <x:c r="F4004" s="124"/>
      <x:c r="G4004" s="124"/>
      <x:c r="H4004" s="124"/>
      <x:c r="I4004" s="124"/>
      <x:c r="J4004" s="124"/>
      <x:c r="M4004" s="126"/>
      <x:c r="P4004" s="126"/>
      <x:c r="Q4004" s="126"/>
      <x:c r="R4004" s="126"/>
      <x:c r="S4004" s="124"/>
      <x:c r="T4004" s="124"/>
      <x:c r="U4004" s="124"/>
      <x:c r="V4004" s="124"/>
      <x:c r="W4004" s="124"/>
      <x:c r="X4004" s="124"/>
      <x:c r="AD4004"/>
      <x:c r="AE4004" s="145"/>
      <x:c r="AF4004" s="145"/>
      <x:c r="AG4004" s="145"/>
      <x:c r="AH4004" s="145"/>
      <x:c r="AI4004" s="145"/>
      <x:c r="AJ4004"/>
    </x:row>
    <x:row r="4005">
      <x:c r="F4005" s="124"/>
      <x:c r="G4005" s="124"/>
      <x:c r="H4005" s="124"/>
      <x:c r="I4005" s="124"/>
      <x:c r="J4005" s="124"/>
      <x:c r="M4005" s="126"/>
      <x:c r="P4005" s="126"/>
      <x:c r="Q4005" s="126"/>
      <x:c r="R4005" s="126"/>
      <x:c r="S4005" s="124"/>
      <x:c r="T4005" s="124"/>
      <x:c r="U4005" s="124"/>
      <x:c r="V4005" s="124"/>
      <x:c r="W4005" s="124"/>
      <x:c r="X4005" s="124"/>
      <x:c r="AD4005"/>
      <x:c r="AE4005" s="145"/>
      <x:c r="AF4005" s="145"/>
      <x:c r="AG4005" s="145"/>
      <x:c r="AH4005" s="145"/>
      <x:c r="AI4005" s="145"/>
      <x:c r="AJ4005"/>
    </x:row>
    <x:row r="4006">
      <x:c r="F4006" s="124"/>
      <x:c r="G4006" s="124"/>
      <x:c r="H4006" s="124"/>
      <x:c r="I4006" s="124"/>
      <x:c r="J4006" s="124"/>
      <x:c r="M4006" s="126"/>
      <x:c r="P4006" s="126"/>
      <x:c r="Q4006" s="126"/>
      <x:c r="R4006" s="126"/>
      <x:c r="S4006" s="124"/>
      <x:c r="T4006" s="124"/>
      <x:c r="U4006" s="124"/>
      <x:c r="V4006" s="124"/>
      <x:c r="W4006" s="124"/>
      <x:c r="X4006" s="124"/>
      <x:c r="AD4006"/>
      <x:c r="AE4006" s="145"/>
      <x:c r="AF4006" s="145"/>
      <x:c r="AG4006" s="145"/>
      <x:c r="AH4006" s="145"/>
      <x:c r="AI4006" s="145"/>
      <x:c r="AJ4006"/>
    </x:row>
    <x:row r="4007">
      <x:c r="F4007" s="124"/>
      <x:c r="G4007" s="124"/>
      <x:c r="H4007" s="124"/>
      <x:c r="I4007" s="124"/>
      <x:c r="J4007" s="124"/>
      <x:c r="M4007" s="126"/>
      <x:c r="P4007" s="126"/>
      <x:c r="Q4007" s="126"/>
      <x:c r="R4007" s="126"/>
      <x:c r="S4007" s="124"/>
      <x:c r="T4007" s="124"/>
      <x:c r="U4007" s="124"/>
      <x:c r="V4007" s="124"/>
      <x:c r="W4007" s="124"/>
      <x:c r="X4007" s="124"/>
      <x:c r="AD4007"/>
      <x:c r="AE4007" s="145"/>
      <x:c r="AF4007" s="145"/>
      <x:c r="AG4007" s="145"/>
      <x:c r="AH4007" s="145"/>
      <x:c r="AI4007" s="145"/>
      <x:c r="AJ4007"/>
    </x:row>
    <x:row r="4008">
      <x:c r="F4008" s="124"/>
      <x:c r="G4008" s="124"/>
      <x:c r="H4008" s="124"/>
      <x:c r="I4008" s="124"/>
      <x:c r="J4008" s="124"/>
      <x:c r="M4008" s="126"/>
      <x:c r="P4008" s="126"/>
      <x:c r="Q4008" s="126"/>
      <x:c r="R4008" s="126"/>
      <x:c r="S4008" s="124"/>
      <x:c r="T4008" s="124"/>
      <x:c r="U4008" s="124"/>
      <x:c r="V4008" s="124"/>
      <x:c r="W4008" s="124"/>
      <x:c r="X4008" s="124"/>
      <x:c r="AD4008"/>
      <x:c r="AE4008" s="145"/>
      <x:c r="AF4008" s="145"/>
      <x:c r="AG4008" s="145"/>
      <x:c r="AH4008" s="145"/>
      <x:c r="AI4008" s="145"/>
      <x:c r="AJ4008"/>
    </x:row>
    <x:row r="4009">
      <x:c r="F4009" s="124"/>
      <x:c r="G4009" s="124"/>
      <x:c r="H4009" s="124"/>
      <x:c r="I4009" s="124"/>
      <x:c r="J4009" s="124"/>
      <x:c r="M4009" s="126"/>
      <x:c r="P4009" s="126"/>
      <x:c r="Q4009" s="126"/>
      <x:c r="R4009" s="126"/>
      <x:c r="S4009" s="124"/>
      <x:c r="T4009" s="124"/>
      <x:c r="U4009" s="124"/>
      <x:c r="V4009" s="124"/>
      <x:c r="W4009" s="124"/>
      <x:c r="X4009" s="124"/>
      <x:c r="AD4009"/>
      <x:c r="AE4009" s="145"/>
      <x:c r="AF4009" s="145"/>
      <x:c r="AG4009" s="145"/>
      <x:c r="AH4009" s="145"/>
      <x:c r="AI4009" s="145"/>
      <x:c r="AJ4009"/>
    </x:row>
    <x:row r="4010">
      <x:c r="F4010" s="124"/>
      <x:c r="G4010" s="124"/>
      <x:c r="H4010" s="124"/>
      <x:c r="I4010" s="124"/>
      <x:c r="J4010" s="124"/>
      <x:c r="M4010" s="126"/>
      <x:c r="P4010" s="126"/>
      <x:c r="Q4010" s="126"/>
      <x:c r="R4010" s="126"/>
      <x:c r="S4010" s="124"/>
      <x:c r="T4010" s="124"/>
      <x:c r="U4010" s="124"/>
      <x:c r="V4010" s="124"/>
      <x:c r="W4010" s="124"/>
      <x:c r="X4010" s="124"/>
      <x:c r="AD4010"/>
      <x:c r="AE4010" s="145"/>
      <x:c r="AF4010" s="145"/>
      <x:c r="AG4010" s="145"/>
      <x:c r="AH4010" s="145"/>
      <x:c r="AI4010" s="145"/>
      <x:c r="AJ4010"/>
    </x:row>
    <x:row r="4011">
      <x:c r="F4011" s="124"/>
      <x:c r="G4011" s="124"/>
      <x:c r="H4011" s="124"/>
      <x:c r="I4011" s="124"/>
      <x:c r="J4011" s="124"/>
      <x:c r="M4011" s="126"/>
      <x:c r="P4011" s="126"/>
      <x:c r="Q4011" s="126"/>
      <x:c r="R4011" s="126"/>
      <x:c r="S4011" s="124"/>
      <x:c r="T4011" s="124"/>
      <x:c r="U4011" s="124"/>
      <x:c r="V4011" s="124"/>
      <x:c r="W4011" s="124"/>
      <x:c r="X4011" s="124"/>
      <x:c r="AD4011"/>
      <x:c r="AE4011" s="145"/>
      <x:c r="AF4011" s="145"/>
      <x:c r="AG4011" s="145"/>
      <x:c r="AH4011" s="145"/>
      <x:c r="AI4011" s="145"/>
      <x:c r="AJ4011"/>
    </x:row>
    <x:row r="4012">
      <x:c r="F4012" s="124"/>
      <x:c r="G4012" s="124"/>
      <x:c r="H4012" s="124"/>
      <x:c r="I4012" s="124"/>
      <x:c r="J4012" s="124"/>
      <x:c r="M4012" s="126"/>
      <x:c r="P4012" s="126"/>
      <x:c r="Q4012" s="126"/>
      <x:c r="R4012" s="126"/>
      <x:c r="S4012" s="124"/>
      <x:c r="T4012" s="124"/>
      <x:c r="U4012" s="124"/>
      <x:c r="V4012" s="124"/>
      <x:c r="W4012" s="124"/>
      <x:c r="X4012" s="124"/>
      <x:c r="AD4012"/>
      <x:c r="AE4012" s="145"/>
      <x:c r="AF4012" s="145"/>
      <x:c r="AG4012" s="145"/>
      <x:c r="AH4012" s="145"/>
      <x:c r="AI4012" s="145"/>
      <x:c r="AJ4012"/>
    </x:row>
    <x:row r="4013">
      <x:c r="F4013" s="124"/>
      <x:c r="G4013" s="124"/>
      <x:c r="H4013" s="124"/>
      <x:c r="I4013" s="124"/>
      <x:c r="J4013" s="124"/>
      <x:c r="M4013" s="126"/>
      <x:c r="P4013" s="126"/>
      <x:c r="Q4013" s="126"/>
      <x:c r="R4013" s="126"/>
      <x:c r="S4013" s="124"/>
      <x:c r="T4013" s="124"/>
      <x:c r="U4013" s="124"/>
      <x:c r="V4013" s="124"/>
      <x:c r="W4013" s="124"/>
      <x:c r="X4013" s="124"/>
      <x:c r="AD4013"/>
      <x:c r="AE4013" s="145"/>
      <x:c r="AF4013" s="145"/>
      <x:c r="AG4013" s="145"/>
      <x:c r="AH4013" s="145"/>
      <x:c r="AI4013" s="145"/>
      <x:c r="AJ4013"/>
    </x:row>
    <x:row r="4014">
      <x:c r="F4014" s="124"/>
      <x:c r="G4014" s="124"/>
      <x:c r="H4014" s="124"/>
      <x:c r="I4014" s="124"/>
      <x:c r="J4014" s="124"/>
      <x:c r="M4014" s="126"/>
      <x:c r="P4014" s="126"/>
      <x:c r="Q4014" s="126"/>
      <x:c r="R4014" s="126"/>
      <x:c r="S4014" s="124"/>
      <x:c r="T4014" s="124"/>
      <x:c r="U4014" s="124"/>
      <x:c r="V4014" s="124"/>
      <x:c r="W4014" s="124"/>
      <x:c r="X4014" s="124"/>
      <x:c r="AD4014"/>
      <x:c r="AE4014" s="145"/>
      <x:c r="AF4014" s="145"/>
      <x:c r="AG4014" s="145"/>
      <x:c r="AH4014" s="145"/>
      <x:c r="AI4014" s="145"/>
      <x:c r="AJ4014"/>
    </x:row>
    <x:row r="4015">
      <x:c r="F4015" s="124"/>
      <x:c r="G4015" s="124"/>
      <x:c r="H4015" s="124"/>
      <x:c r="I4015" s="124"/>
      <x:c r="J4015" s="124"/>
      <x:c r="M4015" s="126"/>
      <x:c r="P4015" s="126"/>
      <x:c r="Q4015" s="126"/>
      <x:c r="R4015" s="126"/>
      <x:c r="S4015" s="124"/>
      <x:c r="T4015" s="124"/>
      <x:c r="U4015" s="124"/>
      <x:c r="V4015" s="124"/>
      <x:c r="W4015" s="124"/>
      <x:c r="X4015" s="124"/>
      <x:c r="AD4015"/>
      <x:c r="AE4015" s="145"/>
      <x:c r="AF4015" s="145"/>
      <x:c r="AG4015" s="145"/>
      <x:c r="AH4015" s="145"/>
      <x:c r="AI4015" s="145"/>
      <x:c r="AJ4015"/>
    </x:row>
    <x:row r="4016">
      <x:c r="F4016" s="124"/>
      <x:c r="G4016" s="124"/>
      <x:c r="H4016" s="124"/>
      <x:c r="I4016" s="124"/>
      <x:c r="J4016" s="124"/>
      <x:c r="M4016" s="126"/>
      <x:c r="P4016" s="126"/>
      <x:c r="Q4016" s="126"/>
      <x:c r="R4016" s="126"/>
      <x:c r="S4016" s="124"/>
      <x:c r="T4016" s="124"/>
      <x:c r="U4016" s="124"/>
      <x:c r="V4016" s="124"/>
      <x:c r="W4016" s="124"/>
      <x:c r="X4016" s="124"/>
      <x:c r="AD4016"/>
      <x:c r="AE4016" s="145"/>
      <x:c r="AF4016" s="145"/>
      <x:c r="AG4016" s="145"/>
      <x:c r="AH4016" s="145"/>
      <x:c r="AI4016" s="145"/>
      <x:c r="AJ4016"/>
    </x:row>
    <x:row r="4017">
      <x:c r="F4017" s="124"/>
      <x:c r="G4017" s="124"/>
      <x:c r="H4017" s="124"/>
      <x:c r="I4017" s="124"/>
      <x:c r="J4017" s="124"/>
      <x:c r="M4017" s="126"/>
      <x:c r="P4017" s="126"/>
      <x:c r="Q4017" s="126"/>
      <x:c r="R4017" s="126"/>
      <x:c r="S4017" s="124"/>
      <x:c r="T4017" s="124"/>
      <x:c r="U4017" s="124"/>
      <x:c r="V4017" s="124"/>
      <x:c r="W4017" s="124"/>
      <x:c r="X4017" s="124"/>
      <x:c r="AD4017"/>
      <x:c r="AE4017" s="145"/>
      <x:c r="AF4017" s="145"/>
      <x:c r="AG4017" s="145"/>
      <x:c r="AH4017" s="145"/>
      <x:c r="AI4017" s="145"/>
      <x:c r="AJ4017"/>
    </x:row>
    <x:row r="4018">
      <x:c r="F4018" s="124"/>
      <x:c r="G4018" s="124"/>
      <x:c r="H4018" s="124"/>
      <x:c r="I4018" s="124"/>
      <x:c r="J4018" s="124"/>
      <x:c r="M4018" s="126"/>
      <x:c r="P4018" s="126"/>
      <x:c r="Q4018" s="126"/>
      <x:c r="R4018" s="126"/>
      <x:c r="S4018" s="124"/>
      <x:c r="T4018" s="124"/>
      <x:c r="U4018" s="124"/>
      <x:c r="V4018" s="124"/>
      <x:c r="W4018" s="124"/>
      <x:c r="X4018" s="124"/>
      <x:c r="AD4018"/>
      <x:c r="AE4018" s="145"/>
      <x:c r="AF4018" s="145"/>
      <x:c r="AG4018" s="145"/>
      <x:c r="AH4018" s="145"/>
      <x:c r="AI4018" s="145"/>
      <x:c r="AJ4018"/>
    </x:row>
    <x:row r="4019">
      <x:c r="F4019" s="124"/>
      <x:c r="G4019" s="124"/>
      <x:c r="H4019" s="124"/>
      <x:c r="I4019" s="124"/>
      <x:c r="J4019" s="124"/>
      <x:c r="M4019" s="126"/>
      <x:c r="P4019" s="126"/>
      <x:c r="Q4019" s="126"/>
      <x:c r="R4019" s="126"/>
      <x:c r="S4019" s="124"/>
      <x:c r="T4019" s="124"/>
      <x:c r="U4019" s="124"/>
      <x:c r="V4019" s="124"/>
      <x:c r="W4019" s="124"/>
      <x:c r="X4019" s="124"/>
      <x:c r="AD4019"/>
      <x:c r="AE4019" s="145"/>
      <x:c r="AF4019" s="145"/>
      <x:c r="AG4019" s="145"/>
      <x:c r="AH4019" s="145"/>
      <x:c r="AI4019" s="145"/>
      <x:c r="AJ4019"/>
    </x:row>
    <x:row r="4020">
      <x:c r="F4020" s="124"/>
      <x:c r="G4020" s="124"/>
      <x:c r="H4020" s="124"/>
      <x:c r="I4020" s="124"/>
      <x:c r="J4020" s="124"/>
      <x:c r="M4020" s="126"/>
      <x:c r="P4020" s="126"/>
      <x:c r="Q4020" s="126"/>
      <x:c r="R4020" s="126"/>
      <x:c r="S4020" s="124"/>
      <x:c r="T4020" s="124"/>
      <x:c r="U4020" s="124"/>
      <x:c r="V4020" s="124"/>
      <x:c r="W4020" s="124"/>
      <x:c r="X4020" s="124"/>
      <x:c r="AD4020"/>
      <x:c r="AE4020" s="145"/>
      <x:c r="AF4020" s="145"/>
      <x:c r="AG4020" s="145"/>
      <x:c r="AH4020" s="145"/>
      <x:c r="AI4020" s="145"/>
      <x:c r="AJ4020"/>
    </x:row>
    <x:row r="4021">
      <x:c r="F4021" s="124"/>
      <x:c r="G4021" s="124"/>
      <x:c r="H4021" s="124"/>
      <x:c r="I4021" s="124"/>
      <x:c r="J4021" s="124"/>
      <x:c r="M4021" s="126"/>
      <x:c r="P4021" s="126"/>
      <x:c r="Q4021" s="126"/>
      <x:c r="R4021" s="126"/>
      <x:c r="S4021" s="124"/>
      <x:c r="T4021" s="124"/>
      <x:c r="U4021" s="124"/>
      <x:c r="V4021" s="124"/>
      <x:c r="W4021" s="124"/>
      <x:c r="X4021" s="124"/>
      <x:c r="AD4021"/>
      <x:c r="AE4021" s="145"/>
      <x:c r="AF4021" s="145"/>
      <x:c r="AG4021" s="145"/>
      <x:c r="AH4021" s="145"/>
      <x:c r="AI4021" s="145"/>
      <x:c r="AJ4021"/>
    </x:row>
    <x:row r="4022">
      <x:c r="F4022" s="124"/>
      <x:c r="G4022" s="124"/>
      <x:c r="H4022" s="124"/>
      <x:c r="I4022" s="124"/>
      <x:c r="J4022" s="124"/>
      <x:c r="M4022" s="126"/>
      <x:c r="P4022" s="126"/>
      <x:c r="Q4022" s="126"/>
      <x:c r="R4022" s="126"/>
      <x:c r="S4022" s="124"/>
      <x:c r="T4022" s="124"/>
      <x:c r="U4022" s="124"/>
      <x:c r="V4022" s="124"/>
      <x:c r="W4022" s="124"/>
      <x:c r="X4022" s="124"/>
      <x:c r="AD4022"/>
      <x:c r="AE4022" s="145"/>
      <x:c r="AF4022" s="145"/>
      <x:c r="AG4022" s="145"/>
      <x:c r="AH4022" s="145"/>
      <x:c r="AI4022" s="145"/>
      <x:c r="AJ4022"/>
    </x:row>
    <x:row r="4023">
      <x:c r="F4023" s="124"/>
      <x:c r="G4023" s="124"/>
      <x:c r="H4023" s="124"/>
      <x:c r="I4023" s="124"/>
      <x:c r="J4023" s="124"/>
      <x:c r="M4023" s="126"/>
      <x:c r="P4023" s="126"/>
      <x:c r="Q4023" s="126"/>
      <x:c r="R4023" s="126"/>
      <x:c r="S4023" s="124"/>
      <x:c r="T4023" s="124"/>
      <x:c r="U4023" s="124"/>
      <x:c r="V4023" s="124"/>
      <x:c r="W4023" s="124"/>
      <x:c r="X4023" s="124"/>
      <x:c r="AD4023"/>
      <x:c r="AE4023" s="145"/>
      <x:c r="AF4023" s="145"/>
      <x:c r="AG4023" s="145"/>
      <x:c r="AH4023" s="145"/>
      <x:c r="AI4023" s="145"/>
      <x:c r="AJ4023"/>
    </x:row>
    <x:row r="4024">
      <x:c r="F4024" s="124"/>
      <x:c r="G4024" s="124"/>
      <x:c r="H4024" s="124"/>
      <x:c r="I4024" s="124"/>
      <x:c r="J4024" s="124"/>
      <x:c r="M4024" s="126"/>
      <x:c r="P4024" s="126"/>
      <x:c r="Q4024" s="126"/>
      <x:c r="R4024" s="126"/>
      <x:c r="S4024" s="124"/>
      <x:c r="T4024" s="124"/>
      <x:c r="U4024" s="124"/>
      <x:c r="V4024" s="124"/>
      <x:c r="W4024" s="124"/>
      <x:c r="X4024" s="124"/>
      <x:c r="AD4024"/>
      <x:c r="AE4024" s="145"/>
      <x:c r="AF4024" s="145"/>
      <x:c r="AG4024" s="145"/>
      <x:c r="AH4024" s="145"/>
      <x:c r="AI4024" s="145"/>
      <x:c r="AJ4024"/>
    </x:row>
    <x:row r="4025">
      <x:c r="F4025" s="124"/>
      <x:c r="G4025" s="124"/>
      <x:c r="H4025" s="124"/>
      <x:c r="I4025" s="124"/>
      <x:c r="J4025" s="124"/>
      <x:c r="M4025" s="126"/>
      <x:c r="P4025" s="126"/>
      <x:c r="Q4025" s="126"/>
      <x:c r="R4025" s="126"/>
      <x:c r="S4025" s="124"/>
      <x:c r="T4025" s="124"/>
      <x:c r="U4025" s="124"/>
      <x:c r="V4025" s="124"/>
      <x:c r="W4025" s="124"/>
      <x:c r="X4025" s="124"/>
      <x:c r="AD4025"/>
      <x:c r="AE4025" s="145"/>
      <x:c r="AF4025" s="145"/>
      <x:c r="AG4025" s="145"/>
      <x:c r="AH4025" s="145"/>
      <x:c r="AI4025" s="145"/>
      <x:c r="AJ4025"/>
    </x:row>
    <x:row r="4026">
      <x:c r="F4026" s="124"/>
      <x:c r="G4026" s="124"/>
      <x:c r="H4026" s="124"/>
      <x:c r="I4026" s="124"/>
      <x:c r="J4026" s="124"/>
      <x:c r="M4026" s="126"/>
      <x:c r="P4026" s="126"/>
      <x:c r="Q4026" s="126"/>
      <x:c r="R4026" s="126"/>
      <x:c r="S4026" s="124"/>
      <x:c r="T4026" s="124"/>
      <x:c r="U4026" s="124"/>
      <x:c r="V4026" s="124"/>
      <x:c r="W4026" s="124"/>
      <x:c r="X4026" s="124"/>
      <x:c r="AD4026"/>
      <x:c r="AE4026" s="145"/>
      <x:c r="AF4026" s="145"/>
      <x:c r="AG4026" s="145"/>
      <x:c r="AH4026" s="145"/>
      <x:c r="AI4026" s="145"/>
      <x:c r="AJ4026"/>
    </x:row>
    <x:row r="4027">
      <x:c r="F4027" s="124"/>
      <x:c r="G4027" s="124"/>
      <x:c r="H4027" s="124"/>
      <x:c r="I4027" s="124"/>
      <x:c r="J4027" s="124"/>
      <x:c r="M4027" s="126"/>
      <x:c r="P4027" s="126"/>
      <x:c r="Q4027" s="126"/>
      <x:c r="R4027" s="126"/>
      <x:c r="S4027" s="124"/>
      <x:c r="T4027" s="124"/>
      <x:c r="U4027" s="124"/>
      <x:c r="V4027" s="124"/>
      <x:c r="W4027" s="124"/>
      <x:c r="X4027" s="124"/>
      <x:c r="AD4027"/>
      <x:c r="AE4027" s="145"/>
      <x:c r="AF4027" s="145"/>
      <x:c r="AG4027" s="145"/>
      <x:c r="AH4027" s="145"/>
      <x:c r="AI4027" s="145"/>
      <x:c r="AJ4027"/>
    </x:row>
    <x:row r="4028">
      <x:c r="F4028" s="124"/>
      <x:c r="G4028" s="124"/>
      <x:c r="H4028" s="124"/>
      <x:c r="I4028" s="124"/>
      <x:c r="J4028" s="124"/>
      <x:c r="M4028" s="126"/>
      <x:c r="P4028" s="126"/>
      <x:c r="Q4028" s="126"/>
      <x:c r="R4028" s="126"/>
      <x:c r="S4028" s="124"/>
      <x:c r="T4028" s="124"/>
      <x:c r="U4028" s="124"/>
      <x:c r="V4028" s="124"/>
      <x:c r="W4028" s="124"/>
      <x:c r="X4028" s="124"/>
      <x:c r="AD4028"/>
      <x:c r="AE4028" s="145"/>
      <x:c r="AF4028" s="145"/>
      <x:c r="AG4028" s="145"/>
      <x:c r="AH4028" s="145"/>
      <x:c r="AI4028" s="145"/>
      <x:c r="AJ4028"/>
    </x:row>
    <x:row r="4029">
      <x:c r="F4029" s="124"/>
      <x:c r="G4029" s="124"/>
      <x:c r="H4029" s="124"/>
      <x:c r="I4029" s="124"/>
      <x:c r="J4029" s="124"/>
      <x:c r="M4029" s="126"/>
      <x:c r="P4029" s="126"/>
      <x:c r="Q4029" s="126"/>
      <x:c r="R4029" s="126"/>
      <x:c r="S4029" s="124"/>
      <x:c r="T4029" s="124"/>
      <x:c r="U4029" s="124"/>
      <x:c r="V4029" s="124"/>
      <x:c r="W4029" s="124"/>
      <x:c r="X4029" s="124"/>
      <x:c r="AD4029"/>
      <x:c r="AE4029" s="145"/>
      <x:c r="AF4029" s="145"/>
      <x:c r="AG4029" s="145"/>
      <x:c r="AH4029" s="145"/>
      <x:c r="AI4029" s="145"/>
      <x:c r="AJ4029"/>
    </x:row>
    <x:row r="4030">
      <x:c r="F4030" s="124"/>
      <x:c r="G4030" s="124"/>
      <x:c r="H4030" s="124"/>
      <x:c r="I4030" s="124"/>
      <x:c r="J4030" s="124"/>
      <x:c r="M4030" s="126"/>
      <x:c r="P4030" s="126"/>
      <x:c r="Q4030" s="126"/>
      <x:c r="R4030" s="126"/>
      <x:c r="S4030" s="124"/>
      <x:c r="T4030" s="124"/>
      <x:c r="U4030" s="124"/>
      <x:c r="V4030" s="124"/>
      <x:c r="W4030" s="124"/>
      <x:c r="X4030" s="124"/>
      <x:c r="AD4030"/>
      <x:c r="AE4030" s="145"/>
      <x:c r="AF4030" s="145"/>
      <x:c r="AG4030" s="145"/>
      <x:c r="AH4030" s="145"/>
      <x:c r="AI4030" s="145"/>
      <x:c r="AJ4030"/>
    </x:row>
    <x:row r="4031">
      <x:c r="F4031" s="124"/>
      <x:c r="G4031" s="124"/>
      <x:c r="H4031" s="124"/>
      <x:c r="I4031" s="124"/>
      <x:c r="J4031" s="124"/>
      <x:c r="M4031" s="126"/>
      <x:c r="P4031" s="126"/>
      <x:c r="Q4031" s="126"/>
      <x:c r="R4031" s="126"/>
      <x:c r="S4031" s="124"/>
      <x:c r="T4031" s="124"/>
      <x:c r="U4031" s="124"/>
      <x:c r="V4031" s="124"/>
      <x:c r="W4031" s="124"/>
      <x:c r="X4031" s="124"/>
      <x:c r="AD4031"/>
      <x:c r="AE4031" s="145"/>
      <x:c r="AF4031" s="145"/>
      <x:c r="AG4031" s="145"/>
      <x:c r="AH4031" s="145"/>
      <x:c r="AI4031" s="145"/>
      <x:c r="AJ4031"/>
    </x:row>
    <x:row r="4032">
      <x:c r="F4032" s="124"/>
      <x:c r="G4032" s="124"/>
      <x:c r="H4032" s="124"/>
      <x:c r="I4032" s="124"/>
      <x:c r="J4032" s="124"/>
      <x:c r="M4032" s="126"/>
      <x:c r="P4032" s="126"/>
      <x:c r="Q4032" s="126"/>
      <x:c r="R4032" s="126"/>
      <x:c r="S4032" s="124"/>
      <x:c r="T4032" s="124"/>
      <x:c r="U4032" s="124"/>
      <x:c r="V4032" s="124"/>
      <x:c r="W4032" s="124"/>
      <x:c r="X4032" s="124"/>
      <x:c r="AD4032"/>
      <x:c r="AE4032" s="145"/>
      <x:c r="AF4032" s="145"/>
      <x:c r="AG4032" s="145"/>
      <x:c r="AH4032" s="145"/>
      <x:c r="AI4032" s="145"/>
      <x:c r="AJ4032"/>
    </x:row>
    <x:row r="4033">
      <x:c r="F4033" s="124"/>
      <x:c r="G4033" s="124"/>
      <x:c r="H4033" s="124"/>
      <x:c r="I4033" s="124"/>
      <x:c r="J4033" s="124"/>
      <x:c r="M4033" s="126"/>
      <x:c r="P4033" s="126"/>
      <x:c r="Q4033" s="126"/>
      <x:c r="R4033" s="126"/>
      <x:c r="S4033" s="124"/>
      <x:c r="T4033" s="124"/>
      <x:c r="U4033" s="124"/>
      <x:c r="V4033" s="124"/>
      <x:c r="W4033" s="124"/>
      <x:c r="X4033" s="124"/>
      <x:c r="AD4033"/>
      <x:c r="AE4033" s="145"/>
      <x:c r="AF4033" s="145"/>
      <x:c r="AG4033" s="145"/>
      <x:c r="AH4033" s="145"/>
      <x:c r="AI4033" s="145"/>
      <x:c r="AJ4033"/>
    </x:row>
    <x:row r="4034">
      <x:c r="F4034" s="124"/>
      <x:c r="G4034" s="124"/>
      <x:c r="H4034" s="124"/>
      <x:c r="I4034" s="124"/>
      <x:c r="J4034" s="124"/>
      <x:c r="M4034" s="126"/>
      <x:c r="P4034" s="126"/>
      <x:c r="Q4034" s="126"/>
      <x:c r="R4034" s="126"/>
      <x:c r="S4034" s="124"/>
      <x:c r="T4034" s="124"/>
      <x:c r="U4034" s="124"/>
      <x:c r="V4034" s="124"/>
      <x:c r="W4034" s="124"/>
      <x:c r="X4034" s="124"/>
      <x:c r="AD4034"/>
      <x:c r="AE4034" s="145"/>
      <x:c r="AF4034" s="145"/>
      <x:c r="AG4034" s="145"/>
      <x:c r="AH4034" s="145"/>
      <x:c r="AI4034" s="145"/>
      <x:c r="AJ4034"/>
    </x:row>
    <x:row r="4035">
      <x:c r="F4035" s="124"/>
      <x:c r="G4035" s="124"/>
      <x:c r="H4035" s="124"/>
      <x:c r="I4035" s="124"/>
      <x:c r="J4035" s="124"/>
      <x:c r="M4035" s="126"/>
      <x:c r="P4035" s="126"/>
      <x:c r="Q4035" s="126"/>
      <x:c r="R4035" s="126"/>
      <x:c r="S4035" s="124"/>
      <x:c r="T4035" s="124"/>
      <x:c r="U4035" s="124"/>
      <x:c r="V4035" s="124"/>
      <x:c r="W4035" s="124"/>
      <x:c r="X4035" s="124"/>
      <x:c r="AD4035"/>
      <x:c r="AE4035" s="145"/>
      <x:c r="AF4035" s="145"/>
      <x:c r="AG4035" s="145"/>
      <x:c r="AH4035" s="145"/>
      <x:c r="AI4035" s="145"/>
      <x:c r="AJ4035"/>
    </x:row>
    <x:row r="4036">
      <x:c r="F4036" s="124"/>
      <x:c r="G4036" s="124"/>
      <x:c r="H4036" s="124"/>
      <x:c r="I4036" s="124"/>
      <x:c r="J4036" s="124"/>
      <x:c r="M4036" s="126"/>
      <x:c r="P4036" s="126"/>
      <x:c r="Q4036" s="126"/>
      <x:c r="R4036" s="126"/>
      <x:c r="S4036" s="124"/>
      <x:c r="T4036" s="124"/>
      <x:c r="U4036" s="124"/>
      <x:c r="V4036" s="124"/>
      <x:c r="W4036" s="124"/>
      <x:c r="X4036" s="124"/>
      <x:c r="AD4036"/>
      <x:c r="AE4036" s="145"/>
      <x:c r="AF4036" s="145"/>
      <x:c r="AG4036" s="145"/>
      <x:c r="AH4036" s="145"/>
      <x:c r="AI4036" s="145"/>
      <x:c r="AJ4036"/>
    </x:row>
    <x:row r="4037">
      <x:c r="F4037" s="124"/>
      <x:c r="G4037" s="124"/>
      <x:c r="H4037" s="124"/>
      <x:c r="I4037" s="124"/>
      <x:c r="J4037" s="124"/>
      <x:c r="M4037" s="126"/>
      <x:c r="P4037" s="126"/>
      <x:c r="Q4037" s="126"/>
      <x:c r="R4037" s="126"/>
      <x:c r="S4037" s="124"/>
      <x:c r="T4037" s="124"/>
      <x:c r="U4037" s="124"/>
      <x:c r="V4037" s="124"/>
      <x:c r="W4037" s="124"/>
      <x:c r="X4037" s="124"/>
      <x:c r="AD4037"/>
      <x:c r="AE4037" s="145"/>
      <x:c r="AF4037" s="145"/>
      <x:c r="AG4037" s="145"/>
      <x:c r="AH4037" s="145"/>
      <x:c r="AI4037" s="145"/>
      <x:c r="AJ4037"/>
    </x:row>
    <x:row r="4038">
      <x:c r="F4038" s="124"/>
      <x:c r="G4038" s="124"/>
      <x:c r="H4038" s="124"/>
      <x:c r="I4038" s="124"/>
      <x:c r="J4038" s="124"/>
      <x:c r="M4038" s="126"/>
      <x:c r="P4038" s="126"/>
      <x:c r="Q4038" s="126"/>
      <x:c r="R4038" s="126"/>
      <x:c r="S4038" s="124"/>
      <x:c r="T4038" s="124"/>
      <x:c r="U4038" s="124"/>
      <x:c r="V4038" s="124"/>
      <x:c r="W4038" s="124"/>
      <x:c r="X4038" s="124"/>
      <x:c r="AD4038"/>
      <x:c r="AE4038" s="145"/>
      <x:c r="AF4038" s="145"/>
      <x:c r="AG4038" s="145"/>
      <x:c r="AH4038" s="145"/>
      <x:c r="AI4038" s="145"/>
      <x:c r="AJ4038"/>
    </x:row>
    <x:row r="4039">
      <x:c r="F4039" s="124"/>
      <x:c r="G4039" s="124"/>
      <x:c r="H4039" s="124"/>
      <x:c r="I4039" s="124"/>
      <x:c r="J4039" s="124"/>
      <x:c r="M4039" s="126"/>
      <x:c r="P4039" s="126"/>
      <x:c r="Q4039" s="126"/>
      <x:c r="R4039" s="126"/>
      <x:c r="S4039" s="124"/>
      <x:c r="T4039" s="124"/>
      <x:c r="U4039" s="124"/>
      <x:c r="V4039" s="124"/>
      <x:c r="W4039" s="124"/>
      <x:c r="X4039" s="124"/>
      <x:c r="AD4039"/>
      <x:c r="AE4039" s="145"/>
      <x:c r="AF4039" s="145"/>
      <x:c r="AG4039" s="145"/>
      <x:c r="AH4039" s="145"/>
      <x:c r="AI4039" s="145"/>
      <x:c r="AJ4039"/>
    </x:row>
    <x:row r="4040">
      <x:c r="F4040" s="124"/>
      <x:c r="G4040" s="124"/>
      <x:c r="H4040" s="124"/>
      <x:c r="I4040" s="124"/>
      <x:c r="J4040" s="124"/>
      <x:c r="M4040" s="126"/>
      <x:c r="P4040" s="126"/>
      <x:c r="Q4040" s="126"/>
      <x:c r="R4040" s="126"/>
      <x:c r="S4040" s="124"/>
      <x:c r="T4040" s="124"/>
      <x:c r="U4040" s="124"/>
      <x:c r="V4040" s="124"/>
      <x:c r="W4040" s="124"/>
      <x:c r="X4040" s="124"/>
      <x:c r="AD4040"/>
      <x:c r="AE4040" s="145"/>
      <x:c r="AF4040" s="145"/>
      <x:c r="AG4040" s="145"/>
      <x:c r="AH4040" s="145"/>
      <x:c r="AI4040" s="145"/>
      <x:c r="AJ4040"/>
    </x:row>
    <x:row r="4041">
      <x:c r="F4041" s="124"/>
      <x:c r="G4041" s="124"/>
      <x:c r="H4041" s="124"/>
      <x:c r="I4041" s="124"/>
      <x:c r="J4041" s="124"/>
      <x:c r="M4041" s="126"/>
      <x:c r="P4041" s="126"/>
      <x:c r="Q4041" s="126"/>
      <x:c r="R4041" s="126"/>
      <x:c r="S4041" s="124"/>
      <x:c r="T4041" s="124"/>
      <x:c r="U4041" s="124"/>
      <x:c r="V4041" s="124"/>
      <x:c r="W4041" s="124"/>
      <x:c r="X4041" s="124"/>
      <x:c r="AD4041"/>
      <x:c r="AE4041" s="145"/>
      <x:c r="AF4041" s="145"/>
      <x:c r="AG4041" s="145"/>
      <x:c r="AH4041" s="145"/>
      <x:c r="AI4041" s="145"/>
      <x:c r="AJ4041"/>
    </x:row>
    <x:row r="4042">
      <x:c r="F4042" s="124"/>
      <x:c r="G4042" s="124"/>
      <x:c r="H4042" s="124"/>
      <x:c r="I4042" s="124"/>
      <x:c r="J4042" s="124"/>
      <x:c r="M4042" s="126"/>
      <x:c r="P4042" s="126"/>
      <x:c r="Q4042" s="126"/>
      <x:c r="R4042" s="126"/>
      <x:c r="S4042" s="124"/>
      <x:c r="T4042" s="124"/>
      <x:c r="U4042" s="124"/>
      <x:c r="V4042" s="124"/>
      <x:c r="W4042" s="124"/>
      <x:c r="X4042" s="124"/>
      <x:c r="AD4042"/>
      <x:c r="AE4042" s="145"/>
      <x:c r="AF4042" s="145"/>
      <x:c r="AG4042" s="145"/>
      <x:c r="AH4042" s="145"/>
      <x:c r="AI4042" s="145"/>
      <x:c r="AJ4042"/>
    </x:row>
    <x:row r="4043">
      <x:c r="F4043" s="124"/>
      <x:c r="G4043" s="124"/>
      <x:c r="H4043" s="124"/>
      <x:c r="I4043" s="124"/>
      <x:c r="J4043" s="124"/>
      <x:c r="M4043" s="126"/>
      <x:c r="P4043" s="126"/>
      <x:c r="Q4043" s="126"/>
      <x:c r="R4043" s="126"/>
      <x:c r="S4043" s="124"/>
      <x:c r="T4043" s="124"/>
      <x:c r="U4043" s="124"/>
      <x:c r="V4043" s="124"/>
      <x:c r="W4043" s="124"/>
      <x:c r="X4043" s="124"/>
      <x:c r="AD4043"/>
      <x:c r="AE4043" s="145"/>
      <x:c r="AF4043" s="145"/>
      <x:c r="AG4043" s="145"/>
      <x:c r="AH4043" s="145"/>
      <x:c r="AI4043" s="145"/>
      <x:c r="AJ4043"/>
    </x:row>
    <x:row r="4044">
      <x:c r="F4044" s="124"/>
      <x:c r="G4044" s="124"/>
      <x:c r="H4044" s="124"/>
      <x:c r="I4044" s="124"/>
      <x:c r="J4044" s="124"/>
      <x:c r="M4044" s="126"/>
      <x:c r="P4044" s="126"/>
      <x:c r="Q4044" s="126"/>
      <x:c r="R4044" s="126"/>
      <x:c r="S4044" s="124"/>
      <x:c r="T4044" s="124"/>
      <x:c r="U4044" s="124"/>
      <x:c r="V4044" s="124"/>
      <x:c r="W4044" s="124"/>
      <x:c r="X4044" s="124"/>
      <x:c r="AD4044"/>
      <x:c r="AE4044" s="145"/>
      <x:c r="AF4044" s="145"/>
      <x:c r="AG4044" s="145"/>
      <x:c r="AH4044" s="145"/>
      <x:c r="AI4044" s="145"/>
      <x:c r="AJ4044"/>
    </x:row>
    <x:row r="4045">
      <x:c r="F4045" s="124"/>
      <x:c r="G4045" s="124"/>
      <x:c r="H4045" s="124"/>
      <x:c r="I4045" s="124"/>
      <x:c r="J4045" s="124"/>
      <x:c r="M4045" s="126"/>
      <x:c r="P4045" s="126"/>
      <x:c r="Q4045" s="126"/>
      <x:c r="R4045" s="126"/>
      <x:c r="S4045" s="124"/>
      <x:c r="T4045" s="124"/>
      <x:c r="U4045" s="124"/>
      <x:c r="V4045" s="124"/>
      <x:c r="W4045" s="124"/>
      <x:c r="X4045" s="124"/>
      <x:c r="AD4045"/>
      <x:c r="AE4045" s="145"/>
      <x:c r="AF4045" s="145"/>
      <x:c r="AG4045" s="145"/>
      <x:c r="AH4045" s="145"/>
      <x:c r="AI4045" s="145"/>
      <x:c r="AJ4045"/>
    </x:row>
    <x:row r="4046">
      <x:c r="F4046" s="124"/>
      <x:c r="G4046" s="124"/>
      <x:c r="H4046" s="124"/>
      <x:c r="I4046" s="124"/>
      <x:c r="J4046" s="124"/>
      <x:c r="M4046" s="126"/>
      <x:c r="P4046" s="126"/>
      <x:c r="Q4046" s="126"/>
      <x:c r="R4046" s="126"/>
      <x:c r="S4046" s="124"/>
      <x:c r="T4046" s="124"/>
      <x:c r="U4046" s="124"/>
      <x:c r="V4046" s="124"/>
      <x:c r="W4046" s="124"/>
      <x:c r="X4046" s="124"/>
      <x:c r="AD4046"/>
      <x:c r="AE4046" s="145"/>
      <x:c r="AF4046" s="145"/>
      <x:c r="AG4046" s="145"/>
      <x:c r="AH4046" s="145"/>
      <x:c r="AI4046" s="145"/>
      <x:c r="AJ4046"/>
    </x:row>
    <x:row r="4047">
      <x:c r="F4047" s="124"/>
      <x:c r="G4047" s="124"/>
      <x:c r="H4047" s="124"/>
      <x:c r="I4047" s="124"/>
      <x:c r="J4047" s="124"/>
      <x:c r="M4047" s="126"/>
      <x:c r="P4047" s="126"/>
      <x:c r="Q4047" s="126"/>
      <x:c r="R4047" s="126"/>
      <x:c r="S4047" s="124"/>
      <x:c r="T4047" s="124"/>
      <x:c r="U4047" s="124"/>
      <x:c r="V4047" s="124"/>
      <x:c r="W4047" s="124"/>
      <x:c r="X4047" s="124"/>
      <x:c r="AD4047"/>
      <x:c r="AE4047" s="145"/>
      <x:c r="AF4047" s="145"/>
      <x:c r="AG4047" s="145"/>
      <x:c r="AH4047" s="145"/>
      <x:c r="AI4047" s="145"/>
      <x:c r="AJ4047"/>
    </x:row>
    <x:row r="4048">
      <x:c r="F4048" s="124"/>
      <x:c r="G4048" s="124"/>
      <x:c r="H4048" s="124"/>
      <x:c r="I4048" s="124"/>
      <x:c r="J4048" s="124"/>
      <x:c r="M4048" s="126"/>
      <x:c r="P4048" s="126"/>
      <x:c r="Q4048" s="126"/>
      <x:c r="R4048" s="126"/>
      <x:c r="S4048" s="124"/>
      <x:c r="T4048" s="124"/>
      <x:c r="U4048" s="124"/>
      <x:c r="V4048" s="124"/>
      <x:c r="W4048" s="124"/>
      <x:c r="X4048" s="124"/>
      <x:c r="AD4048"/>
      <x:c r="AE4048" s="145"/>
      <x:c r="AF4048" s="145"/>
      <x:c r="AG4048" s="145"/>
      <x:c r="AH4048" s="145"/>
      <x:c r="AI4048" s="145"/>
      <x:c r="AJ4048"/>
    </x:row>
    <x:row r="4049">
      <x:c r="F4049" s="124"/>
      <x:c r="G4049" s="124"/>
      <x:c r="H4049" s="124"/>
      <x:c r="I4049" s="124"/>
      <x:c r="J4049" s="124"/>
      <x:c r="M4049" s="126"/>
      <x:c r="P4049" s="126"/>
      <x:c r="Q4049" s="126"/>
      <x:c r="R4049" s="126"/>
      <x:c r="S4049" s="124"/>
      <x:c r="T4049" s="124"/>
      <x:c r="U4049" s="124"/>
      <x:c r="V4049" s="124"/>
      <x:c r="W4049" s="124"/>
      <x:c r="X4049" s="124"/>
      <x:c r="AD4049"/>
      <x:c r="AE4049" s="145"/>
      <x:c r="AF4049" s="145"/>
      <x:c r="AG4049" s="145"/>
      <x:c r="AH4049" s="145"/>
      <x:c r="AI4049" s="145"/>
      <x:c r="AJ4049"/>
    </x:row>
    <x:row r="4050">
      <x:c r="F4050" s="124"/>
      <x:c r="G4050" s="124"/>
      <x:c r="H4050" s="124"/>
      <x:c r="I4050" s="124"/>
      <x:c r="J4050" s="124"/>
      <x:c r="M4050" s="126"/>
      <x:c r="P4050" s="126"/>
      <x:c r="Q4050" s="126"/>
      <x:c r="R4050" s="126"/>
      <x:c r="S4050" s="124"/>
      <x:c r="T4050" s="124"/>
      <x:c r="U4050" s="124"/>
      <x:c r="V4050" s="124"/>
      <x:c r="W4050" s="124"/>
      <x:c r="X4050" s="124"/>
      <x:c r="AD4050"/>
      <x:c r="AE4050" s="145"/>
      <x:c r="AF4050" s="145"/>
      <x:c r="AG4050" s="145"/>
      <x:c r="AH4050" s="145"/>
      <x:c r="AI4050" s="145"/>
      <x:c r="AJ4050"/>
    </x:row>
    <x:row r="4051">
      <x:c r="F4051" s="124"/>
      <x:c r="G4051" s="124"/>
      <x:c r="H4051" s="124"/>
      <x:c r="I4051" s="124"/>
      <x:c r="J4051" s="124"/>
      <x:c r="M4051" s="126"/>
      <x:c r="P4051" s="126"/>
      <x:c r="Q4051" s="126"/>
      <x:c r="R4051" s="126"/>
      <x:c r="S4051" s="124"/>
      <x:c r="T4051" s="124"/>
      <x:c r="U4051" s="124"/>
      <x:c r="V4051" s="124"/>
      <x:c r="W4051" s="124"/>
      <x:c r="X4051" s="124"/>
      <x:c r="AD4051"/>
      <x:c r="AE4051" s="145"/>
      <x:c r="AF4051" s="145"/>
      <x:c r="AG4051" s="145"/>
      <x:c r="AH4051" s="145"/>
      <x:c r="AI4051" s="145"/>
      <x:c r="AJ4051"/>
    </x:row>
    <x:row r="4052">
      <x:c r="F4052" s="124"/>
      <x:c r="G4052" s="124"/>
      <x:c r="H4052" s="124"/>
      <x:c r="I4052" s="124"/>
      <x:c r="J4052" s="124"/>
      <x:c r="M4052" s="126"/>
      <x:c r="P4052" s="126"/>
      <x:c r="Q4052" s="126"/>
      <x:c r="R4052" s="126"/>
      <x:c r="S4052" s="124"/>
      <x:c r="T4052" s="124"/>
      <x:c r="U4052" s="124"/>
      <x:c r="V4052" s="124"/>
      <x:c r="W4052" s="124"/>
      <x:c r="X4052" s="124"/>
      <x:c r="AD4052"/>
      <x:c r="AE4052" s="145"/>
      <x:c r="AF4052" s="145"/>
      <x:c r="AG4052" s="145"/>
      <x:c r="AH4052" s="145"/>
      <x:c r="AI4052" s="145"/>
      <x:c r="AJ4052"/>
    </x:row>
    <x:row r="4053">
      <x:c r="F4053" s="124"/>
      <x:c r="G4053" s="124"/>
      <x:c r="H4053" s="124"/>
      <x:c r="I4053" s="124"/>
      <x:c r="J4053" s="124"/>
      <x:c r="M4053" s="126"/>
      <x:c r="P4053" s="126"/>
      <x:c r="Q4053" s="126"/>
      <x:c r="R4053" s="126"/>
      <x:c r="S4053" s="124"/>
      <x:c r="T4053" s="124"/>
      <x:c r="U4053" s="124"/>
      <x:c r="V4053" s="124"/>
      <x:c r="W4053" s="124"/>
      <x:c r="X4053" s="124"/>
      <x:c r="AD4053"/>
      <x:c r="AE4053" s="145"/>
      <x:c r="AF4053" s="145"/>
      <x:c r="AG4053" s="145"/>
      <x:c r="AH4053" s="145"/>
      <x:c r="AI4053" s="145"/>
      <x:c r="AJ4053"/>
    </x:row>
    <x:row r="4054">
      <x:c r="F4054" s="124"/>
      <x:c r="G4054" s="124"/>
      <x:c r="H4054" s="124"/>
      <x:c r="I4054" s="124"/>
      <x:c r="J4054" s="124"/>
      <x:c r="M4054" s="126"/>
      <x:c r="P4054" s="126"/>
      <x:c r="Q4054" s="126"/>
      <x:c r="R4054" s="126"/>
      <x:c r="S4054" s="124"/>
      <x:c r="T4054" s="124"/>
      <x:c r="U4054" s="124"/>
      <x:c r="V4054" s="124"/>
      <x:c r="W4054" s="124"/>
      <x:c r="X4054" s="124"/>
      <x:c r="AD4054"/>
      <x:c r="AE4054" s="145"/>
      <x:c r="AF4054" s="145"/>
      <x:c r="AG4054" s="145"/>
      <x:c r="AH4054" s="145"/>
      <x:c r="AI4054" s="145"/>
      <x:c r="AJ4054"/>
    </x:row>
    <x:row r="4055">
      <x:c r="F4055" s="124"/>
      <x:c r="G4055" s="124"/>
      <x:c r="H4055" s="124"/>
      <x:c r="I4055" s="124"/>
      <x:c r="J4055" s="124"/>
      <x:c r="M4055" s="126"/>
      <x:c r="P4055" s="126"/>
      <x:c r="Q4055" s="126"/>
      <x:c r="R4055" s="126"/>
      <x:c r="S4055" s="124"/>
      <x:c r="T4055" s="124"/>
      <x:c r="U4055" s="124"/>
      <x:c r="V4055" s="124"/>
      <x:c r="W4055" s="124"/>
      <x:c r="X4055" s="124"/>
      <x:c r="AD4055"/>
      <x:c r="AE4055" s="145"/>
      <x:c r="AF4055" s="145"/>
      <x:c r="AG4055" s="145"/>
      <x:c r="AH4055" s="145"/>
      <x:c r="AI4055" s="145"/>
      <x:c r="AJ4055"/>
    </x:row>
    <x:row r="4056">
      <x:c r="F4056" s="124"/>
      <x:c r="G4056" s="124"/>
      <x:c r="H4056" s="124"/>
      <x:c r="I4056" s="124"/>
      <x:c r="J4056" s="124"/>
      <x:c r="M4056" s="126"/>
      <x:c r="P4056" s="126"/>
      <x:c r="Q4056" s="126"/>
      <x:c r="R4056" s="126"/>
      <x:c r="S4056" s="124"/>
      <x:c r="T4056" s="124"/>
      <x:c r="U4056" s="124"/>
      <x:c r="V4056" s="124"/>
      <x:c r="W4056" s="124"/>
      <x:c r="X4056" s="124"/>
      <x:c r="AD4056"/>
      <x:c r="AE4056" s="145"/>
      <x:c r="AF4056" s="145"/>
      <x:c r="AG4056" s="145"/>
      <x:c r="AH4056" s="145"/>
      <x:c r="AI4056" s="145"/>
      <x:c r="AJ4056"/>
    </x:row>
    <x:row r="4057">
      <x:c r="F4057" s="124"/>
      <x:c r="G4057" s="124"/>
      <x:c r="H4057" s="124"/>
      <x:c r="I4057" s="124"/>
      <x:c r="J4057" s="124"/>
      <x:c r="M4057" s="126"/>
      <x:c r="P4057" s="126"/>
      <x:c r="Q4057" s="126"/>
      <x:c r="R4057" s="126"/>
      <x:c r="S4057" s="124"/>
      <x:c r="T4057" s="124"/>
      <x:c r="U4057" s="124"/>
      <x:c r="V4057" s="124"/>
      <x:c r="W4057" s="124"/>
      <x:c r="X4057" s="124"/>
      <x:c r="AD4057"/>
      <x:c r="AE4057" s="145"/>
      <x:c r="AF4057" s="145"/>
      <x:c r="AG4057" s="145"/>
      <x:c r="AH4057" s="145"/>
      <x:c r="AI4057" s="145"/>
      <x:c r="AJ4057"/>
    </x:row>
    <x:row r="4058">
      <x:c r="F4058" s="124"/>
      <x:c r="G4058" s="124"/>
      <x:c r="H4058" s="124"/>
      <x:c r="I4058" s="124"/>
      <x:c r="J4058" s="124"/>
      <x:c r="M4058" s="126"/>
      <x:c r="P4058" s="126"/>
      <x:c r="Q4058" s="126"/>
      <x:c r="R4058" s="126"/>
      <x:c r="S4058" s="124"/>
      <x:c r="T4058" s="124"/>
      <x:c r="U4058" s="124"/>
      <x:c r="V4058" s="124"/>
      <x:c r="W4058" s="124"/>
      <x:c r="X4058" s="124"/>
      <x:c r="AD4058"/>
      <x:c r="AE4058" s="145"/>
      <x:c r="AF4058" s="145"/>
      <x:c r="AG4058" s="145"/>
      <x:c r="AH4058" s="145"/>
      <x:c r="AI4058" s="145"/>
      <x:c r="AJ4058"/>
    </x:row>
    <x:row r="4059">
      <x:c r="F4059" s="124"/>
      <x:c r="G4059" s="124"/>
      <x:c r="H4059" s="124"/>
      <x:c r="I4059" s="124"/>
      <x:c r="J4059" s="124"/>
      <x:c r="M4059" s="126"/>
      <x:c r="P4059" s="126"/>
      <x:c r="Q4059" s="126"/>
      <x:c r="R4059" s="126"/>
      <x:c r="S4059" s="124"/>
      <x:c r="T4059" s="124"/>
      <x:c r="U4059" s="124"/>
      <x:c r="V4059" s="124"/>
      <x:c r="W4059" s="124"/>
      <x:c r="X4059" s="124"/>
      <x:c r="AD4059"/>
      <x:c r="AE4059" s="145"/>
      <x:c r="AF4059" s="145"/>
      <x:c r="AG4059" s="145"/>
      <x:c r="AH4059" s="145"/>
      <x:c r="AI4059" s="145"/>
      <x:c r="AJ4059"/>
    </x:row>
    <x:row r="4060">
      <x:c r="F4060" s="124"/>
      <x:c r="G4060" s="124"/>
      <x:c r="H4060" s="124"/>
      <x:c r="I4060" s="124"/>
      <x:c r="J4060" s="124"/>
      <x:c r="M4060" s="126"/>
      <x:c r="P4060" s="126"/>
      <x:c r="Q4060" s="126"/>
      <x:c r="R4060" s="126"/>
      <x:c r="S4060" s="124"/>
      <x:c r="T4060" s="124"/>
      <x:c r="U4060" s="124"/>
      <x:c r="V4060" s="124"/>
      <x:c r="W4060" s="124"/>
      <x:c r="X4060" s="124"/>
      <x:c r="AD4060"/>
      <x:c r="AE4060" s="145"/>
      <x:c r="AF4060" s="145"/>
      <x:c r="AG4060" s="145"/>
      <x:c r="AH4060" s="145"/>
      <x:c r="AI4060" s="145"/>
      <x:c r="AJ4060"/>
    </x:row>
    <x:row r="4061">
      <x:c r="F4061" s="124"/>
      <x:c r="G4061" s="124"/>
      <x:c r="H4061" s="124"/>
      <x:c r="I4061" s="124"/>
      <x:c r="J4061" s="124"/>
      <x:c r="M4061" s="126"/>
      <x:c r="P4061" s="126"/>
      <x:c r="Q4061" s="126"/>
      <x:c r="R4061" s="126"/>
      <x:c r="S4061" s="124"/>
      <x:c r="T4061" s="124"/>
      <x:c r="U4061" s="124"/>
      <x:c r="V4061" s="124"/>
      <x:c r="W4061" s="124"/>
      <x:c r="X4061" s="124"/>
      <x:c r="AD4061"/>
      <x:c r="AE4061" s="145"/>
      <x:c r="AF4061" s="145"/>
      <x:c r="AG4061" s="145"/>
      <x:c r="AH4061" s="145"/>
      <x:c r="AI4061" s="145"/>
      <x:c r="AJ4061"/>
    </x:row>
    <x:row r="4062">
      <x:c r="F4062" s="124"/>
      <x:c r="G4062" s="124"/>
      <x:c r="H4062" s="124"/>
      <x:c r="I4062" s="124"/>
      <x:c r="J4062" s="124"/>
      <x:c r="M4062" s="126"/>
      <x:c r="P4062" s="126"/>
      <x:c r="Q4062" s="126"/>
      <x:c r="R4062" s="126"/>
      <x:c r="S4062" s="124"/>
      <x:c r="T4062" s="124"/>
      <x:c r="U4062" s="124"/>
      <x:c r="V4062" s="124"/>
      <x:c r="W4062" s="124"/>
      <x:c r="X4062" s="124"/>
      <x:c r="AD4062"/>
      <x:c r="AE4062" s="145"/>
      <x:c r="AF4062" s="145"/>
      <x:c r="AG4062" s="145"/>
      <x:c r="AH4062" s="145"/>
      <x:c r="AI4062" s="145"/>
      <x:c r="AJ4062"/>
    </x:row>
    <x:row r="4063">
      <x:c r="F4063" s="124"/>
      <x:c r="G4063" s="124"/>
      <x:c r="H4063" s="124"/>
      <x:c r="I4063" s="124"/>
      <x:c r="J4063" s="124"/>
      <x:c r="M4063" s="126"/>
      <x:c r="P4063" s="126"/>
      <x:c r="Q4063" s="126"/>
      <x:c r="R4063" s="126"/>
      <x:c r="S4063" s="124"/>
      <x:c r="T4063" s="124"/>
      <x:c r="U4063" s="124"/>
      <x:c r="V4063" s="124"/>
      <x:c r="W4063" s="124"/>
      <x:c r="X4063" s="124"/>
      <x:c r="AD4063"/>
      <x:c r="AE4063" s="145"/>
      <x:c r="AF4063" s="145"/>
      <x:c r="AG4063" s="145"/>
      <x:c r="AH4063" s="145"/>
      <x:c r="AI4063" s="145"/>
      <x:c r="AJ4063"/>
    </x:row>
    <x:row r="4064">
      <x:c r="F4064" s="124"/>
      <x:c r="G4064" s="124"/>
      <x:c r="H4064" s="124"/>
      <x:c r="I4064" s="124"/>
      <x:c r="J4064" s="124"/>
      <x:c r="M4064" s="126"/>
      <x:c r="P4064" s="126"/>
      <x:c r="Q4064" s="126"/>
      <x:c r="R4064" s="126"/>
      <x:c r="S4064" s="124"/>
      <x:c r="T4064" s="124"/>
      <x:c r="U4064" s="124"/>
      <x:c r="V4064" s="124"/>
      <x:c r="W4064" s="124"/>
      <x:c r="X4064" s="124"/>
      <x:c r="AD4064"/>
      <x:c r="AE4064" s="145"/>
      <x:c r="AF4064" s="145"/>
      <x:c r="AG4064" s="145"/>
      <x:c r="AH4064" s="145"/>
      <x:c r="AI4064" s="145"/>
      <x:c r="AJ4064"/>
    </x:row>
    <x:row r="4065">
      <x:c r="F4065" s="124"/>
      <x:c r="G4065" s="124"/>
      <x:c r="H4065" s="124"/>
      <x:c r="I4065" s="124"/>
      <x:c r="J4065" s="124"/>
      <x:c r="M4065" s="126"/>
      <x:c r="P4065" s="126"/>
      <x:c r="Q4065" s="126"/>
      <x:c r="R4065" s="126"/>
      <x:c r="S4065" s="124"/>
      <x:c r="T4065" s="124"/>
      <x:c r="U4065" s="124"/>
      <x:c r="V4065" s="124"/>
      <x:c r="W4065" s="124"/>
      <x:c r="X4065" s="124"/>
      <x:c r="AD4065"/>
      <x:c r="AE4065" s="145"/>
      <x:c r="AF4065" s="145"/>
      <x:c r="AG4065" s="145"/>
      <x:c r="AH4065" s="145"/>
      <x:c r="AI4065" s="145"/>
      <x:c r="AJ4065"/>
    </x:row>
    <x:row r="4066">
      <x:c r="F4066" s="124"/>
      <x:c r="G4066" s="124"/>
      <x:c r="H4066" s="124"/>
      <x:c r="I4066" s="124"/>
      <x:c r="J4066" s="124"/>
      <x:c r="M4066" s="126"/>
      <x:c r="P4066" s="126"/>
      <x:c r="Q4066" s="126"/>
      <x:c r="R4066" s="126"/>
      <x:c r="S4066" s="124"/>
      <x:c r="T4066" s="124"/>
      <x:c r="U4066" s="124"/>
      <x:c r="V4066" s="124"/>
      <x:c r="W4066" s="124"/>
      <x:c r="X4066" s="124"/>
      <x:c r="AD4066"/>
      <x:c r="AE4066" s="145"/>
      <x:c r="AF4066" s="145"/>
      <x:c r="AG4066" s="145"/>
      <x:c r="AH4066" s="145"/>
      <x:c r="AI4066" s="145"/>
      <x:c r="AJ4066"/>
    </x:row>
    <x:row r="4067">
      <x:c r="F4067" s="124"/>
      <x:c r="G4067" s="124"/>
      <x:c r="H4067" s="124"/>
      <x:c r="I4067" s="124"/>
      <x:c r="J4067" s="124"/>
      <x:c r="M4067" s="126"/>
      <x:c r="P4067" s="126"/>
      <x:c r="Q4067" s="126"/>
      <x:c r="R4067" s="126"/>
      <x:c r="S4067" s="124"/>
      <x:c r="T4067" s="124"/>
      <x:c r="U4067" s="124"/>
      <x:c r="V4067" s="124"/>
      <x:c r="W4067" s="124"/>
      <x:c r="X4067" s="124"/>
      <x:c r="AD4067"/>
      <x:c r="AE4067" s="145"/>
      <x:c r="AF4067" s="145"/>
      <x:c r="AG4067" s="145"/>
      <x:c r="AH4067" s="145"/>
      <x:c r="AI4067" s="145"/>
      <x:c r="AJ4067"/>
    </x:row>
    <x:row r="4068">
      <x:c r="F4068" s="124"/>
      <x:c r="G4068" s="124"/>
      <x:c r="H4068" s="124"/>
      <x:c r="I4068" s="124"/>
      <x:c r="J4068" s="124"/>
      <x:c r="M4068" s="126"/>
      <x:c r="P4068" s="126"/>
      <x:c r="Q4068" s="126"/>
      <x:c r="R4068" s="126"/>
      <x:c r="S4068" s="124"/>
      <x:c r="T4068" s="124"/>
      <x:c r="U4068" s="124"/>
      <x:c r="V4068" s="124"/>
      <x:c r="W4068" s="124"/>
      <x:c r="X4068" s="124"/>
      <x:c r="AD4068"/>
      <x:c r="AE4068" s="145"/>
      <x:c r="AF4068" s="145"/>
      <x:c r="AG4068" s="145"/>
      <x:c r="AH4068" s="145"/>
      <x:c r="AI4068" s="145"/>
      <x:c r="AJ4068"/>
    </x:row>
    <x:row r="4069">
      <x:c r="F4069" s="124"/>
      <x:c r="G4069" s="124"/>
      <x:c r="H4069" s="124"/>
      <x:c r="I4069" s="124"/>
      <x:c r="J4069" s="124"/>
      <x:c r="M4069" s="126"/>
      <x:c r="P4069" s="126"/>
      <x:c r="Q4069" s="126"/>
      <x:c r="R4069" s="126"/>
      <x:c r="S4069" s="124"/>
      <x:c r="T4069" s="124"/>
      <x:c r="U4069" s="124"/>
      <x:c r="V4069" s="124"/>
      <x:c r="W4069" s="124"/>
      <x:c r="X4069" s="124"/>
      <x:c r="AD4069"/>
      <x:c r="AE4069" s="145"/>
      <x:c r="AF4069" s="145"/>
      <x:c r="AG4069" s="145"/>
      <x:c r="AH4069" s="145"/>
      <x:c r="AI4069" s="145"/>
      <x:c r="AJ4069"/>
    </x:row>
    <x:row r="4070">
      <x:c r="F4070" s="124"/>
      <x:c r="G4070" s="124"/>
      <x:c r="H4070" s="124"/>
      <x:c r="I4070" s="124"/>
      <x:c r="J4070" s="124"/>
      <x:c r="M4070" s="126"/>
      <x:c r="P4070" s="126"/>
      <x:c r="Q4070" s="126"/>
      <x:c r="R4070" s="126"/>
      <x:c r="S4070" s="124"/>
      <x:c r="T4070" s="124"/>
      <x:c r="U4070" s="124"/>
      <x:c r="V4070" s="124"/>
      <x:c r="W4070" s="124"/>
      <x:c r="X4070" s="124"/>
      <x:c r="AD4070"/>
      <x:c r="AE4070" s="145"/>
      <x:c r="AF4070" s="145"/>
      <x:c r="AG4070" s="145"/>
      <x:c r="AH4070" s="145"/>
      <x:c r="AI4070" s="145"/>
      <x:c r="AJ4070"/>
    </x:row>
    <x:row r="4071">
      <x:c r="F4071" s="124"/>
      <x:c r="G4071" s="124"/>
      <x:c r="H4071" s="124"/>
      <x:c r="I4071" s="124"/>
      <x:c r="J4071" s="124"/>
      <x:c r="M4071" s="126"/>
      <x:c r="P4071" s="126"/>
      <x:c r="Q4071" s="126"/>
      <x:c r="R4071" s="126"/>
      <x:c r="S4071" s="124"/>
      <x:c r="T4071" s="124"/>
      <x:c r="U4071" s="124"/>
      <x:c r="V4071" s="124"/>
      <x:c r="W4071" s="124"/>
      <x:c r="X4071" s="124"/>
      <x:c r="AD4071"/>
      <x:c r="AE4071" s="145"/>
      <x:c r="AF4071" s="145"/>
      <x:c r="AG4071" s="145"/>
      <x:c r="AH4071" s="145"/>
      <x:c r="AI4071" s="145"/>
      <x:c r="AJ4071"/>
    </x:row>
    <x:row r="4072">
      <x:c r="F4072" s="124"/>
      <x:c r="G4072" s="124"/>
      <x:c r="H4072" s="124"/>
      <x:c r="I4072" s="124"/>
      <x:c r="J4072" s="124"/>
      <x:c r="M4072" s="126"/>
      <x:c r="P4072" s="126"/>
      <x:c r="Q4072" s="126"/>
      <x:c r="R4072" s="126"/>
      <x:c r="S4072" s="124"/>
      <x:c r="T4072" s="124"/>
      <x:c r="U4072" s="124"/>
      <x:c r="V4072" s="124"/>
      <x:c r="W4072" s="124"/>
      <x:c r="X4072" s="124"/>
      <x:c r="AD4072"/>
      <x:c r="AE4072" s="145"/>
      <x:c r="AF4072" s="145"/>
      <x:c r="AG4072" s="145"/>
      <x:c r="AH4072" s="145"/>
      <x:c r="AI4072" s="145"/>
      <x:c r="AJ4072"/>
    </x:row>
    <x:row r="4073">
      <x:c r="F4073" s="124"/>
      <x:c r="G4073" s="124"/>
      <x:c r="H4073" s="124"/>
      <x:c r="I4073" s="124"/>
      <x:c r="J4073" s="124"/>
      <x:c r="M4073" s="126"/>
      <x:c r="P4073" s="126"/>
      <x:c r="Q4073" s="126"/>
      <x:c r="R4073" s="126"/>
      <x:c r="S4073" s="124"/>
      <x:c r="T4073" s="124"/>
      <x:c r="U4073" s="124"/>
      <x:c r="V4073" s="124"/>
      <x:c r="W4073" s="124"/>
      <x:c r="X4073" s="124"/>
      <x:c r="AD4073"/>
      <x:c r="AE4073" s="145"/>
      <x:c r="AF4073" s="145"/>
      <x:c r="AG4073" s="145"/>
      <x:c r="AH4073" s="145"/>
      <x:c r="AI4073" s="145"/>
      <x:c r="AJ4073"/>
    </x:row>
    <x:row r="4074">
      <x:c r="F4074" s="124"/>
      <x:c r="G4074" s="124"/>
      <x:c r="H4074" s="124"/>
      <x:c r="I4074" s="124"/>
      <x:c r="J4074" s="124"/>
      <x:c r="M4074" s="126"/>
      <x:c r="P4074" s="126"/>
      <x:c r="Q4074" s="126"/>
      <x:c r="R4074" s="126"/>
      <x:c r="S4074" s="124"/>
      <x:c r="T4074" s="124"/>
      <x:c r="U4074" s="124"/>
      <x:c r="V4074" s="124"/>
      <x:c r="W4074" s="124"/>
      <x:c r="X4074" s="124"/>
      <x:c r="AD4074"/>
      <x:c r="AE4074" s="145"/>
      <x:c r="AF4074" s="145"/>
      <x:c r="AG4074" s="145"/>
      <x:c r="AH4074" s="145"/>
      <x:c r="AI4074" s="145"/>
      <x:c r="AJ4074"/>
    </x:row>
    <x:row r="4075">
      <x:c r="F4075" s="124"/>
      <x:c r="G4075" s="124"/>
      <x:c r="H4075" s="124"/>
      <x:c r="I4075" s="124"/>
      <x:c r="J4075" s="124"/>
      <x:c r="M4075" s="126"/>
      <x:c r="P4075" s="126"/>
      <x:c r="Q4075" s="126"/>
      <x:c r="R4075" s="126"/>
      <x:c r="S4075" s="124"/>
      <x:c r="T4075" s="124"/>
      <x:c r="U4075" s="124"/>
      <x:c r="V4075" s="124"/>
      <x:c r="W4075" s="124"/>
      <x:c r="X4075" s="124"/>
      <x:c r="AD4075"/>
      <x:c r="AE4075" s="145"/>
      <x:c r="AF4075" s="145"/>
      <x:c r="AG4075" s="145"/>
      <x:c r="AH4075" s="145"/>
      <x:c r="AI4075" s="145"/>
      <x:c r="AJ4075"/>
    </x:row>
    <x:row r="4076">
      <x:c r="F4076" s="124"/>
      <x:c r="G4076" s="124"/>
      <x:c r="H4076" s="124"/>
      <x:c r="I4076" s="124"/>
      <x:c r="J4076" s="124"/>
      <x:c r="M4076" s="126"/>
      <x:c r="P4076" s="126"/>
      <x:c r="Q4076" s="126"/>
      <x:c r="R4076" s="126"/>
      <x:c r="S4076" s="124"/>
      <x:c r="T4076" s="124"/>
      <x:c r="U4076" s="124"/>
      <x:c r="V4076" s="124"/>
      <x:c r="W4076" s="124"/>
      <x:c r="X4076" s="124"/>
      <x:c r="AD4076"/>
      <x:c r="AE4076" s="145"/>
      <x:c r="AF4076" s="145"/>
      <x:c r="AG4076" s="145"/>
      <x:c r="AH4076" s="145"/>
      <x:c r="AI4076" s="145"/>
      <x:c r="AJ4076"/>
    </x:row>
    <x:row r="4077">
      <x:c r="F4077" s="124"/>
      <x:c r="G4077" s="124"/>
      <x:c r="H4077" s="124"/>
      <x:c r="I4077" s="124"/>
      <x:c r="J4077" s="124"/>
      <x:c r="M4077" s="126"/>
      <x:c r="P4077" s="126"/>
      <x:c r="Q4077" s="126"/>
      <x:c r="R4077" s="126"/>
      <x:c r="S4077" s="124"/>
      <x:c r="T4077" s="124"/>
      <x:c r="U4077" s="124"/>
      <x:c r="V4077" s="124"/>
      <x:c r="W4077" s="124"/>
      <x:c r="X4077" s="124"/>
      <x:c r="AD4077"/>
      <x:c r="AE4077" s="145"/>
      <x:c r="AF4077" s="145"/>
      <x:c r="AG4077" s="145"/>
      <x:c r="AH4077" s="145"/>
      <x:c r="AI4077" s="145"/>
      <x:c r="AJ4077"/>
    </x:row>
    <x:row r="4078">
      <x:c r="F4078" s="124"/>
      <x:c r="G4078" s="124"/>
      <x:c r="H4078" s="124"/>
      <x:c r="I4078" s="124"/>
      <x:c r="J4078" s="124"/>
      <x:c r="M4078" s="126"/>
      <x:c r="P4078" s="126"/>
      <x:c r="Q4078" s="126"/>
      <x:c r="R4078" s="126"/>
      <x:c r="S4078" s="124"/>
      <x:c r="T4078" s="124"/>
      <x:c r="U4078" s="124"/>
      <x:c r="V4078" s="124"/>
      <x:c r="W4078" s="124"/>
      <x:c r="X4078" s="124"/>
      <x:c r="AD4078"/>
      <x:c r="AE4078" s="145"/>
      <x:c r="AF4078" s="145"/>
      <x:c r="AG4078" s="145"/>
      <x:c r="AH4078" s="145"/>
      <x:c r="AI4078" s="145"/>
      <x:c r="AJ4078"/>
    </x:row>
    <x:row r="4079">
      <x:c r="F4079" s="124"/>
      <x:c r="G4079" s="124"/>
      <x:c r="H4079" s="124"/>
      <x:c r="I4079" s="124"/>
      <x:c r="J4079" s="124"/>
      <x:c r="M4079" s="126"/>
      <x:c r="P4079" s="126"/>
      <x:c r="Q4079" s="126"/>
      <x:c r="R4079" s="126"/>
      <x:c r="S4079" s="124"/>
      <x:c r="T4079" s="124"/>
      <x:c r="U4079" s="124"/>
      <x:c r="V4079" s="124"/>
      <x:c r="W4079" s="124"/>
      <x:c r="X4079" s="124"/>
      <x:c r="AD4079"/>
      <x:c r="AE4079" s="145"/>
      <x:c r="AF4079" s="145"/>
      <x:c r="AG4079" s="145"/>
      <x:c r="AH4079" s="145"/>
      <x:c r="AI4079" s="145"/>
      <x:c r="AJ4079"/>
    </x:row>
    <x:row r="4080">
      <x:c r="F4080" s="124"/>
      <x:c r="G4080" s="124"/>
      <x:c r="H4080" s="124"/>
      <x:c r="I4080" s="124"/>
      <x:c r="J4080" s="124"/>
      <x:c r="M4080" s="126"/>
      <x:c r="P4080" s="126"/>
      <x:c r="Q4080" s="126"/>
      <x:c r="R4080" s="126"/>
      <x:c r="S4080" s="124"/>
      <x:c r="T4080" s="124"/>
      <x:c r="U4080" s="124"/>
      <x:c r="V4080" s="124"/>
      <x:c r="W4080" s="124"/>
      <x:c r="X4080" s="124"/>
      <x:c r="AD4080"/>
      <x:c r="AE4080" s="145"/>
      <x:c r="AF4080" s="145"/>
      <x:c r="AG4080" s="145"/>
      <x:c r="AH4080" s="145"/>
      <x:c r="AI4080" s="145"/>
      <x:c r="AJ4080"/>
    </x:row>
    <x:row r="4081">
      <x:c r="F4081" s="124"/>
      <x:c r="G4081" s="124"/>
      <x:c r="H4081" s="124"/>
      <x:c r="I4081" s="124"/>
      <x:c r="J4081" s="124"/>
      <x:c r="M4081" s="126"/>
      <x:c r="P4081" s="126"/>
      <x:c r="Q4081" s="126"/>
      <x:c r="R4081" s="126"/>
      <x:c r="S4081" s="124"/>
      <x:c r="T4081" s="124"/>
      <x:c r="U4081" s="124"/>
      <x:c r="V4081" s="124"/>
      <x:c r="W4081" s="124"/>
      <x:c r="X4081" s="124"/>
      <x:c r="AD4081"/>
      <x:c r="AE4081" s="145"/>
      <x:c r="AF4081" s="145"/>
      <x:c r="AG4081" s="145"/>
      <x:c r="AH4081" s="145"/>
      <x:c r="AI4081" s="145"/>
      <x:c r="AJ4081"/>
    </x:row>
    <x:row r="4082">
      <x:c r="F4082" s="124"/>
      <x:c r="G4082" s="124"/>
      <x:c r="H4082" s="124"/>
      <x:c r="I4082" s="124"/>
      <x:c r="J4082" s="124"/>
      <x:c r="M4082" s="126"/>
      <x:c r="P4082" s="126"/>
      <x:c r="Q4082" s="126"/>
      <x:c r="R4082" s="126"/>
      <x:c r="S4082" s="124"/>
      <x:c r="T4082" s="124"/>
      <x:c r="U4082" s="124"/>
      <x:c r="V4082" s="124"/>
      <x:c r="W4082" s="124"/>
      <x:c r="X4082" s="124"/>
      <x:c r="AD4082"/>
      <x:c r="AE4082" s="145"/>
      <x:c r="AF4082" s="145"/>
      <x:c r="AG4082" s="145"/>
      <x:c r="AH4082" s="145"/>
      <x:c r="AI4082" s="145"/>
      <x:c r="AJ4082"/>
    </x:row>
    <x:row r="4083">
      <x:c r="F4083" s="124"/>
      <x:c r="G4083" s="124"/>
      <x:c r="H4083" s="124"/>
      <x:c r="I4083" s="124"/>
      <x:c r="J4083" s="124"/>
      <x:c r="M4083" s="126"/>
      <x:c r="P4083" s="126"/>
      <x:c r="Q4083" s="126"/>
      <x:c r="R4083" s="126"/>
      <x:c r="S4083" s="124"/>
      <x:c r="T4083" s="124"/>
      <x:c r="U4083" s="124"/>
      <x:c r="V4083" s="124"/>
      <x:c r="W4083" s="124"/>
      <x:c r="X4083" s="124"/>
      <x:c r="AD4083"/>
      <x:c r="AE4083" s="145"/>
      <x:c r="AF4083" s="145"/>
      <x:c r="AG4083" s="145"/>
      <x:c r="AH4083" s="145"/>
      <x:c r="AI4083" s="145"/>
      <x:c r="AJ4083"/>
    </x:row>
    <x:row r="4084">
      <x:c r="F4084" s="124"/>
      <x:c r="G4084" s="124"/>
      <x:c r="H4084" s="124"/>
      <x:c r="I4084" s="124"/>
      <x:c r="J4084" s="124"/>
      <x:c r="M4084" s="126"/>
      <x:c r="P4084" s="126"/>
      <x:c r="Q4084" s="126"/>
      <x:c r="R4084" s="126"/>
      <x:c r="S4084" s="124"/>
      <x:c r="T4084" s="124"/>
      <x:c r="U4084" s="124"/>
      <x:c r="V4084" s="124"/>
      <x:c r="W4084" s="124"/>
      <x:c r="X4084" s="124"/>
      <x:c r="AD4084"/>
      <x:c r="AE4084" s="145"/>
      <x:c r="AF4084" s="145"/>
      <x:c r="AG4084" s="145"/>
      <x:c r="AH4084" s="145"/>
      <x:c r="AI4084" s="145"/>
      <x:c r="AJ4084"/>
    </x:row>
    <x:row r="4085">
      <x:c r="F4085" s="124"/>
      <x:c r="G4085" s="124"/>
      <x:c r="H4085" s="124"/>
      <x:c r="I4085" s="124"/>
      <x:c r="J4085" s="124"/>
      <x:c r="M4085" s="126"/>
      <x:c r="P4085" s="126"/>
      <x:c r="Q4085" s="126"/>
      <x:c r="R4085" s="126"/>
      <x:c r="S4085" s="124"/>
      <x:c r="T4085" s="124"/>
      <x:c r="U4085" s="124"/>
      <x:c r="V4085" s="124"/>
      <x:c r="W4085" s="124"/>
      <x:c r="X4085" s="124"/>
      <x:c r="AD4085"/>
      <x:c r="AE4085" s="145"/>
      <x:c r="AF4085" s="145"/>
      <x:c r="AG4085" s="145"/>
      <x:c r="AH4085" s="145"/>
      <x:c r="AI4085" s="145"/>
      <x:c r="AJ4085"/>
    </x:row>
    <x:row r="4086">
      <x:c r="F4086" s="124"/>
      <x:c r="G4086" s="124"/>
      <x:c r="H4086" s="124"/>
      <x:c r="I4086" s="124"/>
      <x:c r="J4086" s="124"/>
      <x:c r="M4086" s="126"/>
      <x:c r="P4086" s="126"/>
      <x:c r="Q4086" s="126"/>
      <x:c r="R4086" s="126"/>
      <x:c r="S4086" s="124"/>
      <x:c r="T4086" s="124"/>
      <x:c r="U4086" s="124"/>
      <x:c r="V4086" s="124"/>
      <x:c r="W4086" s="124"/>
      <x:c r="X4086" s="124"/>
      <x:c r="AD4086"/>
      <x:c r="AE4086" s="145"/>
      <x:c r="AF4086" s="145"/>
      <x:c r="AG4086" s="145"/>
      <x:c r="AH4086" s="145"/>
      <x:c r="AI4086" s="145"/>
      <x:c r="AJ4086"/>
    </x:row>
    <x:row r="4087">
      <x:c r="F4087" s="124"/>
      <x:c r="G4087" s="124"/>
      <x:c r="H4087" s="124"/>
      <x:c r="I4087" s="124"/>
      <x:c r="J4087" s="124"/>
      <x:c r="M4087" s="126"/>
      <x:c r="P4087" s="126"/>
      <x:c r="Q4087" s="126"/>
      <x:c r="R4087" s="126"/>
      <x:c r="S4087" s="124"/>
      <x:c r="T4087" s="124"/>
      <x:c r="U4087" s="124"/>
      <x:c r="V4087" s="124"/>
      <x:c r="W4087" s="124"/>
      <x:c r="X4087" s="124"/>
      <x:c r="AD4087"/>
      <x:c r="AE4087" s="145"/>
      <x:c r="AF4087" s="145"/>
      <x:c r="AG4087" s="145"/>
      <x:c r="AH4087" s="145"/>
      <x:c r="AI4087" s="145"/>
      <x:c r="AJ4087"/>
    </x:row>
    <x:row r="4088">
      <x:c r="F4088" s="124"/>
      <x:c r="G4088" s="124"/>
      <x:c r="H4088" s="124"/>
      <x:c r="I4088" s="124"/>
      <x:c r="J4088" s="124"/>
      <x:c r="M4088" s="126"/>
      <x:c r="P4088" s="126"/>
      <x:c r="Q4088" s="126"/>
      <x:c r="R4088" s="126"/>
      <x:c r="S4088" s="124"/>
      <x:c r="T4088" s="124"/>
      <x:c r="U4088" s="124"/>
      <x:c r="V4088" s="124"/>
      <x:c r="W4088" s="124"/>
      <x:c r="X4088" s="124"/>
      <x:c r="AD4088"/>
      <x:c r="AE4088" s="145"/>
      <x:c r="AF4088" s="145"/>
      <x:c r="AG4088" s="145"/>
      <x:c r="AH4088" s="145"/>
      <x:c r="AI4088" s="145"/>
      <x:c r="AJ4088"/>
    </x:row>
    <x:row r="4089">
      <x:c r="F4089" s="124"/>
      <x:c r="G4089" s="124"/>
      <x:c r="H4089" s="124"/>
      <x:c r="I4089" s="124"/>
      <x:c r="J4089" s="124"/>
      <x:c r="M4089" s="126"/>
      <x:c r="P4089" s="126"/>
      <x:c r="Q4089" s="126"/>
      <x:c r="R4089" s="126"/>
      <x:c r="S4089" s="124"/>
      <x:c r="T4089" s="124"/>
      <x:c r="U4089" s="124"/>
      <x:c r="V4089" s="124"/>
      <x:c r="W4089" s="124"/>
      <x:c r="X4089" s="124"/>
      <x:c r="AD4089"/>
      <x:c r="AE4089" s="145"/>
      <x:c r="AF4089" s="145"/>
      <x:c r="AG4089" s="145"/>
      <x:c r="AH4089" s="145"/>
      <x:c r="AI4089" s="145"/>
      <x:c r="AJ4089"/>
    </x:row>
    <x:row r="4090">
      <x:c r="F4090" s="124"/>
      <x:c r="G4090" s="124"/>
      <x:c r="H4090" s="124"/>
      <x:c r="I4090" s="124"/>
      <x:c r="J4090" s="124"/>
      <x:c r="M4090" s="126"/>
      <x:c r="P4090" s="126"/>
      <x:c r="Q4090" s="126"/>
      <x:c r="R4090" s="126"/>
      <x:c r="S4090" s="124"/>
      <x:c r="T4090" s="124"/>
      <x:c r="U4090" s="124"/>
      <x:c r="V4090" s="124"/>
      <x:c r="W4090" s="124"/>
      <x:c r="X4090" s="124"/>
      <x:c r="AD4090"/>
      <x:c r="AE4090" s="145"/>
      <x:c r="AF4090" s="145"/>
      <x:c r="AG4090" s="145"/>
      <x:c r="AH4090" s="145"/>
      <x:c r="AI4090" s="145"/>
      <x:c r="AJ4090"/>
    </x:row>
    <x:row r="4091">
      <x:c r="F4091" s="124"/>
      <x:c r="G4091" s="124"/>
      <x:c r="H4091" s="124"/>
      <x:c r="I4091" s="124"/>
      <x:c r="J4091" s="124"/>
      <x:c r="M4091" s="126"/>
      <x:c r="P4091" s="126"/>
      <x:c r="Q4091" s="126"/>
      <x:c r="R4091" s="126"/>
      <x:c r="S4091" s="124"/>
      <x:c r="T4091" s="124"/>
      <x:c r="U4091" s="124"/>
      <x:c r="V4091" s="124"/>
      <x:c r="W4091" s="124"/>
      <x:c r="X4091" s="124"/>
      <x:c r="AD4091"/>
      <x:c r="AE4091" s="145"/>
      <x:c r="AF4091" s="145"/>
      <x:c r="AG4091" s="145"/>
      <x:c r="AH4091" s="145"/>
      <x:c r="AI4091" s="145"/>
      <x:c r="AJ4091"/>
    </x:row>
    <x:row r="4092">
      <x:c r="F4092" s="124"/>
      <x:c r="G4092" s="124"/>
      <x:c r="H4092" s="124"/>
      <x:c r="I4092" s="124"/>
      <x:c r="J4092" s="124"/>
      <x:c r="M4092" s="126"/>
      <x:c r="P4092" s="126"/>
      <x:c r="Q4092" s="126"/>
      <x:c r="R4092" s="126"/>
      <x:c r="S4092" s="124"/>
      <x:c r="T4092" s="124"/>
      <x:c r="U4092" s="124"/>
      <x:c r="V4092" s="124"/>
      <x:c r="W4092" s="124"/>
      <x:c r="X4092" s="124"/>
      <x:c r="AD4092"/>
      <x:c r="AE4092" s="145"/>
      <x:c r="AF4092" s="145"/>
      <x:c r="AG4092" s="145"/>
      <x:c r="AH4092" s="145"/>
      <x:c r="AI4092" s="145"/>
      <x:c r="AJ4092"/>
    </x:row>
    <x:row r="4093">
      <x:c r="F4093" s="124"/>
      <x:c r="G4093" s="124"/>
      <x:c r="H4093" s="124"/>
      <x:c r="I4093" s="124"/>
      <x:c r="J4093" s="124"/>
      <x:c r="M4093" s="126"/>
      <x:c r="P4093" s="126"/>
      <x:c r="Q4093" s="126"/>
      <x:c r="R4093" s="126"/>
      <x:c r="S4093" s="124"/>
      <x:c r="T4093" s="124"/>
      <x:c r="U4093" s="124"/>
      <x:c r="V4093" s="124"/>
      <x:c r="W4093" s="124"/>
      <x:c r="X4093" s="124"/>
      <x:c r="AD4093"/>
      <x:c r="AE4093" s="145"/>
      <x:c r="AF4093" s="145"/>
      <x:c r="AG4093" s="145"/>
      <x:c r="AH4093" s="145"/>
      <x:c r="AI4093" s="145"/>
      <x:c r="AJ4093"/>
    </x:row>
    <x:row r="4094">
      <x:c r="F4094" s="124"/>
      <x:c r="G4094" s="124"/>
      <x:c r="H4094" s="124"/>
      <x:c r="I4094" s="124"/>
      <x:c r="J4094" s="124"/>
      <x:c r="M4094" s="126"/>
      <x:c r="P4094" s="126"/>
      <x:c r="Q4094" s="126"/>
      <x:c r="R4094" s="126"/>
      <x:c r="S4094" s="124"/>
      <x:c r="T4094" s="124"/>
      <x:c r="U4094" s="124"/>
      <x:c r="V4094" s="124"/>
      <x:c r="W4094" s="124"/>
      <x:c r="X4094" s="124"/>
      <x:c r="AD4094"/>
      <x:c r="AE4094" s="145"/>
      <x:c r="AF4094" s="145"/>
      <x:c r="AG4094" s="145"/>
      <x:c r="AH4094" s="145"/>
      <x:c r="AI4094" s="145"/>
      <x:c r="AJ4094"/>
    </x:row>
    <x:row r="4095">
      <x:c r="F4095" s="124"/>
      <x:c r="G4095" s="124"/>
      <x:c r="H4095" s="124"/>
      <x:c r="I4095" s="124"/>
      <x:c r="J4095" s="124"/>
      <x:c r="M4095" s="126"/>
      <x:c r="P4095" s="126"/>
      <x:c r="Q4095" s="126"/>
      <x:c r="R4095" s="126"/>
      <x:c r="S4095" s="124"/>
      <x:c r="T4095" s="124"/>
      <x:c r="U4095" s="124"/>
      <x:c r="V4095" s="124"/>
      <x:c r="W4095" s="124"/>
      <x:c r="X4095" s="124"/>
      <x:c r="AD4095"/>
      <x:c r="AE4095" s="145"/>
      <x:c r="AF4095" s="145"/>
      <x:c r="AG4095" s="145"/>
      <x:c r="AH4095" s="145"/>
      <x:c r="AI4095" s="145"/>
      <x:c r="AJ4095"/>
    </x:row>
    <x:row r="4096">
      <x:c r="F4096" s="124"/>
      <x:c r="G4096" s="124"/>
      <x:c r="H4096" s="124"/>
      <x:c r="I4096" s="124"/>
      <x:c r="J4096" s="124"/>
      <x:c r="M4096" s="126"/>
      <x:c r="P4096" s="126"/>
      <x:c r="Q4096" s="126"/>
      <x:c r="R4096" s="126"/>
      <x:c r="S4096" s="124"/>
      <x:c r="T4096" s="124"/>
      <x:c r="U4096" s="124"/>
      <x:c r="V4096" s="124"/>
      <x:c r="W4096" s="124"/>
      <x:c r="X4096" s="124"/>
      <x:c r="AD4096"/>
      <x:c r="AE4096" s="145"/>
      <x:c r="AF4096" s="145"/>
      <x:c r="AG4096" s="145"/>
      <x:c r="AH4096" s="145"/>
      <x:c r="AI4096" s="145"/>
      <x:c r="AJ4096"/>
    </x:row>
    <x:row r="4097">
      <x:c r="F4097" s="124"/>
      <x:c r="G4097" s="124"/>
      <x:c r="H4097" s="124"/>
      <x:c r="I4097" s="124"/>
      <x:c r="J4097" s="124"/>
      <x:c r="M4097" s="126"/>
      <x:c r="P4097" s="126"/>
      <x:c r="Q4097" s="126"/>
      <x:c r="R4097" s="126"/>
      <x:c r="S4097" s="124"/>
      <x:c r="T4097" s="124"/>
      <x:c r="U4097" s="124"/>
      <x:c r="V4097" s="124"/>
      <x:c r="W4097" s="124"/>
      <x:c r="X4097" s="124"/>
      <x:c r="AD4097"/>
      <x:c r="AE4097" s="145"/>
      <x:c r="AF4097" s="145"/>
      <x:c r="AG4097" s="145"/>
      <x:c r="AH4097" s="145"/>
      <x:c r="AI4097" s="145"/>
      <x:c r="AJ4097"/>
    </x:row>
    <x:row r="4098">
      <x:c r="F4098" s="124"/>
      <x:c r="G4098" s="124"/>
      <x:c r="H4098" s="124"/>
      <x:c r="I4098" s="124"/>
      <x:c r="J4098" s="124"/>
      <x:c r="M4098" s="126"/>
      <x:c r="P4098" s="126"/>
      <x:c r="Q4098" s="126"/>
      <x:c r="R4098" s="126"/>
      <x:c r="S4098" s="124"/>
      <x:c r="T4098" s="124"/>
      <x:c r="U4098" s="124"/>
      <x:c r="V4098" s="124"/>
      <x:c r="W4098" s="124"/>
      <x:c r="X4098" s="124"/>
      <x:c r="AD4098"/>
      <x:c r="AE4098" s="145"/>
      <x:c r="AF4098" s="145"/>
      <x:c r="AG4098" s="145"/>
      <x:c r="AH4098" s="145"/>
      <x:c r="AI4098" s="145"/>
      <x:c r="AJ4098"/>
    </x:row>
    <x:row r="4099">
      <x:c r="F4099" s="124"/>
      <x:c r="G4099" s="124"/>
      <x:c r="H4099" s="124"/>
      <x:c r="I4099" s="124"/>
      <x:c r="J4099" s="124"/>
      <x:c r="M4099" s="126"/>
      <x:c r="P4099" s="126"/>
      <x:c r="Q4099" s="126"/>
      <x:c r="R4099" s="126"/>
      <x:c r="S4099" s="124"/>
      <x:c r="T4099" s="124"/>
      <x:c r="U4099" s="124"/>
      <x:c r="V4099" s="124"/>
      <x:c r="W4099" s="124"/>
      <x:c r="X4099" s="124"/>
      <x:c r="AD4099"/>
      <x:c r="AE4099" s="145"/>
      <x:c r="AF4099" s="145"/>
      <x:c r="AG4099" s="145"/>
      <x:c r="AH4099" s="145"/>
      <x:c r="AI4099" s="145"/>
      <x:c r="AJ4099"/>
    </x:row>
    <x:row r="4100">
      <x:c r="F4100" s="124"/>
      <x:c r="G4100" s="124"/>
      <x:c r="H4100" s="124"/>
      <x:c r="I4100" s="124"/>
      <x:c r="J4100" s="124"/>
      <x:c r="M4100" s="126"/>
      <x:c r="P4100" s="126"/>
      <x:c r="Q4100" s="126"/>
      <x:c r="R4100" s="126"/>
      <x:c r="S4100" s="124"/>
      <x:c r="T4100" s="124"/>
      <x:c r="U4100" s="124"/>
      <x:c r="V4100" s="124"/>
      <x:c r="W4100" s="124"/>
      <x:c r="X4100" s="124"/>
      <x:c r="AD4100"/>
      <x:c r="AE4100" s="145"/>
      <x:c r="AF4100" s="145"/>
      <x:c r="AG4100" s="145"/>
      <x:c r="AH4100" s="145"/>
      <x:c r="AI4100" s="145"/>
      <x:c r="AJ4100"/>
    </x:row>
    <x:row r="4101">
      <x:c r="F4101" s="124"/>
      <x:c r="G4101" s="124"/>
      <x:c r="H4101" s="124"/>
      <x:c r="I4101" s="124"/>
      <x:c r="J4101" s="124"/>
      <x:c r="M4101" s="126"/>
      <x:c r="P4101" s="126"/>
      <x:c r="Q4101" s="126"/>
      <x:c r="R4101" s="126"/>
      <x:c r="S4101" s="124"/>
      <x:c r="T4101" s="124"/>
      <x:c r="U4101" s="124"/>
      <x:c r="V4101" s="124"/>
      <x:c r="W4101" s="124"/>
      <x:c r="X4101" s="124"/>
      <x:c r="AD4101"/>
      <x:c r="AE4101" s="145"/>
      <x:c r="AF4101" s="145"/>
      <x:c r="AG4101" s="145"/>
      <x:c r="AH4101" s="145"/>
      <x:c r="AI4101" s="145"/>
      <x:c r="AJ4101"/>
    </x:row>
    <x:row r="4102">
      <x:c r="F4102" s="124"/>
      <x:c r="G4102" s="124"/>
      <x:c r="H4102" s="124"/>
      <x:c r="I4102" s="124"/>
      <x:c r="J4102" s="124"/>
      <x:c r="M4102" s="126"/>
      <x:c r="P4102" s="126"/>
      <x:c r="Q4102" s="126"/>
      <x:c r="R4102" s="126"/>
      <x:c r="S4102" s="124"/>
      <x:c r="T4102" s="124"/>
      <x:c r="U4102" s="124"/>
      <x:c r="V4102" s="124"/>
      <x:c r="W4102" s="124"/>
      <x:c r="X4102" s="124"/>
      <x:c r="AD4102"/>
      <x:c r="AE4102" s="145"/>
      <x:c r="AF4102" s="145"/>
      <x:c r="AG4102" s="145"/>
      <x:c r="AH4102" s="145"/>
      <x:c r="AI4102" s="145"/>
      <x:c r="AJ4102"/>
    </x:row>
    <x:row r="4103">
      <x:c r="F4103" s="124"/>
      <x:c r="G4103" s="124"/>
      <x:c r="H4103" s="124"/>
      <x:c r="I4103" s="124"/>
      <x:c r="J4103" s="124"/>
      <x:c r="M4103" s="126"/>
      <x:c r="P4103" s="126"/>
      <x:c r="Q4103" s="126"/>
      <x:c r="R4103" s="126"/>
      <x:c r="S4103" s="124"/>
      <x:c r="T4103" s="124"/>
      <x:c r="U4103" s="124"/>
      <x:c r="V4103" s="124"/>
      <x:c r="W4103" s="124"/>
      <x:c r="X4103" s="124"/>
      <x:c r="AD4103"/>
      <x:c r="AE4103" s="145"/>
      <x:c r="AF4103" s="145"/>
      <x:c r="AG4103" s="145"/>
      <x:c r="AH4103" s="145"/>
      <x:c r="AI4103" s="145"/>
      <x:c r="AJ4103"/>
    </x:row>
    <x:row r="4104">
      <x:c r="F4104" s="124"/>
      <x:c r="G4104" s="124"/>
      <x:c r="H4104" s="124"/>
      <x:c r="I4104" s="124"/>
      <x:c r="J4104" s="124"/>
      <x:c r="M4104" s="126"/>
      <x:c r="P4104" s="126"/>
      <x:c r="Q4104" s="126"/>
      <x:c r="R4104" s="126"/>
      <x:c r="S4104" s="124"/>
      <x:c r="T4104" s="124"/>
      <x:c r="U4104" s="124"/>
      <x:c r="V4104" s="124"/>
      <x:c r="W4104" s="124"/>
      <x:c r="X4104" s="124"/>
      <x:c r="AD4104"/>
      <x:c r="AE4104" s="145"/>
      <x:c r="AF4104" s="145"/>
      <x:c r="AG4104" s="145"/>
      <x:c r="AH4104" s="145"/>
      <x:c r="AI4104" s="145"/>
      <x:c r="AJ4104"/>
    </x:row>
    <x:row r="4105">
      <x:c r="F4105" s="124"/>
      <x:c r="G4105" s="124"/>
      <x:c r="H4105" s="124"/>
      <x:c r="I4105" s="124"/>
      <x:c r="J4105" s="124"/>
      <x:c r="M4105" s="126"/>
      <x:c r="P4105" s="126"/>
      <x:c r="Q4105" s="126"/>
      <x:c r="R4105" s="126"/>
      <x:c r="S4105" s="124"/>
      <x:c r="T4105" s="124"/>
      <x:c r="U4105" s="124"/>
      <x:c r="V4105" s="124"/>
      <x:c r="W4105" s="124"/>
      <x:c r="X4105" s="124"/>
      <x:c r="AD4105"/>
      <x:c r="AE4105" s="145"/>
      <x:c r="AF4105" s="145"/>
      <x:c r="AG4105" s="145"/>
      <x:c r="AH4105" s="145"/>
      <x:c r="AI4105" s="145"/>
      <x:c r="AJ4105"/>
    </x:row>
    <x:row r="4106">
      <x:c r="F4106" s="124"/>
      <x:c r="G4106" s="124"/>
      <x:c r="H4106" s="124"/>
      <x:c r="I4106" s="124"/>
      <x:c r="J4106" s="124"/>
      <x:c r="M4106" s="126"/>
      <x:c r="P4106" s="126"/>
      <x:c r="Q4106" s="126"/>
      <x:c r="R4106" s="126"/>
      <x:c r="S4106" s="124"/>
      <x:c r="T4106" s="124"/>
      <x:c r="U4106" s="124"/>
      <x:c r="V4106" s="124"/>
      <x:c r="W4106" s="124"/>
      <x:c r="X4106" s="124"/>
      <x:c r="AD4106"/>
      <x:c r="AE4106" s="145"/>
      <x:c r="AF4106" s="145"/>
      <x:c r="AG4106" s="145"/>
      <x:c r="AH4106" s="145"/>
      <x:c r="AI4106" s="145"/>
      <x:c r="AJ4106"/>
    </x:row>
    <x:row r="4107">
      <x:c r="F4107" s="124"/>
      <x:c r="G4107" s="124"/>
      <x:c r="H4107" s="124"/>
      <x:c r="I4107" s="124"/>
      <x:c r="J4107" s="124"/>
      <x:c r="M4107" s="126"/>
      <x:c r="P4107" s="126"/>
      <x:c r="Q4107" s="126"/>
      <x:c r="R4107" s="126"/>
      <x:c r="S4107" s="124"/>
      <x:c r="T4107" s="124"/>
      <x:c r="U4107" s="124"/>
      <x:c r="V4107" s="124"/>
      <x:c r="W4107" s="124"/>
      <x:c r="X4107" s="124"/>
      <x:c r="AD4107"/>
      <x:c r="AE4107" s="145"/>
      <x:c r="AF4107" s="145"/>
      <x:c r="AG4107" s="145"/>
      <x:c r="AH4107" s="145"/>
      <x:c r="AI4107" s="145"/>
      <x:c r="AJ4107"/>
    </x:row>
    <x:row r="4108">
      <x:c r="F4108" s="124"/>
      <x:c r="G4108" s="124"/>
      <x:c r="H4108" s="124"/>
      <x:c r="I4108" s="124"/>
      <x:c r="J4108" s="124"/>
      <x:c r="M4108" s="126"/>
      <x:c r="P4108" s="126"/>
      <x:c r="Q4108" s="126"/>
      <x:c r="R4108" s="126"/>
      <x:c r="S4108" s="124"/>
      <x:c r="T4108" s="124"/>
      <x:c r="U4108" s="124"/>
      <x:c r="V4108" s="124"/>
      <x:c r="W4108" s="124"/>
      <x:c r="X4108" s="124"/>
      <x:c r="AD4108"/>
      <x:c r="AE4108" s="145"/>
      <x:c r="AF4108" s="145"/>
      <x:c r="AG4108" s="145"/>
      <x:c r="AH4108" s="145"/>
      <x:c r="AI4108" s="145"/>
      <x:c r="AJ4108"/>
    </x:row>
    <x:row r="4109">
      <x:c r="F4109" s="124"/>
      <x:c r="G4109" s="124"/>
      <x:c r="H4109" s="124"/>
      <x:c r="I4109" s="124"/>
      <x:c r="J4109" s="124"/>
      <x:c r="M4109" s="126"/>
      <x:c r="P4109" s="126"/>
      <x:c r="Q4109" s="126"/>
      <x:c r="R4109" s="126"/>
      <x:c r="S4109" s="124"/>
      <x:c r="T4109" s="124"/>
      <x:c r="U4109" s="124"/>
      <x:c r="V4109" s="124"/>
      <x:c r="W4109" s="124"/>
      <x:c r="X4109" s="124"/>
      <x:c r="AD4109"/>
      <x:c r="AE4109" s="145"/>
      <x:c r="AF4109" s="145"/>
      <x:c r="AG4109" s="145"/>
      <x:c r="AH4109" s="145"/>
      <x:c r="AI4109" s="145"/>
      <x:c r="AJ4109"/>
    </x:row>
    <x:row r="4110">
      <x:c r="F4110" s="124"/>
      <x:c r="G4110" s="124"/>
      <x:c r="H4110" s="124"/>
      <x:c r="I4110" s="124"/>
      <x:c r="J4110" s="124"/>
      <x:c r="M4110" s="126"/>
      <x:c r="P4110" s="126"/>
      <x:c r="Q4110" s="126"/>
      <x:c r="R4110" s="126"/>
      <x:c r="S4110" s="124"/>
      <x:c r="T4110" s="124"/>
      <x:c r="U4110" s="124"/>
      <x:c r="V4110" s="124"/>
      <x:c r="W4110" s="124"/>
      <x:c r="X4110" s="124"/>
      <x:c r="AD4110"/>
      <x:c r="AE4110" s="145"/>
      <x:c r="AF4110" s="145"/>
      <x:c r="AG4110" s="145"/>
      <x:c r="AH4110" s="145"/>
      <x:c r="AI4110" s="145"/>
      <x:c r="AJ4110"/>
    </x:row>
    <x:row r="4111">
      <x:c r="F4111" s="124"/>
      <x:c r="G4111" s="124"/>
      <x:c r="H4111" s="124"/>
      <x:c r="I4111" s="124"/>
      <x:c r="J4111" s="124"/>
      <x:c r="M4111" s="126"/>
      <x:c r="P4111" s="126"/>
      <x:c r="Q4111" s="126"/>
      <x:c r="R4111" s="126"/>
      <x:c r="S4111" s="124"/>
      <x:c r="T4111" s="124"/>
      <x:c r="U4111" s="124"/>
      <x:c r="V4111" s="124"/>
      <x:c r="W4111" s="124"/>
      <x:c r="X4111" s="124"/>
      <x:c r="AD4111"/>
      <x:c r="AE4111" s="145"/>
      <x:c r="AF4111" s="145"/>
      <x:c r="AG4111" s="145"/>
      <x:c r="AH4111" s="145"/>
      <x:c r="AI4111" s="145"/>
      <x:c r="AJ4111"/>
    </x:row>
    <x:row r="4112">
      <x:c r="F4112" s="124"/>
      <x:c r="G4112" s="124"/>
      <x:c r="H4112" s="124"/>
      <x:c r="I4112" s="124"/>
      <x:c r="J4112" s="124"/>
      <x:c r="M4112" s="126"/>
      <x:c r="P4112" s="126"/>
      <x:c r="Q4112" s="126"/>
      <x:c r="R4112" s="126"/>
      <x:c r="S4112" s="124"/>
      <x:c r="T4112" s="124"/>
      <x:c r="U4112" s="124"/>
      <x:c r="V4112" s="124"/>
      <x:c r="W4112" s="124"/>
      <x:c r="X4112" s="124"/>
      <x:c r="AD4112"/>
      <x:c r="AE4112" s="145"/>
      <x:c r="AF4112" s="145"/>
      <x:c r="AG4112" s="145"/>
      <x:c r="AH4112" s="145"/>
      <x:c r="AI4112" s="145"/>
      <x:c r="AJ4112"/>
    </x:row>
    <x:row r="4113">
      <x:c r="F4113" s="124"/>
      <x:c r="G4113" s="124"/>
      <x:c r="H4113" s="124"/>
      <x:c r="I4113" s="124"/>
      <x:c r="J4113" s="124"/>
      <x:c r="M4113" s="126"/>
      <x:c r="P4113" s="126"/>
      <x:c r="Q4113" s="126"/>
      <x:c r="R4113" s="126"/>
      <x:c r="S4113" s="124"/>
      <x:c r="T4113" s="124"/>
      <x:c r="U4113" s="124"/>
      <x:c r="V4113" s="124"/>
      <x:c r="W4113" s="124"/>
      <x:c r="X4113" s="124"/>
      <x:c r="AD4113"/>
      <x:c r="AE4113" s="145"/>
      <x:c r="AF4113" s="145"/>
      <x:c r="AG4113" s="145"/>
      <x:c r="AH4113" s="145"/>
      <x:c r="AI4113" s="145"/>
      <x:c r="AJ4113"/>
    </x:row>
    <x:row r="4114">
      <x:c r="F4114" s="124"/>
      <x:c r="G4114" s="124"/>
      <x:c r="H4114" s="124"/>
      <x:c r="I4114" s="124"/>
      <x:c r="J4114" s="124"/>
      <x:c r="M4114" s="126"/>
      <x:c r="P4114" s="126"/>
      <x:c r="Q4114" s="126"/>
      <x:c r="R4114" s="126"/>
      <x:c r="S4114" s="124"/>
      <x:c r="T4114" s="124"/>
      <x:c r="U4114" s="124"/>
      <x:c r="V4114" s="124"/>
      <x:c r="W4114" s="124"/>
      <x:c r="X4114" s="124"/>
      <x:c r="AD4114"/>
      <x:c r="AE4114" s="145"/>
      <x:c r="AF4114" s="145"/>
      <x:c r="AG4114" s="145"/>
      <x:c r="AH4114" s="145"/>
      <x:c r="AI4114" s="145"/>
      <x:c r="AJ4114"/>
    </x:row>
    <x:row r="4115">
      <x:c r="F4115" s="124"/>
      <x:c r="G4115" s="124"/>
      <x:c r="H4115" s="124"/>
      <x:c r="I4115" s="124"/>
      <x:c r="J4115" s="124"/>
      <x:c r="M4115" s="126"/>
      <x:c r="P4115" s="126"/>
      <x:c r="Q4115" s="126"/>
      <x:c r="R4115" s="126"/>
      <x:c r="S4115" s="124"/>
      <x:c r="T4115" s="124"/>
      <x:c r="U4115" s="124"/>
      <x:c r="V4115" s="124"/>
      <x:c r="W4115" s="124"/>
      <x:c r="X4115" s="124"/>
      <x:c r="AD4115"/>
      <x:c r="AE4115" s="145"/>
      <x:c r="AF4115" s="145"/>
      <x:c r="AG4115" s="145"/>
      <x:c r="AH4115" s="145"/>
      <x:c r="AI4115" s="145"/>
      <x:c r="AJ4115"/>
    </x:row>
    <x:row r="4116">
      <x:c r="F4116" s="124"/>
      <x:c r="G4116" s="124"/>
      <x:c r="H4116" s="124"/>
      <x:c r="I4116" s="124"/>
      <x:c r="J4116" s="124"/>
      <x:c r="M4116" s="126"/>
      <x:c r="P4116" s="126"/>
      <x:c r="Q4116" s="126"/>
      <x:c r="R4116" s="126"/>
      <x:c r="S4116" s="124"/>
      <x:c r="T4116" s="124"/>
      <x:c r="U4116" s="124"/>
      <x:c r="V4116" s="124"/>
      <x:c r="W4116" s="124"/>
      <x:c r="X4116" s="124"/>
      <x:c r="AD4116"/>
      <x:c r="AE4116" s="145"/>
      <x:c r="AF4116" s="145"/>
      <x:c r="AG4116" s="145"/>
      <x:c r="AH4116" s="145"/>
      <x:c r="AI4116" s="145"/>
      <x:c r="AJ4116"/>
    </x:row>
    <x:row r="4117">
      <x:c r="F4117" s="124"/>
      <x:c r="G4117" s="124"/>
      <x:c r="H4117" s="124"/>
      <x:c r="I4117" s="124"/>
      <x:c r="J4117" s="124"/>
      <x:c r="M4117" s="126"/>
      <x:c r="P4117" s="126"/>
      <x:c r="Q4117" s="126"/>
      <x:c r="R4117" s="126"/>
      <x:c r="S4117" s="124"/>
      <x:c r="T4117" s="124"/>
      <x:c r="U4117" s="124"/>
      <x:c r="V4117" s="124"/>
      <x:c r="W4117" s="124"/>
      <x:c r="X4117" s="124"/>
      <x:c r="AD4117"/>
      <x:c r="AE4117" s="145"/>
      <x:c r="AF4117" s="145"/>
      <x:c r="AG4117" s="145"/>
      <x:c r="AH4117" s="145"/>
      <x:c r="AI4117" s="145"/>
      <x:c r="AJ4117"/>
    </x:row>
    <x:row r="4118">
      <x:c r="F4118" s="124"/>
      <x:c r="G4118" s="124"/>
      <x:c r="H4118" s="124"/>
      <x:c r="I4118" s="124"/>
      <x:c r="J4118" s="124"/>
      <x:c r="M4118" s="126"/>
      <x:c r="P4118" s="126"/>
      <x:c r="Q4118" s="126"/>
      <x:c r="R4118" s="126"/>
      <x:c r="S4118" s="124"/>
      <x:c r="T4118" s="124"/>
      <x:c r="U4118" s="124"/>
      <x:c r="V4118" s="124"/>
      <x:c r="W4118" s="124"/>
      <x:c r="X4118" s="124"/>
      <x:c r="AD4118"/>
      <x:c r="AE4118" s="145"/>
      <x:c r="AF4118" s="145"/>
      <x:c r="AG4118" s="145"/>
      <x:c r="AH4118" s="145"/>
      <x:c r="AI4118" s="145"/>
      <x:c r="AJ4118"/>
    </x:row>
    <x:row r="4119">
      <x:c r="F4119" s="124"/>
      <x:c r="G4119" s="124"/>
      <x:c r="H4119" s="124"/>
      <x:c r="I4119" s="124"/>
      <x:c r="J4119" s="124"/>
      <x:c r="M4119" s="126"/>
      <x:c r="P4119" s="126"/>
      <x:c r="Q4119" s="126"/>
      <x:c r="R4119" s="126"/>
      <x:c r="S4119" s="124"/>
      <x:c r="T4119" s="124"/>
      <x:c r="U4119" s="124"/>
      <x:c r="V4119" s="124"/>
      <x:c r="W4119" s="124"/>
      <x:c r="X4119" s="124"/>
      <x:c r="AD4119"/>
      <x:c r="AE4119" s="145"/>
      <x:c r="AF4119" s="145"/>
      <x:c r="AG4119" s="145"/>
      <x:c r="AH4119" s="145"/>
      <x:c r="AI4119" s="145"/>
      <x:c r="AJ4119"/>
    </x:row>
    <x:row r="4120">
      <x:c r="F4120" s="124"/>
      <x:c r="G4120" s="124"/>
      <x:c r="H4120" s="124"/>
      <x:c r="I4120" s="124"/>
      <x:c r="J4120" s="124"/>
      <x:c r="M4120" s="126"/>
      <x:c r="P4120" s="126"/>
      <x:c r="Q4120" s="126"/>
      <x:c r="R4120" s="126"/>
      <x:c r="S4120" s="124"/>
      <x:c r="T4120" s="124"/>
      <x:c r="U4120" s="124"/>
      <x:c r="V4120" s="124"/>
      <x:c r="W4120" s="124"/>
      <x:c r="X4120" s="124"/>
      <x:c r="AD4120"/>
      <x:c r="AE4120" s="145"/>
      <x:c r="AF4120" s="145"/>
      <x:c r="AG4120" s="145"/>
      <x:c r="AH4120" s="145"/>
      <x:c r="AI4120" s="145"/>
      <x:c r="AJ4120"/>
    </x:row>
    <x:row r="4121">
      <x:c r="F4121" s="124"/>
      <x:c r="G4121" s="124"/>
      <x:c r="H4121" s="124"/>
      <x:c r="I4121" s="124"/>
      <x:c r="J4121" s="124"/>
      <x:c r="M4121" s="126"/>
      <x:c r="P4121" s="126"/>
      <x:c r="Q4121" s="126"/>
      <x:c r="R4121" s="126"/>
      <x:c r="S4121" s="124"/>
      <x:c r="T4121" s="124"/>
      <x:c r="U4121" s="124"/>
      <x:c r="V4121" s="124"/>
      <x:c r="W4121" s="124"/>
      <x:c r="X4121" s="124"/>
      <x:c r="AD4121"/>
      <x:c r="AE4121" s="145"/>
      <x:c r="AF4121" s="145"/>
      <x:c r="AG4121" s="145"/>
      <x:c r="AH4121" s="145"/>
      <x:c r="AI4121" s="145"/>
      <x:c r="AJ4121"/>
    </x:row>
    <x:row r="4122">
      <x:c r="F4122" s="124"/>
      <x:c r="G4122" s="124"/>
      <x:c r="H4122" s="124"/>
      <x:c r="I4122" s="124"/>
      <x:c r="J4122" s="124"/>
      <x:c r="M4122" s="126"/>
      <x:c r="P4122" s="126"/>
      <x:c r="Q4122" s="126"/>
      <x:c r="R4122" s="126"/>
      <x:c r="S4122" s="124"/>
      <x:c r="T4122" s="124"/>
      <x:c r="U4122" s="124"/>
      <x:c r="V4122" s="124"/>
      <x:c r="W4122" s="124"/>
      <x:c r="X4122" s="124"/>
      <x:c r="AD4122"/>
      <x:c r="AE4122" s="145"/>
      <x:c r="AF4122" s="145"/>
      <x:c r="AG4122" s="145"/>
      <x:c r="AH4122" s="145"/>
      <x:c r="AI4122" s="145"/>
      <x:c r="AJ4122"/>
    </x:row>
    <x:row r="4123">
      <x:c r="F4123" s="124"/>
      <x:c r="G4123" s="124"/>
      <x:c r="H4123" s="124"/>
      <x:c r="I4123" s="124"/>
      <x:c r="J4123" s="124"/>
      <x:c r="M4123" s="126"/>
      <x:c r="P4123" s="126"/>
      <x:c r="Q4123" s="126"/>
      <x:c r="R4123" s="126"/>
      <x:c r="S4123" s="124"/>
      <x:c r="T4123" s="124"/>
      <x:c r="U4123" s="124"/>
      <x:c r="V4123" s="124"/>
      <x:c r="W4123" s="124"/>
      <x:c r="X4123" s="124"/>
      <x:c r="AD4123"/>
      <x:c r="AE4123" s="145"/>
      <x:c r="AF4123" s="145"/>
      <x:c r="AG4123" s="145"/>
      <x:c r="AH4123" s="145"/>
      <x:c r="AI4123" s="145"/>
      <x:c r="AJ4123"/>
    </x:row>
    <x:row r="4124">
      <x:c r="F4124" s="124"/>
      <x:c r="G4124" s="124"/>
      <x:c r="H4124" s="124"/>
      <x:c r="I4124" s="124"/>
      <x:c r="J4124" s="124"/>
      <x:c r="M4124" s="126"/>
      <x:c r="P4124" s="126"/>
      <x:c r="Q4124" s="126"/>
      <x:c r="R4124" s="126"/>
      <x:c r="S4124" s="124"/>
      <x:c r="T4124" s="124"/>
      <x:c r="U4124" s="124"/>
      <x:c r="V4124" s="124"/>
      <x:c r="W4124" s="124"/>
      <x:c r="X4124" s="124"/>
      <x:c r="AD4124"/>
      <x:c r="AE4124" s="145"/>
      <x:c r="AF4124" s="145"/>
      <x:c r="AG4124" s="145"/>
      <x:c r="AH4124" s="145"/>
      <x:c r="AI4124" s="145"/>
      <x:c r="AJ4124"/>
    </x:row>
    <x:row r="4125">
      <x:c r="F4125" s="124"/>
      <x:c r="G4125" s="124"/>
      <x:c r="H4125" s="124"/>
      <x:c r="I4125" s="124"/>
      <x:c r="J4125" s="124"/>
      <x:c r="M4125" s="126"/>
      <x:c r="P4125" s="126"/>
      <x:c r="Q4125" s="126"/>
      <x:c r="R4125" s="126"/>
      <x:c r="S4125" s="124"/>
      <x:c r="T4125" s="124"/>
      <x:c r="U4125" s="124"/>
      <x:c r="V4125" s="124"/>
      <x:c r="W4125" s="124"/>
      <x:c r="X4125" s="124"/>
      <x:c r="AD4125"/>
      <x:c r="AE4125" s="145"/>
      <x:c r="AF4125" s="145"/>
      <x:c r="AG4125" s="145"/>
      <x:c r="AH4125" s="145"/>
      <x:c r="AI4125" s="145"/>
      <x:c r="AJ4125"/>
    </x:row>
    <x:row r="4126">
      <x:c r="F4126" s="124"/>
      <x:c r="G4126" s="124"/>
      <x:c r="H4126" s="124"/>
      <x:c r="I4126" s="124"/>
      <x:c r="J4126" s="124"/>
      <x:c r="M4126" s="126"/>
      <x:c r="P4126" s="126"/>
      <x:c r="Q4126" s="126"/>
      <x:c r="R4126" s="126"/>
      <x:c r="S4126" s="124"/>
      <x:c r="T4126" s="124"/>
      <x:c r="U4126" s="124"/>
      <x:c r="V4126" s="124"/>
      <x:c r="W4126" s="124"/>
      <x:c r="X4126" s="124"/>
      <x:c r="AD4126"/>
      <x:c r="AE4126" s="145"/>
      <x:c r="AF4126" s="145"/>
      <x:c r="AG4126" s="145"/>
      <x:c r="AH4126" s="145"/>
      <x:c r="AI4126" s="145"/>
      <x:c r="AJ4126"/>
    </x:row>
    <x:row r="4127">
      <x:c r="F4127" s="124"/>
      <x:c r="G4127" s="124"/>
      <x:c r="H4127" s="124"/>
      <x:c r="I4127" s="124"/>
      <x:c r="J4127" s="124"/>
      <x:c r="M4127" s="126"/>
      <x:c r="P4127" s="126"/>
      <x:c r="Q4127" s="126"/>
      <x:c r="R4127" s="126"/>
      <x:c r="S4127" s="124"/>
      <x:c r="T4127" s="124"/>
      <x:c r="U4127" s="124"/>
      <x:c r="V4127" s="124"/>
      <x:c r="W4127" s="124"/>
      <x:c r="X4127" s="124"/>
      <x:c r="AD4127"/>
      <x:c r="AE4127" s="145"/>
      <x:c r="AF4127" s="145"/>
      <x:c r="AG4127" s="145"/>
      <x:c r="AH4127" s="145"/>
      <x:c r="AI4127" s="145"/>
      <x:c r="AJ4127"/>
    </x:row>
    <x:row r="4128">
      <x:c r="F4128" s="124"/>
      <x:c r="G4128" s="124"/>
      <x:c r="H4128" s="124"/>
      <x:c r="I4128" s="124"/>
      <x:c r="J4128" s="124"/>
      <x:c r="M4128" s="126"/>
      <x:c r="P4128" s="126"/>
      <x:c r="Q4128" s="126"/>
      <x:c r="R4128" s="126"/>
      <x:c r="S4128" s="124"/>
      <x:c r="T4128" s="124"/>
      <x:c r="U4128" s="124"/>
      <x:c r="V4128" s="124"/>
      <x:c r="W4128" s="124"/>
      <x:c r="X4128" s="124"/>
      <x:c r="AD4128"/>
      <x:c r="AE4128" s="145"/>
      <x:c r="AF4128" s="145"/>
      <x:c r="AG4128" s="145"/>
      <x:c r="AH4128" s="145"/>
      <x:c r="AI4128" s="145"/>
      <x:c r="AJ4128"/>
    </x:row>
    <x:row r="4129">
      <x:c r="F4129" s="124"/>
      <x:c r="G4129" s="124"/>
      <x:c r="H4129" s="124"/>
      <x:c r="I4129" s="124"/>
      <x:c r="J4129" s="124"/>
      <x:c r="M4129" s="126"/>
      <x:c r="P4129" s="126"/>
      <x:c r="Q4129" s="126"/>
      <x:c r="R4129" s="126"/>
      <x:c r="S4129" s="124"/>
      <x:c r="T4129" s="124"/>
      <x:c r="U4129" s="124"/>
      <x:c r="V4129" s="124"/>
      <x:c r="W4129" s="124"/>
      <x:c r="X4129" s="124"/>
      <x:c r="AD4129"/>
      <x:c r="AE4129" s="145"/>
      <x:c r="AF4129" s="145"/>
      <x:c r="AG4129" s="145"/>
      <x:c r="AH4129" s="145"/>
      <x:c r="AI4129" s="145"/>
      <x:c r="AJ4129"/>
    </x:row>
    <x:row r="4130">
      <x:c r="F4130" s="124"/>
      <x:c r="G4130" s="124"/>
      <x:c r="H4130" s="124"/>
      <x:c r="I4130" s="124"/>
      <x:c r="J4130" s="124"/>
      <x:c r="M4130" s="126"/>
      <x:c r="P4130" s="126"/>
      <x:c r="Q4130" s="126"/>
      <x:c r="R4130" s="126"/>
      <x:c r="S4130" s="124"/>
      <x:c r="T4130" s="124"/>
      <x:c r="U4130" s="124"/>
      <x:c r="V4130" s="124"/>
      <x:c r="W4130" s="124"/>
      <x:c r="X4130" s="124"/>
      <x:c r="AD4130"/>
      <x:c r="AE4130" s="145"/>
      <x:c r="AF4130" s="145"/>
      <x:c r="AG4130" s="145"/>
      <x:c r="AH4130" s="145"/>
      <x:c r="AI4130" s="145"/>
      <x:c r="AJ4130"/>
    </x:row>
    <x:row r="4131">
      <x:c r="F4131" s="124"/>
      <x:c r="G4131" s="124"/>
      <x:c r="H4131" s="124"/>
      <x:c r="I4131" s="124"/>
      <x:c r="J4131" s="124"/>
      <x:c r="M4131" s="126"/>
      <x:c r="P4131" s="126"/>
      <x:c r="Q4131" s="126"/>
      <x:c r="R4131" s="126"/>
      <x:c r="S4131" s="124"/>
      <x:c r="T4131" s="124"/>
      <x:c r="U4131" s="124"/>
      <x:c r="V4131" s="124"/>
      <x:c r="W4131" s="124"/>
      <x:c r="X4131" s="124"/>
      <x:c r="AD4131"/>
      <x:c r="AE4131" s="145"/>
      <x:c r="AF4131" s="145"/>
      <x:c r="AG4131" s="145"/>
      <x:c r="AH4131" s="145"/>
      <x:c r="AI4131" s="145"/>
      <x:c r="AJ4131"/>
    </x:row>
    <x:row r="4132">
      <x:c r="F4132" s="124"/>
      <x:c r="G4132" s="124"/>
      <x:c r="H4132" s="124"/>
      <x:c r="I4132" s="124"/>
      <x:c r="J4132" s="124"/>
      <x:c r="M4132" s="126"/>
      <x:c r="P4132" s="126"/>
      <x:c r="Q4132" s="126"/>
      <x:c r="R4132" s="126"/>
      <x:c r="S4132" s="124"/>
      <x:c r="T4132" s="124"/>
      <x:c r="U4132" s="124"/>
      <x:c r="V4132" s="124"/>
      <x:c r="W4132" s="124"/>
      <x:c r="X4132" s="124"/>
      <x:c r="AD4132"/>
      <x:c r="AE4132" s="145"/>
      <x:c r="AF4132" s="145"/>
      <x:c r="AG4132" s="145"/>
      <x:c r="AH4132" s="145"/>
      <x:c r="AI4132" s="145"/>
      <x:c r="AJ4132"/>
    </x:row>
    <x:row r="4133">
      <x:c r="F4133" s="124"/>
      <x:c r="G4133" s="124"/>
      <x:c r="H4133" s="124"/>
      <x:c r="I4133" s="124"/>
      <x:c r="J4133" s="124"/>
      <x:c r="M4133" s="126"/>
      <x:c r="P4133" s="126"/>
      <x:c r="Q4133" s="126"/>
      <x:c r="R4133" s="126"/>
      <x:c r="S4133" s="124"/>
      <x:c r="T4133" s="124"/>
      <x:c r="U4133" s="124"/>
      <x:c r="V4133" s="124"/>
      <x:c r="W4133" s="124"/>
      <x:c r="X4133" s="124"/>
      <x:c r="AD4133"/>
      <x:c r="AE4133" s="145"/>
      <x:c r="AF4133" s="145"/>
      <x:c r="AG4133" s="145"/>
      <x:c r="AH4133" s="145"/>
      <x:c r="AI4133" s="145"/>
      <x:c r="AJ4133"/>
    </x:row>
    <x:row r="4134">
      <x:c r="F4134" s="124"/>
      <x:c r="G4134" s="124"/>
      <x:c r="H4134" s="124"/>
      <x:c r="I4134" s="124"/>
      <x:c r="J4134" s="124"/>
      <x:c r="M4134" s="126"/>
      <x:c r="P4134" s="126"/>
      <x:c r="Q4134" s="126"/>
      <x:c r="R4134" s="126"/>
      <x:c r="S4134" s="124"/>
      <x:c r="T4134" s="124"/>
      <x:c r="U4134" s="124"/>
      <x:c r="V4134" s="124"/>
      <x:c r="W4134" s="124"/>
      <x:c r="X4134" s="124"/>
      <x:c r="AD4134"/>
      <x:c r="AE4134" s="145"/>
      <x:c r="AF4134" s="145"/>
      <x:c r="AG4134" s="145"/>
      <x:c r="AH4134" s="145"/>
      <x:c r="AI4134" s="145"/>
      <x:c r="AJ4134"/>
    </x:row>
    <x:row r="4135">
      <x:c r="F4135" s="124"/>
      <x:c r="G4135" s="124"/>
      <x:c r="H4135" s="124"/>
      <x:c r="I4135" s="124"/>
      <x:c r="J4135" s="124"/>
      <x:c r="M4135" s="126"/>
      <x:c r="P4135" s="126"/>
      <x:c r="Q4135" s="126"/>
      <x:c r="R4135" s="126"/>
      <x:c r="S4135" s="124"/>
      <x:c r="T4135" s="124"/>
      <x:c r="U4135" s="124"/>
      <x:c r="V4135" s="124"/>
      <x:c r="W4135" s="124"/>
      <x:c r="X4135" s="124"/>
      <x:c r="AD4135"/>
      <x:c r="AE4135" s="145"/>
      <x:c r="AF4135" s="145"/>
      <x:c r="AG4135" s="145"/>
      <x:c r="AH4135" s="145"/>
      <x:c r="AI4135" s="145"/>
      <x:c r="AJ4135"/>
    </x:row>
    <x:row r="4136">
      <x:c r="F4136" s="124"/>
      <x:c r="G4136" s="124"/>
      <x:c r="H4136" s="124"/>
      <x:c r="I4136" s="124"/>
      <x:c r="J4136" s="124"/>
      <x:c r="M4136" s="126"/>
      <x:c r="P4136" s="126"/>
      <x:c r="Q4136" s="126"/>
      <x:c r="R4136" s="126"/>
      <x:c r="S4136" s="124"/>
      <x:c r="T4136" s="124"/>
      <x:c r="U4136" s="124"/>
      <x:c r="V4136" s="124"/>
      <x:c r="W4136" s="124"/>
      <x:c r="X4136" s="124"/>
      <x:c r="AD4136"/>
      <x:c r="AE4136" s="145"/>
      <x:c r="AF4136" s="145"/>
      <x:c r="AG4136" s="145"/>
      <x:c r="AH4136" s="145"/>
      <x:c r="AI4136" s="145"/>
      <x:c r="AJ4136"/>
    </x:row>
    <x:row r="4137">
      <x:c r="F4137" s="124"/>
      <x:c r="G4137" s="124"/>
      <x:c r="H4137" s="124"/>
      <x:c r="I4137" s="124"/>
      <x:c r="J4137" s="124"/>
      <x:c r="M4137" s="126"/>
      <x:c r="P4137" s="126"/>
      <x:c r="Q4137" s="126"/>
      <x:c r="R4137" s="126"/>
      <x:c r="S4137" s="124"/>
      <x:c r="T4137" s="124"/>
      <x:c r="U4137" s="124"/>
      <x:c r="V4137" s="124"/>
      <x:c r="W4137" s="124"/>
      <x:c r="X4137" s="124"/>
      <x:c r="AD4137"/>
      <x:c r="AE4137" s="145"/>
      <x:c r="AF4137" s="145"/>
      <x:c r="AG4137" s="145"/>
      <x:c r="AH4137" s="145"/>
      <x:c r="AI4137" s="145"/>
      <x:c r="AJ4137"/>
    </x:row>
    <x:row r="4138">
      <x:c r="F4138" s="124"/>
      <x:c r="G4138" s="124"/>
      <x:c r="H4138" s="124"/>
      <x:c r="I4138" s="124"/>
      <x:c r="J4138" s="124"/>
      <x:c r="M4138" s="126"/>
      <x:c r="P4138" s="126"/>
      <x:c r="Q4138" s="126"/>
      <x:c r="R4138" s="126"/>
      <x:c r="S4138" s="124"/>
      <x:c r="T4138" s="124"/>
      <x:c r="U4138" s="124"/>
      <x:c r="V4138" s="124"/>
      <x:c r="W4138" s="124"/>
      <x:c r="X4138" s="124"/>
      <x:c r="AD4138"/>
      <x:c r="AE4138" s="145"/>
      <x:c r="AF4138" s="145"/>
      <x:c r="AG4138" s="145"/>
      <x:c r="AH4138" s="145"/>
      <x:c r="AI4138" s="145"/>
      <x:c r="AJ4138"/>
    </x:row>
    <x:row r="4139">
      <x:c r="F4139" s="124"/>
      <x:c r="G4139" s="124"/>
      <x:c r="H4139" s="124"/>
      <x:c r="I4139" s="124"/>
      <x:c r="J4139" s="124"/>
      <x:c r="M4139" s="126"/>
      <x:c r="P4139" s="126"/>
      <x:c r="Q4139" s="126"/>
      <x:c r="R4139" s="126"/>
      <x:c r="S4139" s="124"/>
      <x:c r="T4139" s="124"/>
      <x:c r="U4139" s="124"/>
      <x:c r="V4139" s="124"/>
      <x:c r="W4139" s="124"/>
      <x:c r="X4139" s="124"/>
      <x:c r="AD4139"/>
      <x:c r="AE4139" s="145"/>
      <x:c r="AF4139" s="145"/>
      <x:c r="AG4139" s="145"/>
      <x:c r="AH4139" s="145"/>
      <x:c r="AI4139" s="145"/>
      <x:c r="AJ4139"/>
    </x:row>
    <x:row r="4140">
      <x:c r="F4140" s="124"/>
      <x:c r="G4140" s="124"/>
      <x:c r="H4140" s="124"/>
      <x:c r="I4140" s="124"/>
      <x:c r="J4140" s="124"/>
      <x:c r="M4140" s="126"/>
      <x:c r="P4140" s="126"/>
      <x:c r="Q4140" s="126"/>
      <x:c r="R4140" s="126"/>
      <x:c r="S4140" s="124"/>
      <x:c r="T4140" s="124"/>
      <x:c r="U4140" s="124"/>
      <x:c r="V4140" s="124"/>
      <x:c r="W4140" s="124"/>
      <x:c r="X4140" s="124"/>
      <x:c r="AD4140"/>
      <x:c r="AE4140" s="145"/>
      <x:c r="AF4140" s="145"/>
      <x:c r="AG4140" s="145"/>
      <x:c r="AH4140" s="145"/>
      <x:c r="AI4140" s="145"/>
      <x:c r="AJ4140"/>
    </x:row>
    <x:row r="4141">
      <x:c r="F4141" s="124"/>
      <x:c r="G4141" s="124"/>
      <x:c r="H4141" s="124"/>
      <x:c r="I4141" s="124"/>
      <x:c r="J4141" s="124"/>
      <x:c r="M4141" s="126"/>
      <x:c r="P4141" s="126"/>
      <x:c r="Q4141" s="126"/>
      <x:c r="R4141" s="126"/>
      <x:c r="S4141" s="124"/>
      <x:c r="T4141" s="124"/>
      <x:c r="U4141" s="124"/>
      <x:c r="V4141" s="124"/>
      <x:c r="W4141" s="124"/>
      <x:c r="X4141" s="124"/>
      <x:c r="AD4141"/>
      <x:c r="AE4141" s="145"/>
      <x:c r="AF4141" s="145"/>
      <x:c r="AG4141" s="145"/>
      <x:c r="AH4141" s="145"/>
      <x:c r="AI4141" s="145"/>
      <x:c r="AJ4141"/>
    </x:row>
    <x:row r="4142">
      <x:c r="F4142" s="124"/>
      <x:c r="G4142" s="124"/>
      <x:c r="H4142" s="124"/>
      <x:c r="I4142" s="124"/>
      <x:c r="J4142" s="124"/>
      <x:c r="M4142" s="126"/>
      <x:c r="P4142" s="126"/>
      <x:c r="Q4142" s="126"/>
      <x:c r="R4142" s="126"/>
      <x:c r="S4142" s="124"/>
      <x:c r="T4142" s="124"/>
      <x:c r="U4142" s="124"/>
      <x:c r="V4142" s="124"/>
      <x:c r="W4142" s="124"/>
      <x:c r="X4142" s="124"/>
      <x:c r="AD4142"/>
      <x:c r="AE4142" s="145"/>
      <x:c r="AF4142" s="145"/>
      <x:c r="AG4142" s="145"/>
      <x:c r="AH4142" s="145"/>
      <x:c r="AI4142" s="145"/>
      <x:c r="AJ4142"/>
    </x:row>
    <x:row r="4143">
      <x:c r="F4143" s="124"/>
      <x:c r="G4143" s="124"/>
      <x:c r="H4143" s="124"/>
      <x:c r="I4143" s="124"/>
      <x:c r="J4143" s="124"/>
      <x:c r="M4143" s="126"/>
      <x:c r="P4143" s="126"/>
      <x:c r="Q4143" s="126"/>
      <x:c r="R4143" s="126"/>
      <x:c r="S4143" s="124"/>
      <x:c r="T4143" s="124"/>
      <x:c r="U4143" s="124"/>
      <x:c r="V4143" s="124"/>
      <x:c r="W4143" s="124"/>
      <x:c r="X4143" s="124"/>
      <x:c r="AD4143"/>
      <x:c r="AE4143" s="145"/>
      <x:c r="AF4143" s="145"/>
      <x:c r="AG4143" s="145"/>
      <x:c r="AH4143" s="145"/>
      <x:c r="AI4143" s="145"/>
      <x:c r="AJ4143"/>
    </x:row>
    <x:row r="4144">
      <x:c r="F4144" s="124"/>
      <x:c r="G4144" s="124"/>
      <x:c r="H4144" s="124"/>
      <x:c r="I4144" s="124"/>
      <x:c r="J4144" s="124"/>
      <x:c r="M4144" s="126"/>
      <x:c r="P4144" s="126"/>
      <x:c r="Q4144" s="126"/>
      <x:c r="R4144" s="126"/>
      <x:c r="S4144" s="124"/>
      <x:c r="T4144" s="124"/>
      <x:c r="U4144" s="124"/>
      <x:c r="V4144" s="124"/>
      <x:c r="W4144" s="124"/>
      <x:c r="X4144" s="124"/>
      <x:c r="AD4144"/>
      <x:c r="AE4144" s="145"/>
      <x:c r="AF4144" s="145"/>
      <x:c r="AG4144" s="145"/>
      <x:c r="AH4144" s="145"/>
      <x:c r="AI4144" s="145"/>
      <x:c r="AJ4144"/>
    </x:row>
    <x:row r="4145">
      <x:c r="F4145" s="124"/>
      <x:c r="G4145" s="124"/>
      <x:c r="H4145" s="124"/>
      <x:c r="I4145" s="124"/>
      <x:c r="J4145" s="124"/>
      <x:c r="M4145" s="126"/>
      <x:c r="P4145" s="126"/>
      <x:c r="Q4145" s="126"/>
      <x:c r="R4145" s="126"/>
      <x:c r="S4145" s="124"/>
      <x:c r="T4145" s="124"/>
      <x:c r="U4145" s="124"/>
      <x:c r="V4145" s="124"/>
      <x:c r="W4145" s="124"/>
      <x:c r="X4145" s="124"/>
      <x:c r="AD4145"/>
      <x:c r="AE4145" s="145"/>
      <x:c r="AF4145" s="145"/>
      <x:c r="AG4145" s="145"/>
      <x:c r="AH4145" s="145"/>
      <x:c r="AI4145" s="145"/>
      <x:c r="AJ4145"/>
    </x:row>
    <x:row r="4146">
      <x:c r="F4146" s="124"/>
      <x:c r="G4146" s="124"/>
      <x:c r="H4146" s="124"/>
      <x:c r="I4146" s="124"/>
      <x:c r="J4146" s="124"/>
      <x:c r="M4146" s="126"/>
      <x:c r="P4146" s="126"/>
      <x:c r="Q4146" s="126"/>
      <x:c r="R4146" s="126"/>
      <x:c r="S4146" s="124"/>
      <x:c r="T4146" s="124"/>
      <x:c r="U4146" s="124"/>
      <x:c r="V4146" s="124"/>
      <x:c r="W4146" s="124"/>
      <x:c r="X4146" s="124"/>
      <x:c r="AD4146"/>
      <x:c r="AE4146" s="145"/>
      <x:c r="AF4146" s="145"/>
      <x:c r="AG4146" s="145"/>
      <x:c r="AH4146" s="145"/>
      <x:c r="AI4146" s="145"/>
      <x:c r="AJ4146"/>
    </x:row>
    <x:row r="4147">
      <x:c r="F4147" s="124"/>
      <x:c r="G4147" s="124"/>
      <x:c r="H4147" s="124"/>
      <x:c r="I4147" s="124"/>
      <x:c r="J4147" s="124"/>
      <x:c r="M4147" s="126"/>
      <x:c r="P4147" s="126"/>
      <x:c r="Q4147" s="126"/>
      <x:c r="R4147" s="126"/>
      <x:c r="S4147" s="124"/>
      <x:c r="T4147" s="124"/>
      <x:c r="U4147" s="124"/>
      <x:c r="V4147" s="124"/>
      <x:c r="W4147" s="124"/>
      <x:c r="X4147" s="124"/>
      <x:c r="AD4147"/>
      <x:c r="AE4147" s="145"/>
      <x:c r="AF4147" s="145"/>
      <x:c r="AG4147" s="145"/>
      <x:c r="AH4147" s="145"/>
      <x:c r="AI4147" s="145"/>
      <x:c r="AJ4147"/>
    </x:row>
    <x:row r="4148">
      <x:c r="F4148" s="124"/>
      <x:c r="G4148" s="124"/>
      <x:c r="H4148" s="124"/>
      <x:c r="I4148" s="124"/>
      <x:c r="J4148" s="124"/>
      <x:c r="M4148" s="126"/>
      <x:c r="P4148" s="126"/>
      <x:c r="Q4148" s="126"/>
      <x:c r="R4148" s="126"/>
      <x:c r="S4148" s="124"/>
      <x:c r="T4148" s="124"/>
      <x:c r="U4148" s="124"/>
      <x:c r="V4148" s="124"/>
      <x:c r="W4148" s="124"/>
      <x:c r="X4148" s="124"/>
      <x:c r="AD4148"/>
      <x:c r="AE4148" s="145"/>
      <x:c r="AF4148" s="145"/>
      <x:c r="AG4148" s="145"/>
      <x:c r="AH4148" s="145"/>
      <x:c r="AI4148" s="145"/>
      <x:c r="AJ4148"/>
    </x:row>
    <x:row r="4149">
      <x:c r="F4149" s="124"/>
      <x:c r="G4149" s="124"/>
      <x:c r="H4149" s="124"/>
      <x:c r="I4149" s="124"/>
      <x:c r="J4149" s="124"/>
      <x:c r="M4149" s="126"/>
      <x:c r="P4149" s="126"/>
      <x:c r="Q4149" s="126"/>
      <x:c r="R4149" s="126"/>
      <x:c r="S4149" s="124"/>
      <x:c r="T4149" s="124"/>
      <x:c r="U4149" s="124"/>
      <x:c r="V4149" s="124"/>
      <x:c r="W4149" s="124"/>
      <x:c r="X4149" s="124"/>
      <x:c r="AD4149"/>
      <x:c r="AE4149" s="145"/>
      <x:c r="AF4149" s="145"/>
      <x:c r="AG4149" s="145"/>
      <x:c r="AH4149" s="145"/>
      <x:c r="AI4149" s="145"/>
      <x:c r="AJ4149"/>
    </x:row>
    <x:row r="4150">
      <x:c r="F4150" s="124"/>
      <x:c r="G4150" s="124"/>
      <x:c r="H4150" s="124"/>
      <x:c r="I4150" s="124"/>
      <x:c r="J4150" s="124"/>
      <x:c r="M4150" s="126"/>
      <x:c r="P4150" s="126"/>
      <x:c r="Q4150" s="126"/>
      <x:c r="R4150" s="126"/>
      <x:c r="S4150" s="124"/>
      <x:c r="T4150" s="124"/>
      <x:c r="U4150" s="124"/>
      <x:c r="V4150" s="124"/>
      <x:c r="W4150" s="124"/>
      <x:c r="X4150" s="124"/>
      <x:c r="AD4150"/>
      <x:c r="AE4150" s="145"/>
      <x:c r="AF4150" s="145"/>
      <x:c r="AG4150" s="145"/>
      <x:c r="AH4150" s="145"/>
      <x:c r="AI4150" s="145"/>
      <x:c r="AJ4150"/>
    </x:row>
    <x:row r="4151">
      <x:c r="F4151" s="124"/>
      <x:c r="G4151" s="124"/>
      <x:c r="H4151" s="124"/>
      <x:c r="I4151" s="124"/>
      <x:c r="J4151" s="124"/>
      <x:c r="M4151" s="126"/>
      <x:c r="P4151" s="126"/>
      <x:c r="Q4151" s="126"/>
      <x:c r="R4151" s="126"/>
      <x:c r="S4151" s="124"/>
      <x:c r="T4151" s="124"/>
      <x:c r="U4151" s="124"/>
      <x:c r="V4151" s="124"/>
      <x:c r="W4151" s="124"/>
      <x:c r="X4151" s="124"/>
      <x:c r="AD4151"/>
      <x:c r="AE4151" s="145"/>
      <x:c r="AF4151" s="145"/>
      <x:c r="AG4151" s="145"/>
      <x:c r="AH4151" s="145"/>
      <x:c r="AI4151" s="145"/>
      <x:c r="AJ4151"/>
    </x:row>
    <x:row r="4152">
      <x:c r="F4152" s="124"/>
      <x:c r="G4152" s="124"/>
      <x:c r="H4152" s="124"/>
      <x:c r="I4152" s="124"/>
      <x:c r="J4152" s="124"/>
      <x:c r="M4152" s="126"/>
      <x:c r="P4152" s="126"/>
      <x:c r="Q4152" s="126"/>
      <x:c r="R4152" s="126"/>
      <x:c r="S4152" s="124"/>
      <x:c r="T4152" s="124"/>
      <x:c r="U4152" s="124"/>
      <x:c r="V4152" s="124"/>
      <x:c r="W4152" s="124"/>
      <x:c r="X4152" s="124"/>
      <x:c r="AD4152"/>
      <x:c r="AE4152" s="145"/>
      <x:c r="AF4152" s="145"/>
      <x:c r="AG4152" s="145"/>
      <x:c r="AH4152" s="145"/>
      <x:c r="AI4152" s="145"/>
      <x:c r="AJ4152"/>
    </x:row>
    <x:row r="4153">
      <x:c r="F4153" s="124"/>
      <x:c r="G4153" s="124"/>
      <x:c r="H4153" s="124"/>
      <x:c r="I4153" s="124"/>
      <x:c r="J4153" s="124"/>
      <x:c r="M4153" s="126"/>
      <x:c r="P4153" s="126"/>
      <x:c r="Q4153" s="126"/>
      <x:c r="R4153" s="126"/>
      <x:c r="S4153" s="124"/>
      <x:c r="T4153" s="124"/>
      <x:c r="U4153" s="124"/>
      <x:c r="V4153" s="124"/>
      <x:c r="W4153" s="124"/>
      <x:c r="X4153" s="124"/>
      <x:c r="AD4153"/>
      <x:c r="AE4153" s="145"/>
      <x:c r="AF4153" s="145"/>
      <x:c r="AG4153" s="145"/>
      <x:c r="AH4153" s="145"/>
      <x:c r="AI4153" s="145"/>
      <x:c r="AJ4153"/>
    </x:row>
    <x:row r="4154">
      <x:c r="F4154" s="124"/>
      <x:c r="G4154" s="124"/>
      <x:c r="H4154" s="124"/>
      <x:c r="I4154" s="124"/>
      <x:c r="J4154" s="124"/>
      <x:c r="M4154" s="126"/>
      <x:c r="P4154" s="126"/>
      <x:c r="Q4154" s="126"/>
      <x:c r="R4154" s="126"/>
      <x:c r="S4154" s="124"/>
      <x:c r="T4154" s="124"/>
      <x:c r="U4154" s="124"/>
      <x:c r="V4154" s="124"/>
      <x:c r="W4154" s="124"/>
      <x:c r="X4154" s="124"/>
      <x:c r="AD4154"/>
      <x:c r="AE4154" s="145"/>
      <x:c r="AF4154" s="145"/>
      <x:c r="AG4154" s="145"/>
      <x:c r="AH4154" s="145"/>
      <x:c r="AI4154" s="145"/>
      <x:c r="AJ4154"/>
    </x:row>
    <x:row r="4155">
      <x:c r="F4155" s="124"/>
      <x:c r="G4155" s="124"/>
      <x:c r="H4155" s="124"/>
      <x:c r="I4155" s="124"/>
      <x:c r="J4155" s="124"/>
      <x:c r="M4155" s="126"/>
      <x:c r="P4155" s="126"/>
      <x:c r="Q4155" s="126"/>
      <x:c r="R4155" s="126"/>
      <x:c r="S4155" s="124"/>
      <x:c r="T4155" s="124"/>
      <x:c r="U4155" s="124"/>
      <x:c r="V4155" s="124"/>
      <x:c r="W4155" s="124"/>
      <x:c r="X4155" s="124"/>
      <x:c r="AD4155"/>
      <x:c r="AE4155" s="145"/>
      <x:c r="AF4155" s="145"/>
      <x:c r="AG4155" s="145"/>
      <x:c r="AH4155" s="145"/>
      <x:c r="AI4155" s="145"/>
      <x:c r="AJ4155"/>
    </x:row>
    <x:row r="4156">
      <x:c r="F4156" s="124"/>
      <x:c r="G4156" s="124"/>
      <x:c r="H4156" s="124"/>
      <x:c r="I4156" s="124"/>
      <x:c r="J4156" s="124"/>
      <x:c r="M4156" s="126"/>
      <x:c r="P4156" s="126"/>
      <x:c r="Q4156" s="126"/>
      <x:c r="R4156" s="126"/>
      <x:c r="S4156" s="124"/>
      <x:c r="T4156" s="124"/>
      <x:c r="U4156" s="124"/>
      <x:c r="V4156" s="124"/>
      <x:c r="W4156" s="124"/>
      <x:c r="X4156" s="124"/>
      <x:c r="AD4156"/>
      <x:c r="AE4156" s="145"/>
      <x:c r="AF4156" s="145"/>
      <x:c r="AG4156" s="145"/>
      <x:c r="AH4156" s="145"/>
      <x:c r="AI4156" s="145"/>
      <x:c r="AJ4156"/>
    </x:row>
    <x:row r="4157">
      <x:c r="F4157" s="124"/>
      <x:c r="G4157" s="124"/>
      <x:c r="H4157" s="124"/>
      <x:c r="I4157" s="124"/>
      <x:c r="J4157" s="124"/>
      <x:c r="M4157" s="126"/>
      <x:c r="P4157" s="126"/>
      <x:c r="Q4157" s="126"/>
      <x:c r="R4157" s="126"/>
      <x:c r="S4157" s="124"/>
      <x:c r="T4157" s="124"/>
      <x:c r="U4157" s="124"/>
      <x:c r="V4157" s="124"/>
      <x:c r="W4157" s="124"/>
      <x:c r="X4157" s="124"/>
      <x:c r="AD4157"/>
      <x:c r="AE4157" s="145"/>
      <x:c r="AF4157" s="145"/>
      <x:c r="AG4157" s="145"/>
      <x:c r="AH4157" s="145"/>
      <x:c r="AI4157" s="145"/>
      <x:c r="AJ4157"/>
    </x:row>
    <x:row r="4158">
      <x:c r="F4158" s="124"/>
      <x:c r="G4158" s="124"/>
      <x:c r="H4158" s="124"/>
      <x:c r="I4158" s="124"/>
      <x:c r="J4158" s="124"/>
      <x:c r="M4158" s="126"/>
      <x:c r="P4158" s="126"/>
      <x:c r="Q4158" s="126"/>
      <x:c r="R4158" s="126"/>
      <x:c r="S4158" s="124"/>
      <x:c r="T4158" s="124"/>
      <x:c r="U4158" s="124"/>
      <x:c r="V4158" s="124"/>
      <x:c r="W4158" s="124"/>
      <x:c r="X4158" s="124"/>
      <x:c r="AD4158"/>
      <x:c r="AE4158" s="145"/>
      <x:c r="AF4158" s="145"/>
      <x:c r="AG4158" s="145"/>
      <x:c r="AH4158" s="145"/>
      <x:c r="AI4158" s="145"/>
      <x:c r="AJ4158"/>
    </x:row>
    <x:row r="4159">
      <x:c r="F4159" s="124"/>
      <x:c r="G4159" s="124"/>
      <x:c r="H4159" s="124"/>
      <x:c r="I4159" s="124"/>
      <x:c r="J4159" s="124"/>
      <x:c r="M4159" s="126"/>
      <x:c r="P4159" s="126"/>
      <x:c r="Q4159" s="126"/>
      <x:c r="R4159" s="126"/>
      <x:c r="S4159" s="124"/>
      <x:c r="T4159" s="124"/>
      <x:c r="U4159" s="124"/>
      <x:c r="V4159" s="124"/>
      <x:c r="W4159" s="124"/>
      <x:c r="X4159" s="124"/>
      <x:c r="AD4159"/>
      <x:c r="AE4159" s="145"/>
      <x:c r="AF4159" s="145"/>
      <x:c r="AG4159" s="145"/>
      <x:c r="AH4159" s="145"/>
      <x:c r="AI4159" s="145"/>
      <x:c r="AJ4159"/>
    </x:row>
    <x:row r="4160">
      <x:c r="F4160" s="124"/>
      <x:c r="G4160" s="124"/>
      <x:c r="H4160" s="124"/>
      <x:c r="I4160" s="124"/>
      <x:c r="J4160" s="124"/>
      <x:c r="M4160" s="126"/>
      <x:c r="P4160" s="126"/>
      <x:c r="Q4160" s="126"/>
      <x:c r="R4160" s="126"/>
      <x:c r="S4160" s="124"/>
      <x:c r="T4160" s="124"/>
      <x:c r="U4160" s="124"/>
      <x:c r="V4160" s="124"/>
      <x:c r="W4160" s="124"/>
      <x:c r="X4160" s="124"/>
      <x:c r="AD4160"/>
      <x:c r="AE4160" s="145"/>
      <x:c r="AF4160" s="145"/>
      <x:c r="AG4160" s="145"/>
      <x:c r="AH4160" s="145"/>
      <x:c r="AI4160" s="145"/>
      <x:c r="AJ4160"/>
    </x:row>
    <x:row r="4161">
      <x:c r="F4161" s="124"/>
      <x:c r="G4161" s="124"/>
      <x:c r="H4161" s="124"/>
      <x:c r="I4161" s="124"/>
      <x:c r="J4161" s="124"/>
      <x:c r="M4161" s="126"/>
      <x:c r="P4161" s="126"/>
      <x:c r="Q4161" s="126"/>
      <x:c r="R4161" s="126"/>
      <x:c r="S4161" s="124"/>
      <x:c r="T4161" s="124"/>
      <x:c r="U4161" s="124"/>
      <x:c r="V4161" s="124"/>
      <x:c r="W4161" s="124"/>
      <x:c r="X4161" s="124"/>
      <x:c r="AD4161"/>
      <x:c r="AE4161" s="145"/>
      <x:c r="AF4161" s="145"/>
      <x:c r="AG4161" s="145"/>
      <x:c r="AH4161" s="145"/>
      <x:c r="AI4161" s="145"/>
      <x:c r="AJ4161"/>
    </x:row>
    <x:row r="4162">
      <x:c r="F4162" s="124"/>
      <x:c r="G4162" s="124"/>
      <x:c r="H4162" s="124"/>
      <x:c r="I4162" s="124"/>
      <x:c r="J4162" s="124"/>
      <x:c r="M4162" s="126"/>
      <x:c r="P4162" s="126"/>
      <x:c r="Q4162" s="126"/>
      <x:c r="R4162" s="126"/>
      <x:c r="S4162" s="124"/>
      <x:c r="T4162" s="124"/>
      <x:c r="U4162" s="124"/>
      <x:c r="V4162" s="124"/>
      <x:c r="W4162" s="124"/>
      <x:c r="X4162" s="124"/>
      <x:c r="AD4162"/>
      <x:c r="AE4162" s="145"/>
      <x:c r="AF4162" s="145"/>
      <x:c r="AG4162" s="145"/>
      <x:c r="AH4162" s="145"/>
      <x:c r="AI4162" s="145"/>
      <x:c r="AJ4162"/>
    </x:row>
    <x:row r="4163">
      <x:c r="F4163" s="124"/>
      <x:c r="G4163" s="124"/>
      <x:c r="H4163" s="124"/>
      <x:c r="I4163" s="124"/>
      <x:c r="J4163" s="124"/>
      <x:c r="M4163" s="126"/>
      <x:c r="P4163" s="126"/>
      <x:c r="Q4163" s="126"/>
      <x:c r="R4163" s="126"/>
      <x:c r="S4163" s="124"/>
      <x:c r="T4163" s="124"/>
      <x:c r="U4163" s="124"/>
      <x:c r="V4163" s="124"/>
      <x:c r="W4163" s="124"/>
      <x:c r="X4163" s="124"/>
      <x:c r="AD4163"/>
      <x:c r="AE4163" s="145"/>
      <x:c r="AF4163" s="145"/>
      <x:c r="AG4163" s="145"/>
      <x:c r="AH4163" s="145"/>
      <x:c r="AI4163" s="145"/>
      <x:c r="AJ4163"/>
    </x:row>
    <x:row r="4164">
      <x:c r="F4164" s="124"/>
      <x:c r="G4164" s="124"/>
      <x:c r="H4164" s="124"/>
      <x:c r="I4164" s="124"/>
      <x:c r="J4164" s="124"/>
      <x:c r="M4164" s="126"/>
      <x:c r="P4164" s="126"/>
      <x:c r="Q4164" s="126"/>
      <x:c r="R4164" s="126"/>
      <x:c r="S4164" s="124"/>
      <x:c r="T4164" s="124"/>
      <x:c r="U4164" s="124"/>
      <x:c r="V4164" s="124"/>
      <x:c r="W4164" s="124"/>
      <x:c r="X4164" s="124"/>
      <x:c r="AD4164"/>
      <x:c r="AE4164" s="145"/>
      <x:c r="AF4164" s="145"/>
      <x:c r="AG4164" s="145"/>
      <x:c r="AH4164" s="145"/>
      <x:c r="AI4164" s="145"/>
      <x:c r="AJ4164"/>
    </x:row>
    <x:row r="4165">
      <x:c r="F4165" s="124"/>
      <x:c r="G4165" s="124"/>
      <x:c r="H4165" s="124"/>
      <x:c r="I4165" s="124"/>
      <x:c r="J4165" s="124"/>
      <x:c r="M4165" s="126"/>
      <x:c r="P4165" s="126"/>
      <x:c r="Q4165" s="126"/>
      <x:c r="R4165" s="126"/>
      <x:c r="S4165" s="124"/>
      <x:c r="T4165" s="124"/>
      <x:c r="U4165" s="124"/>
      <x:c r="V4165" s="124"/>
      <x:c r="W4165" s="124"/>
      <x:c r="X4165" s="124"/>
      <x:c r="AD4165"/>
      <x:c r="AE4165" s="145"/>
      <x:c r="AF4165" s="145"/>
      <x:c r="AG4165" s="145"/>
      <x:c r="AH4165" s="145"/>
      <x:c r="AI4165" s="145"/>
      <x:c r="AJ4165"/>
    </x:row>
    <x:row r="4166">
      <x:c r="F4166" s="124"/>
      <x:c r="G4166" s="124"/>
      <x:c r="H4166" s="124"/>
      <x:c r="I4166" s="124"/>
      <x:c r="J4166" s="124"/>
      <x:c r="M4166" s="126"/>
      <x:c r="P4166" s="126"/>
      <x:c r="Q4166" s="126"/>
      <x:c r="R4166" s="126"/>
      <x:c r="S4166" s="124"/>
      <x:c r="T4166" s="124"/>
      <x:c r="U4166" s="124"/>
      <x:c r="V4166" s="124"/>
      <x:c r="W4166" s="124"/>
      <x:c r="X4166" s="124"/>
      <x:c r="AD4166"/>
      <x:c r="AE4166" s="145"/>
      <x:c r="AF4166" s="145"/>
      <x:c r="AG4166" s="145"/>
      <x:c r="AH4166" s="145"/>
      <x:c r="AI4166" s="145"/>
      <x:c r="AJ4166"/>
    </x:row>
    <x:row r="4167">
      <x:c r="F4167" s="124"/>
      <x:c r="G4167" s="124"/>
      <x:c r="H4167" s="124"/>
      <x:c r="I4167" s="124"/>
      <x:c r="J4167" s="124"/>
      <x:c r="M4167" s="126"/>
      <x:c r="P4167" s="126"/>
      <x:c r="Q4167" s="126"/>
      <x:c r="R4167" s="126"/>
      <x:c r="S4167" s="124"/>
      <x:c r="T4167" s="124"/>
      <x:c r="U4167" s="124"/>
      <x:c r="V4167" s="124"/>
      <x:c r="W4167" s="124"/>
      <x:c r="X4167" s="124"/>
      <x:c r="AD4167"/>
      <x:c r="AE4167" s="145"/>
      <x:c r="AF4167" s="145"/>
      <x:c r="AG4167" s="145"/>
      <x:c r="AH4167" s="145"/>
      <x:c r="AI4167" s="145"/>
      <x:c r="AJ4167"/>
    </x:row>
    <x:row r="4168">
      <x:c r="F4168" s="124"/>
      <x:c r="G4168" s="124"/>
      <x:c r="H4168" s="124"/>
      <x:c r="I4168" s="124"/>
      <x:c r="J4168" s="124"/>
      <x:c r="M4168" s="126"/>
      <x:c r="P4168" s="126"/>
      <x:c r="Q4168" s="126"/>
      <x:c r="R4168" s="126"/>
      <x:c r="S4168" s="124"/>
      <x:c r="T4168" s="124"/>
      <x:c r="U4168" s="124"/>
      <x:c r="V4168" s="124"/>
      <x:c r="W4168" s="124"/>
      <x:c r="X4168" s="124"/>
      <x:c r="AD4168"/>
      <x:c r="AE4168" s="145"/>
      <x:c r="AF4168" s="145"/>
      <x:c r="AG4168" s="145"/>
      <x:c r="AH4168" s="145"/>
      <x:c r="AI4168" s="145"/>
      <x:c r="AJ4168"/>
    </x:row>
    <x:row r="4169">
      <x:c r="F4169" s="124"/>
      <x:c r="G4169" s="124"/>
      <x:c r="H4169" s="124"/>
      <x:c r="I4169" s="124"/>
      <x:c r="J4169" s="124"/>
      <x:c r="M4169" s="126"/>
      <x:c r="P4169" s="126"/>
      <x:c r="Q4169" s="126"/>
      <x:c r="R4169" s="126"/>
      <x:c r="S4169" s="124"/>
      <x:c r="T4169" s="124"/>
      <x:c r="U4169" s="124"/>
      <x:c r="V4169" s="124"/>
      <x:c r="W4169" s="124"/>
      <x:c r="X4169" s="124"/>
      <x:c r="AD4169"/>
      <x:c r="AE4169" s="145"/>
      <x:c r="AF4169" s="145"/>
      <x:c r="AG4169" s="145"/>
      <x:c r="AH4169" s="145"/>
      <x:c r="AI4169" s="145"/>
      <x:c r="AJ4169"/>
    </x:row>
    <x:row r="4170">
      <x:c r="F4170" s="124"/>
      <x:c r="G4170" s="124"/>
      <x:c r="H4170" s="124"/>
      <x:c r="I4170" s="124"/>
      <x:c r="J4170" s="124"/>
      <x:c r="M4170" s="126"/>
      <x:c r="P4170" s="126"/>
      <x:c r="Q4170" s="126"/>
      <x:c r="R4170" s="126"/>
      <x:c r="S4170" s="124"/>
      <x:c r="T4170" s="124"/>
      <x:c r="U4170" s="124"/>
      <x:c r="V4170" s="124"/>
      <x:c r="W4170" s="124"/>
      <x:c r="X4170" s="124"/>
      <x:c r="AD4170"/>
      <x:c r="AE4170" s="145"/>
      <x:c r="AF4170" s="145"/>
      <x:c r="AG4170" s="145"/>
      <x:c r="AH4170" s="145"/>
      <x:c r="AI4170" s="145"/>
      <x:c r="AJ4170"/>
    </x:row>
    <x:row r="4171">
      <x:c r="F4171" s="124"/>
      <x:c r="G4171" s="124"/>
      <x:c r="H4171" s="124"/>
      <x:c r="I4171" s="124"/>
      <x:c r="J4171" s="124"/>
      <x:c r="M4171" s="126"/>
      <x:c r="P4171" s="126"/>
      <x:c r="Q4171" s="126"/>
      <x:c r="R4171" s="126"/>
      <x:c r="S4171" s="124"/>
      <x:c r="T4171" s="124"/>
      <x:c r="U4171" s="124"/>
      <x:c r="V4171" s="124"/>
      <x:c r="W4171" s="124"/>
      <x:c r="X4171" s="124"/>
      <x:c r="AD4171"/>
      <x:c r="AE4171" s="145"/>
      <x:c r="AF4171" s="145"/>
      <x:c r="AG4171" s="145"/>
      <x:c r="AH4171" s="145"/>
      <x:c r="AI4171" s="145"/>
      <x:c r="AJ4171"/>
    </x:row>
    <x:row r="4172">
      <x:c r="F4172" s="124"/>
      <x:c r="G4172" s="124"/>
      <x:c r="H4172" s="124"/>
      <x:c r="I4172" s="124"/>
      <x:c r="J4172" s="124"/>
      <x:c r="M4172" s="126"/>
      <x:c r="P4172" s="126"/>
      <x:c r="Q4172" s="126"/>
      <x:c r="R4172" s="126"/>
      <x:c r="S4172" s="124"/>
      <x:c r="T4172" s="124"/>
      <x:c r="U4172" s="124"/>
      <x:c r="V4172" s="124"/>
      <x:c r="W4172" s="124"/>
      <x:c r="X4172" s="124"/>
      <x:c r="AD4172"/>
      <x:c r="AE4172" s="145"/>
      <x:c r="AF4172" s="145"/>
      <x:c r="AG4172" s="145"/>
      <x:c r="AH4172" s="145"/>
      <x:c r="AI4172" s="145"/>
      <x:c r="AJ4172"/>
    </x:row>
    <x:row r="4173">
      <x:c r="F4173" s="124"/>
      <x:c r="G4173" s="124"/>
      <x:c r="H4173" s="124"/>
      <x:c r="I4173" s="124"/>
      <x:c r="J4173" s="124"/>
      <x:c r="M4173" s="126"/>
      <x:c r="P4173" s="126"/>
      <x:c r="Q4173" s="126"/>
      <x:c r="R4173" s="126"/>
      <x:c r="S4173" s="124"/>
      <x:c r="T4173" s="124"/>
      <x:c r="U4173" s="124"/>
      <x:c r="V4173" s="124"/>
      <x:c r="W4173" s="124"/>
      <x:c r="X4173" s="124"/>
      <x:c r="AD4173"/>
      <x:c r="AE4173" s="145"/>
      <x:c r="AF4173" s="145"/>
      <x:c r="AG4173" s="145"/>
      <x:c r="AH4173" s="145"/>
      <x:c r="AI4173" s="145"/>
      <x:c r="AJ4173"/>
    </x:row>
    <x:row r="4174">
      <x:c r="F4174" s="124"/>
      <x:c r="G4174" s="124"/>
      <x:c r="H4174" s="124"/>
      <x:c r="I4174" s="124"/>
      <x:c r="J4174" s="124"/>
      <x:c r="M4174" s="126"/>
      <x:c r="P4174" s="126"/>
      <x:c r="Q4174" s="126"/>
      <x:c r="R4174" s="126"/>
      <x:c r="S4174" s="124"/>
      <x:c r="T4174" s="124"/>
      <x:c r="U4174" s="124"/>
      <x:c r="V4174" s="124"/>
      <x:c r="W4174" s="124"/>
      <x:c r="X4174" s="124"/>
      <x:c r="AD4174"/>
      <x:c r="AE4174" s="145"/>
      <x:c r="AF4174" s="145"/>
      <x:c r="AG4174" s="145"/>
      <x:c r="AH4174" s="145"/>
      <x:c r="AI4174" s="145"/>
      <x:c r="AJ4174"/>
    </x:row>
    <x:row r="4175">
      <x:c r="F4175" s="124"/>
      <x:c r="G4175" s="124"/>
      <x:c r="H4175" s="124"/>
      <x:c r="I4175" s="124"/>
      <x:c r="J4175" s="124"/>
      <x:c r="M4175" s="126"/>
      <x:c r="P4175" s="126"/>
      <x:c r="Q4175" s="126"/>
      <x:c r="R4175" s="126"/>
      <x:c r="S4175" s="124"/>
      <x:c r="T4175" s="124"/>
      <x:c r="U4175" s="124"/>
      <x:c r="V4175" s="124"/>
      <x:c r="W4175" s="124"/>
      <x:c r="X4175" s="124"/>
      <x:c r="AD4175"/>
      <x:c r="AE4175" s="145"/>
      <x:c r="AF4175" s="145"/>
      <x:c r="AG4175" s="145"/>
      <x:c r="AH4175" s="145"/>
      <x:c r="AI4175" s="145"/>
      <x:c r="AJ4175"/>
    </x:row>
    <x:row r="4176">
      <x:c r="F4176" s="124"/>
      <x:c r="G4176" s="124"/>
      <x:c r="H4176" s="124"/>
      <x:c r="I4176" s="124"/>
      <x:c r="J4176" s="124"/>
      <x:c r="M4176" s="126"/>
      <x:c r="P4176" s="126"/>
      <x:c r="Q4176" s="126"/>
      <x:c r="R4176" s="126"/>
      <x:c r="S4176" s="124"/>
      <x:c r="T4176" s="124"/>
      <x:c r="U4176" s="124"/>
      <x:c r="V4176" s="124"/>
      <x:c r="W4176" s="124"/>
      <x:c r="X4176" s="124"/>
      <x:c r="AD4176"/>
      <x:c r="AE4176" s="145"/>
      <x:c r="AF4176" s="145"/>
      <x:c r="AG4176" s="145"/>
      <x:c r="AH4176" s="145"/>
      <x:c r="AI4176" s="145"/>
      <x:c r="AJ4176"/>
    </x:row>
    <x:row r="4177">
      <x:c r="F4177" s="124"/>
      <x:c r="G4177" s="124"/>
      <x:c r="H4177" s="124"/>
      <x:c r="I4177" s="124"/>
      <x:c r="J4177" s="124"/>
      <x:c r="M4177" s="126"/>
      <x:c r="P4177" s="126"/>
      <x:c r="Q4177" s="126"/>
      <x:c r="R4177" s="126"/>
      <x:c r="S4177" s="124"/>
      <x:c r="T4177" s="124"/>
      <x:c r="U4177" s="124"/>
      <x:c r="V4177" s="124"/>
      <x:c r="W4177" s="124"/>
      <x:c r="X4177" s="124"/>
      <x:c r="AD4177"/>
      <x:c r="AE4177" s="145"/>
      <x:c r="AF4177" s="145"/>
      <x:c r="AG4177" s="145"/>
      <x:c r="AH4177" s="145"/>
      <x:c r="AI4177" s="145"/>
      <x:c r="AJ4177"/>
    </x:row>
    <x:row r="4178">
      <x:c r="F4178" s="124"/>
      <x:c r="G4178" s="124"/>
      <x:c r="H4178" s="124"/>
      <x:c r="I4178" s="124"/>
      <x:c r="J4178" s="124"/>
      <x:c r="M4178" s="126"/>
      <x:c r="P4178" s="126"/>
      <x:c r="Q4178" s="126"/>
      <x:c r="R4178" s="126"/>
      <x:c r="S4178" s="124"/>
      <x:c r="T4178" s="124"/>
      <x:c r="U4178" s="124"/>
      <x:c r="V4178" s="124"/>
      <x:c r="W4178" s="124"/>
      <x:c r="X4178" s="124"/>
      <x:c r="AD4178"/>
      <x:c r="AE4178" s="145"/>
      <x:c r="AF4178" s="145"/>
      <x:c r="AG4178" s="145"/>
      <x:c r="AH4178" s="145"/>
      <x:c r="AI4178" s="145"/>
      <x:c r="AJ4178"/>
    </x:row>
    <x:row r="4179">
      <x:c r="F4179" s="124"/>
      <x:c r="G4179" s="124"/>
      <x:c r="H4179" s="124"/>
      <x:c r="I4179" s="124"/>
      <x:c r="J4179" s="124"/>
      <x:c r="M4179" s="126"/>
      <x:c r="P4179" s="126"/>
      <x:c r="Q4179" s="126"/>
      <x:c r="R4179" s="126"/>
      <x:c r="S4179" s="124"/>
      <x:c r="T4179" s="124"/>
      <x:c r="U4179" s="124"/>
      <x:c r="V4179" s="124"/>
      <x:c r="W4179" s="124"/>
      <x:c r="X4179" s="124"/>
      <x:c r="AD4179"/>
      <x:c r="AE4179" s="145"/>
      <x:c r="AF4179" s="145"/>
      <x:c r="AG4179" s="145"/>
      <x:c r="AH4179" s="145"/>
      <x:c r="AI4179" s="145"/>
      <x:c r="AJ4179"/>
    </x:row>
    <x:row r="4180">
      <x:c r="F4180" s="124"/>
      <x:c r="G4180" s="124"/>
      <x:c r="H4180" s="124"/>
      <x:c r="I4180" s="124"/>
      <x:c r="J4180" s="124"/>
      <x:c r="M4180" s="126"/>
      <x:c r="P4180" s="126"/>
      <x:c r="Q4180" s="126"/>
      <x:c r="R4180" s="126"/>
      <x:c r="S4180" s="124"/>
      <x:c r="T4180" s="124"/>
      <x:c r="U4180" s="124"/>
      <x:c r="V4180" s="124"/>
      <x:c r="W4180" s="124"/>
      <x:c r="X4180" s="124"/>
      <x:c r="AD4180"/>
      <x:c r="AE4180" s="145"/>
      <x:c r="AF4180" s="145"/>
      <x:c r="AG4180" s="145"/>
      <x:c r="AH4180" s="145"/>
      <x:c r="AI4180" s="145"/>
      <x:c r="AJ4180"/>
    </x:row>
    <x:row r="4181">
      <x:c r="F4181" s="124"/>
      <x:c r="G4181" s="124"/>
      <x:c r="H4181" s="124"/>
      <x:c r="I4181" s="124"/>
      <x:c r="J4181" s="124"/>
      <x:c r="M4181" s="126"/>
      <x:c r="P4181" s="126"/>
      <x:c r="Q4181" s="126"/>
      <x:c r="R4181" s="126"/>
      <x:c r="S4181" s="124"/>
      <x:c r="T4181" s="124"/>
      <x:c r="U4181" s="124"/>
      <x:c r="V4181" s="124"/>
      <x:c r="W4181" s="124"/>
      <x:c r="X4181" s="124"/>
      <x:c r="AD4181"/>
      <x:c r="AE4181" s="145"/>
      <x:c r="AF4181" s="145"/>
      <x:c r="AG4181" s="145"/>
      <x:c r="AH4181" s="145"/>
      <x:c r="AI4181" s="145"/>
      <x:c r="AJ4181"/>
    </x:row>
    <x:row r="4182">
      <x:c r="F4182" s="124"/>
      <x:c r="G4182" s="124"/>
      <x:c r="H4182" s="124"/>
      <x:c r="I4182" s="124"/>
      <x:c r="J4182" s="124"/>
      <x:c r="M4182" s="126"/>
      <x:c r="P4182" s="126"/>
      <x:c r="Q4182" s="126"/>
      <x:c r="R4182" s="126"/>
      <x:c r="S4182" s="124"/>
      <x:c r="T4182" s="124"/>
      <x:c r="U4182" s="124"/>
      <x:c r="V4182" s="124"/>
      <x:c r="W4182" s="124"/>
      <x:c r="X4182" s="124"/>
      <x:c r="AD4182"/>
      <x:c r="AE4182" s="145"/>
      <x:c r="AF4182" s="145"/>
      <x:c r="AG4182" s="145"/>
      <x:c r="AH4182" s="145"/>
      <x:c r="AI4182" s="145"/>
      <x:c r="AJ4182"/>
    </x:row>
    <x:row r="4183">
      <x:c r="F4183" s="124"/>
      <x:c r="G4183" s="124"/>
      <x:c r="H4183" s="124"/>
      <x:c r="I4183" s="124"/>
      <x:c r="J4183" s="124"/>
      <x:c r="M4183" s="126"/>
      <x:c r="P4183" s="126"/>
      <x:c r="Q4183" s="126"/>
      <x:c r="R4183" s="126"/>
      <x:c r="S4183" s="124"/>
      <x:c r="T4183" s="124"/>
      <x:c r="U4183" s="124"/>
      <x:c r="V4183" s="124"/>
      <x:c r="W4183" s="124"/>
      <x:c r="X4183" s="124"/>
      <x:c r="AD4183"/>
      <x:c r="AE4183" s="145"/>
      <x:c r="AF4183" s="145"/>
      <x:c r="AG4183" s="145"/>
      <x:c r="AH4183" s="145"/>
      <x:c r="AI4183" s="145"/>
      <x:c r="AJ4183"/>
    </x:row>
    <x:row r="4184">
      <x:c r="F4184" s="124"/>
      <x:c r="G4184" s="124"/>
      <x:c r="H4184" s="124"/>
      <x:c r="I4184" s="124"/>
      <x:c r="J4184" s="124"/>
      <x:c r="M4184" s="126"/>
      <x:c r="P4184" s="126"/>
      <x:c r="Q4184" s="126"/>
      <x:c r="R4184" s="126"/>
      <x:c r="S4184" s="124"/>
      <x:c r="T4184" s="124"/>
      <x:c r="U4184" s="124"/>
      <x:c r="V4184" s="124"/>
      <x:c r="W4184" s="124"/>
      <x:c r="X4184" s="124"/>
      <x:c r="AD4184"/>
      <x:c r="AE4184" s="145"/>
      <x:c r="AF4184" s="145"/>
      <x:c r="AG4184" s="145"/>
      <x:c r="AH4184" s="145"/>
      <x:c r="AI4184" s="145"/>
      <x:c r="AJ4184"/>
    </x:row>
    <x:row r="4185">
      <x:c r="F4185" s="124"/>
      <x:c r="G4185" s="124"/>
      <x:c r="H4185" s="124"/>
      <x:c r="I4185" s="124"/>
      <x:c r="J4185" s="124"/>
      <x:c r="M4185" s="126"/>
      <x:c r="P4185" s="126"/>
      <x:c r="Q4185" s="126"/>
      <x:c r="R4185" s="126"/>
      <x:c r="S4185" s="124"/>
      <x:c r="T4185" s="124"/>
      <x:c r="U4185" s="124"/>
      <x:c r="V4185" s="124"/>
      <x:c r="W4185" s="124"/>
      <x:c r="X4185" s="124"/>
      <x:c r="AD4185"/>
      <x:c r="AE4185" s="145"/>
      <x:c r="AF4185" s="145"/>
      <x:c r="AG4185" s="145"/>
      <x:c r="AH4185" s="145"/>
      <x:c r="AI4185" s="145"/>
      <x:c r="AJ4185"/>
    </x:row>
    <x:row r="4186">
      <x:c r="F4186" s="124"/>
      <x:c r="G4186" s="124"/>
      <x:c r="H4186" s="124"/>
      <x:c r="I4186" s="124"/>
      <x:c r="J4186" s="124"/>
      <x:c r="M4186" s="126"/>
      <x:c r="P4186" s="126"/>
      <x:c r="Q4186" s="126"/>
      <x:c r="R4186" s="126"/>
      <x:c r="S4186" s="124"/>
      <x:c r="T4186" s="124"/>
      <x:c r="U4186" s="124"/>
      <x:c r="V4186" s="124"/>
      <x:c r="W4186" s="124"/>
      <x:c r="X4186" s="124"/>
      <x:c r="AD4186"/>
      <x:c r="AE4186" s="145"/>
      <x:c r="AF4186" s="145"/>
      <x:c r="AG4186" s="145"/>
      <x:c r="AH4186" s="145"/>
      <x:c r="AI4186" s="145"/>
      <x:c r="AJ4186"/>
    </x:row>
    <x:row r="4187">
      <x:c r="F4187" s="124"/>
      <x:c r="G4187" s="124"/>
      <x:c r="H4187" s="124"/>
      <x:c r="I4187" s="124"/>
      <x:c r="J4187" s="124"/>
      <x:c r="M4187" s="126"/>
      <x:c r="P4187" s="126"/>
      <x:c r="Q4187" s="126"/>
      <x:c r="R4187" s="126"/>
      <x:c r="S4187" s="124"/>
      <x:c r="T4187" s="124"/>
      <x:c r="U4187" s="124"/>
      <x:c r="V4187" s="124"/>
      <x:c r="W4187" s="124"/>
      <x:c r="X4187" s="124"/>
      <x:c r="AD4187"/>
      <x:c r="AE4187" s="145"/>
      <x:c r="AF4187" s="145"/>
      <x:c r="AG4187" s="145"/>
      <x:c r="AH4187" s="145"/>
      <x:c r="AI4187" s="145"/>
      <x:c r="AJ4187"/>
    </x:row>
    <x:row r="4188">
      <x:c r="F4188" s="124"/>
      <x:c r="G4188" s="124"/>
      <x:c r="H4188" s="124"/>
      <x:c r="I4188" s="124"/>
      <x:c r="J4188" s="124"/>
      <x:c r="M4188" s="126"/>
      <x:c r="P4188" s="126"/>
      <x:c r="Q4188" s="126"/>
      <x:c r="R4188" s="126"/>
      <x:c r="S4188" s="124"/>
      <x:c r="T4188" s="124"/>
      <x:c r="U4188" s="124"/>
      <x:c r="V4188" s="124"/>
      <x:c r="W4188" s="124"/>
      <x:c r="X4188" s="124"/>
      <x:c r="AD4188"/>
      <x:c r="AE4188" s="145"/>
      <x:c r="AF4188" s="145"/>
      <x:c r="AG4188" s="145"/>
      <x:c r="AH4188" s="145"/>
      <x:c r="AI4188" s="145"/>
      <x:c r="AJ4188"/>
    </x:row>
    <x:row r="4189">
      <x:c r="F4189" s="124"/>
      <x:c r="G4189" s="124"/>
      <x:c r="H4189" s="124"/>
      <x:c r="I4189" s="124"/>
      <x:c r="J4189" s="124"/>
      <x:c r="M4189" s="126"/>
      <x:c r="P4189" s="126"/>
      <x:c r="Q4189" s="126"/>
      <x:c r="R4189" s="126"/>
      <x:c r="S4189" s="124"/>
      <x:c r="T4189" s="124"/>
      <x:c r="U4189" s="124"/>
      <x:c r="V4189" s="124"/>
      <x:c r="W4189" s="124"/>
      <x:c r="X4189" s="124"/>
      <x:c r="AD4189"/>
      <x:c r="AE4189" s="145"/>
      <x:c r="AF4189" s="145"/>
      <x:c r="AG4189" s="145"/>
      <x:c r="AH4189" s="145"/>
      <x:c r="AI4189" s="145"/>
      <x:c r="AJ4189"/>
    </x:row>
    <x:row r="4190">
      <x:c r="F4190" s="124"/>
      <x:c r="G4190" s="124"/>
      <x:c r="H4190" s="124"/>
      <x:c r="I4190" s="124"/>
      <x:c r="J4190" s="124"/>
      <x:c r="M4190" s="126"/>
      <x:c r="P4190" s="126"/>
      <x:c r="Q4190" s="126"/>
      <x:c r="R4190" s="126"/>
      <x:c r="S4190" s="124"/>
      <x:c r="T4190" s="124"/>
      <x:c r="U4190" s="124"/>
      <x:c r="V4190" s="124"/>
      <x:c r="W4190" s="124"/>
      <x:c r="X4190" s="124"/>
      <x:c r="AD4190"/>
      <x:c r="AE4190" s="145"/>
      <x:c r="AF4190" s="145"/>
      <x:c r="AG4190" s="145"/>
      <x:c r="AH4190" s="145"/>
      <x:c r="AI4190" s="145"/>
      <x:c r="AJ4190"/>
    </x:row>
    <x:row r="4191">
      <x:c r="F4191" s="124"/>
      <x:c r="G4191" s="124"/>
      <x:c r="H4191" s="124"/>
      <x:c r="I4191" s="124"/>
      <x:c r="J4191" s="124"/>
      <x:c r="M4191" s="126"/>
      <x:c r="P4191" s="126"/>
      <x:c r="Q4191" s="126"/>
      <x:c r="R4191" s="126"/>
      <x:c r="S4191" s="124"/>
      <x:c r="T4191" s="124"/>
      <x:c r="U4191" s="124"/>
      <x:c r="V4191" s="124"/>
      <x:c r="W4191" s="124"/>
      <x:c r="X4191" s="124"/>
      <x:c r="AD4191"/>
      <x:c r="AE4191" s="145"/>
      <x:c r="AF4191" s="145"/>
      <x:c r="AG4191" s="145"/>
      <x:c r="AH4191" s="145"/>
      <x:c r="AI4191" s="145"/>
      <x:c r="AJ4191"/>
    </x:row>
    <x:row r="4192">
      <x:c r="F4192" s="124"/>
      <x:c r="G4192" s="124"/>
      <x:c r="H4192" s="124"/>
      <x:c r="I4192" s="124"/>
      <x:c r="J4192" s="124"/>
      <x:c r="M4192" s="126"/>
      <x:c r="P4192" s="126"/>
      <x:c r="Q4192" s="126"/>
      <x:c r="R4192" s="126"/>
      <x:c r="S4192" s="124"/>
      <x:c r="T4192" s="124"/>
      <x:c r="U4192" s="124"/>
      <x:c r="V4192" s="124"/>
      <x:c r="W4192" s="124"/>
      <x:c r="X4192" s="124"/>
      <x:c r="AD4192"/>
      <x:c r="AE4192" s="145"/>
      <x:c r="AF4192" s="145"/>
      <x:c r="AG4192" s="145"/>
      <x:c r="AH4192" s="145"/>
      <x:c r="AI4192" s="145"/>
      <x:c r="AJ4192"/>
    </x:row>
    <x:row r="4193">
      <x:c r="F4193" s="124"/>
      <x:c r="G4193" s="124"/>
      <x:c r="H4193" s="124"/>
      <x:c r="I4193" s="124"/>
      <x:c r="J4193" s="124"/>
      <x:c r="M4193" s="126"/>
      <x:c r="P4193" s="126"/>
      <x:c r="Q4193" s="126"/>
      <x:c r="R4193" s="126"/>
      <x:c r="S4193" s="124"/>
      <x:c r="T4193" s="124"/>
      <x:c r="U4193" s="124"/>
      <x:c r="V4193" s="124"/>
      <x:c r="W4193" s="124"/>
      <x:c r="X4193" s="124"/>
      <x:c r="AD4193"/>
      <x:c r="AE4193" s="145"/>
      <x:c r="AF4193" s="145"/>
      <x:c r="AG4193" s="145"/>
      <x:c r="AH4193" s="145"/>
      <x:c r="AI4193" s="145"/>
      <x:c r="AJ4193"/>
    </x:row>
    <x:row r="4194">
      <x:c r="F4194" s="124"/>
      <x:c r="G4194" s="124"/>
      <x:c r="H4194" s="124"/>
      <x:c r="I4194" s="124"/>
      <x:c r="J4194" s="124"/>
      <x:c r="M4194" s="126"/>
      <x:c r="P4194" s="126"/>
      <x:c r="Q4194" s="126"/>
      <x:c r="R4194" s="126"/>
      <x:c r="S4194" s="124"/>
      <x:c r="T4194" s="124"/>
      <x:c r="U4194" s="124"/>
      <x:c r="V4194" s="124"/>
      <x:c r="W4194" s="124"/>
      <x:c r="X4194" s="124"/>
      <x:c r="AD4194"/>
      <x:c r="AE4194" s="145"/>
      <x:c r="AF4194" s="145"/>
      <x:c r="AG4194" s="145"/>
      <x:c r="AH4194" s="145"/>
      <x:c r="AI4194" s="145"/>
      <x:c r="AJ4194"/>
    </x:row>
    <x:row r="4195">
      <x:c r="F4195" s="124"/>
      <x:c r="G4195" s="124"/>
      <x:c r="H4195" s="124"/>
      <x:c r="I4195" s="124"/>
      <x:c r="J4195" s="124"/>
      <x:c r="M4195" s="126"/>
      <x:c r="P4195" s="126"/>
      <x:c r="Q4195" s="126"/>
      <x:c r="R4195" s="126"/>
      <x:c r="S4195" s="124"/>
      <x:c r="T4195" s="124"/>
      <x:c r="U4195" s="124"/>
      <x:c r="V4195" s="124"/>
      <x:c r="W4195" s="124"/>
      <x:c r="X4195" s="124"/>
      <x:c r="AD4195"/>
      <x:c r="AE4195" s="145"/>
      <x:c r="AF4195" s="145"/>
      <x:c r="AG4195" s="145"/>
      <x:c r="AH4195" s="145"/>
      <x:c r="AI4195" s="145"/>
      <x:c r="AJ4195"/>
    </x:row>
    <x:row r="4196">
      <x:c r="F4196" s="124"/>
      <x:c r="G4196" s="124"/>
      <x:c r="H4196" s="124"/>
      <x:c r="I4196" s="124"/>
      <x:c r="J4196" s="124"/>
      <x:c r="M4196" s="126"/>
      <x:c r="P4196" s="126"/>
      <x:c r="Q4196" s="126"/>
      <x:c r="R4196" s="126"/>
      <x:c r="S4196" s="124"/>
      <x:c r="T4196" s="124"/>
      <x:c r="U4196" s="124"/>
      <x:c r="V4196" s="124"/>
      <x:c r="W4196" s="124"/>
      <x:c r="X4196" s="124"/>
      <x:c r="AD4196"/>
      <x:c r="AE4196" s="145"/>
      <x:c r="AF4196" s="145"/>
      <x:c r="AG4196" s="145"/>
      <x:c r="AH4196" s="145"/>
      <x:c r="AI4196" s="145"/>
      <x:c r="AJ4196"/>
    </x:row>
    <x:row r="4197">
      <x:c r="F4197" s="124"/>
      <x:c r="G4197" s="124"/>
      <x:c r="H4197" s="124"/>
      <x:c r="I4197" s="124"/>
      <x:c r="J4197" s="124"/>
      <x:c r="M4197" s="126"/>
      <x:c r="P4197" s="126"/>
      <x:c r="Q4197" s="126"/>
      <x:c r="R4197" s="126"/>
      <x:c r="S4197" s="124"/>
      <x:c r="T4197" s="124"/>
      <x:c r="U4197" s="124"/>
      <x:c r="V4197" s="124"/>
      <x:c r="W4197" s="124"/>
      <x:c r="X4197" s="124"/>
      <x:c r="AD4197"/>
      <x:c r="AE4197" s="145"/>
      <x:c r="AF4197" s="145"/>
      <x:c r="AG4197" s="145"/>
      <x:c r="AH4197" s="145"/>
      <x:c r="AI4197" s="145"/>
      <x:c r="AJ4197"/>
    </x:row>
    <x:row r="4198">
      <x:c r="F4198" s="124"/>
      <x:c r="G4198" s="124"/>
      <x:c r="H4198" s="124"/>
      <x:c r="I4198" s="124"/>
      <x:c r="J4198" s="124"/>
      <x:c r="M4198" s="126"/>
      <x:c r="P4198" s="126"/>
      <x:c r="Q4198" s="126"/>
      <x:c r="R4198" s="126"/>
      <x:c r="S4198" s="124"/>
      <x:c r="T4198" s="124"/>
      <x:c r="U4198" s="124"/>
      <x:c r="V4198" s="124"/>
      <x:c r="W4198" s="124"/>
      <x:c r="X4198" s="124"/>
      <x:c r="AD4198"/>
      <x:c r="AE4198" s="145"/>
      <x:c r="AF4198" s="145"/>
      <x:c r="AG4198" s="145"/>
      <x:c r="AH4198" s="145"/>
      <x:c r="AI4198" s="145"/>
      <x:c r="AJ4198"/>
    </x:row>
    <x:row r="4199">
      <x:c r="F4199" s="124"/>
      <x:c r="G4199" s="124"/>
      <x:c r="H4199" s="124"/>
      <x:c r="I4199" s="124"/>
      <x:c r="J4199" s="124"/>
      <x:c r="M4199" s="126"/>
      <x:c r="P4199" s="126"/>
      <x:c r="Q4199" s="126"/>
      <x:c r="R4199" s="126"/>
      <x:c r="S4199" s="124"/>
      <x:c r="T4199" s="124"/>
      <x:c r="U4199" s="124"/>
      <x:c r="V4199" s="124"/>
      <x:c r="W4199" s="124"/>
      <x:c r="X4199" s="124"/>
      <x:c r="AD4199"/>
      <x:c r="AE4199" s="145"/>
      <x:c r="AF4199" s="145"/>
      <x:c r="AG4199" s="145"/>
      <x:c r="AH4199" s="145"/>
      <x:c r="AI4199" s="145"/>
      <x:c r="AJ4199"/>
    </x:row>
    <x:row r="4200">
      <x:c r="F4200" s="124"/>
      <x:c r="G4200" s="124"/>
      <x:c r="H4200" s="124"/>
      <x:c r="I4200" s="124"/>
      <x:c r="J4200" s="124"/>
      <x:c r="M4200" s="126"/>
      <x:c r="P4200" s="126"/>
      <x:c r="Q4200" s="126"/>
      <x:c r="R4200" s="126"/>
      <x:c r="S4200" s="124"/>
      <x:c r="T4200" s="124"/>
      <x:c r="U4200" s="124"/>
      <x:c r="V4200" s="124"/>
      <x:c r="W4200" s="124"/>
      <x:c r="X4200" s="124"/>
      <x:c r="AD4200"/>
      <x:c r="AE4200" s="145"/>
      <x:c r="AF4200" s="145"/>
      <x:c r="AG4200" s="145"/>
      <x:c r="AH4200" s="145"/>
      <x:c r="AI4200" s="145"/>
      <x:c r="AJ4200"/>
    </x:row>
    <x:row r="4201">
      <x:c r="F4201" s="124"/>
      <x:c r="G4201" s="124"/>
      <x:c r="H4201" s="124"/>
      <x:c r="I4201" s="124"/>
      <x:c r="J4201" s="124"/>
      <x:c r="M4201" s="126"/>
      <x:c r="P4201" s="126"/>
      <x:c r="Q4201" s="126"/>
      <x:c r="R4201" s="126"/>
      <x:c r="S4201" s="124"/>
      <x:c r="T4201" s="124"/>
      <x:c r="U4201" s="124"/>
      <x:c r="V4201" s="124"/>
      <x:c r="W4201" s="124"/>
      <x:c r="X4201" s="124"/>
      <x:c r="AD4201"/>
      <x:c r="AE4201" s="145"/>
      <x:c r="AF4201" s="145"/>
      <x:c r="AG4201" s="145"/>
      <x:c r="AH4201" s="145"/>
      <x:c r="AI4201" s="145"/>
      <x:c r="AJ4201"/>
    </x:row>
    <x:row r="4202">
      <x:c r="F4202" s="124"/>
      <x:c r="G4202" s="124"/>
      <x:c r="H4202" s="124"/>
      <x:c r="I4202" s="124"/>
      <x:c r="J4202" s="124"/>
      <x:c r="M4202" s="126"/>
      <x:c r="P4202" s="126"/>
      <x:c r="Q4202" s="126"/>
      <x:c r="R4202" s="126"/>
      <x:c r="S4202" s="124"/>
      <x:c r="T4202" s="124"/>
      <x:c r="U4202" s="124"/>
      <x:c r="V4202" s="124"/>
      <x:c r="W4202" s="124"/>
      <x:c r="X4202" s="124"/>
      <x:c r="AD4202"/>
      <x:c r="AE4202" s="145"/>
      <x:c r="AF4202" s="145"/>
      <x:c r="AG4202" s="145"/>
      <x:c r="AH4202" s="145"/>
      <x:c r="AI4202" s="145"/>
      <x:c r="AJ4202"/>
    </x:row>
    <x:row r="4203">
      <x:c r="F4203" s="124"/>
      <x:c r="G4203" s="124"/>
      <x:c r="H4203" s="124"/>
      <x:c r="I4203" s="124"/>
      <x:c r="J4203" s="124"/>
      <x:c r="M4203" s="126"/>
      <x:c r="P4203" s="126"/>
      <x:c r="Q4203" s="126"/>
      <x:c r="R4203" s="126"/>
      <x:c r="S4203" s="124"/>
      <x:c r="T4203" s="124"/>
      <x:c r="U4203" s="124"/>
      <x:c r="V4203" s="124"/>
      <x:c r="W4203" s="124"/>
      <x:c r="X4203" s="124"/>
      <x:c r="AD4203"/>
      <x:c r="AE4203" s="145"/>
      <x:c r="AF4203" s="145"/>
      <x:c r="AG4203" s="145"/>
      <x:c r="AH4203" s="145"/>
      <x:c r="AI4203" s="145"/>
      <x:c r="AJ4203"/>
    </x:row>
    <x:row r="4204">
      <x:c r="F4204" s="124"/>
      <x:c r="G4204" s="124"/>
      <x:c r="H4204" s="124"/>
      <x:c r="I4204" s="124"/>
      <x:c r="J4204" s="124"/>
      <x:c r="M4204" s="126"/>
      <x:c r="P4204" s="126"/>
      <x:c r="Q4204" s="126"/>
      <x:c r="R4204" s="126"/>
      <x:c r="S4204" s="124"/>
      <x:c r="T4204" s="124"/>
      <x:c r="U4204" s="124"/>
      <x:c r="V4204" s="124"/>
      <x:c r="W4204" s="124"/>
      <x:c r="X4204" s="124"/>
      <x:c r="AD4204"/>
      <x:c r="AE4204" s="145"/>
      <x:c r="AF4204" s="145"/>
      <x:c r="AG4204" s="145"/>
      <x:c r="AH4204" s="145"/>
      <x:c r="AI4204" s="145"/>
      <x:c r="AJ4204"/>
    </x:row>
    <x:row r="4205">
      <x:c r="F4205" s="124"/>
      <x:c r="G4205" s="124"/>
      <x:c r="H4205" s="124"/>
      <x:c r="I4205" s="124"/>
      <x:c r="J4205" s="124"/>
      <x:c r="M4205" s="126"/>
      <x:c r="P4205" s="126"/>
      <x:c r="Q4205" s="126"/>
      <x:c r="R4205" s="126"/>
      <x:c r="S4205" s="124"/>
      <x:c r="T4205" s="124"/>
      <x:c r="U4205" s="124"/>
      <x:c r="V4205" s="124"/>
      <x:c r="W4205" s="124"/>
      <x:c r="X4205" s="124"/>
      <x:c r="AD4205"/>
      <x:c r="AE4205" s="145"/>
      <x:c r="AF4205" s="145"/>
      <x:c r="AG4205" s="145"/>
      <x:c r="AH4205" s="145"/>
      <x:c r="AI4205" s="145"/>
      <x:c r="AJ4205"/>
    </x:row>
    <x:row r="4206">
      <x:c r="F4206" s="124"/>
      <x:c r="G4206" s="124"/>
      <x:c r="H4206" s="124"/>
      <x:c r="I4206" s="124"/>
      <x:c r="J4206" s="124"/>
      <x:c r="M4206" s="126"/>
      <x:c r="P4206" s="126"/>
      <x:c r="Q4206" s="126"/>
      <x:c r="R4206" s="126"/>
      <x:c r="S4206" s="124"/>
      <x:c r="T4206" s="124"/>
      <x:c r="U4206" s="124"/>
      <x:c r="V4206" s="124"/>
      <x:c r="W4206" s="124"/>
      <x:c r="X4206" s="124"/>
      <x:c r="AD4206"/>
      <x:c r="AE4206" s="145"/>
      <x:c r="AF4206" s="145"/>
      <x:c r="AG4206" s="145"/>
      <x:c r="AH4206" s="145"/>
      <x:c r="AI4206" s="145"/>
      <x:c r="AJ4206"/>
    </x:row>
    <x:row r="4207">
      <x:c r="F4207" s="124"/>
      <x:c r="G4207" s="124"/>
      <x:c r="H4207" s="124"/>
      <x:c r="I4207" s="124"/>
      <x:c r="J4207" s="124"/>
      <x:c r="M4207" s="126"/>
      <x:c r="P4207" s="126"/>
      <x:c r="Q4207" s="126"/>
      <x:c r="R4207" s="126"/>
      <x:c r="S4207" s="124"/>
      <x:c r="T4207" s="124"/>
      <x:c r="U4207" s="124"/>
      <x:c r="V4207" s="124"/>
      <x:c r="W4207" s="124"/>
      <x:c r="X4207" s="124"/>
      <x:c r="AD4207"/>
      <x:c r="AE4207" s="145"/>
      <x:c r="AF4207" s="145"/>
      <x:c r="AG4207" s="145"/>
      <x:c r="AH4207" s="145"/>
      <x:c r="AI4207" s="145"/>
      <x:c r="AJ4207"/>
    </x:row>
    <x:row r="4208">
      <x:c r="F4208" s="124"/>
      <x:c r="G4208" s="124"/>
      <x:c r="H4208" s="124"/>
      <x:c r="I4208" s="124"/>
      <x:c r="J4208" s="124"/>
      <x:c r="M4208" s="126"/>
      <x:c r="P4208" s="126"/>
      <x:c r="Q4208" s="126"/>
      <x:c r="R4208" s="126"/>
      <x:c r="S4208" s="124"/>
      <x:c r="T4208" s="124"/>
      <x:c r="U4208" s="124"/>
      <x:c r="V4208" s="124"/>
      <x:c r="W4208" s="124"/>
      <x:c r="X4208" s="124"/>
      <x:c r="AD4208"/>
      <x:c r="AE4208" s="145"/>
      <x:c r="AF4208" s="145"/>
      <x:c r="AG4208" s="145"/>
      <x:c r="AH4208" s="145"/>
      <x:c r="AI4208" s="145"/>
      <x:c r="AJ4208"/>
    </x:row>
    <x:row r="4209">
      <x:c r="F4209" s="124"/>
      <x:c r="G4209" s="124"/>
      <x:c r="H4209" s="124"/>
      <x:c r="I4209" s="124"/>
      <x:c r="J4209" s="124"/>
      <x:c r="M4209" s="126"/>
      <x:c r="P4209" s="126"/>
      <x:c r="Q4209" s="126"/>
      <x:c r="R4209" s="126"/>
      <x:c r="S4209" s="124"/>
      <x:c r="T4209" s="124"/>
      <x:c r="U4209" s="124"/>
      <x:c r="V4209" s="124"/>
      <x:c r="W4209" s="124"/>
      <x:c r="X4209" s="124"/>
      <x:c r="AD4209"/>
      <x:c r="AE4209" s="145"/>
      <x:c r="AF4209" s="145"/>
      <x:c r="AG4209" s="145"/>
      <x:c r="AH4209" s="145"/>
      <x:c r="AI4209" s="145"/>
      <x:c r="AJ4209"/>
    </x:row>
    <x:row r="4210">
      <x:c r="F4210" s="124"/>
      <x:c r="G4210" s="124"/>
      <x:c r="H4210" s="124"/>
      <x:c r="I4210" s="124"/>
      <x:c r="J4210" s="124"/>
      <x:c r="M4210" s="126"/>
      <x:c r="P4210" s="126"/>
      <x:c r="Q4210" s="126"/>
      <x:c r="R4210" s="126"/>
      <x:c r="S4210" s="124"/>
      <x:c r="T4210" s="124"/>
      <x:c r="U4210" s="124"/>
      <x:c r="V4210" s="124"/>
      <x:c r="W4210" s="124"/>
      <x:c r="X4210" s="124"/>
      <x:c r="AD4210"/>
      <x:c r="AE4210" s="145"/>
      <x:c r="AF4210" s="145"/>
      <x:c r="AG4210" s="145"/>
      <x:c r="AH4210" s="145"/>
      <x:c r="AI4210" s="145"/>
      <x:c r="AJ4210"/>
    </x:row>
    <x:row r="4211">
      <x:c r="F4211" s="124"/>
      <x:c r="G4211" s="124"/>
      <x:c r="H4211" s="124"/>
      <x:c r="I4211" s="124"/>
      <x:c r="J4211" s="124"/>
      <x:c r="M4211" s="126"/>
      <x:c r="P4211" s="126"/>
      <x:c r="Q4211" s="126"/>
      <x:c r="R4211" s="126"/>
      <x:c r="S4211" s="124"/>
      <x:c r="T4211" s="124"/>
      <x:c r="U4211" s="124"/>
      <x:c r="V4211" s="124"/>
      <x:c r="W4211" s="124"/>
      <x:c r="X4211" s="124"/>
      <x:c r="AD4211"/>
      <x:c r="AE4211" s="145"/>
      <x:c r="AF4211" s="145"/>
      <x:c r="AG4211" s="145"/>
      <x:c r="AH4211" s="145"/>
      <x:c r="AI4211" s="145"/>
      <x:c r="AJ4211"/>
    </x:row>
    <x:row r="4212">
      <x:c r="F4212" s="124"/>
      <x:c r="G4212" s="124"/>
      <x:c r="H4212" s="124"/>
      <x:c r="I4212" s="124"/>
      <x:c r="J4212" s="124"/>
      <x:c r="M4212" s="126"/>
      <x:c r="P4212" s="126"/>
      <x:c r="Q4212" s="126"/>
      <x:c r="R4212" s="126"/>
      <x:c r="S4212" s="124"/>
      <x:c r="T4212" s="124"/>
      <x:c r="U4212" s="124"/>
      <x:c r="V4212" s="124"/>
      <x:c r="W4212" s="124"/>
      <x:c r="X4212" s="124"/>
      <x:c r="AD4212"/>
      <x:c r="AE4212" s="145"/>
      <x:c r="AF4212" s="145"/>
      <x:c r="AG4212" s="145"/>
      <x:c r="AH4212" s="145"/>
      <x:c r="AI4212" s="145"/>
      <x:c r="AJ4212"/>
    </x:row>
    <x:row r="4213">
      <x:c r="F4213" s="124"/>
      <x:c r="G4213" s="124"/>
      <x:c r="H4213" s="124"/>
      <x:c r="I4213" s="124"/>
      <x:c r="J4213" s="124"/>
      <x:c r="M4213" s="126"/>
      <x:c r="P4213" s="126"/>
      <x:c r="Q4213" s="126"/>
      <x:c r="R4213" s="126"/>
      <x:c r="S4213" s="124"/>
      <x:c r="T4213" s="124"/>
      <x:c r="U4213" s="124"/>
      <x:c r="V4213" s="124"/>
      <x:c r="W4213" s="124"/>
      <x:c r="X4213" s="124"/>
      <x:c r="AD4213"/>
      <x:c r="AE4213" s="145"/>
      <x:c r="AF4213" s="145"/>
      <x:c r="AG4213" s="145"/>
      <x:c r="AH4213" s="145"/>
      <x:c r="AI4213" s="145"/>
      <x:c r="AJ4213"/>
    </x:row>
    <x:row r="4214">
      <x:c r="F4214" s="124"/>
      <x:c r="G4214" s="124"/>
      <x:c r="H4214" s="124"/>
      <x:c r="I4214" s="124"/>
      <x:c r="J4214" s="124"/>
      <x:c r="M4214" s="126"/>
      <x:c r="P4214" s="126"/>
      <x:c r="Q4214" s="126"/>
      <x:c r="R4214" s="126"/>
      <x:c r="S4214" s="124"/>
      <x:c r="T4214" s="124"/>
      <x:c r="U4214" s="124"/>
      <x:c r="V4214" s="124"/>
      <x:c r="W4214" s="124"/>
      <x:c r="X4214" s="124"/>
      <x:c r="AD4214"/>
      <x:c r="AE4214" s="145"/>
      <x:c r="AF4214" s="145"/>
      <x:c r="AG4214" s="145"/>
      <x:c r="AH4214" s="145"/>
      <x:c r="AI4214" s="145"/>
      <x:c r="AJ4214"/>
    </x:row>
    <x:row r="4215">
      <x:c r="F4215" s="124"/>
      <x:c r="G4215" s="124"/>
      <x:c r="H4215" s="124"/>
      <x:c r="I4215" s="124"/>
      <x:c r="J4215" s="124"/>
      <x:c r="M4215" s="126"/>
      <x:c r="P4215" s="126"/>
      <x:c r="Q4215" s="126"/>
      <x:c r="R4215" s="126"/>
      <x:c r="S4215" s="124"/>
      <x:c r="T4215" s="124"/>
      <x:c r="U4215" s="124"/>
      <x:c r="V4215" s="124"/>
      <x:c r="W4215" s="124"/>
      <x:c r="X4215" s="124"/>
      <x:c r="AD4215"/>
      <x:c r="AE4215" s="145"/>
      <x:c r="AF4215" s="145"/>
      <x:c r="AG4215" s="145"/>
      <x:c r="AH4215" s="145"/>
      <x:c r="AI4215" s="145"/>
      <x:c r="AJ4215"/>
    </x:row>
    <x:row r="4216">
      <x:c r="F4216" s="124"/>
      <x:c r="G4216" s="124"/>
      <x:c r="H4216" s="124"/>
      <x:c r="I4216" s="124"/>
      <x:c r="J4216" s="124"/>
      <x:c r="M4216" s="126"/>
      <x:c r="P4216" s="126"/>
      <x:c r="Q4216" s="126"/>
      <x:c r="R4216" s="126"/>
      <x:c r="S4216" s="124"/>
      <x:c r="T4216" s="124"/>
      <x:c r="U4216" s="124"/>
      <x:c r="V4216" s="124"/>
      <x:c r="W4216" s="124"/>
      <x:c r="X4216" s="124"/>
      <x:c r="AD4216"/>
      <x:c r="AE4216" s="145"/>
      <x:c r="AF4216" s="145"/>
      <x:c r="AG4216" s="145"/>
      <x:c r="AH4216" s="145"/>
      <x:c r="AI4216" s="145"/>
      <x:c r="AJ4216"/>
    </x:row>
    <x:row r="4217">
      <x:c r="F4217" s="124"/>
      <x:c r="G4217" s="124"/>
      <x:c r="H4217" s="124"/>
      <x:c r="I4217" s="124"/>
      <x:c r="J4217" s="124"/>
      <x:c r="M4217" s="126"/>
      <x:c r="P4217" s="126"/>
      <x:c r="Q4217" s="126"/>
      <x:c r="R4217" s="126"/>
      <x:c r="S4217" s="124"/>
      <x:c r="T4217" s="124"/>
      <x:c r="U4217" s="124"/>
      <x:c r="V4217" s="124"/>
      <x:c r="W4217" s="124"/>
      <x:c r="X4217" s="124"/>
      <x:c r="AD4217"/>
      <x:c r="AE4217" s="145"/>
      <x:c r="AF4217" s="145"/>
      <x:c r="AG4217" s="145"/>
      <x:c r="AH4217" s="145"/>
      <x:c r="AI4217" s="145"/>
      <x:c r="AJ4217"/>
    </x:row>
    <x:row r="4218">
      <x:c r="F4218" s="124"/>
      <x:c r="G4218" s="124"/>
      <x:c r="H4218" s="124"/>
      <x:c r="I4218" s="124"/>
      <x:c r="J4218" s="124"/>
      <x:c r="M4218" s="126"/>
      <x:c r="P4218" s="126"/>
      <x:c r="Q4218" s="126"/>
      <x:c r="R4218" s="126"/>
      <x:c r="S4218" s="124"/>
      <x:c r="T4218" s="124"/>
      <x:c r="U4218" s="124"/>
      <x:c r="V4218" s="124"/>
      <x:c r="W4218" s="124"/>
      <x:c r="X4218" s="124"/>
      <x:c r="AD4218"/>
      <x:c r="AE4218" s="145"/>
      <x:c r="AF4218" s="145"/>
      <x:c r="AG4218" s="145"/>
      <x:c r="AH4218" s="145"/>
      <x:c r="AI4218" s="145"/>
      <x:c r="AJ4218"/>
    </x:row>
    <x:row r="4219">
      <x:c r="F4219" s="124"/>
      <x:c r="G4219" s="124"/>
      <x:c r="H4219" s="124"/>
      <x:c r="I4219" s="124"/>
      <x:c r="J4219" s="124"/>
      <x:c r="M4219" s="126"/>
      <x:c r="P4219" s="126"/>
      <x:c r="Q4219" s="126"/>
      <x:c r="R4219" s="126"/>
      <x:c r="S4219" s="124"/>
      <x:c r="T4219" s="124"/>
      <x:c r="U4219" s="124"/>
      <x:c r="V4219" s="124"/>
      <x:c r="W4219" s="124"/>
      <x:c r="X4219" s="124"/>
      <x:c r="AD4219"/>
      <x:c r="AE4219" s="145"/>
      <x:c r="AF4219" s="145"/>
      <x:c r="AG4219" s="145"/>
      <x:c r="AH4219" s="145"/>
      <x:c r="AI4219" s="145"/>
      <x:c r="AJ4219"/>
    </x:row>
    <x:row r="4220">
      <x:c r="F4220" s="124"/>
      <x:c r="G4220" s="124"/>
      <x:c r="H4220" s="124"/>
      <x:c r="I4220" s="124"/>
      <x:c r="J4220" s="124"/>
      <x:c r="M4220" s="126"/>
      <x:c r="P4220" s="126"/>
      <x:c r="Q4220" s="126"/>
      <x:c r="R4220" s="126"/>
      <x:c r="S4220" s="124"/>
      <x:c r="T4220" s="124"/>
      <x:c r="U4220" s="124"/>
      <x:c r="V4220" s="124"/>
      <x:c r="W4220" s="124"/>
      <x:c r="X4220" s="124"/>
      <x:c r="AD4220"/>
      <x:c r="AE4220" s="145"/>
      <x:c r="AF4220" s="145"/>
      <x:c r="AG4220" s="145"/>
      <x:c r="AH4220" s="145"/>
      <x:c r="AI4220" s="145"/>
      <x:c r="AJ4220"/>
    </x:row>
    <x:row r="4221">
      <x:c r="F4221" s="124"/>
      <x:c r="G4221" s="124"/>
      <x:c r="H4221" s="124"/>
      <x:c r="I4221" s="124"/>
      <x:c r="J4221" s="124"/>
      <x:c r="M4221" s="126"/>
      <x:c r="P4221" s="126"/>
      <x:c r="Q4221" s="126"/>
      <x:c r="R4221" s="126"/>
      <x:c r="S4221" s="124"/>
      <x:c r="T4221" s="124"/>
      <x:c r="U4221" s="124"/>
      <x:c r="V4221" s="124"/>
      <x:c r="W4221" s="124"/>
      <x:c r="X4221" s="124"/>
      <x:c r="AD4221"/>
      <x:c r="AE4221" s="145"/>
      <x:c r="AF4221" s="145"/>
      <x:c r="AG4221" s="145"/>
      <x:c r="AH4221" s="145"/>
      <x:c r="AI4221" s="145"/>
      <x:c r="AJ4221"/>
    </x:row>
    <x:row r="4222">
      <x:c r="F4222" s="124"/>
      <x:c r="G4222" s="124"/>
      <x:c r="H4222" s="124"/>
      <x:c r="I4222" s="124"/>
      <x:c r="J4222" s="124"/>
      <x:c r="M4222" s="126"/>
      <x:c r="P4222" s="126"/>
      <x:c r="Q4222" s="126"/>
      <x:c r="R4222" s="126"/>
      <x:c r="S4222" s="124"/>
      <x:c r="T4222" s="124"/>
      <x:c r="U4222" s="124"/>
      <x:c r="V4222" s="124"/>
      <x:c r="W4222" s="124"/>
      <x:c r="X4222" s="124"/>
      <x:c r="AD4222"/>
      <x:c r="AE4222" s="145"/>
      <x:c r="AF4222" s="145"/>
      <x:c r="AG4222" s="145"/>
      <x:c r="AH4222" s="145"/>
      <x:c r="AI4222" s="145"/>
      <x:c r="AJ4222"/>
    </x:row>
    <x:row r="4223">
      <x:c r="F4223" s="124"/>
      <x:c r="G4223" s="124"/>
      <x:c r="H4223" s="124"/>
      <x:c r="I4223" s="124"/>
      <x:c r="J4223" s="124"/>
      <x:c r="M4223" s="126"/>
      <x:c r="P4223" s="126"/>
      <x:c r="Q4223" s="126"/>
      <x:c r="R4223" s="126"/>
      <x:c r="S4223" s="124"/>
      <x:c r="T4223" s="124"/>
      <x:c r="U4223" s="124"/>
      <x:c r="V4223" s="124"/>
      <x:c r="W4223" s="124"/>
      <x:c r="X4223" s="124"/>
      <x:c r="AD4223"/>
      <x:c r="AE4223" s="145"/>
      <x:c r="AF4223" s="145"/>
      <x:c r="AG4223" s="145"/>
      <x:c r="AH4223" s="145"/>
      <x:c r="AI4223" s="145"/>
      <x:c r="AJ4223"/>
    </x:row>
    <x:row r="4224">
      <x:c r="F4224" s="124"/>
      <x:c r="G4224" s="124"/>
      <x:c r="H4224" s="124"/>
      <x:c r="I4224" s="124"/>
      <x:c r="J4224" s="124"/>
      <x:c r="M4224" s="126"/>
      <x:c r="P4224" s="126"/>
      <x:c r="Q4224" s="126"/>
      <x:c r="R4224" s="126"/>
      <x:c r="S4224" s="124"/>
      <x:c r="T4224" s="124"/>
      <x:c r="U4224" s="124"/>
      <x:c r="V4224" s="124"/>
      <x:c r="W4224" s="124"/>
      <x:c r="X4224" s="124"/>
      <x:c r="AD4224"/>
      <x:c r="AE4224" s="145"/>
      <x:c r="AF4224" s="145"/>
      <x:c r="AG4224" s="145"/>
      <x:c r="AH4224" s="145"/>
      <x:c r="AI4224" s="145"/>
      <x:c r="AJ4224"/>
    </x:row>
    <x:row r="4225">
      <x:c r="F4225" s="124"/>
      <x:c r="G4225" s="124"/>
      <x:c r="H4225" s="124"/>
      <x:c r="I4225" s="124"/>
      <x:c r="J4225" s="124"/>
      <x:c r="M4225" s="126"/>
      <x:c r="P4225" s="126"/>
      <x:c r="Q4225" s="126"/>
      <x:c r="R4225" s="126"/>
      <x:c r="S4225" s="124"/>
      <x:c r="T4225" s="124"/>
      <x:c r="U4225" s="124"/>
      <x:c r="V4225" s="124"/>
      <x:c r="W4225" s="124"/>
      <x:c r="X4225" s="124"/>
      <x:c r="AD4225"/>
      <x:c r="AE4225" s="145"/>
      <x:c r="AF4225" s="145"/>
      <x:c r="AG4225" s="145"/>
      <x:c r="AH4225" s="145"/>
      <x:c r="AI4225" s="145"/>
      <x:c r="AJ4225"/>
    </x:row>
    <x:row r="4226">
      <x:c r="F4226" s="124"/>
      <x:c r="G4226" s="124"/>
      <x:c r="H4226" s="124"/>
      <x:c r="I4226" s="124"/>
      <x:c r="J4226" s="124"/>
      <x:c r="M4226" s="126"/>
      <x:c r="P4226" s="126"/>
      <x:c r="Q4226" s="126"/>
      <x:c r="R4226" s="126"/>
      <x:c r="S4226" s="124"/>
      <x:c r="T4226" s="124"/>
      <x:c r="U4226" s="124"/>
      <x:c r="V4226" s="124"/>
      <x:c r="W4226" s="124"/>
      <x:c r="X4226" s="124"/>
      <x:c r="AD4226"/>
      <x:c r="AE4226" s="145"/>
      <x:c r="AF4226" s="145"/>
      <x:c r="AG4226" s="145"/>
      <x:c r="AH4226" s="145"/>
      <x:c r="AI4226" s="145"/>
      <x:c r="AJ4226"/>
    </x:row>
    <x:row r="4227">
      <x:c r="F4227" s="124"/>
      <x:c r="G4227" s="124"/>
      <x:c r="H4227" s="124"/>
      <x:c r="I4227" s="124"/>
      <x:c r="J4227" s="124"/>
      <x:c r="M4227" s="126"/>
      <x:c r="P4227" s="126"/>
      <x:c r="Q4227" s="126"/>
      <x:c r="R4227" s="126"/>
      <x:c r="S4227" s="124"/>
      <x:c r="T4227" s="124"/>
      <x:c r="U4227" s="124"/>
      <x:c r="V4227" s="124"/>
      <x:c r="W4227" s="124"/>
      <x:c r="X4227" s="124"/>
      <x:c r="AD4227"/>
      <x:c r="AE4227" s="145"/>
      <x:c r="AF4227" s="145"/>
      <x:c r="AG4227" s="145"/>
      <x:c r="AH4227" s="145"/>
      <x:c r="AI4227" s="145"/>
      <x:c r="AJ4227"/>
    </x:row>
    <x:row r="4228">
      <x:c r="F4228" s="124"/>
      <x:c r="G4228" s="124"/>
      <x:c r="H4228" s="124"/>
      <x:c r="I4228" s="124"/>
      <x:c r="J4228" s="124"/>
      <x:c r="M4228" s="126"/>
      <x:c r="P4228" s="126"/>
      <x:c r="Q4228" s="126"/>
      <x:c r="R4228" s="126"/>
      <x:c r="S4228" s="124"/>
      <x:c r="T4228" s="124"/>
      <x:c r="U4228" s="124"/>
      <x:c r="V4228" s="124"/>
      <x:c r="W4228" s="124"/>
      <x:c r="X4228" s="124"/>
      <x:c r="AD4228"/>
      <x:c r="AE4228" s="145"/>
      <x:c r="AF4228" s="145"/>
      <x:c r="AG4228" s="145"/>
      <x:c r="AH4228" s="145"/>
      <x:c r="AI4228" s="145"/>
      <x:c r="AJ4228"/>
    </x:row>
    <x:row r="4229">
      <x:c r="F4229" s="124"/>
      <x:c r="G4229" s="124"/>
      <x:c r="H4229" s="124"/>
      <x:c r="I4229" s="124"/>
      <x:c r="J4229" s="124"/>
      <x:c r="M4229" s="126"/>
      <x:c r="P4229" s="126"/>
      <x:c r="Q4229" s="126"/>
      <x:c r="R4229" s="126"/>
      <x:c r="S4229" s="124"/>
      <x:c r="T4229" s="124"/>
      <x:c r="U4229" s="124"/>
      <x:c r="V4229" s="124"/>
      <x:c r="W4229" s="124"/>
      <x:c r="X4229" s="124"/>
      <x:c r="AD4229"/>
      <x:c r="AE4229" s="145"/>
      <x:c r="AF4229" s="145"/>
      <x:c r="AG4229" s="145"/>
      <x:c r="AH4229" s="145"/>
      <x:c r="AI4229" s="145"/>
      <x:c r="AJ4229"/>
    </x:row>
    <x:row r="4230">
      <x:c r="F4230" s="124"/>
      <x:c r="G4230" s="124"/>
      <x:c r="H4230" s="124"/>
      <x:c r="I4230" s="124"/>
      <x:c r="J4230" s="124"/>
      <x:c r="M4230" s="126"/>
      <x:c r="P4230" s="126"/>
      <x:c r="Q4230" s="126"/>
      <x:c r="R4230" s="126"/>
      <x:c r="S4230" s="124"/>
      <x:c r="T4230" s="124"/>
      <x:c r="U4230" s="124"/>
      <x:c r="V4230" s="124"/>
      <x:c r="W4230" s="124"/>
      <x:c r="X4230" s="124"/>
      <x:c r="AD4230"/>
      <x:c r="AE4230" s="145"/>
      <x:c r="AF4230" s="145"/>
      <x:c r="AG4230" s="145"/>
      <x:c r="AH4230" s="145"/>
      <x:c r="AI4230" s="145"/>
      <x:c r="AJ4230"/>
    </x:row>
    <x:row r="4231">
      <x:c r="F4231" s="124"/>
      <x:c r="G4231" s="124"/>
      <x:c r="H4231" s="124"/>
      <x:c r="I4231" s="124"/>
      <x:c r="J4231" s="124"/>
      <x:c r="M4231" s="126"/>
      <x:c r="P4231" s="126"/>
      <x:c r="Q4231" s="126"/>
      <x:c r="R4231" s="126"/>
      <x:c r="S4231" s="124"/>
      <x:c r="T4231" s="124"/>
      <x:c r="U4231" s="124"/>
      <x:c r="V4231" s="124"/>
      <x:c r="W4231" s="124"/>
      <x:c r="X4231" s="124"/>
      <x:c r="AD4231"/>
      <x:c r="AE4231" s="145"/>
      <x:c r="AF4231" s="145"/>
      <x:c r="AG4231" s="145"/>
      <x:c r="AH4231" s="145"/>
      <x:c r="AI4231" s="145"/>
      <x:c r="AJ4231"/>
    </x:row>
    <x:row r="4232">
      <x:c r="F4232" s="124"/>
      <x:c r="G4232" s="124"/>
      <x:c r="H4232" s="124"/>
      <x:c r="I4232" s="124"/>
      <x:c r="J4232" s="124"/>
      <x:c r="M4232" s="126"/>
      <x:c r="P4232" s="126"/>
      <x:c r="Q4232" s="126"/>
      <x:c r="R4232" s="126"/>
      <x:c r="S4232" s="124"/>
      <x:c r="T4232" s="124"/>
      <x:c r="U4232" s="124"/>
      <x:c r="V4232" s="124"/>
      <x:c r="W4232" s="124"/>
      <x:c r="X4232" s="124"/>
      <x:c r="AD4232"/>
      <x:c r="AE4232" s="145"/>
      <x:c r="AF4232" s="145"/>
      <x:c r="AG4232" s="145"/>
      <x:c r="AH4232" s="145"/>
      <x:c r="AI4232" s="145"/>
      <x:c r="AJ4232"/>
    </x:row>
    <x:row r="4233">
      <x:c r="F4233" s="124"/>
      <x:c r="G4233" s="124"/>
      <x:c r="H4233" s="124"/>
      <x:c r="I4233" s="124"/>
      <x:c r="J4233" s="124"/>
      <x:c r="M4233" s="126"/>
      <x:c r="P4233" s="126"/>
      <x:c r="Q4233" s="126"/>
      <x:c r="R4233" s="126"/>
      <x:c r="S4233" s="124"/>
      <x:c r="T4233" s="124"/>
      <x:c r="U4233" s="124"/>
      <x:c r="V4233" s="124"/>
      <x:c r="W4233" s="124"/>
      <x:c r="X4233" s="124"/>
      <x:c r="AD4233"/>
      <x:c r="AE4233" s="145"/>
      <x:c r="AF4233" s="145"/>
      <x:c r="AG4233" s="145"/>
      <x:c r="AH4233" s="145"/>
      <x:c r="AI4233" s="145"/>
      <x:c r="AJ4233"/>
    </x:row>
    <x:row r="4234">
      <x:c r="F4234" s="124"/>
      <x:c r="G4234" s="124"/>
      <x:c r="H4234" s="124"/>
      <x:c r="I4234" s="124"/>
      <x:c r="J4234" s="124"/>
      <x:c r="M4234" s="126"/>
      <x:c r="P4234" s="126"/>
      <x:c r="Q4234" s="126"/>
      <x:c r="R4234" s="126"/>
      <x:c r="S4234" s="124"/>
      <x:c r="T4234" s="124"/>
      <x:c r="U4234" s="124"/>
      <x:c r="V4234" s="124"/>
      <x:c r="W4234" s="124"/>
      <x:c r="X4234" s="124"/>
      <x:c r="AD4234"/>
      <x:c r="AE4234" s="145"/>
      <x:c r="AF4234" s="145"/>
      <x:c r="AG4234" s="145"/>
      <x:c r="AH4234" s="145"/>
      <x:c r="AI4234" s="145"/>
      <x:c r="AJ4234"/>
    </x:row>
    <x:row r="4235">
      <x:c r="F4235" s="124"/>
      <x:c r="G4235" s="124"/>
      <x:c r="H4235" s="124"/>
      <x:c r="I4235" s="124"/>
      <x:c r="J4235" s="124"/>
      <x:c r="M4235" s="126"/>
      <x:c r="P4235" s="126"/>
      <x:c r="Q4235" s="126"/>
      <x:c r="R4235" s="126"/>
      <x:c r="S4235" s="124"/>
      <x:c r="T4235" s="124"/>
      <x:c r="U4235" s="124"/>
      <x:c r="V4235" s="124"/>
      <x:c r="W4235" s="124"/>
      <x:c r="X4235" s="124"/>
      <x:c r="AD4235"/>
      <x:c r="AE4235" s="145"/>
      <x:c r="AF4235" s="145"/>
      <x:c r="AG4235" s="145"/>
      <x:c r="AH4235" s="145"/>
      <x:c r="AI4235" s="145"/>
      <x:c r="AJ4235"/>
    </x:row>
    <x:row r="4236">
      <x:c r="F4236" s="124"/>
      <x:c r="G4236" s="124"/>
      <x:c r="H4236" s="124"/>
      <x:c r="I4236" s="124"/>
      <x:c r="J4236" s="124"/>
      <x:c r="M4236" s="126"/>
      <x:c r="P4236" s="126"/>
      <x:c r="Q4236" s="126"/>
      <x:c r="R4236" s="126"/>
      <x:c r="S4236" s="124"/>
      <x:c r="T4236" s="124"/>
      <x:c r="U4236" s="124"/>
      <x:c r="V4236" s="124"/>
      <x:c r="W4236" s="124"/>
      <x:c r="X4236" s="124"/>
      <x:c r="AD4236"/>
      <x:c r="AE4236" s="145"/>
      <x:c r="AF4236" s="145"/>
      <x:c r="AG4236" s="145"/>
      <x:c r="AH4236" s="145"/>
      <x:c r="AI4236" s="145"/>
      <x:c r="AJ4236"/>
    </x:row>
    <x:row r="4237">
      <x:c r="F4237" s="124"/>
      <x:c r="G4237" s="124"/>
      <x:c r="H4237" s="124"/>
      <x:c r="I4237" s="124"/>
      <x:c r="J4237" s="124"/>
      <x:c r="M4237" s="126"/>
      <x:c r="P4237" s="126"/>
      <x:c r="Q4237" s="126"/>
      <x:c r="R4237" s="126"/>
      <x:c r="S4237" s="124"/>
      <x:c r="T4237" s="124"/>
      <x:c r="U4237" s="124"/>
      <x:c r="V4237" s="124"/>
      <x:c r="W4237" s="124"/>
      <x:c r="X4237" s="124"/>
      <x:c r="AD4237"/>
      <x:c r="AE4237" s="145"/>
      <x:c r="AF4237" s="145"/>
      <x:c r="AG4237" s="145"/>
      <x:c r="AH4237" s="145"/>
      <x:c r="AI4237" s="145"/>
      <x:c r="AJ4237"/>
    </x:row>
    <x:row r="4238">
      <x:c r="F4238" s="124"/>
      <x:c r="G4238" s="124"/>
      <x:c r="H4238" s="124"/>
      <x:c r="I4238" s="124"/>
      <x:c r="J4238" s="124"/>
      <x:c r="M4238" s="126"/>
      <x:c r="P4238" s="126"/>
      <x:c r="Q4238" s="126"/>
      <x:c r="R4238" s="126"/>
      <x:c r="S4238" s="124"/>
      <x:c r="T4238" s="124"/>
      <x:c r="U4238" s="124"/>
      <x:c r="V4238" s="124"/>
      <x:c r="W4238" s="124"/>
      <x:c r="X4238" s="124"/>
      <x:c r="AD4238"/>
      <x:c r="AE4238" s="145"/>
      <x:c r="AF4238" s="145"/>
      <x:c r="AG4238" s="145"/>
      <x:c r="AH4238" s="145"/>
      <x:c r="AI4238" s="145"/>
      <x:c r="AJ4238"/>
    </x:row>
    <x:row r="4239">
      <x:c r="F4239" s="124"/>
      <x:c r="G4239" s="124"/>
      <x:c r="H4239" s="124"/>
      <x:c r="I4239" s="124"/>
      <x:c r="J4239" s="124"/>
      <x:c r="M4239" s="126"/>
      <x:c r="P4239" s="126"/>
      <x:c r="Q4239" s="126"/>
      <x:c r="R4239" s="126"/>
      <x:c r="S4239" s="124"/>
      <x:c r="T4239" s="124"/>
      <x:c r="U4239" s="124"/>
      <x:c r="V4239" s="124"/>
      <x:c r="W4239" s="124"/>
      <x:c r="X4239" s="124"/>
      <x:c r="AD4239"/>
      <x:c r="AE4239" s="145"/>
      <x:c r="AF4239" s="145"/>
      <x:c r="AG4239" s="145"/>
      <x:c r="AH4239" s="145"/>
      <x:c r="AI4239" s="145"/>
      <x:c r="AJ4239"/>
    </x:row>
    <x:row r="4240">
      <x:c r="F4240" s="124"/>
      <x:c r="G4240" s="124"/>
      <x:c r="H4240" s="124"/>
      <x:c r="I4240" s="124"/>
      <x:c r="J4240" s="124"/>
      <x:c r="M4240" s="126"/>
      <x:c r="P4240" s="126"/>
      <x:c r="Q4240" s="126"/>
      <x:c r="R4240" s="126"/>
      <x:c r="S4240" s="124"/>
      <x:c r="T4240" s="124"/>
      <x:c r="U4240" s="124"/>
      <x:c r="V4240" s="124"/>
      <x:c r="W4240" s="124"/>
      <x:c r="X4240" s="124"/>
      <x:c r="AD4240"/>
      <x:c r="AE4240" s="145"/>
      <x:c r="AF4240" s="145"/>
      <x:c r="AG4240" s="145"/>
      <x:c r="AH4240" s="145"/>
      <x:c r="AI4240" s="145"/>
      <x:c r="AJ4240"/>
    </x:row>
    <x:row r="4241">
      <x:c r="F4241" s="124"/>
      <x:c r="G4241" s="124"/>
      <x:c r="H4241" s="124"/>
      <x:c r="I4241" s="124"/>
      <x:c r="J4241" s="124"/>
      <x:c r="M4241" s="126"/>
      <x:c r="P4241" s="126"/>
      <x:c r="Q4241" s="126"/>
      <x:c r="R4241" s="126"/>
      <x:c r="S4241" s="124"/>
      <x:c r="T4241" s="124"/>
      <x:c r="U4241" s="124"/>
      <x:c r="V4241" s="124"/>
      <x:c r="W4241" s="124"/>
      <x:c r="X4241" s="124"/>
      <x:c r="AD4241"/>
      <x:c r="AE4241" s="145"/>
      <x:c r="AF4241" s="145"/>
      <x:c r="AG4241" s="145"/>
      <x:c r="AH4241" s="145"/>
      <x:c r="AI4241" s="145"/>
      <x:c r="AJ4241"/>
    </x:row>
    <x:row r="4242">
      <x:c r="F4242" s="124"/>
      <x:c r="G4242" s="124"/>
      <x:c r="H4242" s="124"/>
      <x:c r="I4242" s="124"/>
      <x:c r="J4242" s="124"/>
      <x:c r="M4242" s="126"/>
      <x:c r="P4242" s="126"/>
      <x:c r="Q4242" s="126"/>
      <x:c r="R4242" s="126"/>
      <x:c r="S4242" s="124"/>
      <x:c r="T4242" s="124"/>
      <x:c r="U4242" s="124"/>
      <x:c r="V4242" s="124"/>
      <x:c r="W4242" s="124"/>
      <x:c r="X4242" s="124"/>
      <x:c r="AD4242"/>
      <x:c r="AE4242" s="145"/>
      <x:c r="AF4242" s="145"/>
      <x:c r="AG4242" s="145"/>
      <x:c r="AH4242" s="145"/>
      <x:c r="AI4242" s="145"/>
      <x:c r="AJ4242"/>
    </x:row>
    <x:row r="4243">
      <x:c r="F4243" s="124"/>
      <x:c r="G4243" s="124"/>
      <x:c r="H4243" s="124"/>
      <x:c r="I4243" s="124"/>
      <x:c r="J4243" s="124"/>
      <x:c r="M4243" s="126"/>
      <x:c r="P4243" s="126"/>
      <x:c r="Q4243" s="126"/>
      <x:c r="R4243" s="126"/>
      <x:c r="S4243" s="124"/>
      <x:c r="T4243" s="124"/>
      <x:c r="U4243" s="124"/>
      <x:c r="V4243" s="124"/>
      <x:c r="W4243" s="124"/>
      <x:c r="X4243" s="124"/>
      <x:c r="AD4243"/>
      <x:c r="AE4243" s="145"/>
      <x:c r="AF4243" s="145"/>
      <x:c r="AG4243" s="145"/>
      <x:c r="AH4243" s="145"/>
      <x:c r="AI4243" s="145"/>
      <x:c r="AJ4243"/>
    </x:row>
    <x:row r="4244">
      <x:c r="F4244" s="124"/>
      <x:c r="G4244" s="124"/>
      <x:c r="H4244" s="124"/>
      <x:c r="I4244" s="124"/>
      <x:c r="J4244" s="124"/>
      <x:c r="M4244" s="126"/>
      <x:c r="P4244" s="126"/>
      <x:c r="Q4244" s="126"/>
      <x:c r="R4244" s="126"/>
      <x:c r="S4244" s="124"/>
      <x:c r="T4244" s="124"/>
      <x:c r="U4244" s="124"/>
      <x:c r="V4244" s="124"/>
      <x:c r="W4244" s="124"/>
      <x:c r="X4244" s="124"/>
      <x:c r="AD4244"/>
      <x:c r="AE4244" s="145"/>
      <x:c r="AF4244" s="145"/>
      <x:c r="AG4244" s="145"/>
      <x:c r="AH4244" s="145"/>
      <x:c r="AI4244" s="145"/>
      <x:c r="AJ4244"/>
    </x:row>
    <x:row r="4245">
      <x:c r="F4245" s="124"/>
      <x:c r="G4245" s="124"/>
      <x:c r="H4245" s="124"/>
      <x:c r="I4245" s="124"/>
      <x:c r="J4245" s="124"/>
      <x:c r="M4245" s="126"/>
      <x:c r="P4245" s="126"/>
      <x:c r="Q4245" s="126"/>
      <x:c r="R4245" s="126"/>
      <x:c r="S4245" s="124"/>
      <x:c r="T4245" s="124"/>
      <x:c r="U4245" s="124"/>
      <x:c r="V4245" s="124"/>
      <x:c r="W4245" s="124"/>
      <x:c r="X4245" s="124"/>
      <x:c r="AD4245"/>
      <x:c r="AE4245" s="145"/>
      <x:c r="AF4245" s="145"/>
      <x:c r="AG4245" s="145"/>
      <x:c r="AH4245" s="145"/>
      <x:c r="AI4245" s="145"/>
      <x:c r="AJ4245"/>
    </x:row>
    <x:row r="4246">
      <x:c r="F4246" s="124"/>
      <x:c r="G4246" s="124"/>
      <x:c r="H4246" s="124"/>
      <x:c r="I4246" s="124"/>
      <x:c r="J4246" s="124"/>
      <x:c r="M4246" s="126"/>
      <x:c r="P4246" s="126"/>
      <x:c r="Q4246" s="126"/>
      <x:c r="R4246" s="126"/>
      <x:c r="S4246" s="124"/>
      <x:c r="T4246" s="124"/>
      <x:c r="U4246" s="124"/>
      <x:c r="V4246" s="124"/>
      <x:c r="W4246" s="124"/>
      <x:c r="X4246" s="124"/>
      <x:c r="AD4246"/>
      <x:c r="AE4246" s="145"/>
      <x:c r="AF4246" s="145"/>
      <x:c r="AG4246" s="145"/>
      <x:c r="AH4246" s="145"/>
      <x:c r="AI4246" s="145"/>
      <x:c r="AJ4246"/>
    </x:row>
    <x:row r="4247">
      <x:c r="F4247" s="124"/>
      <x:c r="G4247" s="124"/>
      <x:c r="H4247" s="124"/>
      <x:c r="I4247" s="124"/>
      <x:c r="J4247" s="124"/>
      <x:c r="M4247" s="126"/>
      <x:c r="P4247" s="126"/>
      <x:c r="Q4247" s="126"/>
      <x:c r="R4247" s="126"/>
      <x:c r="S4247" s="124"/>
      <x:c r="T4247" s="124"/>
      <x:c r="U4247" s="124"/>
      <x:c r="V4247" s="124"/>
      <x:c r="W4247" s="124"/>
      <x:c r="X4247" s="124"/>
      <x:c r="AD4247"/>
      <x:c r="AE4247" s="145"/>
      <x:c r="AF4247" s="145"/>
      <x:c r="AG4247" s="145"/>
      <x:c r="AH4247" s="145"/>
      <x:c r="AI4247" s="145"/>
      <x:c r="AJ4247"/>
    </x:row>
    <x:row r="4248">
      <x:c r="F4248" s="124"/>
      <x:c r="G4248" s="124"/>
      <x:c r="H4248" s="124"/>
      <x:c r="I4248" s="124"/>
      <x:c r="J4248" s="124"/>
      <x:c r="M4248" s="126"/>
      <x:c r="P4248" s="126"/>
      <x:c r="Q4248" s="126"/>
      <x:c r="R4248" s="126"/>
      <x:c r="S4248" s="124"/>
      <x:c r="T4248" s="124"/>
      <x:c r="U4248" s="124"/>
      <x:c r="V4248" s="124"/>
      <x:c r="W4248" s="124"/>
      <x:c r="X4248" s="124"/>
      <x:c r="AD4248"/>
      <x:c r="AE4248" s="145"/>
      <x:c r="AF4248" s="145"/>
      <x:c r="AG4248" s="145"/>
      <x:c r="AH4248" s="145"/>
      <x:c r="AI4248" s="145"/>
      <x:c r="AJ4248"/>
    </x:row>
    <x:row r="4249">
      <x:c r="F4249" s="124"/>
      <x:c r="G4249" s="124"/>
      <x:c r="H4249" s="124"/>
      <x:c r="I4249" s="124"/>
      <x:c r="J4249" s="124"/>
      <x:c r="M4249" s="126"/>
      <x:c r="P4249" s="126"/>
      <x:c r="Q4249" s="126"/>
      <x:c r="R4249" s="126"/>
      <x:c r="S4249" s="124"/>
      <x:c r="T4249" s="124"/>
      <x:c r="U4249" s="124"/>
      <x:c r="V4249" s="124"/>
      <x:c r="W4249" s="124"/>
      <x:c r="X4249" s="124"/>
      <x:c r="AD4249"/>
      <x:c r="AE4249" s="145"/>
      <x:c r="AF4249" s="145"/>
      <x:c r="AG4249" s="145"/>
      <x:c r="AH4249" s="145"/>
      <x:c r="AI4249" s="145"/>
      <x:c r="AJ4249"/>
    </x:row>
    <x:row r="4250">
      <x:c r="F4250" s="124"/>
      <x:c r="G4250" s="124"/>
      <x:c r="H4250" s="124"/>
      <x:c r="I4250" s="124"/>
      <x:c r="J4250" s="124"/>
      <x:c r="M4250" s="126"/>
      <x:c r="P4250" s="126"/>
      <x:c r="Q4250" s="126"/>
      <x:c r="R4250" s="126"/>
      <x:c r="S4250" s="124"/>
      <x:c r="T4250" s="124"/>
      <x:c r="U4250" s="124"/>
      <x:c r="V4250" s="124"/>
      <x:c r="W4250" s="124"/>
      <x:c r="X4250" s="124"/>
      <x:c r="AD4250"/>
      <x:c r="AE4250" s="145"/>
      <x:c r="AF4250" s="145"/>
      <x:c r="AG4250" s="145"/>
      <x:c r="AH4250" s="145"/>
      <x:c r="AI4250" s="145"/>
      <x:c r="AJ4250"/>
    </x:row>
    <x:row r="4251">
      <x:c r="F4251" s="124"/>
      <x:c r="G4251" s="124"/>
      <x:c r="H4251" s="124"/>
      <x:c r="I4251" s="124"/>
      <x:c r="J4251" s="124"/>
      <x:c r="M4251" s="126"/>
      <x:c r="P4251" s="126"/>
      <x:c r="Q4251" s="126"/>
      <x:c r="R4251" s="126"/>
      <x:c r="S4251" s="124"/>
      <x:c r="T4251" s="124"/>
      <x:c r="U4251" s="124"/>
      <x:c r="V4251" s="124"/>
      <x:c r="W4251" s="124"/>
      <x:c r="X4251" s="124"/>
      <x:c r="AD4251"/>
      <x:c r="AE4251" s="145"/>
      <x:c r="AF4251" s="145"/>
      <x:c r="AG4251" s="145"/>
      <x:c r="AH4251" s="145"/>
      <x:c r="AI4251" s="145"/>
      <x:c r="AJ4251"/>
    </x:row>
    <x:row r="4252">
      <x:c r="F4252" s="124"/>
      <x:c r="G4252" s="124"/>
      <x:c r="H4252" s="124"/>
      <x:c r="I4252" s="124"/>
      <x:c r="J4252" s="124"/>
      <x:c r="M4252" s="126"/>
      <x:c r="P4252" s="126"/>
      <x:c r="Q4252" s="126"/>
      <x:c r="R4252" s="126"/>
      <x:c r="S4252" s="124"/>
      <x:c r="T4252" s="124"/>
      <x:c r="U4252" s="124"/>
      <x:c r="V4252" s="124"/>
      <x:c r="W4252" s="124"/>
      <x:c r="X4252" s="124"/>
      <x:c r="AD4252"/>
      <x:c r="AE4252" s="145"/>
      <x:c r="AF4252" s="145"/>
      <x:c r="AG4252" s="145"/>
      <x:c r="AH4252" s="145"/>
      <x:c r="AI4252" s="145"/>
      <x:c r="AJ4252"/>
    </x:row>
    <x:row r="4253">
      <x:c r="F4253" s="124"/>
      <x:c r="G4253" s="124"/>
      <x:c r="H4253" s="124"/>
      <x:c r="I4253" s="124"/>
      <x:c r="J4253" s="124"/>
      <x:c r="M4253" s="126"/>
      <x:c r="P4253" s="126"/>
      <x:c r="Q4253" s="126"/>
      <x:c r="R4253" s="126"/>
      <x:c r="S4253" s="124"/>
      <x:c r="T4253" s="124"/>
      <x:c r="U4253" s="124"/>
      <x:c r="V4253" s="124"/>
      <x:c r="W4253" s="124"/>
      <x:c r="X4253" s="124"/>
      <x:c r="AD4253"/>
      <x:c r="AE4253" s="145"/>
      <x:c r="AF4253" s="145"/>
      <x:c r="AG4253" s="145"/>
      <x:c r="AH4253" s="145"/>
      <x:c r="AI4253" s="145"/>
      <x:c r="AJ4253"/>
    </x:row>
    <x:row r="4254">
      <x:c r="F4254" s="124"/>
      <x:c r="G4254" s="124"/>
      <x:c r="H4254" s="124"/>
      <x:c r="I4254" s="124"/>
      <x:c r="J4254" s="124"/>
      <x:c r="M4254" s="126"/>
      <x:c r="P4254" s="126"/>
      <x:c r="Q4254" s="126"/>
      <x:c r="R4254" s="126"/>
      <x:c r="S4254" s="124"/>
      <x:c r="T4254" s="124"/>
      <x:c r="U4254" s="124"/>
      <x:c r="V4254" s="124"/>
      <x:c r="W4254" s="124"/>
      <x:c r="X4254" s="124"/>
      <x:c r="AD4254"/>
      <x:c r="AE4254" s="145"/>
      <x:c r="AF4254" s="145"/>
      <x:c r="AG4254" s="145"/>
      <x:c r="AH4254" s="145"/>
      <x:c r="AI4254" s="145"/>
      <x:c r="AJ4254"/>
    </x:row>
    <x:row r="4255">
      <x:c r="F4255" s="124"/>
      <x:c r="G4255" s="124"/>
      <x:c r="H4255" s="124"/>
      <x:c r="I4255" s="124"/>
      <x:c r="J4255" s="124"/>
      <x:c r="M4255" s="126"/>
      <x:c r="P4255" s="126"/>
      <x:c r="Q4255" s="126"/>
      <x:c r="R4255" s="126"/>
      <x:c r="S4255" s="124"/>
      <x:c r="T4255" s="124"/>
      <x:c r="U4255" s="124"/>
      <x:c r="V4255" s="124"/>
      <x:c r="W4255" s="124"/>
      <x:c r="X4255" s="124"/>
      <x:c r="AD4255"/>
      <x:c r="AE4255" s="145"/>
      <x:c r="AF4255" s="145"/>
      <x:c r="AG4255" s="145"/>
      <x:c r="AH4255" s="145"/>
      <x:c r="AI4255" s="145"/>
      <x:c r="AJ4255"/>
    </x:row>
    <x:row r="4256">
      <x:c r="F4256" s="124"/>
      <x:c r="G4256" s="124"/>
      <x:c r="H4256" s="124"/>
      <x:c r="I4256" s="124"/>
      <x:c r="J4256" s="124"/>
      <x:c r="M4256" s="126"/>
      <x:c r="P4256" s="126"/>
      <x:c r="Q4256" s="126"/>
      <x:c r="R4256" s="126"/>
      <x:c r="S4256" s="124"/>
      <x:c r="T4256" s="124"/>
      <x:c r="U4256" s="124"/>
      <x:c r="V4256" s="124"/>
      <x:c r="W4256" s="124"/>
      <x:c r="X4256" s="124"/>
      <x:c r="AD4256"/>
      <x:c r="AE4256" s="145"/>
      <x:c r="AF4256" s="145"/>
      <x:c r="AG4256" s="145"/>
      <x:c r="AH4256" s="145"/>
      <x:c r="AI4256" s="145"/>
      <x:c r="AJ4256"/>
    </x:row>
    <x:row r="4257">
      <x:c r="F4257" s="124"/>
      <x:c r="G4257" s="124"/>
      <x:c r="H4257" s="124"/>
      <x:c r="I4257" s="124"/>
      <x:c r="J4257" s="124"/>
      <x:c r="M4257" s="126"/>
      <x:c r="P4257" s="126"/>
      <x:c r="Q4257" s="126"/>
      <x:c r="R4257" s="126"/>
      <x:c r="S4257" s="124"/>
      <x:c r="T4257" s="124"/>
      <x:c r="U4257" s="124"/>
      <x:c r="V4257" s="124"/>
      <x:c r="W4257" s="124"/>
      <x:c r="X4257" s="124"/>
      <x:c r="AD4257"/>
      <x:c r="AE4257" s="145"/>
      <x:c r="AF4257" s="145"/>
      <x:c r="AG4257" s="145"/>
      <x:c r="AH4257" s="145"/>
      <x:c r="AI4257" s="145"/>
      <x:c r="AJ4257"/>
    </x:row>
    <x:row r="4258">
      <x:c r="F4258" s="124"/>
      <x:c r="G4258" s="124"/>
      <x:c r="H4258" s="124"/>
      <x:c r="I4258" s="124"/>
      <x:c r="J4258" s="124"/>
      <x:c r="M4258" s="126"/>
      <x:c r="P4258" s="126"/>
      <x:c r="Q4258" s="126"/>
      <x:c r="R4258" s="126"/>
      <x:c r="S4258" s="124"/>
      <x:c r="T4258" s="124"/>
      <x:c r="U4258" s="124"/>
      <x:c r="V4258" s="124"/>
      <x:c r="W4258" s="124"/>
      <x:c r="X4258" s="124"/>
      <x:c r="AD4258"/>
      <x:c r="AE4258" s="145"/>
      <x:c r="AF4258" s="145"/>
      <x:c r="AG4258" s="145"/>
      <x:c r="AH4258" s="145"/>
      <x:c r="AI4258" s="145"/>
      <x:c r="AJ4258"/>
    </x:row>
    <x:row r="4259">
      <x:c r="F4259" s="124"/>
      <x:c r="G4259" s="124"/>
      <x:c r="H4259" s="124"/>
      <x:c r="I4259" s="124"/>
      <x:c r="J4259" s="124"/>
      <x:c r="M4259" s="126"/>
      <x:c r="P4259" s="126"/>
      <x:c r="Q4259" s="126"/>
      <x:c r="R4259" s="126"/>
      <x:c r="S4259" s="124"/>
      <x:c r="T4259" s="124"/>
      <x:c r="U4259" s="124"/>
      <x:c r="V4259" s="124"/>
      <x:c r="W4259" s="124"/>
      <x:c r="X4259" s="124"/>
      <x:c r="AD4259"/>
      <x:c r="AE4259" s="145"/>
      <x:c r="AF4259" s="145"/>
      <x:c r="AG4259" s="145"/>
      <x:c r="AH4259" s="145"/>
      <x:c r="AI4259" s="145"/>
      <x:c r="AJ4259"/>
    </x:row>
    <x:row r="4260">
      <x:c r="F4260" s="124"/>
      <x:c r="G4260" s="124"/>
      <x:c r="H4260" s="124"/>
      <x:c r="I4260" s="124"/>
      <x:c r="J4260" s="124"/>
      <x:c r="M4260" s="126"/>
      <x:c r="P4260" s="126"/>
      <x:c r="Q4260" s="126"/>
      <x:c r="R4260" s="126"/>
      <x:c r="S4260" s="124"/>
      <x:c r="T4260" s="124"/>
      <x:c r="U4260" s="124"/>
      <x:c r="V4260" s="124"/>
      <x:c r="W4260" s="124"/>
      <x:c r="X4260" s="124"/>
      <x:c r="AD4260"/>
      <x:c r="AE4260" s="145"/>
      <x:c r="AF4260" s="145"/>
      <x:c r="AG4260" s="145"/>
      <x:c r="AH4260" s="145"/>
      <x:c r="AI4260" s="145"/>
      <x:c r="AJ4260"/>
    </x:row>
    <x:row r="4261">
      <x:c r="F4261" s="124"/>
      <x:c r="G4261" s="124"/>
      <x:c r="H4261" s="124"/>
      <x:c r="I4261" s="124"/>
      <x:c r="J4261" s="124"/>
      <x:c r="M4261" s="126"/>
      <x:c r="P4261" s="126"/>
      <x:c r="Q4261" s="126"/>
      <x:c r="R4261" s="126"/>
      <x:c r="S4261" s="124"/>
      <x:c r="T4261" s="124"/>
      <x:c r="U4261" s="124"/>
      <x:c r="V4261" s="124"/>
      <x:c r="W4261" s="124"/>
      <x:c r="X4261" s="124"/>
      <x:c r="AD4261"/>
      <x:c r="AE4261" s="145"/>
      <x:c r="AF4261" s="145"/>
      <x:c r="AG4261" s="145"/>
      <x:c r="AH4261" s="145"/>
      <x:c r="AI4261" s="145"/>
      <x:c r="AJ4261"/>
    </x:row>
    <x:row r="4262">
      <x:c r="F4262" s="124"/>
      <x:c r="G4262" s="124"/>
      <x:c r="H4262" s="124"/>
      <x:c r="I4262" s="124"/>
      <x:c r="J4262" s="124"/>
      <x:c r="M4262" s="126"/>
      <x:c r="P4262" s="126"/>
      <x:c r="Q4262" s="126"/>
      <x:c r="R4262" s="126"/>
      <x:c r="S4262" s="124"/>
      <x:c r="T4262" s="124"/>
      <x:c r="U4262" s="124"/>
      <x:c r="V4262" s="124"/>
      <x:c r="W4262" s="124"/>
      <x:c r="X4262" s="124"/>
      <x:c r="AD4262"/>
      <x:c r="AE4262" s="145"/>
      <x:c r="AF4262" s="145"/>
      <x:c r="AG4262" s="145"/>
      <x:c r="AH4262" s="145"/>
      <x:c r="AI4262" s="145"/>
      <x:c r="AJ4262"/>
    </x:row>
    <x:row r="4263">
      <x:c r="F4263" s="124"/>
      <x:c r="G4263" s="124"/>
      <x:c r="H4263" s="124"/>
      <x:c r="I4263" s="124"/>
      <x:c r="J4263" s="124"/>
      <x:c r="M4263" s="126"/>
      <x:c r="P4263" s="126"/>
      <x:c r="Q4263" s="126"/>
      <x:c r="R4263" s="126"/>
      <x:c r="S4263" s="124"/>
      <x:c r="T4263" s="124"/>
      <x:c r="U4263" s="124"/>
      <x:c r="V4263" s="124"/>
      <x:c r="W4263" s="124"/>
      <x:c r="X4263" s="124"/>
      <x:c r="AD4263"/>
      <x:c r="AE4263" s="145"/>
      <x:c r="AF4263" s="145"/>
      <x:c r="AG4263" s="145"/>
      <x:c r="AH4263" s="145"/>
      <x:c r="AI4263" s="145"/>
      <x:c r="AJ4263"/>
    </x:row>
    <x:row r="4264">
      <x:c r="F4264" s="124"/>
      <x:c r="G4264" s="124"/>
      <x:c r="H4264" s="124"/>
      <x:c r="I4264" s="124"/>
      <x:c r="J4264" s="124"/>
      <x:c r="M4264" s="126"/>
      <x:c r="P4264" s="126"/>
      <x:c r="Q4264" s="126"/>
      <x:c r="R4264" s="126"/>
      <x:c r="S4264" s="124"/>
      <x:c r="T4264" s="124"/>
      <x:c r="U4264" s="124"/>
      <x:c r="V4264" s="124"/>
      <x:c r="W4264" s="124"/>
      <x:c r="X4264" s="124"/>
      <x:c r="AD4264"/>
      <x:c r="AE4264" s="145"/>
      <x:c r="AF4264" s="145"/>
      <x:c r="AG4264" s="145"/>
      <x:c r="AH4264" s="145"/>
      <x:c r="AI4264" s="145"/>
      <x:c r="AJ4264"/>
    </x:row>
    <x:row r="4265">
      <x:c r="F4265" s="124"/>
      <x:c r="G4265" s="124"/>
      <x:c r="H4265" s="124"/>
      <x:c r="I4265" s="124"/>
      <x:c r="J4265" s="124"/>
      <x:c r="M4265" s="126"/>
      <x:c r="P4265" s="126"/>
      <x:c r="Q4265" s="126"/>
      <x:c r="R4265" s="126"/>
      <x:c r="S4265" s="124"/>
      <x:c r="T4265" s="124"/>
      <x:c r="U4265" s="124"/>
      <x:c r="V4265" s="124"/>
      <x:c r="W4265" s="124"/>
      <x:c r="X4265" s="124"/>
      <x:c r="AD4265"/>
      <x:c r="AE4265" s="145"/>
      <x:c r="AF4265" s="145"/>
      <x:c r="AG4265" s="145"/>
      <x:c r="AH4265" s="145"/>
      <x:c r="AI4265" s="145"/>
      <x:c r="AJ4265"/>
    </x:row>
    <x:row r="4266">
      <x:c r="F4266" s="124"/>
      <x:c r="G4266" s="124"/>
      <x:c r="H4266" s="124"/>
      <x:c r="I4266" s="124"/>
      <x:c r="J4266" s="124"/>
      <x:c r="M4266" s="126"/>
      <x:c r="P4266" s="126"/>
      <x:c r="Q4266" s="126"/>
      <x:c r="R4266" s="126"/>
      <x:c r="S4266" s="124"/>
      <x:c r="T4266" s="124"/>
      <x:c r="U4266" s="124"/>
      <x:c r="V4266" s="124"/>
      <x:c r="W4266" s="124"/>
      <x:c r="X4266" s="124"/>
      <x:c r="AD4266"/>
      <x:c r="AE4266" s="145"/>
      <x:c r="AF4266" s="145"/>
      <x:c r="AG4266" s="145"/>
      <x:c r="AH4266" s="145"/>
      <x:c r="AI4266" s="145"/>
      <x:c r="AJ4266"/>
    </x:row>
    <x:row r="4267">
      <x:c r="F4267" s="124"/>
      <x:c r="G4267" s="124"/>
      <x:c r="H4267" s="124"/>
      <x:c r="I4267" s="124"/>
      <x:c r="J4267" s="124"/>
      <x:c r="M4267" s="126"/>
      <x:c r="P4267" s="126"/>
      <x:c r="Q4267" s="126"/>
      <x:c r="R4267" s="126"/>
      <x:c r="S4267" s="124"/>
      <x:c r="T4267" s="124"/>
      <x:c r="U4267" s="124"/>
      <x:c r="V4267" s="124"/>
      <x:c r="W4267" s="124"/>
      <x:c r="X4267" s="124"/>
      <x:c r="AD4267"/>
      <x:c r="AE4267" s="145"/>
      <x:c r="AF4267" s="145"/>
      <x:c r="AG4267" s="145"/>
      <x:c r="AH4267" s="145"/>
      <x:c r="AI4267" s="145"/>
      <x:c r="AJ4267"/>
    </x:row>
    <x:row r="4268">
      <x:c r="F4268" s="124"/>
      <x:c r="G4268" s="124"/>
      <x:c r="H4268" s="124"/>
      <x:c r="I4268" s="124"/>
      <x:c r="J4268" s="124"/>
      <x:c r="M4268" s="126"/>
      <x:c r="P4268" s="126"/>
      <x:c r="Q4268" s="126"/>
      <x:c r="R4268" s="126"/>
      <x:c r="S4268" s="124"/>
      <x:c r="T4268" s="124"/>
      <x:c r="U4268" s="124"/>
      <x:c r="V4268" s="124"/>
      <x:c r="W4268" s="124"/>
      <x:c r="X4268" s="124"/>
      <x:c r="AD4268"/>
      <x:c r="AE4268" s="145"/>
      <x:c r="AF4268" s="145"/>
      <x:c r="AG4268" s="145"/>
      <x:c r="AH4268" s="145"/>
      <x:c r="AI4268" s="145"/>
      <x:c r="AJ4268"/>
    </x:row>
    <x:row r="4269">
      <x:c r="F4269" s="124"/>
      <x:c r="G4269" s="124"/>
      <x:c r="H4269" s="124"/>
      <x:c r="I4269" s="124"/>
      <x:c r="J4269" s="124"/>
      <x:c r="M4269" s="126"/>
      <x:c r="P4269" s="126"/>
      <x:c r="Q4269" s="126"/>
      <x:c r="R4269" s="126"/>
      <x:c r="S4269" s="124"/>
      <x:c r="T4269" s="124"/>
      <x:c r="U4269" s="124"/>
      <x:c r="V4269" s="124"/>
      <x:c r="W4269" s="124"/>
      <x:c r="X4269" s="124"/>
      <x:c r="AD4269"/>
      <x:c r="AE4269" s="145"/>
      <x:c r="AF4269" s="145"/>
      <x:c r="AG4269" s="145"/>
      <x:c r="AH4269" s="145"/>
      <x:c r="AI4269" s="145"/>
      <x:c r="AJ4269"/>
    </x:row>
    <x:row r="4270">
      <x:c r="F4270" s="124"/>
      <x:c r="G4270" s="124"/>
      <x:c r="H4270" s="124"/>
      <x:c r="I4270" s="124"/>
      <x:c r="J4270" s="124"/>
      <x:c r="M4270" s="126"/>
      <x:c r="P4270" s="126"/>
      <x:c r="Q4270" s="126"/>
      <x:c r="R4270" s="126"/>
      <x:c r="S4270" s="124"/>
      <x:c r="T4270" s="124"/>
      <x:c r="U4270" s="124"/>
      <x:c r="V4270" s="124"/>
      <x:c r="W4270" s="124"/>
      <x:c r="X4270" s="124"/>
      <x:c r="AD4270"/>
      <x:c r="AE4270" s="145"/>
      <x:c r="AF4270" s="145"/>
      <x:c r="AG4270" s="145"/>
      <x:c r="AH4270" s="145"/>
      <x:c r="AI4270" s="145"/>
      <x:c r="AJ4270"/>
    </x:row>
    <x:row r="4271">
      <x:c r="F4271" s="124"/>
      <x:c r="G4271" s="124"/>
      <x:c r="H4271" s="124"/>
      <x:c r="I4271" s="124"/>
      <x:c r="J4271" s="124"/>
      <x:c r="M4271" s="126"/>
      <x:c r="P4271" s="126"/>
      <x:c r="Q4271" s="126"/>
      <x:c r="R4271" s="126"/>
      <x:c r="S4271" s="124"/>
      <x:c r="T4271" s="124"/>
      <x:c r="U4271" s="124"/>
      <x:c r="V4271" s="124"/>
      <x:c r="W4271" s="124"/>
      <x:c r="X4271" s="124"/>
      <x:c r="AD4271"/>
      <x:c r="AE4271" s="145"/>
      <x:c r="AF4271" s="145"/>
      <x:c r="AG4271" s="145"/>
      <x:c r="AH4271" s="145"/>
      <x:c r="AI4271" s="145"/>
      <x:c r="AJ4271"/>
    </x:row>
    <x:row r="4272">
      <x:c r="F4272" s="124"/>
      <x:c r="G4272" s="124"/>
      <x:c r="H4272" s="124"/>
      <x:c r="I4272" s="124"/>
      <x:c r="J4272" s="124"/>
      <x:c r="M4272" s="126"/>
      <x:c r="P4272" s="126"/>
      <x:c r="Q4272" s="126"/>
      <x:c r="R4272" s="126"/>
      <x:c r="S4272" s="124"/>
      <x:c r="T4272" s="124"/>
      <x:c r="U4272" s="124"/>
      <x:c r="V4272" s="124"/>
      <x:c r="W4272" s="124"/>
      <x:c r="X4272" s="124"/>
      <x:c r="AD4272"/>
      <x:c r="AE4272" s="145"/>
      <x:c r="AF4272" s="145"/>
      <x:c r="AG4272" s="145"/>
      <x:c r="AH4272" s="145"/>
      <x:c r="AI4272" s="145"/>
      <x:c r="AJ4272"/>
    </x:row>
    <x:row r="4273">
      <x:c r="F4273" s="124"/>
      <x:c r="G4273" s="124"/>
      <x:c r="H4273" s="124"/>
      <x:c r="I4273" s="124"/>
      <x:c r="J4273" s="124"/>
      <x:c r="M4273" s="126"/>
      <x:c r="P4273" s="126"/>
      <x:c r="Q4273" s="126"/>
      <x:c r="R4273" s="126"/>
      <x:c r="S4273" s="124"/>
      <x:c r="T4273" s="124"/>
      <x:c r="U4273" s="124"/>
      <x:c r="V4273" s="124"/>
      <x:c r="W4273" s="124"/>
      <x:c r="X4273" s="124"/>
      <x:c r="AD4273"/>
      <x:c r="AE4273" s="145"/>
      <x:c r="AF4273" s="145"/>
      <x:c r="AG4273" s="145"/>
      <x:c r="AH4273" s="145"/>
      <x:c r="AI4273" s="145"/>
      <x:c r="AJ4273"/>
    </x:row>
    <x:row r="4274">
      <x:c r="F4274" s="124"/>
      <x:c r="G4274" s="124"/>
      <x:c r="H4274" s="124"/>
      <x:c r="I4274" s="124"/>
      <x:c r="J4274" s="124"/>
      <x:c r="M4274" s="126"/>
      <x:c r="P4274" s="126"/>
      <x:c r="Q4274" s="126"/>
      <x:c r="R4274" s="126"/>
      <x:c r="S4274" s="124"/>
      <x:c r="T4274" s="124"/>
      <x:c r="U4274" s="124"/>
      <x:c r="V4274" s="124"/>
      <x:c r="W4274" s="124"/>
      <x:c r="X4274" s="124"/>
      <x:c r="AD4274"/>
      <x:c r="AE4274" s="145"/>
      <x:c r="AF4274" s="145"/>
      <x:c r="AG4274" s="145"/>
      <x:c r="AH4274" s="145"/>
      <x:c r="AI4274" s="145"/>
      <x:c r="AJ4274"/>
    </x:row>
    <x:row r="4275">
      <x:c r="F4275" s="124"/>
      <x:c r="G4275" s="124"/>
      <x:c r="H4275" s="124"/>
      <x:c r="I4275" s="124"/>
      <x:c r="J4275" s="124"/>
      <x:c r="M4275" s="126"/>
      <x:c r="P4275" s="126"/>
      <x:c r="Q4275" s="126"/>
      <x:c r="R4275" s="126"/>
      <x:c r="S4275" s="124"/>
      <x:c r="T4275" s="124"/>
      <x:c r="U4275" s="124"/>
      <x:c r="V4275" s="124"/>
      <x:c r="W4275" s="124"/>
      <x:c r="X4275" s="124"/>
      <x:c r="AD4275"/>
      <x:c r="AE4275" s="145"/>
      <x:c r="AF4275" s="145"/>
      <x:c r="AG4275" s="145"/>
      <x:c r="AH4275" s="145"/>
      <x:c r="AI4275" s="145"/>
      <x:c r="AJ4275"/>
    </x:row>
    <x:row r="4276">
      <x:c r="F4276" s="124"/>
      <x:c r="G4276" s="124"/>
      <x:c r="H4276" s="124"/>
      <x:c r="I4276" s="124"/>
      <x:c r="J4276" s="124"/>
      <x:c r="M4276" s="126"/>
      <x:c r="P4276" s="126"/>
      <x:c r="Q4276" s="126"/>
      <x:c r="R4276" s="126"/>
      <x:c r="S4276" s="124"/>
      <x:c r="T4276" s="124"/>
      <x:c r="U4276" s="124"/>
      <x:c r="V4276" s="124"/>
      <x:c r="W4276" s="124"/>
      <x:c r="X4276" s="124"/>
      <x:c r="AD4276"/>
      <x:c r="AE4276" s="145"/>
      <x:c r="AF4276" s="145"/>
      <x:c r="AG4276" s="145"/>
      <x:c r="AH4276" s="145"/>
      <x:c r="AI4276" s="145"/>
      <x:c r="AJ4276"/>
    </x:row>
    <x:row r="4277">
      <x:c r="F4277" s="124"/>
      <x:c r="G4277" s="124"/>
      <x:c r="H4277" s="124"/>
      <x:c r="I4277" s="124"/>
      <x:c r="J4277" s="124"/>
      <x:c r="M4277" s="126"/>
      <x:c r="P4277" s="126"/>
      <x:c r="Q4277" s="126"/>
      <x:c r="R4277" s="126"/>
      <x:c r="S4277" s="124"/>
      <x:c r="T4277" s="124"/>
      <x:c r="U4277" s="124"/>
      <x:c r="V4277" s="124"/>
      <x:c r="W4277" s="124"/>
      <x:c r="X4277" s="124"/>
      <x:c r="AD4277"/>
      <x:c r="AE4277" s="145"/>
      <x:c r="AF4277" s="145"/>
      <x:c r="AG4277" s="145"/>
      <x:c r="AH4277" s="145"/>
      <x:c r="AI4277" s="145"/>
      <x:c r="AJ4277"/>
    </x:row>
    <x:row r="4278">
      <x:c r="F4278" s="124"/>
      <x:c r="G4278" s="124"/>
      <x:c r="H4278" s="124"/>
      <x:c r="I4278" s="124"/>
      <x:c r="J4278" s="124"/>
      <x:c r="M4278" s="126"/>
      <x:c r="P4278" s="126"/>
      <x:c r="Q4278" s="126"/>
      <x:c r="R4278" s="126"/>
      <x:c r="S4278" s="124"/>
      <x:c r="T4278" s="124"/>
      <x:c r="U4278" s="124"/>
      <x:c r="V4278" s="124"/>
      <x:c r="W4278" s="124"/>
      <x:c r="X4278" s="124"/>
      <x:c r="AD4278"/>
      <x:c r="AE4278" s="145"/>
      <x:c r="AF4278" s="145"/>
      <x:c r="AG4278" s="145"/>
      <x:c r="AH4278" s="145"/>
      <x:c r="AI4278" s="145"/>
      <x:c r="AJ4278"/>
    </x:row>
    <x:row r="4279">
      <x:c r="F4279" s="124"/>
      <x:c r="G4279" s="124"/>
      <x:c r="H4279" s="124"/>
      <x:c r="I4279" s="124"/>
      <x:c r="J4279" s="124"/>
      <x:c r="M4279" s="126"/>
      <x:c r="P4279" s="126"/>
      <x:c r="Q4279" s="126"/>
      <x:c r="R4279" s="126"/>
      <x:c r="S4279" s="124"/>
      <x:c r="T4279" s="124"/>
      <x:c r="U4279" s="124"/>
      <x:c r="V4279" s="124"/>
      <x:c r="W4279" s="124"/>
      <x:c r="X4279" s="124"/>
      <x:c r="AD4279"/>
      <x:c r="AE4279" s="145"/>
      <x:c r="AF4279" s="145"/>
      <x:c r="AG4279" s="145"/>
      <x:c r="AH4279" s="145"/>
      <x:c r="AI4279" s="145"/>
      <x:c r="AJ4279"/>
    </x:row>
    <x:row r="4280">
      <x:c r="F4280" s="124"/>
      <x:c r="G4280" s="124"/>
      <x:c r="H4280" s="124"/>
      <x:c r="I4280" s="124"/>
      <x:c r="J4280" s="124"/>
      <x:c r="M4280" s="126"/>
      <x:c r="P4280" s="126"/>
      <x:c r="Q4280" s="126"/>
      <x:c r="R4280" s="126"/>
      <x:c r="S4280" s="124"/>
      <x:c r="T4280" s="124"/>
      <x:c r="U4280" s="124"/>
      <x:c r="V4280" s="124"/>
      <x:c r="W4280" s="124"/>
      <x:c r="X4280" s="124"/>
      <x:c r="AD4280"/>
      <x:c r="AE4280" s="145"/>
      <x:c r="AF4280" s="145"/>
      <x:c r="AG4280" s="145"/>
      <x:c r="AH4280" s="145"/>
      <x:c r="AI4280" s="145"/>
      <x:c r="AJ4280"/>
    </x:row>
    <x:row r="4281">
      <x:c r="F4281" s="124"/>
      <x:c r="G4281" s="124"/>
      <x:c r="H4281" s="124"/>
      <x:c r="I4281" s="124"/>
      <x:c r="J4281" s="124"/>
      <x:c r="M4281" s="126"/>
      <x:c r="P4281" s="126"/>
      <x:c r="Q4281" s="126"/>
      <x:c r="R4281" s="126"/>
      <x:c r="S4281" s="124"/>
      <x:c r="T4281" s="124"/>
      <x:c r="U4281" s="124"/>
      <x:c r="V4281" s="124"/>
      <x:c r="W4281" s="124"/>
      <x:c r="X4281" s="124"/>
      <x:c r="AD4281"/>
      <x:c r="AE4281" s="145"/>
      <x:c r="AF4281" s="145"/>
      <x:c r="AG4281" s="145"/>
      <x:c r="AH4281" s="145"/>
      <x:c r="AI4281" s="145"/>
      <x:c r="AJ4281"/>
    </x:row>
    <x:row r="4282">
      <x:c r="F4282" s="124"/>
      <x:c r="G4282" s="124"/>
      <x:c r="H4282" s="124"/>
      <x:c r="I4282" s="124"/>
      <x:c r="J4282" s="124"/>
      <x:c r="M4282" s="126"/>
      <x:c r="P4282" s="126"/>
      <x:c r="Q4282" s="126"/>
      <x:c r="R4282" s="126"/>
      <x:c r="S4282" s="124"/>
      <x:c r="T4282" s="124"/>
      <x:c r="U4282" s="124"/>
      <x:c r="V4282" s="124"/>
      <x:c r="W4282" s="124"/>
      <x:c r="X4282" s="124"/>
      <x:c r="AD4282"/>
      <x:c r="AE4282" s="145"/>
      <x:c r="AF4282" s="145"/>
      <x:c r="AG4282" s="145"/>
      <x:c r="AH4282" s="145"/>
      <x:c r="AI4282" s="145"/>
      <x:c r="AJ4282"/>
    </x:row>
    <x:row r="4283">
      <x:c r="F4283" s="124"/>
      <x:c r="G4283" s="124"/>
      <x:c r="H4283" s="124"/>
      <x:c r="I4283" s="124"/>
      <x:c r="J4283" s="124"/>
      <x:c r="M4283" s="126"/>
      <x:c r="P4283" s="126"/>
      <x:c r="Q4283" s="126"/>
      <x:c r="R4283" s="126"/>
      <x:c r="S4283" s="124"/>
      <x:c r="T4283" s="124"/>
      <x:c r="U4283" s="124"/>
      <x:c r="V4283" s="124"/>
      <x:c r="W4283" s="124"/>
      <x:c r="X4283" s="124"/>
      <x:c r="AD4283"/>
      <x:c r="AE4283" s="145"/>
      <x:c r="AF4283" s="145"/>
      <x:c r="AG4283" s="145"/>
      <x:c r="AH4283" s="145"/>
      <x:c r="AI4283" s="145"/>
      <x:c r="AJ4283"/>
    </x:row>
    <x:row r="4284">
      <x:c r="F4284" s="124"/>
      <x:c r="G4284" s="124"/>
      <x:c r="H4284" s="124"/>
      <x:c r="I4284" s="124"/>
      <x:c r="J4284" s="124"/>
      <x:c r="M4284" s="126"/>
      <x:c r="P4284" s="126"/>
      <x:c r="Q4284" s="126"/>
      <x:c r="R4284" s="126"/>
      <x:c r="S4284" s="124"/>
      <x:c r="T4284" s="124"/>
      <x:c r="U4284" s="124"/>
      <x:c r="V4284" s="124"/>
      <x:c r="W4284" s="124"/>
      <x:c r="X4284" s="124"/>
      <x:c r="AD4284"/>
      <x:c r="AE4284" s="145"/>
      <x:c r="AF4284" s="145"/>
      <x:c r="AG4284" s="145"/>
      <x:c r="AH4284" s="145"/>
      <x:c r="AI4284" s="145"/>
      <x:c r="AJ4284"/>
    </x:row>
    <x:row r="4285">
      <x:c r="F4285" s="124"/>
      <x:c r="G4285" s="124"/>
      <x:c r="H4285" s="124"/>
      <x:c r="I4285" s="124"/>
      <x:c r="J4285" s="124"/>
      <x:c r="M4285" s="126"/>
      <x:c r="P4285" s="126"/>
      <x:c r="Q4285" s="126"/>
      <x:c r="R4285" s="126"/>
      <x:c r="S4285" s="124"/>
      <x:c r="T4285" s="124"/>
      <x:c r="U4285" s="124"/>
      <x:c r="V4285" s="124"/>
      <x:c r="W4285" s="124"/>
      <x:c r="X4285" s="124"/>
      <x:c r="AD4285"/>
      <x:c r="AE4285" s="145"/>
      <x:c r="AF4285" s="145"/>
      <x:c r="AG4285" s="145"/>
      <x:c r="AH4285" s="145"/>
      <x:c r="AI4285" s="145"/>
      <x:c r="AJ4285"/>
    </x:row>
    <x:row r="4286">
      <x:c r="F4286" s="124"/>
      <x:c r="G4286" s="124"/>
      <x:c r="H4286" s="124"/>
      <x:c r="I4286" s="124"/>
      <x:c r="J4286" s="124"/>
      <x:c r="M4286" s="126"/>
      <x:c r="P4286" s="126"/>
      <x:c r="Q4286" s="126"/>
      <x:c r="R4286" s="126"/>
      <x:c r="S4286" s="124"/>
      <x:c r="T4286" s="124"/>
      <x:c r="U4286" s="124"/>
      <x:c r="V4286" s="124"/>
      <x:c r="W4286" s="124"/>
      <x:c r="X4286" s="124"/>
      <x:c r="AD4286"/>
      <x:c r="AE4286" s="145"/>
      <x:c r="AF4286" s="145"/>
      <x:c r="AG4286" s="145"/>
      <x:c r="AH4286" s="145"/>
      <x:c r="AI4286" s="145"/>
      <x:c r="AJ4286"/>
    </x:row>
    <x:row r="4287">
      <x:c r="F4287" s="124"/>
      <x:c r="G4287" s="124"/>
      <x:c r="H4287" s="124"/>
      <x:c r="I4287" s="124"/>
      <x:c r="J4287" s="124"/>
      <x:c r="M4287" s="126"/>
      <x:c r="P4287" s="126"/>
      <x:c r="Q4287" s="126"/>
      <x:c r="R4287" s="126"/>
      <x:c r="S4287" s="124"/>
      <x:c r="T4287" s="124"/>
      <x:c r="U4287" s="124"/>
      <x:c r="V4287" s="124"/>
      <x:c r="W4287" s="124"/>
      <x:c r="X4287" s="124"/>
      <x:c r="AD4287"/>
      <x:c r="AE4287" s="145"/>
      <x:c r="AF4287" s="145"/>
      <x:c r="AG4287" s="145"/>
      <x:c r="AH4287" s="145"/>
      <x:c r="AI4287" s="145"/>
      <x:c r="AJ4287"/>
    </x:row>
    <x:row r="4288">
      <x:c r="F4288" s="124"/>
      <x:c r="G4288" s="124"/>
      <x:c r="H4288" s="124"/>
      <x:c r="I4288" s="124"/>
      <x:c r="J4288" s="124"/>
      <x:c r="M4288" s="126"/>
      <x:c r="P4288" s="126"/>
      <x:c r="Q4288" s="126"/>
      <x:c r="R4288" s="126"/>
      <x:c r="S4288" s="124"/>
      <x:c r="T4288" s="124"/>
      <x:c r="U4288" s="124"/>
      <x:c r="V4288" s="124"/>
      <x:c r="W4288" s="124"/>
      <x:c r="X4288" s="124"/>
      <x:c r="AD4288"/>
      <x:c r="AE4288" s="145"/>
      <x:c r="AF4288" s="145"/>
      <x:c r="AG4288" s="145"/>
      <x:c r="AH4288" s="145"/>
      <x:c r="AI4288" s="145"/>
      <x:c r="AJ4288"/>
    </x:row>
    <x:row r="4289">
      <x:c r="F4289" s="124"/>
      <x:c r="G4289" s="124"/>
      <x:c r="H4289" s="124"/>
      <x:c r="I4289" s="124"/>
      <x:c r="J4289" s="124"/>
      <x:c r="M4289" s="126"/>
      <x:c r="P4289" s="126"/>
      <x:c r="Q4289" s="126"/>
      <x:c r="R4289" s="126"/>
      <x:c r="S4289" s="124"/>
      <x:c r="T4289" s="124"/>
      <x:c r="U4289" s="124"/>
      <x:c r="V4289" s="124"/>
      <x:c r="W4289" s="124"/>
      <x:c r="X4289" s="124"/>
      <x:c r="AD4289"/>
      <x:c r="AE4289" s="145"/>
      <x:c r="AF4289" s="145"/>
      <x:c r="AG4289" s="145"/>
      <x:c r="AH4289" s="145"/>
      <x:c r="AI4289" s="145"/>
      <x:c r="AJ4289"/>
    </x:row>
    <x:row r="4290">
      <x:c r="F4290" s="124"/>
      <x:c r="G4290" s="124"/>
      <x:c r="H4290" s="124"/>
      <x:c r="I4290" s="124"/>
      <x:c r="J4290" s="124"/>
      <x:c r="M4290" s="126"/>
      <x:c r="P4290" s="126"/>
      <x:c r="Q4290" s="126"/>
      <x:c r="R4290" s="126"/>
      <x:c r="S4290" s="124"/>
      <x:c r="T4290" s="124"/>
      <x:c r="U4290" s="124"/>
      <x:c r="V4290" s="124"/>
      <x:c r="W4290" s="124"/>
      <x:c r="X4290" s="124"/>
      <x:c r="AD4290"/>
      <x:c r="AE4290" s="145"/>
      <x:c r="AF4290" s="145"/>
      <x:c r="AG4290" s="145"/>
      <x:c r="AH4290" s="145"/>
      <x:c r="AI4290" s="145"/>
      <x:c r="AJ4290"/>
    </x:row>
    <x:row r="4291">
      <x:c r="F4291" s="124"/>
      <x:c r="G4291" s="124"/>
      <x:c r="H4291" s="124"/>
      <x:c r="I4291" s="124"/>
      <x:c r="J4291" s="124"/>
      <x:c r="M4291" s="126"/>
      <x:c r="P4291" s="126"/>
      <x:c r="Q4291" s="126"/>
      <x:c r="R4291" s="126"/>
      <x:c r="S4291" s="124"/>
      <x:c r="T4291" s="124"/>
      <x:c r="U4291" s="124"/>
      <x:c r="V4291" s="124"/>
      <x:c r="W4291" s="124"/>
      <x:c r="X4291" s="124"/>
      <x:c r="AD4291"/>
      <x:c r="AE4291" s="145"/>
      <x:c r="AF4291" s="145"/>
      <x:c r="AG4291" s="145"/>
      <x:c r="AH4291" s="145"/>
      <x:c r="AI4291" s="145"/>
      <x:c r="AJ4291"/>
    </x:row>
    <x:row r="4292">
      <x:c r="F4292" s="124"/>
      <x:c r="G4292" s="124"/>
      <x:c r="H4292" s="124"/>
      <x:c r="I4292" s="124"/>
      <x:c r="J4292" s="124"/>
      <x:c r="M4292" s="126"/>
      <x:c r="P4292" s="126"/>
      <x:c r="Q4292" s="126"/>
      <x:c r="R4292" s="126"/>
      <x:c r="S4292" s="124"/>
      <x:c r="T4292" s="124"/>
      <x:c r="U4292" s="124"/>
      <x:c r="V4292" s="124"/>
      <x:c r="W4292" s="124"/>
      <x:c r="X4292" s="124"/>
      <x:c r="AD4292"/>
      <x:c r="AE4292" s="145"/>
      <x:c r="AF4292" s="145"/>
      <x:c r="AG4292" s="145"/>
      <x:c r="AH4292" s="145"/>
      <x:c r="AI4292" s="145"/>
      <x:c r="AJ4292"/>
    </x:row>
    <x:row r="4293">
      <x:c r="F4293" s="124"/>
      <x:c r="G4293" s="124"/>
      <x:c r="H4293" s="124"/>
      <x:c r="I4293" s="124"/>
      <x:c r="J4293" s="124"/>
      <x:c r="M4293" s="126"/>
      <x:c r="P4293" s="126"/>
      <x:c r="Q4293" s="126"/>
      <x:c r="R4293" s="126"/>
      <x:c r="S4293" s="124"/>
      <x:c r="T4293" s="124"/>
      <x:c r="U4293" s="124"/>
      <x:c r="V4293" s="124"/>
      <x:c r="W4293" s="124"/>
      <x:c r="X4293" s="124"/>
      <x:c r="AD4293"/>
      <x:c r="AE4293" s="145"/>
      <x:c r="AF4293" s="145"/>
      <x:c r="AG4293" s="145"/>
      <x:c r="AH4293" s="145"/>
      <x:c r="AI4293" s="145"/>
      <x:c r="AJ4293"/>
    </x:row>
    <x:row r="4294">
      <x:c r="F4294" s="124"/>
      <x:c r="G4294" s="124"/>
      <x:c r="H4294" s="124"/>
      <x:c r="I4294" s="124"/>
      <x:c r="J4294" s="124"/>
      <x:c r="M4294" s="126"/>
      <x:c r="P4294" s="126"/>
      <x:c r="Q4294" s="126"/>
      <x:c r="R4294" s="126"/>
      <x:c r="S4294" s="124"/>
      <x:c r="T4294" s="124"/>
      <x:c r="U4294" s="124"/>
      <x:c r="V4294" s="124"/>
      <x:c r="W4294" s="124"/>
      <x:c r="X4294" s="124"/>
      <x:c r="AD4294"/>
      <x:c r="AE4294" s="145"/>
      <x:c r="AF4294" s="145"/>
      <x:c r="AG4294" s="145"/>
      <x:c r="AH4294" s="145"/>
      <x:c r="AI4294" s="145"/>
      <x:c r="AJ4294"/>
    </x:row>
    <x:row r="4295">
      <x:c r="F4295" s="124"/>
      <x:c r="G4295" s="124"/>
      <x:c r="H4295" s="124"/>
      <x:c r="I4295" s="124"/>
      <x:c r="J4295" s="124"/>
      <x:c r="M4295" s="126"/>
      <x:c r="P4295" s="126"/>
      <x:c r="Q4295" s="126"/>
      <x:c r="R4295" s="126"/>
      <x:c r="S4295" s="124"/>
      <x:c r="T4295" s="124"/>
      <x:c r="U4295" s="124"/>
      <x:c r="V4295" s="124"/>
      <x:c r="W4295" s="124"/>
      <x:c r="X4295" s="124"/>
      <x:c r="AD4295"/>
      <x:c r="AE4295" s="145"/>
      <x:c r="AF4295" s="145"/>
      <x:c r="AG4295" s="145"/>
      <x:c r="AH4295" s="145"/>
      <x:c r="AI4295" s="145"/>
      <x:c r="AJ4295"/>
    </x:row>
    <x:row r="4296">
      <x:c r="F4296" s="124"/>
      <x:c r="G4296" s="124"/>
      <x:c r="H4296" s="124"/>
      <x:c r="I4296" s="124"/>
      <x:c r="J4296" s="124"/>
      <x:c r="M4296" s="126"/>
      <x:c r="P4296" s="126"/>
      <x:c r="Q4296" s="126"/>
      <x:c r="R4296" s="126"/>
      <x:c r="S4296" s="124"/>
      <x:c r="T4296" s="124"/>
      <x:c r="U4296" s="124"/>
      <x:c r="V4296" s="124"/>
      <x:c r="W4296" s="124"/>
      <x:c r="X4296" s="124"/>
      <x:c r="AD4296"/>
      <x:c r="AE4296" s="145"/>
      <x:c r="AF4296" s="145"/>
      <x:c r="AG4296" s="145"/>
      <x:c r="AH4296" s="145"/>
      <x:c r="AI4296" s="145"/>
      <x:c r="AJ4296"/>
    </x:row>
    <x:row r="4297">
      <x:c r="F4297" s="124"/>
      <x:c r="G4297" s="124"/>
      <x:c r="H4297" s="124"/>
      <x:c r="I4297" s="124"/>
      <x:c r="J4297" s="124"/>
      <x:c r="M4297" s="126"/>
      <x:c r="P4297" s="126"/>
      <x:c r="Q4297" s="126"/>
      <x:c r="R4297" s="126"/>
      <x:c r="S4297" s="124"/>
      <x:c r="T4297" s="124"/>
      <x:c r="U4297" s="124"/>
      <x:c r="V4297" s="124"/>
      <x:c r="W4297" s="124"/>
      <x:c r="X4297" s="124"/>
      <x:c r="AD4297"/>
      <x:c r="AE4297" s="145"/>
      <x:c r="AF4297" s="145"/>
      <x:c r="AG4297" s="145"/>
      <x:c r="AH4297" s="145"/>
      <x:c r="AI4297" s="145"/>
      <x:c r="AJ4297"/>
    </x:row>
    <x:row r="4298">
      <x:c r="F4298" s="124"/>
      <x:c r="G4298" s="124"/>
      <x:c r="H4298" s="124"/>
      <x:c r="I4298" s="124"/>
      <x:c r="J4298" s="124"/>
      <x:c r="M4298" s="126"/>
      <x:c r="P4298" s="126"/>
      <x:c r="Q4298" s="126"/>
      <x:c r="R4298" s="126"/>
      <x:c r="S4298" s="124"/>
      <x:c r="T4298" s="124"/>
      <x:c r="U4298" s="124"/>
      <x:c r="V4298" s="124"/>
      <x:c r="W4298" s="124"/>
      <x:c r="X4298" s="124"/>
      <x:c r="AD4298"/>
      <x:c r="AE4298" s="145"/>
      <x:c r="AF4298" s="145"/>
      <x:c r="AG4298" s="145"/>
      <x:c r="AH4298" s="145"/>
      <x:c r="AI4298" s="145"/>
      <x:c r="AJ4298"/>
    </x:row>
    <x:row r="4299">
      <x:c r="F4299" s="124"/>
      <x:c r="G4299" s="124"/>
      <x:c r="H4299" s="124"/>
      <x:c r="I4299" s="124"/>
      <x:c r="J4299" s="124"/>
      <x:c r="M4299" s="126"/>
      <x:c r="P4299" s="126"/>
      <x:c r="Q4299" s="126"/>
      <x:c r="R4299" s="126"/>
      <x:c r="S4299" s="124"/>
      <x:c r="T4299" s="124"/>
      <x:c r="U4299" s="124"/>
      <x:c r="V4299" s="124"/>
      <x:c r="W4299" s="124"/>
      <x:c r="X4299" s="124"/>
      <x:c r="AD4299"/>
      <x:c r="AE4299" s="145"/>
      <x:c r="AF4299" s="145"/>
      <x:c r="AG4299" s="145"/>
      <x:c r="AH4299" s="145"/>
      <x:c r="AI4299" s="145"/>
      <x:c r="AJ4299"/>
    </x:row>
    <x:row r="4300">
      <x:c r="F4300" s="124"/>
      <x:c r="G4300" s="124"/>
      <x:c r="H4300" s="124"/>
      <x:c r="I4300" s="124"/>
      <x:c r="J4300" s="124"/>
      <x:c r="M4300" s="126"/>
      <x:c r="P4300" s="126"/>
      <x:c r="Q4300" s="126"/>
      <x:c r="R4300" s="126"/>
      <x:c r="S4300" s="124"/>
      <x:c r="T4300" s="124"/>
      <x:c r="U4300" s="124"/>
      <x:c r="V4300" s="124"/>
      <x:c r="W4300" s="124"/>
      <x:c r="X4300" s="124"/>
      <x:c r="AD4300"/>
      <x:c r="AE4300" s="145"/>
      <x:c r="AF4300" s="145"/>
      <x:c r="AG4300" s="145"/>
      <x:c r="AH4300" s="145"/>
      <x:c r="AI4300" s="145"/>
      <x:c r="AJ4300"/>
    </x:row>
    <x:row r="4301">
      <x:c r="F4301" s="124"/>
      <x:c r="G4301" s="124"/>
      <x:c r="H4301" s="124"/>
      <x:c r="I4301" s="124"/>
      <x:c r="J4301" s="124"/>
      <x:c r="M4301" s="126"/>
      <x:c r="P4301" s="126"/>
      <x:c r="Q4301" s="126"/>
      <x:c r="R4301" s="126"/>
      <x:c r="S4301" s="124"/>
      <x:c r="T4301" s="124"/>
      <x:c r="U4301" s="124"/>
      <x:c r="V4301" s="124"/>
      <x:c r="W4301" s="124"/>
      <x:c r="X4301" s="124"/>
      <x:c r="AD4301"/>
      <x:c r="AE4301" s="145"/>
      <x:c r="AF4301" s="145"/>
      <x:c r="AG4301" s="145"/>
      <x:c r="AH4301" s="145"/>
      <x:c r="AI4301" s="145"/>
      <x:c r="AJ4301"/>
    </x:row>
    <x:row r="4302">
      <x:c r="F4302" s="124"/>
      <x:c r="G4302" s="124"/>
      <x:c r="H4302" s="124"/>
      <x:c r="I4302" s="124"/>
      <x:c r="J4302" s="124"/>
      <x:c r="M4302" s="126"/>
      <x:c r="P4302" s="126"/>
      <x:c r="Q4302" s="126"/>
      <x:c r="R4302" s="126"/>
      <x:c r="S4302" s="124"/>
      <x:c r="T4302" s="124"/>
      <x:c r="U4302" s="124"/>
      <x:c r="V4302" s="124"/>
      <x:c r="W4302" s="124"/>
      <x:c r="X4302" s="124"/>
      <x:c r="AD4302"/>
      <x:c r="AE4302" s="145"/>
      <x:c r="AF4302" s="145"/>
      <x:c r="AG4302" s="145"/>
      <x:c r="AH4302" s="145"/>
      <x:c r="AI4302" s="145"/>
      <x:c r="AJ4302"/>
    </x:row>
    <x:row r="4303">
      <x:c r="F4303" s="124"/>
      <x:c r="G4303" s="124"/>
      <x:c r="H4303" s="124"/>
      <x:c r="I4303" s="124"/>
      <x:c r="J4303" s="124"/>
      <x:c r="M4303" s="126"/>
      <x:c r="P4303" s="126"/>
      <x:c r="Q4303" s="126"/>
      <x:c r="R4303" s="126"/>
      <x:c r="S4303" s="124"/>
      <x:c r="T4303" s="124"/>
      <x:c r="U4303" s="124"/>
      <x:c r="V4303" s="124"/>
      <x:c r="W4303" s="124"/>
      <x:c r="X4303" s="124"/>
      <x:c r="AD4303"/>
      <x:c r="AE4303" s="145"/>
      <x:c r="AF4303" s="145"/>
      <x:c r="AG4303" s="145"/>
      <x:c r="AH4303" s="145"/>
      <x:c r="AI4303" s="145"/>
      <x:c r="AJ4303"/>
    </x:row>
    <x:row r="4304">
      <x:c r="F4304" s="124"/>
      <x:c r="G4304" s="124"/>
      <x:c r="H4304" s="124"/>
      <x:c r="I4304" s="124"/>
      <x:c r="J4304" s="124"/>
      <x:c r="M4304" s="126"/>
      <x:c r="P4304" s="126"/>
      <x:c r="Q4304" s="126"/>
      <x:c r="R4304" s="126"/>
      <x:c r="S4304" s="124"/>
      <x:c r="T4304" s="124"/>
      <x:c r="U4304" s="124"/>
      <x:c r="V4304" s="124"/>
      <x:c r="W4304" s="124"/>
      <x:c r="X4304" s="124"/>
      <x:c r="AD4304"/>
      <x:c r="AE4304" s="145"/>
      <x:c r="AF4304" s="145"/>
      <x:c r="AG4304" s="145"/>
      <x:c r="AH4304" s="145"/>
      <x:c r="AI4304" s="145"/>
      <x:c r="AJ4304"/>
    </x:row>
    <x:row r="4305">
      <x:c r="F4305" s="124"/>
      <x:c r="G4305" s="124"/>
      <x:c r="H4305" s="124"/>
      <x:c r="I4305" s="124"/>
      <x:c r="J4305" s="124"/>
      <x:c r="M4305" s="126"/>
      <x:c r="P4305" s="126"/>
      <x:c r="Q4305" s="126"/>
      <x:c r="R4305" s="126"/>
      <x:c r="S4305" s="124"/>
      <x:c r="T4305" s="124"/>
      <x:c r="U4305" s="124"/>
      <x:c r="V4305" s="124"/>
      <x:c r="W4305" s="124"/>
      <x:c r="X4305" s="124"/>
      <x:c r="AD4305"/>
      <x:c r="AE4305" s="145"/>
      <x:c r="AF4305" s="145"/>
      <x:c r="AG4305" s="145"/>
      <x:c r="AH4305" s="145"/>
      <x:c r="AI4305" s="145"/>
      <x:c r="AJ4305"/>
    </x:row>
    <x:row r="4306">
      <x:c r="F4306" s="124"/>
      <x:c r="G4306" s="124"/>
      <x:c r="H4306" s="124"/>
      <x:c r="I4306" s="124"/>
      <x:c r="J4306" s="124"/>
      <x:c r="M4306" s="126"/>
      <x:c r="P4306" s="126"/>
      <x:c r="Q4306" s="126"/>
      <x:c r="R4306" s="126"/>
      <x:c r="S4306" s="124"/>
      <x:c r="T4306" s="124"/>
      <x:c r="U4306" s="124"/>
      <x:c r="V4306" s="124"/>
      <x:c r="W4306" s="124"/>
      <x:c r="X4306" s="124"/>
      <x:c r="AD4306"/>
      <x:c r="AE4306" s="145"/>
      <x:c r="AF4306" s="145"/>
      <x:c r="AG4306" s="145"/>
      <x:c r="AH4306" s="145"/>
      <x:c r="AI4306" s="145"/>
      <x:c r="AJ4306"/>
    </x:row>
    <x:row r="4307">
      <x:c r="F4307" s="124"/>
      <x:c r="G4307" s="124"/>
      <x:c r="H4307" s="124"/>
      <x:c r="I4307" s="124"/>
      <x:c r="J4307" s="124"/>
      <x:c r="M4307" s="126"/>
      <x:c r="P4307" s="126"/>
      <x:c r="Q4307" s="126"/>
      <x:c r="R4307" s="126"/>
      <x:c r="S4307" s="124"/>
      <x:c r="T4307" s="124"/>
      <x:c r="U4307" s="124"/>
      <x:c r="V4307" s="124"/>
      <x:c r="W4307" s="124"/>
      <x:c r="X4307" s="124"/>
      <x:c r="AD4307"/>
      <x:c r="AE4307" s="145"/>
      <x:c r="AF4307" s="145"/>
      <x:c r="AG4307" s="145"/>
      <x:c r="AH4307" s="145"/>
      <x:c r="AI4307" s="145"/>
      <x:c r="AJ4307"/>
    </x:row>
    <x:row r="4308">
      <x:c r="F4308" s="124"/>
      <x:c r="G4308" s="124"/>
      <x:c r="H4308" s="124"/>
      <x:c r="I4308" s="124"/>
      <x:c r="J4308" s="124"/>
      <x:c r="M4308" s="126"/>
      <x:c r="P4308" s="126"/>
      <x:c r="Q4308" s="126"/>
      <x:c r="R4308" s="126"/>
      <x:c r="S4308" s="124"/>
      <x:c r="T4308" s="124"/>
      <x:c r="U4308" s="124"/>
      <x:c r="V4308" s="124"/>
      <x:c r="W4308" s="124"/>
      <x:c r="X4308" s="124"/>
      <x:c r="AD4308"/>
      <x:c r="AE4308" s="145"/>
      <x:c r="AF4308" s="145"/>
      <x:c r="AG4308" s="145"/>
      <x:c r="AH4308" s="145"/>
      <x:c r="AI4308" s="145"/>
      <x:c r="AJ4308"/>
    </x:row>
    <x:row r="4309">
      <x:c r="F4309" s="124"/>
      <x:c r="G4309" s="124"/>
      <x:c r="H4309" s="124"/>
      <x:c r="I4309" s="124"/>
      <x:c r="J4309" s="124"/>
      <x:c r="M4309" s="126"/>
      <x:c r="P4309" s="126"/>
      <x:c r="Q4309" s="126"/>
      <x:c r="R4309" s="126"/>
      <x:c r="S4309" s="124"/>
      <x:c r="T4309" s="124"/>
      <x:c r="U4309" s="124"/>
      <x:c r="V4309" s="124"/>
      <x:c r="W4309" s="124"/>
      <x:c r="X4309" s="124"/>
      <x:c r="AD4309"/>
      <x:c r="AE4309" s="145"/>
      <x:c r="AF4309" s="145"/>
      <x:c r="AG4309" s="145"/>
      <x:c r="AH4309" s="145"/>
      <x:c r="AI4309" s="145"/>
      <x:c r="AJ4309"/>
    </x:row>
    <x:row r="4310">
      <x:c r="F4310" s="124"/>
      <x:c r="G4310" s="124"/>
      <x:c r="H4310" s="124"/>
      <x:c r="I4310" s="124"/>
      <x:c r="J4310" s="124"/>
      <x:c r="M4310" s="126"/>
      <x:c r="P4310" s="126"/>
      <x:c r="Q4310" s="126"/>
      <x:c r="R4310" s="126"/>
      <x:c r="S4310" s="124"/>
      <x:c r="T4310" s="124"/>
      <x:c r="U4310" s="124"/>
      <x:c r="V4310" s="124"/>
      <x:c r="W4310" s="124"/>
      <x:c r="X4310" s="124"/>
      <x:c r="AD4310"/>
      <x:c r="AE4310" s="145"/>
      <x:c r="AF4310" s="145"/>
      <x:c r="AG4310" s="145"/>
      <x:c r="AH4310" s="145"/>
      <x:c r="AI4310" s="145"/>
      <x:c r="AJ4310"/>
    </x:row>
    <x:row r="4311">
      <x:c r="F4311" s="124"/>
      <x:c r="G4311" s="124"/>
      <x:c r="H4311" s="124"/>
      <x:c r="I4311" s="124"/>
      <x:c r="J4311" s="124"/>
      <x:c r="M4311" s="126"/>
      <x:c r="P4311" s="126"/>
      <x:c r="Q4311" s="126"/>
      <x:c r="R4311" s="126"/>
      <x:c r="S4311" s="124"/>
      <x:c r="T4311" s="124"/>
      <x:c r="U4311" s="124"/>
      <x:c r="V4311" s="124"/>
      <x:c r="W4311" s="124"/>
      <x:c r="X4311" s="124"/>
      <x:c r="AD4311"/>
      <x:c r="AE4311" s="145"/>
      <x:c r="AF4311" s="145"/>
      <x:c r="AG4311" s="145"/>
      <x:c r="AH4311" s="145"/>
      <x:c r="AI4311" s="145"/>
      <x:c r="AJ4311"/>
    </x:row>
    <x:row r="4312">
      <x:c r="F4312" s="124"/>
      <x:c r="G4312" s="124"/>
      <x:c r="H4312" s="124"/>
      <x:c r="I4312" s="124"/>
      <x:c r="J4312" s="124"/>
      <x:c r="M4312" s="126"/>
      <x:c r="P4312" s="126"/>
      <x:c r="Q4312" s="126"/>
      <x:c r="R4312" s="126"/>
      <x:c r="S4312" s="124"/>
      <x:c r="T4312" s="124"/>
      <x:c r="U4312" s="124"/>
      <x:c r="V4312" s="124"/>
      <x:c r="W4312" s="124"/>
      <x:c r="X4312" s="124"/>
      <x:c r="AD4312"/>
      <x:c r="AE4312" s="145"/>
      <x:c r="AF4312" s="145"/>
      <x:c r="AG4312" s="145"/>
      <x:c r="AH4312" s="145"/>
      <x:c r="AI4312" s="145"/>
      <x:c r="AJ4312"/>
    </x:row>
    <x:row r="4313">
      <x:c r="F4313" s="124"/>
      <x:c r="G4313" s="124"/>
      <x:c r="H4313" s="124"/>
      <x:c r="I4313" s="124"/>
      <x:c r="J4313" s="124"/>
      <x:c r="M4313" s="126"/>
      <x:c r="P4313" s="126"/>
      <x:c r="Q4313" s="126"/>
      <x:c r="R4313" s="126"/>
      <x:c r="S4313" s="124"/>
      <x:c r="T4313" s="124"/>
      <x:c r="U4313" s="124"/>
      <x:c r="V4313" s="124"/>
      <x:c r="W4313" s="124"/>
      <x:c r="X4313" s="124"/>
      <x:c r="AD4313"/>
      <x:c r="AE4313" s="145"/>
      <x:c r="AF4313" s="145"/>
      <x:c r="AG4313" s="145"/>
      <x:c r="AH4313" s="145"/>
      <x:c r="AI4313" s="145"/>
      <x:c r="AJ4313"/>
    </x:row>
    <x:row r="4314">
      <x:c r="F4314" s="124"/>
      <x:c r="G4314" s="124"/>
      <x:c r="H4314" s="124"/>
      <x:c r="I4314" s="124"/>
      <x:c r="J4314" s="124"/>
      <x:c r="M4314" s="126"/>
      <x:c r="P4314" s="126"/>
      <x:c r="Q4314" s="126"/>
      <x:c r="R4314" s="126"/>
      <x:c r="S4314" s="124"/>
      <x:c r="T4314" s="124"/>
      <x:c r="U4314" s="124"/>
      <x:c r="V4314" s="124"/>
      <x:c r="W4314" s="124"/>
      <x:c r="X4314" s="124"/>
      <x:c r="AD4314"/>
      <x:c r="AE4314" s="145"/>
      <x:c r="AF4314" s="145"/>
      <x:c r="AG4314" s="145"/>
      <x:c r="AH4314" s="145"/>
      <x:c r="AI4314" s="145"/>
      <x:c r="AJ4314"/>
    </x:row>
    <x:row r="4315">
      <x:c r="F4315" s="124"/>
      <x:c r="G4315" s="124"/>
      <x:c r="H4315" s="124"/>
      <x:c r="I4315" s="124"/>
      <x:c r="J4315" s="124"/>
      <x:c r="M4315" s="126"/>
      <x:c r="P4315" s="126"/>
      <x:c r="Q4315" s="126"/>
      <x:c r="R4315" s="126"/>
      <x:c r="S4315" s="124"/>
      <x:c r="T4315" s="124"/>
      <x:c r="U4315" s="124"/>
      <x:c r="V4315" s="124"/>
      <x:c r="W4315" s="124"/>
      <x:c r="X4315" s="124"/>
      <x:c r="AD4315"/>
      <x:c r="AE4315" s="145"/>
      <x:c r="AF4315" s="145"/>
      <x:c r="AG4315" s="145"/>
      <x:c r="AH4315" s="145"/>
      <x:c r="AI4315" s="145"/>
      <x:c r="AJ4315"/>
    </x:row>
    <x:row r="4316">
      <x:c r="F4316" s="124"/>
      <x:c r="G4316" s="124"/>
      <x:c r="H4316" s="124"/>
      <x:c r="I4316" s="124"/>
      <x:c r="J4316" s="124"/>
      <x:c r="M4316" s="126"/>
      <x:c r="P4316" s="126"/>
      <x:c r="Q4316" s="126"/>
      <x:c r="R4316" s="126"/>
      <x:c r="S4316" s="124"/>
      <x:c r="T4316" s="124"/>
      <x:c r="U4316" s="124"/>
      <x:c r="V4316" s="124"/>
      <x:c r="W4316" s="124"/>
      <x:c r="X4316" s="124"/>
      <x:c r="AD4316"/>
      <x:c r="AE4316" s="145"/>
      <x:c r="AF4316" s="145"/>
      <x:c r="AG4316" s="145"/>
      <x:c r="AH4316" s="145"/>
      <x:c r="AI4316" s="145"/>
      <x:c r="AJ4316"/>
    </x:row>
    <x:row r="4317">
      <x:c r="F4317" s="124"/>
      <x:c r="G4317" s="124"/>
      <x:c r="H4317" s="124"/>
      <x:c r="I4317" s="124"/>
      <x:c r="J4317" s="124"/>
      <x:c r="M4317" s="126"/>
      <x:c r="P4317" s="126"/>
      <x:c r="Q4317" s="126"/>
      <x:c r="R4317" s="126"/>
      <x:c r="S4317" s="124"/>
      <x:c r="T4317" s="124"/>
      <x:c r="U4317" s="124"/>
      <x:c r="V4317" s="124"/>
      <x:c r="W4317" s="124"/>
      <x:c r="X4317" s="124"/>
      <x:c r="AD4317"/>
      <x:c r="AE4317" s="145"/>
      <x:c r="AF4317" s="145"/>
      <x:c r="AG4317" s="145"/>
      <x:c r="AH4317" s="145"/>
      <x:c r="AI4317" s="145"/>
      <x:c r="AJ4317"/>
    </x:row>
    <x:row r="4318">
      <x:c r="F4318" s="124"/>
      <x:c r="G4318" s="124"/>
      <x:c r="H4318" s="124"/>
      <x:c r="I4318" s="124"/>
      <x:c r="J4318" s="124"/>
      <x:c r="M4318" s="126"/>
      <x:c r="P4318" s="126"/>
      <x:c r="Q4318" s="126"/>
      <x:c r="R4318" s="126"/>
      <x:c r="S4318" s="124"/>
      <x:c r="T4318" s="124"/>
      <x:c r="U4318" s="124"/>
      <x:c r="V4318" s="124"/>
      <x:c r="W4318" s="124"/>
      <x:c r="X4318" s="124"/>
      <x:c r="AD4318"/>
      <x:c r="AE4318" s="145"/>
      <x:c r="AF4318" s="145"/>
      <x:c r="AG4318" s="145"/>
      <x:c r="AH4318" s="145"/>
      <x:c r="AI4318" s="145"/>
      <x:c r="AJ4318"/>
    </x:row>
    <x:row r="4319">
      <x:c r="F4319" s="124"/>
      <x:c r="G4319" s="124"/>
      <x:c r="H4319" s="124"/>
      <x:c r="I4319" s="124"/>
      <x:c r="J4319" s="124"/>
      <x:c r="M4319" s="126"/>
      <x:c r="P4319" s="126"/>
      <x:c r="Q4319" s="126"/>
      <x:c r="R4319" s="126"/>
      <x:c r="S4319" s="124"/>
      <x:c r="T4319" s="124"/>
      <x:c r="U4319" s="124"/>
      <x:c r="V4319" s="124"/>
      <x:c r="W4319" s="124"/>
      <x:c r="X4319" s="124"/>
      <x:c r="AD4319"/>
      <x:c r="AE4319" s="145"/>
      <x:c r="AF4319" s="145"/>
      <x:c r="AG4319" s="145"/>
      <x:c r="AH4319" s="145"/>
      <x:c r="AI4319" s="145"/>
      <x:c r="AJ4319"/>
    </x:row>
    <x:row r="4320">
      <x:c r="F4320" s="124"/>
      <x:c r="G4320" s="124"/>
      <x:c r="H4320" s="124"/>
      <x:c r="I4320" s="124"/>
      <x:c r="J4320" s="124"/>
      <x:c r="M4320" s="126"/>
      <x:c r="P4320" s="126"/>
      <x:c r="Q4320" s="126"/>
      <x:c r="R4320" s="126"/>
      <x:c r="S4320" s="124"/>
      <x:c r="T4320" s="124"/>
      <x:c r="U4320" s="124"/>
      <x:c r="V4320" s="124"/>
      <x:c r="W4320" s="124"/>
      <x:c r="X4320" s="124"/>
      <x:c r="AD4320"/>
      <x:c r="AE4320" s="145"/>
      <x:c r="AF4320" s="145"/>
      <x:c r="AG4320" s="145"/>
      <x:c r="AH4320" s="145"/>
      <x:c r="AI4320" s="145"/>
      <x:c r="AJ4320"/>
    </x:row>
    <x:row r="4321">
      <x:c r="F4321" s="124"/>
      <x:c r="G4321" s="124"/>
      <x:c r="H4321" s="124"/>
      <x:c r="I4321" s="124"/>
      <x:c r="J4321" s="124"/>
      <x:c r="M4321" s="126"/>
      <x:c r="P4321" s="126"/>
      <x:c r="Q4321" s="126"/>
      <x:c r="R4321" s="126"/>
      <x:c r="S4321" s="124"/>
      <x:c r="T4321" s="124"/>
      <x:c r="U4321" s="124"/>
      <x:c r="V4321" s="124"/>
      <x:c r="W4321" s="124"/>
      <x:c r="X4321" s="124"/>
      <x:c r="AD4321"/>
      <x:c r="AE4321" s="145"/>
      <x:c r="AF4321" s="145"/>
      <x:c r="AG4321" s="145"/>
      <x:c r="AH4321" s="145"/>
      <x:c r="AI4321" s="145"/>
      <x:c r="AJ4321"/>
    </x:row>
    <x:row r="4322">
      <x:c r="F4322" s="124"/>
      <x:c r="G4322" s="124"/>
      <x:c r="H4322" s="124"/>
      <x:c r="I4322" s="124"/>
      <x:c r="J4322" s="124"/>
      <x:c r="M4322" s="126"/>
      <x:c r="P4322" s="126"/>
      <x:c r="Q4322" s="126"/>
      <x:c r="R4322" s="126"/>
      <x:c r="S4322" s="124"/>
      <x:c r="T4322" s="124"/>
      <x:c r="U4322" s="124"/>
      <x:c r="V4322" s="124"/>
      <x:c r="W4322" s="124"/>
      <x:c r="X4322" s="124"/>
      <x:c r="AD4322"/>
      <x:c r="AE4322" s="145"/>
      <x:c r="AF4322" s="145"/>
      <x:c r="AG4322" s="145"/>
      <x:c r="AH4322" s="145"/>
      <x:c r="AI4322" s="145"/>
      <x:c r="AJ4322"/>
    </x:row>
    <x:row r="4323">
      <x:c r="F4323" s="124"/>
      <x:c r="G4323" s="124"/>
      <x:c r="H4323" s="124"/>
      <x:c r="I4323" s="124"/>
      <x:c r="J4323" s="124"/>
      <x:c r="M4323" s="126"/>
      <x:c r="P4323" s="126"/>
      <x:c r="Q4323" s="126"/>
      <x:c r="R4323" s="126"/>
      <x:c r="S4323" s="124"/>
      <x:c r="T4323" s="124"/>
      <x:c r="U4323" s="124"/>
      <x:c r="V4323" s="124"/>
      <x:c r="W4323" s="124"/>
      <x:c r="X4323" s="124"/>
      <x:c r="AD4323"/>
      <x:c r="AE4323" s="145"/>
      <x:c r="AF4323" s="145"/>
      <x:c r="AG4323" s="145"/>
      <x:c r="AH4323" s="145"/>
      <x:c r="AI4323" s="145"/>
      <x:c r="AJ4323"/>
    </x:row>
    <x:row r="4324">
      <x:c r="F4324" s="124"/>
      <x:c r="G4324" s="124"/>
      <x:c r="H4324" s="124"/>
      <x:c r="I4324" s="124"/>
      <x:c r="J4324" s="124"/>
      <x:c r="M4324" s="126"/>
      <x:c r="P4324" s="126"/>
      <x:c r="Q4324" s="126"/>
      <x:c r="R4324" s="126"/>
      <x:c r="S4324" s="124"/>
      <x:c r="T4324" s="124"/>
      <x:c r="U4324" s="124"/>
      <x:c r="V4324" s="124"/>
      <x:c r="W4324" s="124"/>
      <x:c r="X4324" s="124"/>
      <x:c r="AD4324"/>
      <x:c r="AE4324" s="145"/>
      <x:c r="AF4324" s="145"/>
      <x:c r="AG4324" s="145"/>
      <x:c r="AH4324" s="145"/>
      <x:c r="AI4324" s="145"/>
      <x:c r="AJ4324"/>
    </x:row>
    <x:row r="4325">
      <x:c r="F4325" s="124"/>
      <x:c r="G4325" s="124"/>
      <x:c r="H4325" s="124"/>
      <x:c r="I4325" s="124"/>
      <x:c r="J4325" s="124"/>
      <x:c r="M4325" s="126"/>
      <x:c r="P4325" s="126"/>
      <x:c r="Q4325" s="126"/>
      <x:c r="R4325" s="126"/>
      <x:c r="S4325" s="124"/>
      <x:c r="T4325" s="124"/>
      <x:c r="U4325" s="124"/>
      <x:c r="V4325" s="124"/>
      <x:c r="W4325" s="124"/>
      <x:c r="X4325" s="124"/>
      <x:c r="AD4325"/>
      <x:c r="AE4325" s="145"/>
      <x:c r="AF4325" s="145"/>
      <x:c r="AG4325" s="145"/>
      <x:c r="AH4325" s="145"/>
      <x:c r="AI4325" s="145"/>
      <x:c r="AJ4325"/>
    </x:row>
    <x:row r="4326">
      <x:c r="F4326" s="124"/>
      <x:c r="G4326" s="124"/>
      <x:c r="H4326" s="124"/>
      <x:c r="I4326" s="124"/>
      <x:c r="J4326" s="124"/>
      <x:c r="M4326" s="126"/>
      <x:c r="P4326" s="126"/>
      <x:c r="Q4326" s="126"/>
      <x:c r="R4326" s="126"/>
      <x:c r="S4326" s="124"/>
      <x:c r="T4326" s="124"/>
      <x:c r="U4326" s="124"/>
      <x:c r="V4326" s="124"/>
      <x:c r="W4326" s="124"/>
      <x:c r="X4326" s="124"/>
      <x:c r="AD4326"/>
      <x:c r="AE4326" s="145"/>
      <x:c r="AF4326" s="145"/>
      <x:c r="AG4326" s="145"/>
      <x:c r="AH4326" s="145"/>
      <x:c r="AI4326" s="145"/>
      <x:c r="AJ4326"/>
    </x:row>
    <x:row r="4327">
      <x:c r="F4327" s="124"/>
      <x:c r="G4327" s="124"/>
      <x:c r="H4327" s="124"/>
      <x:c r="I4327" s="124"/>
      <x:c r="J4327" s="124"/>
      <x:c r="M4327" s="126"/>
      <x:c r="P4327" s="126"/>
      <x:c r="Q4327" s="126"/>
      <x:c r="R4327" s="126"/>
      <x:c r="S4327" s="124"/>
      <x:c r="T4327" s="124"/>
      <x:c r="U4327" s="124"/>
      <x:c r="V4327" s="124"/>
      <x:c r="W4327" s="124"/>
      <x:c r="X4327" s="124"/>
      <x:c r="AD4327"/>
      <x:c r="AE4327" s="145"/>
      <x:c r="AF4327" s="145"/>
      <x:c r="AG4327" s="145"/>
      <x:c r="AH4327" s="145"/>
      <x:c r="AI4327" s="145"/>
      <x:c r="AJ4327"/>
    </x:row>
    <x:row r="4328">
      <x:c r="F4328" s="124"/>
      <x:c r="G4328" s="124"/>
      <x:c r="H4328" s="124"/>
      <x:c r="I4328" s="124"/>
      <x:c r="J4328" s="124"/>
      <x:c r="M4328" s="126"/>
      <x:c r="P4328" s="126"/>
      <x:c r="Q4328" s="126"/>
      <x:c r="R4328" s="126"/>
      <x:c r="S4328" s="124"/>
      <x:c r="T4328" s="124"/>
      <x:c r="U4328" s="124"/>
      <x:c r="V4328" s="124"/>
      <x:c r="W4328" s="124"/>
      <x:c r="X4328" s="124"/>
      <x:c r="AD4328"/>
      <x:c r="AE4328" s="145"/>
      <x:c r="AF4328" s="145"/>
      <x:c r="AG4328" s="145"/>
      <x:c r="AH4328" s="145"/>
      <x:c r="AI4328" s="145"/>
      <x:c r="AJ4328"/>
    </x:row>
    <x:row r="4329">
      <x:c r="F4329" s="124"/>
      <x:c r="G4329" s="124"/>
      <x:c r="H4329" s="124"/>
      <x:c r="I4329" s="124"/>
      <x:c r="J4329" s="124"/>
      <x:c r="M4329" s="126"/>
      <x:c r="P4329" s="126"/>
      <x:c r="Q4329" s="126"/>
      <x:c r="R4329" s="126"/>
      <x:c r="S4329" s="124"/>
      <x:c r="T4329" s="124"/>
      <x:c r="U4329" s="124"/>
      <x:c r="V4329" s="124"/>
      <x:c r="W4329" s="124"/>
      <x:c r="X4329" s="124"/>
      <x:c r="AD4329"/>
      <x:c r="AE4329" s="145"/>
      <x:c r="AF4329" s="145"/>
      <x:c r="AG4329" s="145"/>
      <x:c r="AH4329" s="145"/>
      <x:c r="AI4329" s="145"/>
      <x:c r="AJ4329"/>
    </x:row>
    <x:row r="4330">
      <x:c r="F4330" s="124"/>
      <x:c r="G4330" s="124"/>
      <x:c r="H4330" s="124"/>
      <x:c r="I4330" s="124"/>
      <x:c r="J4330" s="124"/>
      <x:c r="M4330" s="126"/>
      <x:c r="P4330" s="126"/>
      <x:c r="Q4330" s="126"/>
      <x:c r="R4330" s="126"/>
      <x:c r="S4330" s="124"/>
      <x:c r="T4330" s="124"/>
      <x:c r="U4330" s="124"/>
      <x:c r="V4330" s="124"/>
      <x:c r="W4330" s="124"/>
      <x:c r="X4330" s="124"/>
      <x:c r="AD4330"/>
      <x:c r="AE4330" s="145"/>
      <x:c r="AF4330" s="145"/>
      <x:c r="AG4330" s="145"/>
      <x:c r="AH4330" s="145"/>
      <x:c r="AI4330" s="145"/>
      <x:c r="AJ4330"/>
    </x:row>
    <x:row r="4331">
      <x:c r="F4331" s="124"/>
      <x:c r="G4331" s="124"/>
      <x:c r="H4331" s="124"/>
      <x:c r="I4331" s="124"/>
      <x:c r="J4331" s="124"/>
      <x:c r="M4331" s="126"/>
      <x:c r="P4331" s="126"/>
      <x:c r="Q4331" s="126"/>
      <x:c r="R4331" s="126"/>
      <x:c r="S4331" s="124"/>
      <x:c r="T4331" s="124"/>
      <x:c r="U4331" s="124"/>
      <x:c r="V4331" s="124"/>
      <x:c r="W4331" s="124"/>
      <x:c r="X4331" s="124"/>
      <x:c r="AD4331"/>
      <x:c r="AE4331" s="145"/>
      <x:c r="AF4331" s="145"/>
      <x:c r="AG4331" s="145"/>
      <x:c r="AH4331" s="145"/>
      <x:c r="AI4331" s="145"/>
      <x:c r="AJ4331"/>
    </x:row>
    <x:row r="4332">
      <x:c r="F4332" s="124"/>
      <x:c r="G4332" s="124"/>
      <x:c r="H4332" s="124"/>
      <x:c r="I4332" s="124"/>
      <x:c r="J4332" s="124"/>
      <x:c r="M4332" s="126"/>
      <x:c r="P4332" s="126"/>
      <x:c r="Q4332" s="126"/>
      <x:c r="R4332" s="126"/>
      <x:c r="S4332" s="124"/>
      <x:c r="T4332" s="124"/>
      <x:c r="U4332" s="124"/>
      <x:c r="V4332" s="124"/>
      <x:c r="W4332" s="124"/>
      <x:c r="X4332" s="124"/>
      <x:c r="AD4332"/>
      <x:c r="AE4332" s="145"/>
      <x:c r="AF4332" s="145"/>
      <x:c r="AG4332" s="145"/>
      <x:c r="AH4332" s="145"/>
      <x:c r="AI4332" s="145"/>
      <x:c r="AJ4332"/>
    </x:row>
    <x:row r="4333">
      <x:c r="F4333" s="124"/>
      <x:c r="G4333" s="124"/>
      <x:c r="H4333" s="124"/>
      <x:c r="I4333" s="124"/>
      <x:c r="J4333" s="124"/>
      <x:c r="M4333" s="126"/>
      <x:c r="P4333" s="126"/>
      <x:c r="Q4333" s="126"/>
      <x:c r="R4333" s="126"/>
      <x:c r="S4333" s="124"/>
      <x:c r="T4333" s="124"/>
      <x:c r="U4333" s="124"/>
      <x:c r="V4333" s="124"/>
      <x:c r="W4333" s="124"/>
      <x:c r="X4333" s="124"/>
      <x:c r="AD4333"/>
      <x:c r="AE4333" s="145"/>
      <x:c r="AF4333" s="145"/>
      <x:c r="AG4333" s="145"/>
      <x:c r="AH4333" s="145"/>
      <x:c r="AI4333" s="145"/>
      <x:c r="AJ4333"/>
    </x:row>
    <x:row r="4334">
      <x:c r="F4334" s="124"/>
      <x:c r="G4334" s="124"/>
      <x:c r="H4334" s="124"/>
      <x:c r="I4334" s="124"/>
      <x:c r="J4334" s="124"/>
      <x:c r="M4334" s="126"/>
      <x:c r="P4334" s="126"/>
      <x:c r="Q4334" s="126"/>
      <x:c r="R4334" s="126"/>
      <x:c r="S4334" s="124"/>
      <x:c r="T4334" s="124"/>
      <x:c r="U4334" s="124"/>
      <x:c r="V4334" s="124"/>
      <x:c r="W4334" s="124"/>
      <x:c r="X4334" s="124"/>
      <x:c r="AD4334"/>
      <x:c r="AE4334" s="145"/>
      <x:c r="AF4334" s="145"/>
      <x:c r="AG4334" s="145"/>
      <x:c r="AH4334" s="145"/>
      <x:c r="AI4334" s="145"/>
      <x:c r="AJ4334"/>
    </x:row>
    <x:row r="4335">
      <x:c r="F4335" s="124"/>
      <x:c r="G4335" s="124"/>
      <x:c r="H4335" s="124"/>
      <x:c r="I4335" s="124"/>
      <x:c r="J4335" s="124"/>
      <x:c r="M4335" s="126"/>
      <x:c r="P4335" s="126"/>
      <x:c r="Q4335" s="126"/>
      <x:c r="R4335" s="126"/>
      <x:c r="S4335" s="124"/>
      <x:c r="T4335" s="124"/>
      <x:c r="U4335" s="124"/>
      <x:c r="V4335" s="124"/>
      <x:c r="W4335" s="124"/>
      <x:c r="X4335" s="124"/>
      <x:c r="AD4335"/>
      <x:c r="AE4335" s="145"/>
      <x:c r="AF4335" s="145"/>
      <x:c r="AG4335" s="145"/>
      <x:c r="AH4335" s="145"/>
      <x:c r="AI4335" s="145"/>
      <x:c r="AJ4335"/>
    </x:row>
    <x:row r="4336">
      <x:c r="F4336" s="124"/>
      <x:c r="G4336" s="124"/>
      <x:c r="H4336" s="124"/>
      <x:c r="I4336" s="124"/>
      <x:c r="J4336" s="124"/>
      <x:c r="M4336" s="126"/>
      <x:c r="P4336" s="126"/>
      <x:c r="Q4336" s="126"/>
      <x:c r="R4336" s="126"/>
      <x:c r="S4336" s="124"/>
      <x:c r="T4336" s="124"/>
      <x:c r="U4336" s="124"/>
      <x:c r="V4336" s="124"/>
      <x:c r="W4336" s="124"/>
      <x:c r="X4336" s="124"/>
      <x:c r="AD4336"/>
      <x:c r="AE4336" s="145"/>
      <x:c r="AF4336" s="145"/>
      <x:c r="AG4336" s="145"/>
      <x:c r="AH4336" s="145"/>
      <x:c r="AI4336" s="145"/>
      <x:c r="AJ4336"/>
    </x:row>
    <x:row r="4337">
      <x:c r="F4337" s="124"/>
      <x:c r="G4337" s="124"/>
      <x:c r="H4337" s="124"/>
      <x:c r="I4337" s="124"/>
      <x:c r="J4337" s="124"/>
      <x:c r="M4337" s="126"/>
      <x:c r="P4337" s="126"/>
      <x:c r="Q4337" s="126"/>
      <x:c r="R4337" s="126"/>
      <x:c r="S4337" s="124"/>
      <x:c r="T4337" s="124"/>
      <x:c r="U4337" s="124"/>
      <x:c r="V4337" s="124"/>
      <x:c r="W4337" s="124"/>
      <x:c r="X4337" s="124"/>
      <x:c r="AD4337"/>
      <x:c r="AE4337" s="145"/>
      <x:c r="AF4337" s="145"/>
      <x:c r="AG4337" s="145"/>
      <x:c r="AH4337" s="145"/>
      <x:c r="AI4337" s="145"/>
      <x:c r="AJ4337"/>
    </x:row>
    <x:row r="4338">
      <x:c r="F4338" s="124"/>
      <x:c r="G4338" s="124"/>
      <x:c r="H4338" s="124"/>
      <x:c r="I4338" s="124"/>
      <x:c r="J4338" s="124"/>
      <x:c r="M4338" s="126"/>
      <x:c r="P4338" s="126"/>
      <x:c r="Q4338" s="126"/>
      <x:c r="R4338" s="126"/>
      <x:c r="S4338" s="124"/>
      <x:c r="T4338" s="124"/>
      <x:c r="U4338" s="124"/>
      <x:c r="V4338" s="124"/>
      <x:c r="W4338" s="124"/>
      <x:c r="X4338" s="124"/>
      <x:c r="AD4338"/>
      <x:c r="AE4338" s="145"/>
      <x:c r="AF4338" s="145"/>
      <x:c r="AG4338" s="145"/>
      <x:c r="AH4338" s="145"/>
      <x:c r="AI4338" s="145"/>
      <x:c r="AJ4338"/>
    </x:row>
    <x:row r="4339">
      <x:c r="F4339" s="124"/>
      <x:c r="G4339" s="124"/>
      <x:c r="H4339" s="124"/>
      <x:c r="I4339" s="124"/>
      <x:c r="J4339" s="124"/>
      <x:c r="M4339" s="126"/>
      <x:c r="P4339" s="126"/>
      <x:c r="Q4339" s="126"/>
      <x:c r="R4339" s="126"/>
      <x:c r="S4339" s="124"/>
      <x:c r="T4339" s="124"/>
      <x:c r="U4339" s="124"/>
      <x:c r="V4339" s="124"/>
      <x:c r="W4339" s="124"/>
      <x:c r="X4339" s="124"/>
      <x:c r="AD4339"/>
      <x:c r="AE4339" s="145"/>
      <x:c r="AF4339" s="145"/>
      <x:c r="AG4339" s="145"/>
      <x:c r="AH4339" s="145"/>
      <x:c r="AI4339" s="145"/>
      <x:c r="AJ4339"/>
    </x:row>
    <x:row r="4340">
      <x:c r="F4340" s="124"/>
      <x:c r="G4340" s="124"/>
      <x:c r="H4340" s="124"/>
      <x:c r="I4340" s="124"/>
      <x:c r="J4340" s="124"/>
      <x:c r="M4340" s="126"/>
      <x:c r="P4340" s="126"/>
      <x:c r="Q4340" s="126"/>
      <x:c r="R4340" s="126"/>
      <x:c r="S4340" s="124"/>
      <x:c r="T4340" s="124"/>
      <x:c r="U4340" s="124"/>
      <x:c r="V4340" s="124"/>
      <x:c r="W4340" s="124"/>
      <x:c r="X4340" s="124"/>
      <x:c r="AD4340"/>
      <x:c r="AE4340" s="145"/>
      <x:c r="AF4340" s="145"/>
      <x:c r="AG4340" s="145"/>
      <x:c r="AH4340" s="145"/>
      <x:c r="AI4340" s="145"/>
      <x:c r="AJ4340"/>
    </x:row>
    <x:row r="4341">
      <x:c r="F4341" s="124"/>
      <x:c r="G4341" s="124"/>
      <x:c r="H4341" s="124"/>
      <x:c r="I4341" s="124"/>
      <x:c r="J4341" s="124"/>
      <x:c r="M4341" s="126"/>
      <x:c r="P4341" s="126"/>
      <x:c r="Q4341" s="126"/>
      <x:c r="R4341" s="126"/>
      <x:c r="S4341" s="124"/>
      <x:c r="T4341" s="124"/>
      <x:c r="U4341" s="124"/>
      <x:c r="V4341" s="124"/>
      <x:c r="W4341" s="124"/>
      <x:c r="X4341" s="124"/>
      <x:c r="AD4341"/>
      <x:c r="AE4341" s="145"/>
      <x:c r="AF4341" s="145"/>
      <x:c r="AG4341" s="145"/>
      <x:c r="AH4341" s="145"/>
      <x:c r="AI4341" s="145"/>
      <x:c r="AJ4341"/>
    </x:row>
    <x:row r="4342">
      <x:c r="F4342" s="124"/>
      <x:c r="G4342" s="124"/>
      <x:c r="H4342" s="124"/>
      <x:c r="I4342" s="124"/>
      <x:c r="J4342" s="124"/>
      <x:c r="M4342" s="126"/>
      <x:c r="P4342" s="126"/>
      <x:c r="Q4342" s="126"/>
      <x:c r="R4342" s="126"/>
      <x:c r="S4342" s="124"/>
      <x:c r="T4342" s="124"/>
      <x:c r="U4342" s="124"/>
      <x:c r="V4342" s="124"/>
      <x:c r="W4342" s="124"/>
      <x:c r="X4342" s="124"/>
      <x:c r="AD4342"/>
      <x:c r="AE4342" s="145"/>
      <x:c r="AF4342" s="145"/>
      <x:c r="AG4342" s="145"/>
      <x:c r="AH4342" s="145"/>
      <x:c r="AI4342" s="145"/>
      <x:c r="AJ4342"/>
    </x:row>
    <x:row r="4343">
      <x:c r="F4343" s="124"/>
      <x:c r="G4343" s="124"/>
      <x:c r="H4343" s="124"/>
      <x:c r="I4343" s="124"/>
      <x:c r="J4343" s="124"/>
      <x:c r="M4343" s="126"/>
      <x:c r="P4343" s="126"/>
      <x:c r="Q4343" s="126"/>
      <x:c r="R4343" s="126"/>
      <x:c r="S4343" s="124"/>
      <x:c r="T4343" s="124"/>
      <x:c r="U4343" s="124"/>
      <x:c r="V4343" s="124"/>
      <x:c r="W4343" s="124"/>
      <x:c r="X4343" s="124"/>
      <x:c r="AD4343"/>
      <x:c r="AE4343" s="145"/>
      <x:c r="AF4343" s="145"/>
      <x:c r="AG4343" s="145"/>
      <x:c r="AH4343" s="145"/>
      <x:c r="AI4343" s="145"/>
      <x:c r="AJ4343"/>
    </x:row>
    <x:row r="4344">
      <x:c r="F4344" s="124"/>
      <x:c r="G4344" s="124"/>
      <x:c r="H4344" s="124"/>
      <x:c r="I4344" s="124"/>
      <x:c r="J4344" s="124"/>
      <x:c r="M4344" s="126"/>
      <x:c r="P4344" s="126"/>
      <x:c r="Q4344" s="126"/>
      <x:c r="R4344" s="126"/>
      <x:c r="S4344" s="124"/>
      <x:c r="T4344" s="124"/>
      <x:c r="U4344" s="124"/>
      <x:c r="V4344" s="124"/>
      <x:c r="W4344" s="124"/>
      <x:c r="X4344" s="124"/>
      <x:c r="AD4344"/>
      <x:c r="AE4344" s="145"/>
      <x:c r="AF4344" s="145"/>
      <x:c r="AG4344" s="145"/>
      <x:c r="AH4344" s="145"/>
      <x:c r="AI4344" s="145"/>
      <x:c r="AJ4344"/>
    </x:row>
    <x:row r="4345">
      <x:c r="F4345" s="124"/>
      <x:c r="G4345" s="124"/>
      <x:c r="H4345" s="124"/>
      <x:c r="I4345" s="124"/>
      <x:c r="J4345" s="124"/>
      <x:c r="M4345" s="126"/>
      <x:c r="P4345" s="126"/>
      <x:c r="Q4345" s="126"/>
      <x:c r="R4345" s="126"/>
      <x:c r="S4345" s="124"/>
      <x:c r="T4345" s="124"/>
      <x:c r="U4345" s="124"/>
      <x:c r="V4345" s="124"/>
      <x:c r="W4345" s="124"/>
      <x:c r="X4345" s="124"/>
      <x:c r="AD4345"/>
      <x:c r="AE4345" s="145"/>
      <x:c r="AF4345" s="145"/>
      <x:c r="AG4345" s="145"/>
      <x:c r="AH4345" s="145"/>
      <x:c r="AI4345" s="145"/>
      <x:c r="AJ4345"/>
    </x:row>
    <x:row r="4346">
      <x:c r="F4346" s="124"/>
      <x:c r="G4346" s="124"/>
      <x:c r="H4346" s="124"/>
      <x:c r="I4346" s="124"/>
      <x:c r="J4346" s="124"/>
      <x:c r="M4346" s="126"/>
      <x:c r="P4346" s="126"/>
      <x:c r="Q4346" s="126"/>
      <x:c r="R4346" s="126"/>
      <x:c r="S4346" s="124"/>
      <x:c r="T4346" s="124"/>
      <x:c r="U4346" s="124"/>
      <x:c r="V4346" s="124"/>
      <x:c r="W4346" s="124"/>
      <x:c r="X4346" s="124"/>
      <x:c r="AD4346"/>
      <x:c r="AE4346" s="145"/>
      <x:c r="AF4346" s="145"/>
      <x:c r="AG4346" s="145"/>
      <x:c r="AH4346" s="145"/>
      <x:c r="AI4346" s="145"/>
      <x:c r="AJ4346"/>
    </x:row>
    <x:row r="4347">
      <x:c r="F4347" s="124"/>
      <x:c r="G4347" s="124"/>
      <x:c r="H4347" s="124"/>
      <x:c r="I4347" s="124"/>
      <x:c r="J4347" s="124"/>
      <x:c r="M4347" s="126"/>
      <x:c r="P4347" s="126"/>
      <x:c r="Q4347" s="126"/>
      <x:c r="R4347" s="126"/>
      <x:c r="S4347" s="124"/>
      <x:c r="T4347" s="124"/>
      <x:c r="U4347" s="124"/>
      <x:c r="V4347" s="124"/>
      <x:c r="W4347" s="124"/>
      <x:c r="X4347" s="124"/>
      <x:c r="AD4347"/>
      <x:c r="AE4347" s="145"/>
      <x:c r="AF4347" s="145"/>
      <x:c r="AG4347" s="145"/>
      <x:c r="AH4347" s="145"/>
      <x:c r="AI4347" s="145"/>
      <x:c r="AJ4347"/>
    </x:row>
    <x:row r="4348">
      <x:c r="F4348" s="124"/>
      <x:c r="G4348" s="124"/>
      <x:c r="H4348" s="124"/>
      <x:c r="I4348" s="124"/>
      <x:c r="J4348" s="124"/>
      <x:c r="M4348" s="126"/>
      <x:c r="P4348" s="126"/>
      <x:c r="Q4348" s="126"/>
      <x:c r="R4348" s="126"/>
      <x:c r="S4348" s="124"/>
      <x:c r="T4348" s="124"/>
      <x:c r="U4348" s="124"/>
      <x:c r="V4348" s="124"/>
      <x:c r="W4348" s="124"/>
      <x:c r="X4348" s="124"/>
      <x:c r="AD4348"/>
      <x:c r="AE4348" s="145"/>
      <x:c r="AF4348" s="145"/>
      <x:c r="AG4348" s="145"/>
      <x:c r="AH4348" s="145"/>
      <x:c r="AI4348" s="145"/>
      <x:c r="AJ4348"/>
    </x:row>
    <x:row r="4349">
      <x:c r="F4349" s="124"/>
      <x:c r="G4349" s="124"/>
      <x:c r="H4349" s="124"/>
      <x:c r="I4349" s="124"/>
      <x:c r="J4349" s="124"/>
      <x:c r="M4349" s="126"/>
      <x:c r="P4349" s="126"/>
      <x:c r="Q4349" s="126"/>
      <x:c r="R4349" s="126"/>
      <x:c r="S4349" s="124"/>
      <x:c r="T4349" s="124"/>
      <x:c r="U4349" s="124"/>
      <x:c r="V4349" s="124"/>
      <x:c r="W4349" s="124"/>
      <x:c r="X4349" s="124"/>
      <x:c r="AD4349"/>
      <x:c r="AE4349" s="145"/>
      <x:c r="AF4349" s="145"/>
      <x:c r="AG4349" s="145"/>
      <x:c r="AH4349" s="145"/>
      <x:c r="AI4349" s="145"/>
      <x:c r="AJ4349"/>
    </x:row>
    <x:row r="4350">
      <x:c r="F4350" s="124"/>
      <x:c r="G4350" s="124"/>
      <x:c r="H4350" s="124"/>
      <x:c r="I4350" s="124"/>
      <x:c r="J4350" s="124"/>
      <x:c r="M4350" s="126"/>
      <x:c r="P4350" s="126"/>
      <x:c r="Q4350" s="126"/>
      <x:c r="R4350" s="126"/>
      <x:c r="S4350" s="124"/>
      <x:c r="T4350" s="124"/>
      <x:c r="U4350" s="124"/>
      <x:c r="V4350" s="124"/>
      <x:c r="W4350" s="124"/>
      <x:c r="X4350" s="124"/>
      <x:c r="AD4350"/>
      <x:c r="AE4350" s="145"/>
      <x:c r="AF4350" s="145"/>
      <x:c r="AG4350" s="145"/>
      <x:c r="AH4350" s="145"/>
      <x:c r="AI4350" s="145"/>
      <x:c r="AJ4350"/>
    </x:row>
    <x:row r="4351">
      <x:c r="F4351" s="124"/>
      <x:c r="G4351" s="124"/>
      <x:c r="H4351" s="124"/>
      <x:c r="I4351" s="124"/>
      <x:c r="J4351" s="124"/>
      <x:c r="M4351" s="126"/>
      <x:c r="P4351" s="126"/>
      <x:c r="Q4351" s="126"/>
      <x:c r="R4351" s="126"/>
      <x:c r="S4351" s="124"/>
      <x:c r="T4351" s="124"/>
      <x:c r="U4351" s="124"/>
      <x:c r="V4351" s="124"/>
      <x:c r="W4351" s="124"/>
      <x:c r="X4351" s="124"/>
      <x:c r="AD4351"/>
      <x:c r="AE4351" s="145"/>
      <x:c r="AF4351" s="145"/>
      <x:c r="AG4351" s="145"/>
      <x:c r="AH4351" s="145"/>
      <x:c r="AI4351" s="145"/>
      <x:c r="AJ4351"/>
    </x:row>
    <x:row r="4352">
      <x:c r="F4352" s="124"/>
      <x:c r="G4352" s="124"/>
      <x:c r="H4352" s="124"/>
      <x:c r="I4352" s="124"/>
      <x:c r="J4352" s="124"/>
      <x:c r="M4352" s="126"/>
      <x:c r="P4352" s="126"/>
      <x:c r="Q4352" s="126"/>
      <x:c r="R4352" s="126"/>
      <x:c r="S4352" s="124"/>
      <x:c r="T4352" s="124"/>
      <x:c r="U4352" s="124"/>
      <x:c r="V4352" s="124"/>
      <x:c r="W4352" s="124"/>
      <x:c r="X4352" s="124"/>
      <x:c r="AD4352"/>
      <x:c r="AE4352" s="145"/>
      <x:c r="AF4352" s="145"/>
      <x:c r="AG4352" s="145"/>
      <x:c r="AH4352" s="145"/>
      <x:c r="AI4352" s="145"/>
      <x:c r="AJ4352"/>
    </x:row>
    <x:row r="4353">
      <x:c r="F4353" s="124"/>
      <x:c r="G4353" s="124"/>
      <x:c r="H4353" s="124"/>
      <x:c r="I4353" s="124"/>
      <x:c r="J4353" s="124"/>
      <x:c r="M4353" s="126"/>
      <x:c r="P4353" s="126"/>
      <x:c r="Q4353" s="126"/>
      <x:c r="R4353" s="126"/>
      <x:c r="S4353" s="124"/>
      <x:c r="T4353" s="124"/>
      <x:c r="U4353" s="124"/>
      <x:c r="V4353" s="124"/>
      <x:c r="W4353" s="124"/>
      <x:c r="X4353" s="124"/>
      <x:c r="AD4353"/>
      <x:c r="AE4353" s="145"/>
      <x:c r="AF4353" s="145"/>
      <x:c r="AG4353" s="145"/>
      <x:c r="AH4353" s="145"/>
      <x:c r="AI4353" s="145"/>
      <x:c r="AJ4353"/>
    </x:row>
    <x:row r="4354">
      <x:c r="F4354" s="124"/>
      <x:c r="G4354" s="124"/>
      <x:c r="H4354" s="124"/>
      <x:c r="I4354" s="124"/>
      <x:c r="J4354" s="124"/>
      <x:c r="M4354" s="126"/>
      <x:c r="P4354" s="126"/>
      <x:c r="Q4354" s="126"/>
      <x:c r="R4354" s="126"/>
      <x:c r="S4354" s="124"/>
      <x:c r="T4354" s="124"/>
      <x:c r="U4354" s="124"/>
      <x:c r="V4354" s="124"/>
      <x:c r="W4354" s="124"/>
      <x:c r="X4354" s="124"/>
      <x:c r="AD4354"/>
      <x:c r="AE4354" s="145"/>
      <x:c r="AF4354" s="145"/>
      <x:c r="AG4354" s="145"/>
      <x:c r="AH4354" s="145"/>
      <x:c r="AI4354" s="145"/>
      <x:c r="AJ4354"/>
    </x:row>
    <x:row r="4355">
      <x:c r="F4355" s="124"/>
      <x:c r="G4355" s="124"/>
      <x:c r="H4355" s="124"/>
      <x:c r="I4355" s="124"/>
      <x:c r="J4355" s="124"/>
      <x:c r="M4355" s="126"/>
      <x:c r="P4355" s="126"/>
      <x:c r="Q4355" s="126"/>
      <x:c r="R4355" s="126"/>
      <x:c r="S4355" s="124"/>
      <x:c r="T4355" s="124"/>
      <x:c r="U4355" s="124"/>
      <x:c r="V4355" s="124"/>
      <x:c r="W4355" s="124"/>
      <x:c r="X4355" s="124"/>
      <x:c r="AD4355"/>
      <x:c r="AE4355" s="145"/>
      <x:c r="AF4355" s="145"/>
      <x:c r="AG4355" s="145"/>
      <x:c r="AH4355" s="145"/>
      <x:c r="AI4355" s="145"/>
      <x:c r="AJ4355"/>
    </x:row>
    <x:row r="4356">
      <x:c r="F4356" s="124"/>
      <x:c r="G4356" s="124"/>
      <x:c r="H4356" s="124"/>
      <x:c r="I4356" s="124"/>
      <x:c r="J4356" s="124"/>
      <x:c r="M4356" s="126"/>
      <x:c r="P4356" s="126"/>
      <x:c r="Q4356" s="126"/>
      <x:c r="R4356" s="126"/>
      <x:c r="S4356" s="124"/>
      <x:c r="T4356" s="124"/>
      <x:c r="U4356" s="124"/>
      <x:c r="V4356" s="124"/>
      <x:c r="W4356" s="124"/>
      <x:c r="X4356" s="124"/>
      <x:c r="AD4356"/>
      <x:c r="AE4356" s="145"/>
      <x:c r="AF4356" s="145"/>
      <x:c r="AG4356" s="145"/>
      <x:c r="AH4356" s="145"/>
      <x:c r="AI4356" s="145"/>
      <x:c r="AJ4356"/>
    </x:row>
    <x:row r="4357">
      <x:c r="F4357" s="124"/>
      <x:c r="G4357" s="124"/>
      <x:c r="H4357" s="124"/>
      <x:c r="I4357" s="124"/>
      <x:c r="J4357" s="124"/>
      <x:c r="M4357" s="126"/>
      <x:c r="P4357" s="126"/>
      <x:c r="Q4357" s="126"/>
      <x:c r="R4357" s="126"/>
      <x:c r="S4357" s="124"/>
      <x:c r="T4357" s="124"/>
      <x:c r="U4357" s="124"/>
      <x:c r="V4357" s="124"/>
      <x:c r="W4357" s="124"/>
      <x:c r="X4357" s="124"/>
      <x:c r="AD4357"/>
      <x:c r="AE4357" s="145"/>
      <x:c r="AF4357" s="145"/>
      <x:c r="AG4357" s="145"/>
      <x:c r="AH4357" s="145"/>
      <x:c r="AI4357" s="145"/>
      <x:c r="AJ4357"/>
    </x:row>
    <x:row r="4358">
      <x:c r="F4358" s="124"/>
      <x:c r="G4358" s="124"/>
      <x:c r="H4358" s="124"/>
      <x:c r="I4358" s="124"/>
      <x:c r="J4358" s="124"/>
      <x:c r="M4358" s="126"/>
      <x:c r="P4358" s="126"/>
      <x:c r="Q4358" s="126"/>
      <x:c r="R4358" s="126"/>
      <x:c r="S4358" s="124"/>
      <x:c r="T4358" s="124"/>
      <x:c r="U4358" s="124"/>
      <x:c r="V4358" s="124"/>
      <x:c r="W4358" s="124"/>
      <x:c r="X4358" s="124"/>
      <x:c r="AD4358"/>
      <x:c r="AE4358" s="145"/>
      <x:c r="AF4358" s="145"/>
      <x:c r="AG4358" s="145"/>
      <x:c r="AH4358" s="145"/>
      <x:c r="AI4358" s="145"/>
      <x:c r="AJ4358"/>
    </x:row>
    <x:row r="4359">
      <x:c r="F4359" s="124"/>
      <x:c r="G4359" s="124"/>
      <x:c r="H4359" s="124"/>
      <x:c r="I4359" s="124"/>
      <x:c r="J4359" s="124"/>
      <x:c r="M4359" s="126"/>
      <x:c r="P4359" s="126"/>
      <x:c r="Q4359" s="126"/>
      <x:c r="R4359" s="126"/>
      <x:c r="S4359" s="124"/>
      <x:c r="T4359" s="124"/>
      <x:c r="U4359" s="124"/>
      <x:c r="V4359" s="124"/>
      <x:c r="W4359" s="124"/>
      <x:c r="X4359" s="124"/>
      <x:c r="AD4359"/>
      <x:c r="AE4359" s="145"/>
      <x:c r="AF4359" s="145"/>
      <x:c r="AG4359" s="145"/>
      <x:c r="AH4359" s="145"/>
      <x:c r="AI4359" s="145"/>
      <x:c r="AJ4359"/>
    </x:row>
    <x:row r="4360">
      <x:c r="F4360" s="124"/>
      <x:c r="G4360" s="124"/>
      <x:c r="H4360" s="124"/>
      <x:c r="I4360" s="124"/>
      <x:c r="J4360" s="124"/>
      <x:c r="M4360" s="126"/>
      <x:c r="P4360" s="126"/>
      <x:c r="Q4360" s="126"/>
      <x:c r="R4360" s="126"/>
      <x:c r="S4360" s="124"/>
      <x:c r="T4360" s="124"/>
      <x:c r="U4360" s="124"/>
      <x:c r="V4360" s="124"/>
      <x:c r="W4360" s="124"/>
      <x:c r="X4360" s="124"/>
      <x:c r="AD4360"/>
      <x:c r="AE4360" s="145"/>
      <x:c r="AF4360" s="145"/>
      <x:c r="AG4360" s="145"/>
      <x:c r="AH4360" s="145"/>
      <x:c r="AI4360" s="145"/>
      <x:c r="AJ4360"/>
    </x:row>
    <x:row r="4361">
      <x:c r="F4361" s="124"/>
      <x:c r="G4361" s="124"/>
      <x:c r="H4361" s="124"/>
      <x:c r="I4361" s="124"/>
      <x:c r="J4361" s="124"/>
      <x:c r="M4361" s="126"/>
      <x:c r="P4361" s="126"/>
      <x:c r="Q4361" s="126"/>
      <x:c r="R4361" s="126"/>
      <x:c r="S4361" s="124"/>
      <x:c r="T4361" s="124"/>
      <x:c r="U4361" s="124"/>
      <x:c r="V4361" s="124"/>
      <x:c r="W4361" s="124"/>
      <x:c r="X4361" s="124"/>
      <x:c r="AD4361"/>
      <x:c r="AE4361" s="145"/>
      <x:c r="AF4361" s="145"/>
      <x:c r="AG4361" s="145"/>
      <x:c r="AH4361" s="145"/>
      <x:c r="AI4361" s="145"/>
      <x:c r="AJ4361"/>
    </x:row>
    <x:row r="4362">
      <x:c r="F4362" s="124"/>
      <x:c r="G4362" s="124"/>
      <x:c r="H4362" s="124"/>
      <x:c r="I4362" s="124"/>
      <x:c r="J4362" s="124"/>
      <x:c r="M4362" s="126"/>
      <x:c r="P4362" s="126"/>
      <x:c r="Q4362" s="126"/>
      <x:c r="R4362" s="126"/>
      <x:c r="S4362" s="124"/>
      <x:c r="T4362" s="124"/>
      <x:c r="U4362" s="124"/>
      <x:c r="V4362" s="124"/>
      <x:c r="W4362" s="124"/>
      <x:c r="X4362" s="124"/>
      <x:c r="AD4362"/>
      <x:c r="AE4362" s="145"/>
      <x:c r="AF4362" s="145"/>
      <x:c r="AG4362" s="145"/>
      <x:c r="AH4362" s="145"/>
      <x:c r="AI4362" s="145"/>
      <x:c r="AJ4362"/>
    </x:row>
    <x:row r="4363">
      <x:c r="F4363" s="124"/>
      <x:c r="G4363" s="124"/>
      <x:c r="H4363" s="124"/>
      <x:c r="I4363" s="124"/>
      <x:c r="J4363" s="124"/>
      <x:c r="M4363" s="126"/>
      <x:c r="P4363" s="126"/>
      <x:c r="Q4363" s="126"/>
      <x:c r="R4363" s="126"/>
      <x:c r="S4363" s="124"/>
      <x:c r="T4363" s="124"/>
      <x:c r="U4363" s="124"/>
      <x:c r="V4363" s="124"/>
      <x:c r="W4363" s="124"/>
      <x:c r="X4363" s="124"/>
      <x:c r="AD4363"/>
      <x:c r="AE4363" s="145"/>
      <x:c r="AF4363" s="145"/>
      <x:c r="AG4363" s="145"/>
      <x:c r="AH4363" s="145"/>
      <x:c r="AI4363" s="145"/>
      <x:c r="AJ4363"/>
    </x:row>
    <x:row r="4364">
      <x:c r="F4364" s="124"/>
      <x:c r="G4364" s="124"/>
      <x:c r="H4364" s="124"/>
      <x:c r="I4364" s="124"/>
      <x:c r="J4364" s="124"/>
      <x:c r="M4364" s="126"/>
      <x:c r="P4364" s="126"/>
      <x:c r="Q4364" s="126"/>
      <x:c r="R4364" s="126"/>
      <x:c r="S4364" s="124"/>
      <x:c r="T4364" s="124"/>
      <x:c r="U4364" s="124"/>
      <x:c r="V4364" s="124"/>
      <x:c r="W4364" s="124"/>
      <x:c r="X4364" s="124"/>
      <x:c r="AD4364"/>
      <x:c r="AE4364" s="145"/>
      <x:c r="AF4364" s="145"/>
      <x:c r="AG4364" s="145"/>
      <x:c r="AH4364" s="145"/>
      <x:c r="AI4364" s="145"/>
      <x:c r="AJ4364"/>
    </x:row>
    <x:row r="4365">
      <x:c r="F4365" s="124"/>
      <x:c r="G4365" s="124"/>
      <x:c r="H4365" s="124"/>
      <x:c r="I4365" s="124"/>
      <x:c r="J4365" s="124"/>
      <x:c r="M4365" s="126"/>
      <x:c r="P4365" s="126"/>
      <x:c r="Q4365" s="126"/>
      <x:c r="R4365" s="126"/>
      <x:c r="S4365" s="124"/>
      <x:c r="T4365" s="124"/>
      <x:c r="U4365" s="124"/>
      <x:c r="V4365" s="124"/>
      <x:c r="W4365" s="124"/>
      <x:c r="X4365" s="124"/>
      <x:c r="AD4365"/>
      <x:c r="AE4365" s="145"/>
      <x:c r="AF4365" s="145"/>
      <x:c r="AG4365" s="145"/>
      <x:c r="AH4365" s="145"/>
      <x:c r="AI4365" s="145"/>
      <x:c r="AJ4365"/>
    </x:row>
    <x:row r="4366">
      <x:c r="F4366" s="124"/>
      <x:c r="G4366" s="124"/>
      <x:c r="H4366" s="124"/>
      <x:c r="I4366" s="124"/>
      <x:c r="J4366" s="124"/>
      <x:c r="M4366" s="126"/>
      <x:c r="P4366" s="126"/>
      <x:c r="Q4366" s="126"/>
      <x:c r="R4366" s="126"/>
      <x:c r="S4366" s="124"/>
      <x:c r="T4366" s="124"/>
      <x:c r="U4366" s="124"/>
      <x:c r="V4366" s="124"/>
      <x:c r="W4366" s="124"/>
      <x:c r="X4366" s="124"/>
      <x:c r="AD4366"/>
      <x:c r="AE4366" s="145"/>
      <x:c r="AF4366" s="145"/>
      <x:c r="AG4366" s="145"/>
      <x:c r="AH4366" s="145"/>
      <x:c r="AI4366" s="145"/>
      <x:c r="AJ4366"/>
    </x:row>
    <x:row r="4367">
      <x:c r="F4367" s="124"/>
      <x:c r="G4367" s="124"/>
      <x:c r="H4367" s="124"/>
      <x:c r="I4367" s="124"/>
      <x:c r="J4367" s="124"/>
      <x:c r="M4367" s="126"/>
      <x:c r="P4367" s="126"/>
      <x:c r="Q4367" s="126"/>
      <x:c r="R4367" s="126"/>
      <x:c r="S4367" s="124"/>
      <x:c r="T4367" s="124"/>
      <x:c r="U4367" s="124"/>
      <x:c r="V4367" s="124"/>
      <x:c r="W4367" s="124"/>
      <x:c r="X4367" s="124"/>
      <x:c r="AD4367"/>
      <x:c r="AE4367" s="145"/>
      <x:c r="AF4367" s="145"/>
      <x:c r="AG4367" s="145"/>
      <x:c r="AH4367" s="145"/>
      <x:c r="AI4367" s="145"/>
      <x:c r="AJ4367"/>
    </x:row>
    <x:row r="4368">
      <x:c r="F4368" s="124"/>
      <x:c r="G4368" s="124"/>
      <x:c r="H4368" s="124"/>
      <x:c r="I4368" s="124"/>
      <x:c r="J4368" s="124"/>
      <x:c r="M4368" s="126"/>
      <x:c r="P4368" s="126"/>
      <x:c r="Q4368" s="126"/>
      <x:c r="R4368" s="126"/>
      <x:c r="S4368" s="124"/>
      <x:c r="T4368" s="124"/>
      <x:c r="U4368" s="124"/>
      <x:c r="V4368" s="124"/>
      <x:c r="W4368" s="124"/>
      <x:c r="X4368" s="124"/>
      <x:c r="AD4368"/>
      <x:c r="AE4368" s="145"/>
      <x:c r="AF4368" s="145"/>
      <x:c r="AG4368" s="145"/>
      <x:c r="AH4368" s="145"/>
      <x:c r="AI4368" s="145"/>
      <x:c r="AJ4368"/>
    </x:row>
    <x:row r="4369">
      <x:c r="F4369" s="124"/>
      <x:c r="G4369" s="124"/>
      <x:c r="H4369" s="124"/>
      <x:c r="I4369" s="124"/>
      <x:c r="J4369" s="124"/>
      <x:c r="M4369" s="126"/>
      <x:c r="P4369" s="126"/>
      <x:c r="Q4369" s="126"/>
      <x:c r="R4369" s="126"/>
      <x:c r="S4369" s="124"/>
      <x:c r="T4369" s="124"/>
      <x:c r="U4369" s="124"/>
      <x:c r="V4369" s="124"/>
      <x:c r="W4369" s="124"/>
      <x:c r="X4369" s="124"/>
      <x:c r="AD4369"/>
      <x:c r="AE4369" s="145"/>
      <x:c r="AF4369" s="145"/>
      <x:c r="AG4369" s="145"/>
      <x:c r="AH4369" s="145"/>
      <x:c r="AI4369" s="145"/>
      <x:c r="AJ4369"/>
    </x:row>
    <x:row r="4370">
      <x:c r="F4370" s="124"/>
      <x:c r="G4370" s="124"/>
      <x:c r="H4370" s="124"/>
      <x:c r="I4370" s="124"/>
      <x:c r="J4370" s="124"/>
      <x:c r="M4370" s="126"/>
      <x:c r="P4370" s="126"/>
      <x:c r="Q4370" s="126"/>
      <x:c r="R4370" s="126"/>
      <x:c r="S4370" s="124"/>
      <x:c r="T4370" s="124"/>
      <x:c r="U4370" s="124"/>
      <x:c r="V4370" s="124"/>
      <x:c r="W4370" s="124"/>
      <x:c r="X4370" s="124"/>
      <x:c r="AD4370"/>
      <x:c r="AE4370" s="145"/>
      <x:c r="AF4370" s="145"/>
      <x:c r="AG4370" s="145"/>
      <x:c r="AH4370" s="145"/>
      <x:c r="AI4370" s="145"/>
      <x:c r="AJ4370"/>
    </x:row>
    <x:row r="4371">
      <x:c r="F4371" s="124"/>
      <x:c r="G4371" s="124"/>
      <x:c r="H4371" s="124"/>
      <x:c r="I4371" s="124"/>
      <x:c r="J4371" s="124"/>
      <x:c r="M4371" s="126"/>
      <x:c r="P4371" s="126"/>
      <x:c r="Q4371" s="126"/>
      <x:c r="R4371" s="126"/>
      <x:c r="S4371" s="124"/>
      <x:c r="T4371" s="124"/>
      <x:c r="U4371" s="124"/>
      <x:c r="V4371" s="124"/>
      <x:c r="W4371" s="124"/>
      <x:c r="X4371" s="124"/>
      <x:c r="AD4371"/>
      <x:c r="AE4371" s="145"/>
      <x:c r="AF4371" s="145"/>
      <x:c r="AG4371" s="145"/>
      <x:c r="AH4371" s="145"/>
      <x:c r="AI4371" s="145"/>
      <x:c r="AJ4371"/>
    </x:row>
    <x:row r="4372">
      <x:c r="F4372" s="124"/>
      <x:c r="G4372" s="124"/>
      <x:c r="H4372" s="124"/>
      <x:c r="I4372" s="124"/>
      <x:c r="J4372" s="124"/>
      <x:c r="M4372" s="126"/>
      <x:c r="P4372" s="126"/>
      <x:c r="Q4372" s="126"/>
      <x:c r="R4372" s="126"/>
      <x:c r="S4372" s="124"/>
      <x:c r="T4372" s="124"/>
      <x:c r="U4372" s="124"/>
      <x:c r="V4372" s="124"/>
      <x:c r="W4372" s="124"/>
      <x:c r="X4372" s="124"/>
      <x:c r="AD4372"/>
      <x:c r="AE4372" s="145"/>
      <x:c r="AF4372" s="145"/>
      <x:c r="AG4372" s="145"/>
      <x:c r="AH4372" s="145"/>
      <x:c r="AI4372" s="145"/>
      <x:c r="AJ4372"/>
    </x:row>
    <x:row r="4373">
      <x:c r="F4373" s="124"/>
      <x:c r="G4373" s="124"/>
      <x:c r="H4373" s="124"/>
      <x:c r="I4373" s="124"/>
      <x:c r="J4373" s="124"/>
      <x:c r="M4373" s="126"/>
      <x:c r="P4373" s="126"/>
      <x:c r="Q4373" s="126"/>
      <x:c r="R4373" s="126"/>
      <x:c r="S4373" s="124"/>
      <x:c r="T4373" s="124"/>
      <x:c r="U4373" s="124"/>
      <x:c r="V4373" s="124"/>
      <x:c r="W4373" s="124"/>
      <x:c r="X4373" s="124"/>
      <x:c r="AD4373"/>
      <x:c r="AE4373" s="145"/>
      <x:c r="AF4373" s="145"/>
      <x:c r="AG4373" s="145"/>
      <x:c r="AH4373" s="145"/>
      <x:c r="AI4373" s="145"/>
      <x:c r="AJ4373"/>
    </x:row>
    <x:row r="4374">
      <x:c r="F4374" s="124"/>
      <x:c r="G4374" s="124"/>
      <x:c r="H4374" s="124"/>
      <x:c r="I4374" s="124"/>
      <x:c r="J4374" s="124"/>
      <x:c r="M4374" s="126"/>
      <x:c r="P4374" s="126"/>
      <x:c r="Q4374" s="126"/>
      <x:c r="R4374" s="126"/>
      <x:c r="S4374" s="124"/>
      <x:c r="T4374" s="124"/>
      <x:c r="U4374" s="124"/>
      <x:c r="V4374" s="124"/>
      <x:c r="W4374" s="124"/>
      <x:c r="X4374" s="124"/>
      <x:c r="AD4374"/>
      <x:c r="AE4374" s="145"/>
      <x:c r="AF4374" s="145"/>
      <x:c r="AG4374" s="145"/>
      <x:c r="AH4374" s="145"/>
      <x:c r="AI4374" s="145"/>
      <x:c r="AJ4374"/>
    </x:row>
    <x:row r="4375">
      <x:c r="F4375" s="124"/>
      <x:c r="G4375" s="124"/>
      <x:c r="H4375" s="124"/>
      <x:c r="I4375" s="124"/>
      <x:c r="J4375" s="124"/>
      <x:c r="M4375" s="126"/>
      <x:c r="P4375" s="126"/>
      <x:c r="Q4375" s="126"/>
      <x:c r="R4375" s="126"/>
      <x:c r="S4375" s="124"/>
      <x:c r="T4375" s="124"/>
      <x:c r="U4375" s="124"/>
      <x:c r="V4375" s="124"/>
      <x:c r="W4375" s="124"/>
      <x:c r="X4375" s="124"/>
      <x:c r="AD4375"/>
      <x:c r="AE4375" s="145"/>
      <x:c r="AF4375" s="145"/>
      <x:c r="AG4375" s="145"/>
      <x:c r="AH4375" s="145"/>
      <x:c r="AI4375" s="145"/>
      <x:c r="AJ4375"/>
    </x:row>
    <x:row r="4376">
      <x:c r="F4376" s="124"/>
      <x:c r="G4376" s="124"/>
      <x:c r="H4376" s="124"/>
      <x:c r="I4376" s="124"/>
      <x:c r="J4376" s="124"/>
      <x:c r="M4376" s="126"/>
      <x:c r="P4376" s="126"/>
      <x:c r="Q4376" s="126"/>
      <x:c r="R4376" s="126"/>
      <x:c r="S4376" s="124"/>
      <x:c r="T4376" s="124"/>
      <x:c r="U4376" s="124"/>
      <x:c r="V4376" s="124"/>
      <x:c r="W4376" s="124"/>
      <x:c r="X4376" s="124"/>
      <x:c r="AD4376"/>
      <x:c r="AE4376" s="145"/>
      <x:c r="AF4376" s="145"/>
      <x:c r="AG4376" s="145"/>
      <x:c r="AH4376" s="145"/>
      <x:c r="AI4376" s="145"/>
      <x:c r="AJ4376"/>
    </x:row>
    <x:row r="4377">
      <x:c r="F4377" s="124"/>
      <x:c r="G4377" s="124"/>
      <x:c r="H4377" s="124"/>
      <x:c r="I4377" s="124"/>
      <x:c r="J4377" s="124"/>
      <x:c r="M4377" s="126"/>
      <x:c r="P4377" s="126"/>
      <x:c r="Q4377" s="126"/>
      <x:c r="R4377" s="126"/>
      <x:c r="S4377" s="124"/>
      <x:c r="T4377" s="124"/>
      <x:c r="U4377" s="124"/>
      <x:c r="V4377" s="124"/>
      <x:c r="W4377" s="124"/>
      <x:c r="X4377" s="124"/>
      <x:c r="AD4377"/>
      <x:c r="AE4377" s="145"/>
      <x:c r="AF4377" s="145"/>
      <x:c r="AG4377" s="145"/>
      <x:c r="AH4377" s="145"/>
      <x:c r="AI4377" s="145"/>
      <x:c r="AJ4377"/>
    </x:row>
    <x:row r="4378">
      <x:c r="F4378" s="124"/>
      <x:c r="G4378" s="124"/>
      <x:c r="H4378" s="124"/>
      <x:c r="I4378" s="124"/>
      <x:c r="J4378" s="124"/>
      <x:c r="M4378" s="126"/>
      <x:c r="P4378" s="126"/>
      <x:c r="Q4378" s="126"/>
      <x:c r="R4378" s="126"/>
      <x:c r="S4378" s="124"/>
      <x:c r="T4378" s="124"/>
      <x:c r="U4378" s="124"/>
      <x:c r="V4378" s="124"/>
      <x:c r="W4378" s="124"/>
      <x:c r="X4378" s="124"/>
      <x:c r="AD4378"/>
      <x:c r="AE4378" s="145"/>
      <x:c r="AF4378" s="145"/>
      <x:c r="AG4378" s="145"/>
      <x:c r="AH4378" s="145"/>
      <x:c r="AI4378" s="145"/>
      <x:c r="AJ4378"/>
    </x:row>
    <x:row r="4379">
      <x:c r="F4379" s="124"/>
      <x:c r="G4379" s="124"/>
      <x:c r="H4379" s="124"/>
      <x:c r="I4379" s="124"/>
      <x:c r="J4379" s="124"/>
      <x:c r="M4379" s="126"/>
      <x:c r="P4379" s="126"/>
      <x:c r="Q4379" s="126"/>
      <x:c r="R4379" s="126"/>
      <x:c r="S4379" s="124"/>
      <x:c r="T4379" s="124"/>
      <x:c r="U4379" s="124"/>
      <x:c r="V4379" s="124"/>
      <x:c r="W4379" s="124"/>
      <x:c r="X4379" s="124"/>
      <x:c r="AD4379"/>
      <x:c r="AE4379" s="145"/>
      <x:c r="AF4379" s="145"/>
      <x:c r="AG4379" s="145"/>
      <x:c r="AH4379" s="145"/>
      <x:c r="AI4379" s="145"/>
      <x:c r="AJ4379"/>
    </x:row>
    <x:row r="4380">
      <x:c r="F4380" s="124"/>
      <x:c r="G4380" s="124"/>
      <x:c r="H4380" s="124"/>
      <x:c r="I4380" s="124"/>
      <x:c r="J4380" s="124"/>
      <x:c r="M4380" s="126"/>
      <x:c r="P4380" s="126"/>
      <x:c r="Q4380" s="126"/>
      <x:c r="R4380" s="126"/>
      <x:c r="S4380" s="124"/>
      <x:c r="T4380" s="124"/>
      <x:c r="U4380" s="124"/>
      <x:c r="V4380" s="124"/>
      <x:c r="W4380" s="124"/>
      <x:c r="X4380" s="124"/>
      <x:c r="AD4380"/>
      <x:c r="AE4380" s="145"/>
      <x:c r="AF4380" s="145"/>
      <x:c r="AG4380" s="145"/>
      <x:c r="AH4380" s="145"/>
      <x:c r="AI4380" s="145"/>
      <x:c r="AJ4380"/>
    </x:row>
    <x:row r="4381">
      <x:c r="F4381" s="124"/>
      <x:c r="G4381" s="124"/>
      <x:c r="H4381" s="124"/>
      <x:c r="I4381" s="124"/>
      <x:c r="J4381" s="124"/>
      <x:c r="M4381" s="126"/>
      <x:c r="P4381" s="126"/>
      <x:c r="Q4381" s="126"/>
      <x:c r="R4381" s="126"/>
      <x:c r="S4381" s="124"/>
      <x:c r="T4381" s="124"/>
      <x:c r="U4381" s="124"/>
      <x:c r="V4381" s="124"/>
      <x:c r="W4381" s="124"/>
      <x:c r="X4381" s="124"/>
      <x:c r="AD4381"/>
      <x:c r="AE4381" s="145"/>
      <x:c r="AF4381" s="145"/>
      <x:c r="AG4381" s="145"/>
      <x:c r="AH4381" s="145"/>
      <x:c r="AI4381" s="145"/>
      <x:c r="AJ4381"/>
    </x:row>
    <x:row r="4382">
      <x:c r="F4382" s="124"/>
      <x:c r="G4382" s="124"/>
      <x:c r="H4382" s="124"/>
      <x:c r="I4382" s="124"/>
      <x:c r="J4382" s="124"/>
      <x:c r="M4382" s="126"/>
      <x:c r="P4382" s="126"/>
      <x:c r="Q4382" s="126"/>
      <x:c r="R4382" s="126"/>
      <x:c r="S4382" s="124"/>
      <x:c r="T4382" s="124"/>
      <x:c r="U4382" s="124"/>
      <x:c r="V4382" s="124"/>
      <x:c r="W4382" s="124"/>
      <x:c r="X4382" s="124"/>
      <x:c r="AD4382"/>
      <x:c r="AE4382" s="145"/>
      <x:c r="AF4382" s="145"/>
      <x:c r="AG4382" s="145"/>
      <x:c r="AH4382" s="145"/>
      <x:c r="AI4382" s="145"/>
      <x:c r="AJ4382"/>
    </x:row>
    <x:row r="4383">
      <x:c r="F4383" s="124"/>
      <x:c r="G4383" s="124"/>
      <x:c r="H4383" s="124"/>
      <x:c r="I4383" s="124"/>
      <x:c r="J4383" s="124"/>
      <x:c r="M4383" s="126"/>
      <x:c r="P4383" s="126"/>
      <x:c r="Q4383" s="126"/>
      <x:c r="R4383" s="126"/>
      <x:c r="S4383" s="124"/>
      <x:c r="T4383" s="124"/>
      <x:c r="U4383" s="124"/>
      <x:c r="V4383" s="124"/>
      <x:c r="W4383" s="124"/>
      <x:c r="X4383" s="124"/>
      <x:c r="AD4383"/>
      <x:c r="AE4383" s="145"/>
      <x:c r="AF4383" s="145"/>
      <x:c r="AG4383" s="145"/>
      <x:c r="AH4383" s="145"/>
      <x:c r="AI4383" s="145"/>
      <x:c r="AJ4383"/>
    </x:row>
    <x:row r="4384">
      <x:c r="F4384" s="124"/>
      <x:c r="G4384" s="124"/>
      <x:c r="H4384" s="124"/>
      <x:c r="I4384" s="124"/>
      <x:c r="J4384" s="124"/>
      <x:c r="M4384" s="126"/>
      <x:c r="P4384" s="126"/>
      <x:c r="Q4384" s="126"/>
      <x:c r="R4384" s="126"/>
      <x:c r="S4384" s="124"/>
      <x:c r="T4384" s="124"/>
      <x:c r="U4384" s="124"/>
      <x:c r="V4384" s="124"/>
      <x:c r="W4384" s="124"/>
      <x:c r="X4384" s="124"/>
      <x:c r="AD4384"/>
      <x:c r="AE4384" s="145"/>
      <x:c r="AF4384" s="145"/>
      <x:c r="AG4384" s="145"/>
      <x:c r="AH4384" s="145"/>
      <x:c r="AI4384" s="145"/>
      <x:c r="AJ4384"/>
    </x:row>
    <x:row r="4385">
      <x:c r="F4385" s="124"/>
      <x:c r="G4385" s="124"/>
      <x:c r="H4385" s="124"/>
      <x:c r="I4385" s="124"/>
      <x:c r="J4385" s="124"/>
      <x:c r="M4385" s="126"/>
      <x:c r="P4385" s="126"/>
      <x:c r="Q4385" s="126"/>
      <x:c r="R4385" s="126"/>
      <x:c r="S4385" s="124"/>
      <x:c r="T4385" s="124"/>
      <x:c r="U4385" s="124"/>
      <x:c r="V4385" s="124"/>
      <x:c r="W4385" s="124"/>
      <x:c r="X4385" s="124"/>
      <x:c r="AD4385"/>
      <x:c r="AE4385" s="145"/>
      <x:c r="AF4385" s="145"/>
      <x:c r="AG4385" s="145"/>
      <x:c r="AH4385" s="145"/>
      <x:c r="AI4385" s="145"/>
      <x:c r="AJ4385"/>
    </x:row>
    <x:row r="4386">
      <x:c r="F4386" s="124"/>
      <x:c r="G4386" s="124"/>
      <x:c r="H4386" s="124"/>
      <x:c r="I4386" s="124"/>
      <x:c r="J4386" s="124"/>
      <x:c r="M4386" s="126"/>
      <x:c r="P4386" s="126"/>
      <x:c r="Q4386" s="126"/>
      <x:c r="R4386" s="126"/>
      <x:c r="S4386" s="124"/>
      <x:c r="T4386" s="124"/>
      <x:c r="U4386" s="124"/>
      <x:c r="V4386" s="124"/>
      <x:c r="W4386" s="124"/>
      <x:c r="X4386" s="124"/>
      <x:c r="AD4386"/>
      <x:c r="AE4386" s="145"/>
      <x:c r="AF4386" s="145"/>
      <x:c r="AG4386" s="145"/>
      <x:c r="AH4386" s="145"/>
      <x:c r="AI4386" s="145"/>
      <x:c r="AJ4386"/>
    </x:row>
    <x:row r="4387">
      <x:c r="F4387" s="124"/>
      <x:c r="G4387" s="124"/>
      <x:c r="H4387" s="124"/>
      <x:c r="I4387" s="124"/>
      <x:c r="J4387" s="124"/>
      <x:c r="M4387" s="126"/>
      <x:c r="P4387" s="126"/>
      <x:c r="Q4387" s="126"/>
      <x:c r="R4387" s="126"/>
      <x:c r="S4387" s="124"/>
      <x:c r="T4387" s="124"/>
      <x:c r="U4387" s="124"/>
      <x:c r="V4387" s="124"/>
      <x:c r="W4387" s="124"/>
      <x:c r="X4387" s="124"/>
      <x:c r="AD4387"/>
      <x:c r="AE4387" s="145"/>
      <x:c r="AF4387" s="145"/>
      <x:c r="AG4387" s="145"/>
      <x:c r="AH4387" s="145"/>
      <x:c r="AI4387" s="145"/>
      <x:c r="AJ4387"/>
    </x:row>
    <x:row r="4388">
      <x:c r="F4388" s="124"/>
      <x:c r="G4388" s="124"/>
      <x:c r="H4388" s="124"/>
      <x:c r="I4388" s="124"/>
      <x:c r="J4388" s="124"/>
      <x:c r="M4388" s="126"/>
      <x:c r="P4388" s="126"/>
      <x:c r="Q4388" s="126"/>
      <x:c r="R4388" s="126"/>
      <x:c r="S4388" s="124"/>
      <x:c r="T4388" s="124"/>
      <x:c r="U4388" s="124"/>
      <x:c r="V4388" s="124"/>
      <x:c r="W4388" s="124"/>
      <x:c r="X4388" s="124"/>
      <x:c r="AD4388"/>
      <x:c r="AE4388" s="145"/>
      <x:c r="AF4388" s="145"/>
      <x:c r="AG4388" s="145"/>
      <x:c r="AH4388" s="145"/>
      <x:c r="AI4388" s="145"/>
      <x:c r="AJ4388"/>
    </x:row>
    <x:row r="4389">
      <x:c r="F4389" s="124"/>
      <x:c r="G4389" s="124"/>
      <x:c r="H4389" s="124"/>
      <x:c r="I4389" s="124"/>
      <x:c r="J4389" s="124"/>
      <x:c r="M4389" s="126"/>
      <x:c r="P4389" s="126"/>
      <x:c r="Q4389" s="126"/>
      <x:c r="R4389" s="126"/>
      <x:c r="S4389" s="124"/>
      <x:c r="T4389" s="124"/>
      <x:c r="U4389" s="124"/>
      <x:c r="V4389" s="124"/>
      <x:c r="W4389" s="124"/>
      <x:c r="X4389" s="124"/>
      <x:c r="AD4389"/>
      <x:c r="AE4389" s="145"/>
      <x:c r="AF4389" s="145"/>
      <x:c r="AG4389" s="145"/>
      <x:c r="AH4389" s="145"/>
      <x:c r="AI4389" s="145"/>
      <x:c r="AJ4389"/>
    </x:row>
    <x:row r="4390">
      <x:c r="F4390" s="124"/>
      <x:c r="G4390" s="124"/>
      <x:c r="H4390" s="124"/>
      <x:c r="I4390" s="124"/>
      <x:c r="J4390" s="124"/>
      <x:c r="M4390" s="126"/>
      <x:c r="P4390" s="126"/>
      <x:c r="Q4390" s="126"/>
      <x:c r="R4390" s="126"/>
      <x:c r="S4390" s="124"/>
      <x:c r="T4390" s="124"/>
      <x:c r="U4390" s="124"/>
      <x:c r="V4390" s="124"/>
      <x:c r="W4390" s="124"/>
      <x:c r="X4390" s="124"/>
      <x:c r="AD4390"/>
      <x:c r="AE4390" s="145"/>
      <x:c r="AF4390" s="145"/>
      <x:c r="AG4390" s="145"/>
      <x:c r="AH4390" s="145"/>
      <x:c r="AI4390" s="145"/>
      <x:c r="AJ4390"/>
    </x:row>
    <x:row r="4391">
      <x:c r="F4391" s="124"/>
      <x:c r="G4391" s="124"/>
      <x:c r="H4391" s="124"/>
      <x:c r="I4391" s="124"/>
      <x:c r="J4391" s="124"/>
      <x:c r="M4391" s="126"/>
      <x:c r="P4391" s="126"/>
      <x:c r="Q4391" s="126"/>
      <x:c r="R4391" s="126"/>
      <x:c r="S4391" s="124"/>
      <x:c r="T4391" s="124"/>
      <x:c r="U4391" s="124"/>
      <x:c r="V4391" s="124"/>
      <x:c r="W4391" s="124"/>
      <x:c r="X4391" s="124"/>
      <x:c r="AD4391"/>
      <x:c r="AE4391" s="145"/>
      <x:c r="AF4391" s="145"/>
      <x:c r="AG4391" s="145"/>
      <x:c r="AH4391" s="145"/>
      <x:c r="AI4391" s="145"/>
      <x:c r="AJ4391"/>
    </x:row>
    <x:row r="4392">
      <x:c r="F4392" s="124"/>
      <x:c r="G4392" s="124"/>
      <x:c r="H4392" s="124"/>
      <x:c r="I4392" s="124"/>
      <x:c r="J4392" s="124"/>
      <x:c r="M4392" s="126"/>
      <x:c r="P4392" s="126"/>
      <x:c r="Q4392" s="126"/>
      <x:c r="R4392" s="126"/>
      <x:c r="S4392" s="124"/>
      <x:c r="T4392" s="124"/>
      <x:c r="U4392" s="124"/>
      <x:c r="V4392" s="124"/>
      <x:c r="W4392" s="124"/>
      <x:c r="X4392" s="124"/>
      <x:c r="AD4392"/>
      <x:c r="AE4392" s="145"/>
      <x:c r="AF4392" s="145"/>
      <x:c r="AG4392" s="145"/>
      <x:c r="AH4392" s="145"/>
      <x:c r="AI4392" s="145"/>
      <x:c r="AJ4392"/>
    </x:row>
    <x:row r="4393">
      <x:c r="F4393" s="124"/>
      <x:c r="G4393" s="124"/>
      <x:c r="H4393" s="124"/>
      <x:c r="I4393" s="124"/>
      <x:c r="J4393" s="124"/>
      <x:c r="M4393" s="126"/>
      <x:c r="P4393" s="126"/>
      <x:c r="Q4393" s="126"/>
      <x:c r="R4393" s="126"/>
      <x:c r="S4393" s="124"/>
      <x:c r="T4393" s="124"/>
      <x:c r="U4393" s="124"/>
      <x:c r="V4393" s="124"/>
      <x:c r="W4393" s="124"/>
      <x:c r="X4393" s="124"/>
      <x:c r="AD4393"/>
      <x:c r="AE4393" s="145"/>
      <x:c r="AF4393" s="145"/>
      <x:c r="AG4393" s="145"/>
      <x:c r="AH4393" s="145"/>
      <x:c r="AI4393" s="145"/>
      <x:c r="AJ4393"/>
    </x:row>
    <x:row r="4394">
      <x:c r="F4394" s="124"/>
      <x:c r="G4394" s="124"/>
      <x:c r="H4394" s="124"/>
      <x:c r="I4394" s="124"/>
      <x:c r="J4394" s="124"/>
      <x:c r="M4394" s="126"/>
      <x:c r="P4394" s="126"/>
      <x:c r="Q4394" s="126"/>
      <x:c r="R4394" s="126"/>
      <x:c r="S4394" s="124"/>
      <x:c r="T4394" s="124"/>
      <x:c r="U4394" s="124"/>
      <x:c r="V4394" s="124"/>
      <x:c r="W4394" s="124"/>
      <x:c r="X4394" s="124"/>
      <x:c r="AD4394"/>
      <x:c r="AE4394" s="145"/>
      <x:c r="AF4394" s="145"/>
      <x:c r="AG4394" s="145"/>
      <x:c r="AH4394" s="145"/>
      <x:c r="AI4394" s="145"/>
      <x:c r="AJ4394"/>
    </x:row>
    <x:row r="4395">
      <x:c r="F4395" s="124"/>
      <x:c r="G4395" s="124"/>
      <x:c r="H4395" s="124"/>
      <x:c r="I4395" s="124"/>
      <x:c r="J4395" s="124"/>
      <x:c r="M4395" s="126"/>
      <x:c r="P4395" s="126"/>
      <x:c r="Q4395" s="126"/>
      <x:c r="R4395" s="126"/>
      <x:c r="S4395" s="124"/>
      <x:c r="T4395" s="124"/>
      <x:c r="U4395" s="124"/>
      <x:c r="V4395" s="124"/>
      <x:c r="W4395" s="124"/>
      <x:c r="X4395" s="124"/>
      <x:c r="AD4395"/>
      <x:c r="AE4395" s="145"/>
      <x:c r="AF4395" s="145"/>
      <x:c r="AG4395" s="145"/>
      <x:c r="AH4395" s="145"/>
      <x:c r="AI4395" s="145"/>
      <x:c r="AJ4395"/>
    </x:row>
    <x:row r="4396">
      <x:c r="F4396" s="124"/>
      <x:c r="G4396" s="124"/>
      <x:c r="H4396" s="124"/>
      <x:c r="I4396" s="124"/>
      <x:c r="J4396" s="124"/>
      <x:c r="M4396" s="126"/>
      <x:c r="P4396" s="126"/>
      <x:c r="Q4396" s="126"/>
      <x:c r="R4396" s="126"/>
      <x:c r="S4396" s="124"/>
      <x:c r="T4396" s="124"/>
      <x:c r="U4396" s="124"/>
      <x:c r="V4396" s="124"/>
      <x:c r="W4396" s="124"/>
      <x:c r="X4396" s="124"/>
      <x:c r="AD4396"/>
      <x:c r="AE4396" s="145"/>
      <x:c r="AF4396" s="145"/>
      <x:c r="AG4396" s="145"/>
      <x:c r="AH4396" s="145"/>
      <x:c r="AI4396" s="145"/>
      <x:c r="AJ4396"/>
    </x:row>
    <x:row r="4397">
      <x:c r="F4397" s="124"/>
      <x:c r="G4397" s="124"/>
      <x:c r="H4397" s="124"/>
      <x:c r="I4397" s="124"/>
      <x:c r="J4397" s="124"/>
      <x:c r="M4397" s="126"/>
      <x:c r="P4397" s="126"/>
      <x:c r="Q4397" s="126"/>
      <x:c r="R4397" s="126"/>
      <x:c r="S4397" s="124"/>
      <x:c r="T4397" s="124"/>
      <x:c r="U4397" s="124"/>
      <x:c r="V4397" s="124"/>
      <x:c r="W4397" s="124"/>
      <x:c r="X4397" s="124"/>
      <x:c r="AD4397"/>
      <x:c r="AE4397" s="145"/>
      <x:c r="AF4397" s="145"/>
      <x:c r="AG4397" s="145"/>
      <x:c r="AH4397" s="145"/>
      <x:c r="AI4397" s="145"/>
      <x:c r="AJ4397"/>
    </x:row>
    <x:row r="4398">
      <x:c r="F4398" s="124"/>
      <x:c r="G4398" s="124"/>
      <x:c r="H4398" s="124"/>
      <x:c r="I4398" s="124"/>
      <x:c r="J4398" s="124"/>
      <x:c r="M4398" s="126"/>
      <x:c r="P4398" s="126"/>
      <x:c r="Q4398" s="126"/>
      <x:c r="R4398" s="126"/>
      <x:c r="S4398" s="124"/>
      <x:c r="T4398" s="124"/>
      <x:c r="U4398" s="124"/>
      <x:c r="V4398" s="124"/>
      <x:c r="W4398" s="124"/>
      <x:c r="X4398" s="124"/>
      <x:c r="AD4398"/>
      <x:c r="AE4398" s="145"/>
      <x:c r="AF4398" s="145"/>
      <x:c r="AG4398" s="145"/>
      <x:c r="AH4398" s="145"/>
      <x:c r="AI4398" s="145"/>
      <x:c r="AJ4398"/>
    </x:row>
    <x:row r="4399">
      <x:c r="F4399" s="124"/>
      <x:c r="G4399" s="124"/>
      <x:c r="H4399" s="124"/>
      <x:c r="I4399" s="124"/>
      <x:c r="J4399" s="124"/>
      <x:c r="M4399" s="126"/>
      <x:c r="P4399" s="126"/>
      <x:c r="Q4399" s="126"/>
      <x:c r="R4399" s="126"/>
      <x:c r="S4399" s="124"/>
      <x:c r="T4399" s="124"/>
      <x:c r="U4399" s="124"/>
      <x:c r="V4399" s="124"/>
      <x:c r="W4399" s="124"/>
      <x:c r="X4399" s="124"/>
      <x:c r="AD4399"/>
      <x:c r="AE4399" s="145"/>
      <x:c r="AF4399" s="145"/>
      <x:c r="AG4399" s="145"/>
      <x:c r="AH4399" s="145"/>
      <x:c r="AI4399" s="145"/>
      <x:c r="AJ4399"/>
    </x:row>
    <x:row r="4400">
      <x:c r="F4400" s="124"/>
      <x:c r="G4400" s="124"/>
      <x:c r="H4400" s="124"/>
      <x:c r="I4400" s="124"/>
      <x:c r="J4400" s="124"/>
      <x:c r="M4400" s="126"/>
      <x:c r="P4400" s="126"/>
      <x:c r="Q4400" s="126"/>
      <x:c r="R4400" s="126"/>
      <x:c r="S4400" s="124"/>
      <x:c r="T4400" s="124"/>
      <x:c r="U4400" s="124"/>
      <x:c r="V4400" s="124"/>
      <x:c r="W4400" s="124"/>
      <x:c r="X4400" s="124"/>
      <x:c r="AD4400"/>
      <x:c r="AE4400" s="145"/>
      <x:c r="AF4400" s="145"/>
      <x:c r="AG4400" s="145"/>
      <x:c r="AH4400" s="145"/>
      <x:c r="AI4400" s="145"/>
      <x:c r="AJ4400"/>
    </x:row>
    <x:row r="4401">
      <x:c r="F4401" s="124"/>
      <x:c r="G4401" s="124"/>
      <x:c r="H4401" s="124"/>
      <x:c r="I4401" s="124"/>
      <x:c r="J4401" s="124"/>
      <x:c r="M4401" s="126"/>
      <x:c r="P4401" s="126"/>
      <x:c r="Q4401" s="126"/>
      <x:c r="R4401" s="126"/>
      <x:c r="S4401" s="124"/>
      <x:c r="T4401" s="124"/>
      <x:c r="U4401" s="124"/>
      <x:c r="V4401" s="124"/>
      <x:c r="W4401" s="124"/>
      <x:c r="X4401" s="124"/>
      <x:c r="AD4401"/>
      <x:c r="AE4401" s="145"/>
      <x:c r="AF4401" s="145"/>
      <x:c r="AG4401" s="145"/>
      <x:c r="AH4401" s="145"/>
      <x:c r="AI4401" s="145"/>
      <x:c r="AJ4401"/>
    </x:row>
    <x:row r="4402">
      <x:c r="F4402" s="124"/>
      <x:c r="G4402" s="124"/>
      <x:c r="H4402" s="124"/>
      <x:c r="I4402" s="124"/>
      <x:c r="J4402" s="124"/>
      <x:c r="M4402" s="126"/>
      <x:c r="P4402" s="126"/>
      <x:c r="Q4402" s="126"/>
      <x:c r="R4402" s="126"/>
      <x:c r="S4402" s="124"/>
      <x:c r="T4402" s="124"/>
      <x:c r="U4402" s="124"/>
      <x:c r="V4402" s="124"/>
      <x:c r="W4402" s="124"/>
      <x:c r="X4402" s="124"/>
      <x:c r="AD4402"/>
      <x:c r="AE4402" s="145"/>
      <x:c r="AF4402" s="145"/>
      <x:c r="AG4402" s="145"/>
      <x:c r="AH4402" s="145"/>
      <x:c r="AI4402" s="145"/>
      <x:c r="AJ4402"/>
    </x:row>
    <x:row r="4403">
      <x:c r="F4403" s="124"/>
      <x:c r="G4403" s="124"/>
      <x:c r="H4403" s="124"/>
      <x:c r="I4403" s="124"/>
      <x:c r="J4403" s="124"/>
      <x:c r="M4403" s="126"/>
      <x:c r="P4403" s="126"/>
      <x:c r="Q4403" s="126"/>
      <x:c r="R4403" s="126"/>
      <x:c r="S4403" s="124"/>
      <x:c r="T4403" s="124"/>
      <x:c r="U4403" s="124"/>
      <x:c r="V4403" s="124"/>
      <x:c r="W4403" s="124"/>
      <x:c r="X4403" s="124"/>
      <x:c r="AD4403"/>
      <x:c r="AE4403" s="145"/>
      <x:c r="AF4403" s="145"/>
      <x:c r="AG4403" s="145"/>
      <x:c r="AH4403" s="145"/>
      <x:c r="AI4403" s="145"/>
      <x:c r="AJ4403"/>
    </x:row>
    <x:row r="4404">
      <x:c r="F4404" s="124"/>
      <x:c r="G4404" s="124"/>
      <x:c r="H4404" s="124"/>
      <x:c r="I4404" s="124"/>
      <x:c r="J4404" s="124"/>
      <x:c r="M4404" s="126"/>
      <x:c r="P4404" s="126"/>
      <x:c r="Q4404" s="126"/>
      <x:c r="R4404" s="126"/>
      <x:c r="S4404" s="124"/>
      <x:c r="T4404" s="124"/>
      <x:c r="U4404" s="124"/>
      <x:c r="V4404" s="124"/>
      <x:c r="W4404" s="124"/>
      <x:c r="X4404" s="124"/>
      <x:c r="AD4404"/>
      <x:c r="AE4404" s="145"/>
      <x:c r="AF4404" s="145"/>
      <x:c r="AG4404" s="145"/>
      <x:c r="AH4404" s="145"/>
      <x:c r="AI4404" s="145"/>
      <x:c r="AJ4404"/>
    </x:row>
    <x:row r="4405">
      <x:c r="F4405" s="124"/>
      <x:c r="G4405" s="124"/>
      <x:c r="H4405" s="124"/>
      <x:c r="I4405" s="124"/>
      <x:c r="J4405" s="124"/>
      <x:c r="M4405" s="126"/>
      <x:c r="P4405" s="126"/>
      <x:c r="Q4405" s="126"/>
      <x:c r="R4405" s="126"/>
      <x:c r="S4405" s="124"/>
      <x:c r="T4405" s="124"/>
      <x:c r="U4405" s="124"/>
      <x:c r="V4405" s="124"/>
      <x:c r="W4405" s="124"/>
      <x:c r="X4405" s="124"/>
      <x:c r="AD4405"/>
      <x:c r="AE4405" s="145"/>
      <x:c r="AF4405" s="145"/>
      <x:c r="AG4405" s="145"/>
      <x:c r="AH4405" s="145"/>
      <x:c r="AI4405" s="145"/>
      <x:c r="AJ4405"/>
    </x:row>
    <x:row r="4406">
      <x:c r="F4406" s="124"/>
      <x:c r="G4406" s="124"/>
      <x:c r="H4406" s="124"/>
      <x:c r="I4406" s="124"/>
      <x:c r="J4406" s="124"/>
      <x:c r="M4406" s="126"/>
      <x:c r="P4406" s="126"/>
      <x:c r="Q4406" s="126"/>
      <x:c r="R4406" s="126"/>
      <x:c r="S4406" s="124"/>
      <x:c r="T4406" s="124"/>
      <x:c r="U4406" s="124"/>
      <x:c r="V4406" s="124"/>
      <x:c r="W4406" s="124"/>
      <x:c r="X4406" s="124"/>
      <x:c r="AD4406"/>
      <x:c r="AE4406" s="145"/>
      <x:c r="AF4406" s="145"/>
      <x:c r="AG4406" s="145"/>
      <x:c r="AH4406" s="145"/>
      <x:c r="AI4406" s="145"/>
      <x:c r="AJ4406"/>
    </x:row>
    <x:row r="4407">
      <x:c r="F4407" s="124"/>
      <x:c r="G4407" s="124"/>
      <x:c r="H4407" s="124"/>
      <x:c r="I4407" s="124"/>
      <x:c r="J4407" s="124"/>
      <x:c r="M4407" s="126"/>
      <x:c r="P4407" s="126"/>
      <x:c r="Q4407" s="126"/>
      <x:c r="R4407" s="126"/>
      <x:c r="S4407" s="124"/>
      <x:c r="T4407" s="124"/>
      <x:c r="U4407" s="124"/>
      <x:c r="V4407" s="124"/>
      <x:c r="W4407" s="124"/>
      <x:c r="X4407" s="124"/>
      <x:c r="AD4407"/>
      <x:c r="AE4407" s="145"/>
      <x:c r="AF4407" s="145"/>
      <x:c r="AG4407" s="145"/>
      <x:c r="AH4407" s="145"/>
      <x:c r="AI4407" s="145"/>
      <x:c r="AJ4407"/>
    </x:row>
    <x:row r="4408">
      <x:c r="F4408" s="124"/>
      <x:c r="G4408" s="124"/>
      <x:c r="H4408" s="124"/>
      <x:c r="I4408" s="124"/>
      <x:c r="J4408" s="124"/>
      <x:c r="M4408" s="126"/>
      <x:c r="P4408" s="126"/>
      <x:c r="Q4408" s="126"/>
      <x:c r="R4408" s="126"/>
      <x:c r="S4408" s="124"/>
      <x:c r="T4408" s="124"/>
      <x:c r="U4408" s="124"/>
      <x:c r="V4408" s="124"/>
      <x:c r="W4408" s="124"/>
      <x:c r="X4408" s="124"/>
      <x:c r="AD4408"/>
      <x:c r="AE4408" s="145"/>
      <x:c r="AF4408" s="145"/>
      <x:c r="AG4408" s="145"/>
      <x:c r="AH4408" s="145"/>
      <x:c r="AI4408" s="145"/>
      <x:c r="AJ4408"/>
    </x:row>
    <x:row r="4409">
      <x:c r="F4409" s="124"/>
      <x:c r="G4409" s="124"/>
      <x:c r="H4409" s="124"/>
      <x:c r="I4409" s="124"/>
      <x:c r="J4409" s="124"/>
      <x:c r="M4409" s="126"/>
      <x:c r="P4409" s="126"/>
      <x:c r="Q4409" s="126"/>
      <x:c r="R4409" s="126"/>
      <x:c r="S4409" s="124"/>
      <x:c r="T4409" s="124"/>
      <x:c r="U4409" s="124"/>
      <x:c r="V4409" s="124"/>
      <x:c r="W4409" s="124"/>
      <x:c r="X4409" s="124"/>
      <x:c r="AD4409"/>
      <x:c r="AE4409" s="145"/>
      <x:c r="AF4409" s="145"/>
      <x:c r="AG4409" s="145"/>
      <x:c r="AH4409" s="145"/>
      <x:c r="AI4409" s="145"/>
      <x:c r="AJ4409"/>
    </x:row>
    <x:row r="4410">
      <x:c r="F4410" s="124"/>
      <x:c r="G4410" s="124"/>
      <x:c r="H4410" s="124"/>
      <x:c r="I4410" s="124"/>
      <x:c r="J4410" s="124"/>
      <x:c r="M4410" s="126"/>
      <x:c r="P4410" s="126"/>
      <x:c r="Q4410" s="126"/>
      <x:c r="R4410" s="126"/>
      <x:c r="S4410" s="124"/>
      <x:c r="T4410" s="124"/>
      <x:c r="U4410" s="124"/>
      <x:c r="V4410" s="124"/>
      <x:c r="W4410" s="124"/>
      <x:c r="X4410" s="124"/>
      <x:c r="AD4410"/>
      <x:c r="AE4410" s="145"/>
      <x:c r="AF4410" s="145"/>
      <x:c r="AG4410" s="145"/>
      <x:c r="AH4410" s="145"/>
      <x:c r="AI4410" s="145"/>
      <x:c r="AJ4410"/>
    </x:row>
    <x:row r="4411">
      <x:c r="F4411" s="124"/>
      <x:c r="G4411" s="124"/>
      <x:c r="H4411" s="124"/>
      <x:c r="I4411" s="124"/>
      <x:c r="J4411" s="124"/>
      <x:c r="M4411" s="126"/>
      <x:c r="P4411" s="126"/>
      <x:c r="Q4411" s="126"/>
      <x:c r="R4411" s="126"/>
      <x:c r="S4411" s="124"/>
      <x:c r="T4411" s="124"/>
      <x:c r="U4411" s="124"/>
      <x:c r="V4411" s="124"/>
      <x:c r="W4411" s="124"/>
      <x:c r="X4411" s="124"/>
      <x:c r="AD4411"/>
      <x:c r="AE4411" s="145"/>
      <x:c r="AF4411" s="145"/>
      <x:c r="AG4411" s="145"/>
      <x:c r="AH4411" s="145"/>
      <x:c r="AI4411" s="145"/>
      <x:c r="AJ4411"/>
    </x:row>
    <x:row r="4412">
      <x:c r="F4412" s="124"/>
      <x:c r="G4412" s="124"/>
      <x:c r="H4412" s="124"/>
      <x:c r="I4412" s="124"/>
      <x:c r="J4412" s="124"/>
      <x:c r="M4412" s="126"/>
      <x:c r="P4412" s="126"/>
      <x:c r="Q4412" s="126"/>
      <x:c r="R4412" s="126"/>
      <x:c r="S4412" s="124"/>
      <x:c r="T4412" s="124"/>
      <x:c r="U4412" s="124"/>
      <x:c r="V4412" s="124"/>
      <x:c r="W4412" s="124"/>
      <x:c r="X4412" s="124"/>
      <x:c r="AD4412"/>
      <x:c r="AE4412" s="145"/>
      <x:c r="AF4412" s="145"/>
      <x:c r="AG4412" s="145"/>
      <x:c r="AH4412" s="145"/>
      <x:c r="AI4412" s="145"/>
      <x:c r="AJ4412"/>
    </x:row>
    <x:row r="4413">
      <x:c r="F4413" s="124"/>
      <x:c r="G4413" s="124"/>
      <x:c r="H4413" s="124"/>
      <x:c r="I4413" s="124"/>
      <x:c r="J4413" s="124"/>
      <x:c r="M4413" s="126"/>
      <x:c r="P4413" s="126"/>
      <x:c r="Q4413" s="126"/>
      <x:c r="R4413" s="126"/>
      <x:c r="S4413" s="124"/>
      <x:c r="T4413" s="124"/>
      <x:c r="U4413" s="124"/>
      <x:c r="V4413" s="124"/>
      <x:c r="W4413" s="124"/>
      <x:c r="X4413" s="124"/>
      <x:c r="AD4413"/>
      <x:c r="AE4413" s="145"/>
      <x:c r="AF4413" s="145"/>
      <x:c r="AG4413" s="145"/>
      <x:c r="AH4413" s="145"/>
      <x:c r="AI4413" s="145"/>
      <x:c r="AJ4413"/>
    </x:row>
    <x:row r="4414">
      <x:c r="F4414" s="124"/>
      <x:c r="G4414" s="124"/>
      <x:c r="H4414" s="124"/>
      <x:c r="I4414" s="124"/>
      <x:c r="J4414" s="124"/>
      <x:c r="M4414" s="126"/>
      <x:c r="P4414" s="126"/>
      <x:c r="Q4414" s="126"/>
      <x:c r="R4414" s="126"/>
      <x:c r="S4414" s="124"/>
      <x:c r="T4414" s="124"/>
      <x:c r="U4414" s="124"/>
      <x:c r="V4414" s="124"/>
      <x:c r="W4414" s="124"/>
      <x:c r="X4414" s="124"/>
      <x:c r="AD4414"/>
      <x:c r="AE4414" s="145"/>
      <x:c r="AF4414" s="145"/>
      <x:c r="AG4414" s="145"/>
      <x:c r="AH4414" s="145"/>
      <x:c r="AI4414" s="145"/>
      <x:c r="AJ4414"/>
    </x:row>
    <x:row r="4415">
      <x:c r="F4415" s="124"/>
      <x:c r="G4415" s="124"/>
      <x:c r="H4415" s="124"/>
      <x:c r="I4415" s="124"/>
      <x:c r="J4415" s="124"/>
      <x:c r="M4415" s="126"/>
      <x:c r="P4415" s="126"/>
      <x:c r="Q4415" s="126"/>
      <x:c r="R4415" s="126"/>
      <x:c r="S4415" s="124"/>
      <x:c r="T4415" s="124"/>
      <x:c r="U4415" s="124"/>
      <x:c r="V4415" s="124"/>
      <x:c r="W4415" s="124"/>
      <x:c r="X4415" s="124"/>
      <x:c r="AD4415"/>
      <x:c r="AE4415" s="145"/>
      <x:c r="AF4415" s="145"/>
      <x:c r="AG4415" s="145"/>
      <x:c r="AH4415" s="145"/>
      <x:c r="AI4415" s="145"/>
      <x:c r="AJ4415"/>
    </x:row>
    <x:row r="4416">
      <x:c r="F4416" s="124"/>
      <x:c r="G4416" s="124"/>
      <x:c r="H4416" s="124"/>
      <x:c r="I4416" s="124"/>
      <x:c r="J4416" s="124"/>
      <x:c r="M4416" s="126"/>
      <x:c r="P4416" s="126"/>
      <x:c r="Q4416" s="126"/>
      <x:c r="R4416" s="126"/>
      <x:c r="S4416" s="124"/>
      <x:c r="T4416" s="124"/>
      <x:c r="U4416" s="124"/>
      <x:c r="V4416" s="124"/>
      <x:c r="W4416" s="124"/>
      <x:c r="X4416" s="124"/>
      <x:c r="AD4416"/>
      <x:c r="AE4416" s="145"/>
      <x:c r="AF4416" s="145"/>
      <x:c r="AG4416" s="145"/>
      <x:c r="AH4416" s="145"/>
      <x:c r="AI4416" s="145"/>
      <x:c r="AJ4416"/>
    </x:row>
    <x:row r="4417">
      <x:c r="F4417" s="124"/>
      <x:c r="G4417" s="124"/>
      <x:c r="H4417" s="124"/>
      <x:c r="I4417" s="124"/>
      <x:c r="J4417" s="124"/>
      <x:c r="M4417" s="126"/>
      <x:c r="P4417" s="126"/>
      <x:c r="Q4417" s="126"/>
      <x:c r="R4417" s="126"/>
      <x:c r="S4417" s="124"/>
      <x:c r="T4417" s="124"/>
      <x:c r="U4417" s="124"/>
      <x:c r="V4417" s="124"/>
      <x:c r="W4417" s="124"/>
      <x:c r="X4417" s="124"/>
      <x:c r="AD4417"/>
      <x:c r="AE4417" s="145"/>
      <x:c r="AF4417" s="145"/>
      <x:c r="AG4417" s="145"/>
      <x:c r="AH4417" s="145"/>
      <x:c r="AI4417" s="145"/>
      <x:c r="AJ4417"/>
    </x:row>
    <x:row r="4418">
      <x:c r="F4418" s="124"/>
      <x:c r="G4418" s="124"/>
      <x:c r="H4418" s="124"/>
      <x:c r="I4418" s="124"/>
      <x:c r="J4418" s="124"/>
      <x:c r="M4418" s="126"/>
      <x:c r="P4418" s="126"/>
      <x:c r="Q4418" s="126"/>
      <x:c r="R4418" s="126"/>
      <x:c r="S4418" s="124"/>
      <x:c r="T4418" s="124"/>
      <x:c r="U4418" s="124"/>
      <x:c r="V4418" s="124"/>
      <x:c r="W4418" s="124"/>
      <x:c r="X4418" s="124"/>
      <x:c r="AD4418"/>
      <x:c r="AE4418" s="145"/>
      <x:c r="AF4418" s="145"/>
      <x:c r="AG4418" s="145"/>
      <x:c r="AH4418" s="145"/>
      <x:c r="AI4418" s="145"/>
      <x:c r="AJ4418"/>
    </x:row>
    <x:row r="4419">
      <x:c r="F4419" s="124"/>
      <x:c r="G4419" s="124"/>
      <x:c r="H4419" s="124"/>
      <x:c r="I4419" s="124"/>
      <x:c r="J4419" s="124"/>
      <x:c r="M4419" s="126"/>
      <x:c r="P4419" s="126"/>
      <x:c r="Q4419" s="126"/>
      <x:c r="R4419" s="126"/>
      <x:c r="S4419" s="124"/>
      <x:c r="T4419" s="124"/>
      <x:c r="U4419" s="124"/>
      <x:c r="V4419" s="124"/>
      <x:c r="W4419" s="124"/>
      <x:c r="X4419" s="124"/>
      <x:c r="AD4419"/>
      <x:c r="AE4419" s="145"/>
      <x:c r="AF4419" s="145"/>
      <x:c r="AG4419" s="145"/>
      <x:c r="AH4419" s="145"/>
      <x:c r="AI4419" s="145"/>
      <x:c r="AJ4419"/>
    </x:row>
    <x:row r="4420">
      <x:c r="F4420" s="124"/>
      <x:c r="G4420" s="124"/>
      <x:c r="H4420" s="124"/>
      <x:c r="I4420" s="124"/>
      <x:c r="J4420" s="124"/>
      <x:c r="M4420" s="126"/>
      <x:c r="P4420" s="126"/>
      <x:c r="Q4420" s="126"/>
      <x:c r="R4420" s="126"/>
      <x:c r="S4420" s="124"/>
      <x:c r="T4420" s="124"/>
      <x:c r="U4420" s="124"/>
      <x:c r="V4420" s="124"/>
      <x:c r="W4420" s="124"/>
      <x:c r="X4420" s="124"/>
      <x:c r="AD4420"/>
      <x:c r="AE4420" s="145"/>
      <x:c r="AF4420" s="145"/>
      <x:c r="AG4420" s="145"/>
      <x:c r="AH4420" s="145"/>
      <x:c r="AI4420" s="145"/>
      <x:c r="AJ4420"/>
    </x:row>
    <x:row r="4421">
      <x:c r="F4421" s="124"/>
      <x:c r="G4421" s="124"/>
      <x:c r="H4421" s="124"/>
      <x:c r="I4421" s="124"/>
      <x:c r="J4421" s="124"/>
      <x:c r="M4421" s="126"/>
      <x:c r="P4421" s="126"/>
      <x:c r="Q4421" s="126"/>
      <x:c r="R4421" s="126"/>
      <x:c r="S4421" s="124"/>
      <x:c r="T4421" s="124"/>
      <x:c r="U4421" s="124"/>
      <x:c r="V4421" s="124"/>
      <x:c r="W4421" s="124"/>
      <x:c r="X4421" s="124"/>
      <x:c r="AD4421"/>
      <x:c r="AE4421" s="145"/>
      <x:c r="AF4421" s="145"/>
      <x:c r="AG4421" s="145"/>
      <x:c r="AH4421" s="145"/>
      <x:c r="AI4421" s="145"/>
      <x:c r="AJ4421"/>
    </x:row>
    <x:row r="4422">
      <x:c r="F4422" s="124"/>
      <x:c r="G4422" s="124"/>
      <x:c r="H4422" s="124"/>
      <x:c r="I4422" s="124"/>
      <x:c r="J4422" s="124"/>
      <x:c r="M4422" s="126"/>
      <x:c r="P4422" s="126"/>
      <x:c r="Q4422" s="126"/>
      <x:c r="R4422" s="126"/>
      <x:c r="S4422" s="124"/>
      <x:c r="T4422" s="124"/>
      <x:c r="U4422" s="124"/>
      <x:c r="V4422" s="124"/>
      <x:c r="W4422" s="124"/>
      <x:c r="X4422" s="124"/>
      <x:c r="AD4422"/>
      <x:c r="AE4422" s="145"/>
      <x:c r="AF4422" s="145"/>
      <x:c r="AG4422" s="145"/>
      <x:c r="AH4422" s="145"/>
      <x:c r="AI4422" s="145"/>
      <x:c r="AJ4422"/>
    </x:row>
    <x:row r="4423">
      <x:c r="F4423" s="124"/>
      <x:c r="G4423" s="124"/>
      <x:c r="H4423" s="124"/>
      <x:c r="I4423" s="124"/>
      <x:c r="J4423" s="124"/>
      <x:c r="M4423" s="126"/>
      <x:c r="P4423" s="126"/>
      <x:c r="Q4423" s="126"/>
      <x:c r="R4423" s="126"/>
      <x:c r="S4423" s="124"/>
      <x:c r="T4423" s="124"/>
      <x:c r="U4423" s="124"/>
      <x:c r="V4423" s="124"/>
      <x:c r="W4423" s="124"/>
      <x:c r="X4423" s="124"/>
      <x:c r="AD4423"/>
      <x:c r="AE4423" s="145"/>
      <x:c r="AF4423" s="145"/>
      <x:c r="AG4423" s="145"/>
      <x:c r="AH4423" s="145"/>
      <x:c r="AI4423" s="145"/>
      <x:c r="AJ4423"/>
    </x:row>
    <x:row r="4424">
      <x:c r="F4424" s="124"/>
      <x:c r="G4424" s="124"/>
      <x:c r="H4424" s="124"/>
      <x:c r="I4424" s="124"/>
      <x:c r="J4424" s="124"/>
      <x:c r="M4424" s="126"/>
      <x:c r="P4424" s="126"/>
      <x:c r="Q4424" s="126"/>
      <x:c r="R4424" s="126"/>
      <x:c r="S4424" s="124"/>
      <x:c r="T4424" s="124"/>
      <x:c r="U4424" s="124"/>
      <x:c r="V4424" s="124"/>
      <x:c r="W4424" s="124"/>
      <x:c r="X4424" s="124"/>
      <x:c r="AD4424"/>
      <x:c r="AE4424" s="145"/>
      <x:c r="AF4424" s="145"/>
      <x:c r="AG4424" s="145"/>
      <x:c r="AH4424" s="145"/>
      <x:c r="AI4424" s="145"/>
      <x:c r="AJ4424"/>
    </x:row>
    <x:row r="4425">
      <x:c r="F4425" s="124"/>
      <x:c r="G4425" s="124"/>
      <x:c r="H4425" s="124"/>
      <x:c r="I4425" s="124"/>
      <x:c r="J4425" s="124"/>
      <x:c r="M4425" s="126"/>
      <x:c r="P4425" s="126"/>
      <x:c r="Q4425" s="126"/>
      <x:c r="R4425" s="126"/>
      <x:c r="S4425" s="124"/>
      <x:c r="T4425" s="124"/>
      <x:c r="U4425" s="124"/>
      <x:c r="V4425" s="124"/>
      <x:c r="W4425" s="124"/>
      <x:c r="X4425" s="124"/>
      <x:c r="AD4425"/>
      <x:c r="AE4425" s="145"/>
      <x:c r="AF4425" s="145"/>
      <x:c r="AG4425" s="145"/>
      <x:c r="AH4425" s="145"/>
      <x:c r="AI4425" s="145"/>
      <x:c r="AJ4425"/>
    </x:row>
    <x:row r="4426">
      <x:c r="F4426" s="124"/>
      <x:c r="G4426" s="124"/>
      <x:c r="H4426" s="124"/>
      <x:c r="I4426" s="124"/>
      <x:c r="J4426" s="124"/>
      <x:c r="M4426" s="126"/>
      <x:c r="P4426" s="126"/>
      <x:c r="Q4426" s="126"/>
      <x:c r="R4426" s="126"/>
      <x:c r="S4426" s="124"/>
      <x:c r="T4426" s="124"/>
      <x:c r="U4426" s="124"/>
      <x:c r="V4426" s="124"/>
      <x:c r="W4426" s="124"/>
      <x:c r="X4426" s="124"/>
      <x:c r="AD4426"/>
      <x:c r="AE4426" s="145"/>
      <x:c r="AF4426" s="145"/>
      <x:c r="AG4426" s="145"/>
      <x:c r="AH4426" s="145"/>
      <x:c r="AI4426" s="145"/>
      <x:c r="AJ4426"/>
    </x:row>
    <x:row r="4427">
      <x:c r="F4427" s="124"/>
      <x:c r="G4427" s="124"/>
      <x:c r="H4427" s="124"/>
      <x:c r="I4427" s="124"/>
      <x:c r="J4427" s="124"/>
      <x:c r="M4427" s="126"/>
      <x:c r="P4427" s="126"/>
      <x:c r="Q4427" s="126"/>
      <x:c r="R4427" s="126"/>
      <x:c r="S4427" s="124"/>
      <x:c r="T4427" s="124"/>
      <x:c r="U4427" s="124"/>
      <x:c r="V4427" s="124"/>
      <x:c r="W4427" s="124"/>
      <x:c r="X4427" s="124"/>
      <x:c r="AD4427"/>
      <x:c r="AE4427" s="145"/>
      <x:c r="AF4427" s="145"/>
      <x:c r="AG4427" s="145"/>
      <x:c r="AH4427" s="145"/>
      <x:c r="AI4427" s="145"/>
      <x:c r="AJ4427"/>
    </x:row>
    <x:row r="4428">
      <x:c r="F4428" s="124"/>
      <x:c r="G4428" s="124"/>
      <x:c r="H4428" s="124"/>
      <x:c r="I4428" s="124"/>
      <x:c r="J4428" s="124"/>
      <x:c r="M4428" s="126"/>
      <x:c r="P4428" s="126"/>
      <x:c r="Q4428" s="126"/>
      <x:c r="R4428" s="126"/>
      <x:c r="S4428" s="124"/>
      <x:c r="T4428" s="124"/>
      <x:c r="U4428" s="124"/>
      <x:c r="V4428" s="124"/>
      <x:c r="W4428" s="124"/>
      <x:c r="X4428" s="124"/>
      <x:c r="AD4428"/>
      <x:c r="AE4428" s="145"/>
      <x:c r="AF4428" s="145"/>
      <x:c r="AG4428" s="145"/>
      <x:c r="AH4428" s="145"/>
      <x:c r="AI4428" s="145"/>
      <x:c r="AJ4428"/>
    </x:row>
    <x:row r="4429">
      <x:c r="F4429" s="124"/>
      <x:c r="G4429" s="124"/>
      <x:c r="H4429" s="124"/>
      <x:c r="I4429" s="124"/>
      <x:c r="J4429" s="124"/>
      <x:c r="M4429" s="126"/>
      <x:c r="P4429" s="126"/>
      <x:c r="Q4429" s="126"/>
      <x:c r="R4429" s="126"/>
      <x:c r="S4429" s="124"/>
      <x:c r="T4429" s="124"/>
      <x:c r="U4429" s="124"/>
      <x:c r="V4429" s="124"/>
      <x:c r="W4429" s="124"/>
      <x:c r="X4429" s="124"/>
      <x:c r="AD4429"/>
      <x:c r="AE4429" s="145"/>
      <x:c r="AF4429" s="145"/>
      <x:c r="AG4429" s="145"/>
      <x:c r="AH4429" s="145"/>
      <x:c r="AI4429" s="145"/>
      <x:c r="AJ4429"/>
    </x:row>
    <x:row r="4430">
      <x:c r="F4430" s="124"/>
      <x:c r="G4430" s="124"/>
      <x:c r="H4430" s="124"/>
      <x:c r="I4430" s="124"/>
      <x:c r="J4430" s="124"/>
      <x:c r="M4430" s="126"/>
      <x:c r="P4430" s="126"/>
      <x:c r="Q4430" s="126"/>
      <x:c r="R4430" s="126"/>
      <x:c r="S4430" s="124"/>
      <x:c r="T4430" s="124"/>
      <x:c r="U4430" s="124"/>
      <x:c r="V4430" s="124"/>
      <x:c r="W4430" s="124"/>
      <x:c r="X4430" s="124"/>
      <x:c r="AD4430"/>
      <x:c r="AE4430" s="145"/>
      <x:c r="AF4430" s="145"/>
      <x:c r="AG4430" s="145"/>
      <x:c r="AH4430" s="145"/>
      <x:c r="AI4430" s="145"/>
      <x:c r="AJ4430"/>
    </x:row>
    <x:row r="4431">
      <x:c r="F4431" s="124"/>
      <x:c r="G4431" s="124"/>
      <x:c r="H4431" s="124"/>
      <x:c r="I4431" s="124"/>
      <x:c r="J4431" s="124"/>
      <x:c r="M4431" s="126"/>
      <x:c r="P4431" s="126"/>
      <x:c r="Q4431" s="126"/>
      <x:c r="R4431" s="126"/>
      <x:c r="S4431" s="124"/>
      <x:c r="T4431" s="124"/>
      <x:c r="U4431" s="124"/>
      <x:c r="V4431" s="124"/>
      <x:c r="W4431" s="124"/>
      <x:c r="X4431" s="124"/>
      <x:c r="AD4431"/>
      <x:c r="AE4431" s="145"/>
      <x:c r="AF4431" s="145"/>
      <x:c r="AG4431" s="145"/>
      <x:c r="AH4431" s="145"/>
      <x:c r="AI4431" s="145"/>
      <x:c r="AJ4431"/>
    </x:row>
    <x:row r="4432">
      <x:c r="F4432" s="124"/>
      <x:c r="G4432" s="124"/>
      <x:c r="H4432" s="124"/>
      <x:c r="I4432" s="124"/>
      <x:c r="J4432" s="124"/>
      <x:c r="M4432" s="126"/>
      <x:c r="P4432" s="126"/>
      <x:c r="Q4432" s="126"/>
      <x:c r="R4432" s="126"/>
      <x:c r="S4432" s="124"/>
      <x:c r="T4432" s="124"/>
      <x:c r="U4432" s="124"/>
      <x:c r="V4432" s="124"/>
      <x:c r="W4432" s="124"/>
      <x:c r="X4432" s="124"/>
      <x:c r="AD4432"/>
      <x:c r="AE4432" s="145"/>
      <x:c r="AF4432" s="145"/>
      <x:c r="AG4432" s="145"/>
      <x:c r="AH4432" s="145"/>
      <x:c r="AI4432" s="145"/>
      <x:c r="AJ4432"/>
    </x:row>
    <x:row r="4433">
      <x:c r="F4433" s="124"/>
      <x:c r="G4433" s="124"/>
      <x:c r="H4433" s="124"/>
      <x:c r="I4433" s="124"/>
      <x:c r="J4433" s="124"/>
      <x:c r="M4433" s="126"/>
      <x:c r="P4433" s="126"/>
      <x:c r="Q4433" s="126"/>
      <x:c r="R4433" s="126"/>
      <x:c r="S4433" s="124"/>
      <x:c r="T4433" s="124"/>
      <x:c r="U4433" s="124"/>
      <x:c r="V4433" s="124"/>
      <x:c r="W4433" s="124"/>
      <x:c r="X4433" s="124"/>
      <x:c r="AD4433"/>
      <x:c r="AE4433" s="145"/>
      <x:c r="AF4433" s="145"/>
      <x:c r="AG4433" s="145"/>
      <x:c r="AH4433" s="145"/>
      <x:c r="AI4433" s="145"/>
      <x:c r="AJ4433"/>
    </x:row>
    <x:row r="4434">
      <x:c r="F4434" s="124"/>
      <x:c r="G4434" s="124"/>
      <x:c r="H4434" s="124"/>
      <x:c r="I4434" s="124"/>
      <x:c r="J4434" s="124"/>
      <x:c r="M4434" s="126"/>
      <x:c r="P4434" s="126"/>
      <x:c r="Q4434" s="126"/>
      <x:c r="R4434" s="126"/>
      <x:c r="S4434" s="124"/>
      <x:c r="T4434" s="124"/>
      <x:c r="U4434" s="124"/>
      <x:c r="V4434" s="124"/>
      <x:c r="W4434" s="124"/>
      <x:c r="X4434" s="124"/>
      <x:c r="AD4434"/>
      <x:c r="AE4434" s="145"/>
      <x:c r="AF4434" s="145"/>
      <x:c r="AG4434" s="145"/>
      <x:c r="AH4434" s="145"/>
      <x:c r="AI4434" s="145"/>
      <x:c r="AJ4434"/>
    </x:row>
    <x:row r="4435">
      <x:c r="F4435" s="124"/>
      <x:c r="G4435" s="124"/>
      <x:c r="H4435" s="124"/>
      <x:c r="I4435" s="124"/>
      <x:c r="J4435" s="124"/>
      <x:c r="M4435" s="126"/>
      <x:c r="P4435" s="126"/>
      <x:c r="Q4435" s="126"/>
      <x:c r="R4435" s="126"/>
      <x:c r="S4435" s="124"/>
      <x:c r="T4435" s="124"/>
      <x:c r="U4435" s="124"/>
      <x:c r="V4435" s="124"/>
      <x:c r="W4435" s="124"/>
      <x:c r="X4435" s="124"/>
      <x:c r="AD4435"/>
      <x:c r="AE4435" s="145"/>
      <x:c r="AF4435" s="145"/>
      <x:c r="AG4435" s="145"/>
      <x:c r="AH4435" s="145"/>
      <x:c r="AI4435" s="145"/>
      <x:c r="AJ4435"/>
    </x:row>
    <x:row r="4436">
      <x:c r="F4436" s="124"/>
      <x:c r="G4436" s="124"/>
      <x:c r="H4436" s="124"/>
      <x:c r="I4436" s="124"/>
      <x:c r="J4436" s="124"/>
      <x:c r="M4436" s="126"/>
      <x:c r="P4436" s="126"/>
      <x:c r="Q4436" s="126"/>
      <x:c r="R4436" s="126"/>
      <x:c r="S4436" s="124"/>
      <x:c r="T4436" s="124"/>
      <x:c r="U4436" s="124"/>
      <x:c r="V4436" s="124"/>
      <x:c r="W4436" s="124"/>
      <x:c r="X4436" s="124"/>
      <x:c r="AD4436"/>
      <x:c r="AE4436" s="145"/>
      <x:c r="AF4436" s="145"/>
      <x:c r="AG4436" s="145"/>
      <x:c r="AH4436" s="145"/>
      <x:c r="AI4436" s="145"/>
      <x:c r="AJ4436"/>
    </x:row>
    <x:row r="4437">
      <x:c r="F4437" s="124"/>
      <x:c r="G4437" s="124"/>
      <x:c r="H4437" s="124"/>
      <x:c r="I4437" s="124"/>
      <x:c r="J4437" s="124"/>
      <x:c r="M4437" s="126"/>
      <x:c r="P4437" s="126"/>
      <x:c r="Q4437" s="126"/>
      <x:c r="R4437" s="126"/>
      <x:c r="S4437" s="124"/>
      <x:c r="T4437" s="124"/>
      <x:c r="U4437" s="124"/>
      <x:c r="V4437" s="124"/>
      <x:c r="W4437" s="124"/>
      <x:c r="X4437" s="124"/>
      <x:c r="AD4437"/>
      <x:c r="AE4437" s="145"/>
      <x:c r="AF4437" s="145"/>
      <x:c r="AG4437" s="145"/>
      <x:c r="AH4437" s="145"/>
      <x:c r="AI4437" s="145"/>
      <x:c r="AJ4437"/>
    </x:row>
    <x:row r="4438">
      <x:c r="F4438" s="124"/>
      <x:c r="G4438" s="124"/>
      <x:c r="H4438" s="124"/>
      <x:c r="I4438" s="124"/>
      <x:c r="J4438" s="124"/>
      <x:c r="M4438" s="126"/>
      <x:c r="P4438" s="126"/>
      <x:c r="Q4438" s="126"/>
      <x:c r="R4438" s="126"/>
      <x:c r="S4438" s="124"/>
      <x:c r="T4438" s="124"/>
      <x:c r="U4438" s="124"/>
      <x:c r="V4438" s="124"/>
      <x:c r="W4438" s="124"/>
      <x:c r="X4438" s="124"/>
      <x:c r="AD4438"/>
      <x:c r="AE4438" s="145"/>
      <x:c r="AF4438" s="145"/>
      <x:c r="AG4438" s="145"/>
      <x:c r="AH4438" s="145"/>
      <x:c r="AI4438" s="145"/>
      <x:c r="AJ4438"/>
    </x:row>
    <x:row r="4439">
      <x:c r="F4439" s="124"/>
      <x:c r="G4439" s="124"/>
      <x:c r="H4439" s="124"/>
      <x:c r="I4439" s="124"/>
      <x:c r="J4439" s="124"/>
      <x:c r="M4439" s="126"/>
      <x:c r="P4439" s="126"/>
      <x:c r="Q4439" s="126"/>
      <x:c r="R4439" s="126"/>
      <x:c r="S4439" s="124"/>
      <x:c r="T4439" s="124"/>
      <x:c r="U4439" s="124"/>
      <x:c r="V4439" s="124"/>
      <x:c r="W4439" s="124"/>
      <x:c r="X4439" s="124"/>
      <x:c r="AD4439"/>
      <x:c r="AE4439" s="145"/>
      <x:c r="AF4439" s="145"/>
      <x:c r="AG4439" s="145"/>
      <x:c r="AH4439" s="145"/>
      <x:c r="AI4439" s="145"/>
      <x:c r="AJ4439"/>
    </x:row>
    <x:row r="4440">
      <x:c r="F4440" s="124"/>
      <x:c r="G4440" s="124"/>
      <x:c r="H4440" s="124"/>
      <x:c r="I4440" s="124"/>
      <x:c r="J4440" s="124"/>
      <x:c r="M4440" s="126"/>
      <x:c r="P4440" s="126"/>
      <x:c r="Q4440" s="126"/>
      <x:c r="R4440" s="126"/>
      <x:c r="S4440" s="124"/>
      <x:c r="T4440" s="124"/>
      <x:c r="U4440" s="124"/>
      <x:c r="V4440" s="124"/>
      <x:c r="W4440" s="124"/>
      <x:c r="X4440" s="124"/>
      <x:c r="AD4440"/>
      <x:c r="AE4440" s="145"/>
      <x:c r="AF4440" s="145"/>
      <x:c r="AG4440" s="145"/>
      <x:c r="AH4440" s="145"/>
      <x:c r="AI4440" s="145"/>
      <x:c r="AJ4440"/>
    </x:row>
    <x:row r="4441">
      <x:c r="F4441" s="124"/>
      <x:c r="G4441" s="124"/>
      <x:c r="H4441" s="124"/>
      <x:c r="I4441" s="124"/>
      <x:c r="J4441" s="124"/>
      <x:c r="M4441" s="126"/>
      <x:c r="P4441" s="126"/>
      <x:c r="Q4441" s="126"/>
      <x:c r="R4441" s="126"/>
      <x:c r="S4441" s="124"/>
      <x:c r="T4441" s="124"/>
      <x:c r="U4441" s="124"/>
      <x:c r="V4441" s="124"/>
      <x:c r="W4441" s="124"/>
      <x:c r="X4441" s="124"/>
      <x:c r="AD4441"/>
      <x:c r="AE4441" s="145"/>
      <x:c r="AF4441" s="145"/>
      <x:c r="AG4441" s="145"/>
      <x:c r="AH4441" s="145"/>
      <x:c r="AI4441" s="145"/>
      <x:c r="AJ4441"/>
    </x:row>
    <x:row r="4442">
      <x:c r="F4442" s="124"/>
      <x:c r="G4442" s="124"/>
      <x:c r="H4442" s="124"/>
      <x:c r="I4442" s="124"/>
      <x:c r="J4442" s="124"/>
      <x:c r="M4442" s="126"/>
      <x:c r="P4442" s="126"/>
      <x:c r="Q4442" s="126"/>
      <x:c r="R4442" s="126"/>
      <x:c r="S4442" s="124"/>
      <x:c r="T4442" s="124"/>
      <x:c r="U4442" s="124"/>
      <x:c r="V4442" s="124"/>
      <x:c r="W4442" s="124"/>
      <x:c r="X4442" s="124"/>
      <x:c r="AD4442"/>
      <x:c r="AE4442" s="145"/>
      <x:c r="AF4442" s="145"/>
      <x:c r="AG4442" s="145"/>
      <x:c r="AH4442" s="145"/>
      <x:c r="AI4442" s="145"/>
      <x:c r="AJ4442"/>
    </x:row>
    <x:row r="4443">
      <x:c r="F4443" s="124"/>
      <x:c r="G4443" s="124"/>
      <x:c r="H4443" s="124"/>
      <x:c r="I4443" s="124"/>
      <x:c r="J4443" s="124"/>
      <x:c r="M4443" s="126"/>
      <x:c r="P4443" s="126"/>
      <x:c r="Q4443" s="126"/>
      <x:c r="R4443" s="126"/>
      <x:c r="S4443" s="124"/>
      <x:c r="T4443" s="124"/>
      <x:c r="U4443" s="124"/>
      <x:c r="V4443" s="124"/>
      <x:c r="W4443" s="124"/>
      <x:c r="X4443" s="124"/>
      <x:c r="AD4443"/>
      <x:c r="AE4443" s="145"/>
      <x:c r="AF4443" s="145"/>
      <x:c r="AG4443" s="145"/>
      <x:c r="AH4443" s="145"/>
      <x:c r="AI4443" s="145"/>
      <x:c r="AJ4443"/>
    </x:row>
    <x:row r="4444">
      <x:c r="F4444" s="124"/>
      <x:c r="G4444" s="124"/>
      <x:c r="H4444" s="124"/>
      <x:c r="I4444" s="124"/>
      <x:c r="J4444" s="124"/>
      <x:c r="M4444" s="126"/>
      <x:c r="P4444" s="126"/>
      <x:c r="Q4444" s="126"/>
      <x:c r="R4444" s="126"/>
      <x:c r="S4444" s="124"/>
      <x:c r="T4444" s="124"/>
      <x:c r="U4444" s="124"/>
      <x:c r="V4444" s="124"/>
      <x:c r="W4444" s="124"/>
      <x:c r="X4444" s="124"/>
      <x:c r="AD4444"/>
      <x:c r="AE4444" s="145"/>
      <x:c r="AF4444" s="145"/>
      <x:c r="AG4444" s="145"/>
      <x:c r="AH4444" s="145"/>
      <x:c r="AI4444" s="145"/>
      <x:c r="AJ4444"/>
    </x:row>
    <x:row r="4445">
      <x:c r="F4445" s="124"/>
      <x:c r="G4445" s="124"/>
      <x:c r="H4445" s="124"/>
      <x:c r="I4445" s="124"/>
      <x:c r="J4445" s="124"/>
      <x:c r="M4445" s="126"/>
      <x:c r="P4445" s="126"/>
      <x:c r="Q4445" s="126"/>
      <x:c r="R4445" s="126"/>
      <x:c r="S4445" s="124"/>
      <x:c r="T4445" s="124"/>
      <x:c r="U4445" s="124"/>
      <x:c r="V4445" s="124"/>
      <x:c r="W4445" s="124"/>
      <x:c r="X4445" s="124"/>
      <x:c r="AD4445"/>
      <x:c r="AE4445" s="145"/>
      <x:c r="AF4445" s="145"/>
      <x:c r="AG4445" s="145"/>
      <x:c r="AH4445" s="145"/>
      <x:c r="AI4445" s="145"/>
      <x:c r="AJ4445"/>
    </x:row>
    <x:row r="4446">
      <x:c r="F4446" s="124"/>
      <x:c r="G4446" s="124"/>
      <x:c r="H4446" s="124"/>
      <x:c r="I4446" s="124"/>
      <x:c r="J4446" s="124"/>
      <x:c r="M4446" s="126"/>
      <x:c r="P4446" s="126"/>
      <x:c r="Q4446" s="126"/>
      <x:c r="R4446" s="126"/>
      <x:c r="S4446" s="124"/>
      <x:c r="T4446" s="124"/>
      <x:c r="U4446" s="124"/>
      <x:c r="V4446" s="124"/>
      <x:c r="W4446" s="124"/>
      <x:c r="X4446" s="124"/>
      <x:c r="AD4446"/>
      <x:c r="AE4446" s="145"/>
      <x:c r="AF4446" s="145"/>
      <x:c r="AG4446" s="145"/>
      <x:c r="AH4446" s="145"/>
      <x:c r="AI4446" s="145"/>
      <x:c r="AJ4446"/>
    </x:row>
    <x:row r="4447">
      <x:c r="F4447" s="124"/>
      <x:c r="G4447" s="124"/>
      <x:c r="H4447" s="124"/>
      <x:c r="I4447" s="124"/>
      <x:c r="J4447" s="124"/>
      <x:c r="M4447" s="126"/>
      <x:c r="P4447" s="126"/>
      <x:c r="Q4447" s="126"/>
      <x:c r="R4447" s="126"/>
      <x:c r="S4447" s="124"/>
      <x:c r="T4447" s="124"/>
      <x:c r="U4447" s="124"/>
      <x:c r="V4447" s="124"/>
      <x:c r="W4447" s="124"/>
      <x:c r="X4447" s="124"/>
      <x:c r="AD4447"/>
      <x:c r="AE4447" s="145"/>
      <x:c r="AF4447" s="145"/>
      <x:c r="AG4447" s="145"/>
      <x:c r="AH4447" s="145"/>
      <x:c r="AI4447" s="145"/>
      <x:c r="AJ4447"/>
    </x:row>
    <x:row r="4448">
      <x:c r="F4448" s="124"/>
      <x:c r="G4448" s="124"/>
      <x:c r="H4448" s="124"/>
      <x:c r="I4448" s="124"/>
      <x:c r="J4448" s="124"/>
      <x:c r="M4448" s="126"/>
      <x:c r="P4448" s="126"/>
      <x:c r="Q4448" s="126"/>
      <x:c r="R4448" s="126"/>
      <x:c r="S4448" s="124"/>
      <x:c r="T4448" s="124"/>
      <x:c r="U4448" s="124"/>
      <x:c r="V4448" s="124"/>
      <x:c r="W4448" s="124"/>
      <x:c r="X4448" s="124"/>
      <x:c r="AD4448"/>
      <x:c r="AE4448" s="145"/>
      <x:c r="AF4448" s="145"/>
      <x:c r="AG4448" s="145"/>
      <x:c r="AH4448" s="145"/>
      <x:c r="AI4448" s="145"/>
      <x:c r="AJ4448"/>
    </x:row>
    <x:row r="4449">
      <x:c r="F4449" s="124"/>
      <x:c r="G4449" s="124"/>
      <x:c r="H4449" s="124"/>
      <x:c r="I4449" s="124"/>
      <x:c r="J4449" s="124"/>
      <x:c r="M4449" s="126"/>
      <x:c r="P4449" s="126"/>
      <x:c r="Q4449" s="126"/>
      <x:c r="R4449" s="126"/>
      <x:c r="S4449" s="124"/>
      <x:c r="T4449" s="124"/>
      <x:c r="U4449" s="124"/>
      <x:c r="V4449" s="124"/>
      <x:c r="W4449" s="124"/>
      <x:c r="X4449" s="124"/>
      <x:c r="AD4449"/>
      <x:c r="AE4449" s="145"/>
      <x:c r="AF4449" s="145"/>
      <x:c r="AG4449" s="145"/>
      <x:c r="AH4449" s="145"/>
      <x:c r="AI4449" s="145"/>
      <x:c r="AJ4449"/>
    </x:row>
    <x:row r="4450">
      <x:c r="F4450" s="124"/>
      <x:c r="G4450" s="124"/>
      <x:c r="H4450" s="124"/>
      <x:c r="I4450" s="124"/>
      <x:c r="J4450" s="124"/>
      <x:c r="M4450" s="126"/>
      <x:c r="P4450" s="126"/>
      <x:c r="Q4450" s="126"/>
      <x:c r="R4450" s="126"/>
      <x:c r="S4450" s="124"/>
      <x:c r="T4450" s="124"/>
      <x:c r="U4450" s="124"/>
      <x:c r="V4450" s="124"/>
      <x:c r="W4450" s="124"/>
      <x:c r="X4450" s="124"/>
      <x:c r="AD4450"/>
      <x:c r="AE4450" s="145"/>
      <x:c r="AF4450" s="145"/>
      <x:c r="AG4450" s="145"/>
      <x:c r="AH4450" s="145"/>
      <x:c r="AI4450" s="145"/>
      <x:c r="AJ4450"/>
    </x:row>
    <x:row r="4451">
      <x:c r="F4451" s="124"/>
      <x:c r="G4451" s="124"/>
      <x:c r="H4451" s="124"/>
      <x:c r="I4451" s="124"/>
      <x:c r="J4451" s="124"/>
      <x:c r="M4451" s="126"/>
      <x:c r="P4451" s="126"/>
      <x:c r="Q4451" s="126"/>
      <x:c r="R4451" s="126"/>
      <x:c r="S4451" s="124"/>
      <x:c r="T4451" s="124"/>
      <x:c r="U4451" s="124"/>
      <x:c r="V4451" s="124"/>
      <x:c r="W4451" s="124"/>
      <x:c r="X4451" s="124"/>
      <x:c r="AD4451"/>
      <x:c r="AE4451" s="145"/>
      <x:c r="AF4451" s="145"/>
      <x:c r="AG4451" s="145"/>
      <x:c r="AH4451" s="145"/>
      <x:c r="AI4451" s="145"/>
      <x:c r="AJ4451"/>
    </x:row>
    <x:row r="4452">
      <x:c r="F4452" s="124"/>
      <x:c r="G4452" s="124"/>
      <x:c r="H4452" s="124"/>
      <x:c r="I4452" s="124"/>
      <x:c r="J4452" s="124"/>
      <x:c r="M4452" s="126"/>
      <x:c r="P4452" s="126"/>
      <x:c r="Q4452" s="126"/>
      <x:c r="R4452" s="126"/>
      <x:c r="S4452" s="124"/>
      <x:c r="T4452" s="124"/>
      <x:c r="U4452" s="124"/>
      <x:c r="V4452" s="124"/>
      <x:c r="W4452" s="124"/>
      <x:c r="X4452" s="124"/>
      <x:c r="AD4452"/>
      <x:c r="AE4452" s="145"/>
      <x:c r="AF4452" s="145"/>
      <x:c r="AG4452" s="145"/>
      <x:c r="AH4452" s="145"/>
      <x:c r="AI4452" s="145"/>
      <x:c r="AJ4452"/>
    </x:row>
    <x:row r="4453">
      <x:c r="F4453" s="124"/>
      <x:c r="G4453" s="124"/>
      <x:c r="H4453" s="124"/>
      <x:c r="I4453" s="124"/>
      <x:c r="J4453" s="124"/>
      <x:c r="M4453" s="126"/>
      <x:c r="P4453" s="126"/>
      <x:c r="Q4453" s="126"/>
      <x:c r="R4453" s="126"/>
      <x:c r="S4453" s="124"/>
      <x:c r="T4453" s="124"/>
      <x:c r="U4453" s="124"/>
      <x:c r="V4453" s="124"/>
      <x:c r="W4453" s="124"/>
      <x:c r="X4453" s="124"/>
      <x:c r="AD4453"/>
      <x:c r="AE4453" s="145"/>
      <x:c r="AF4453" s="145"/>
      <x:c r="AG4453" s="145"/>
      <x:c r="AH4453" s="145"/>
      <x:c r="AI4453" s="145"/>
      <x:c r="AJ4453"/>
    </x:row>
    <x:row r="4454">
      <x:c r="F4454" s="124"/>
      <x:c r="G4454" s="124"/>
      <x:c r="H4454" s="124"/>
      <x:c r="I4454" s="124"/>
      <x:c r="J4454" s="124"/>
      <x:c r="M4454" s="126"/>
      <x:c r="P4454" s="126"/>
      <x:c r="Q4454" s="126"/>
      <x:c r="R4454" s="126"/>
      <x:c r="S4454" s="124"/>
      <x:c r="T4454" s="124"/>
      <x:c r="U4454" s="124"/>
      <x:c r="V4454" s="124"/>
      <x:c r="W4454" s="124"/>
      <x:c r="X4454" s="124"/>
      <x:c r="AD4454"/>
      <x:c r="AE4454" s="145"/>
      <x:c r="AF4454" s="145"/>
      <x:c r="AG4454" s="145"/>
      <x:c r="AH4454" s="145"/>
      <x:c r="AI4454" s="145"/>
      <x:c r="AJ4454"/>
    </x:row>
    <x:row r="4455">
      <x:c r="F4455" s="124"/>
      <x:c r="G4455" s="124"/>
      <x:c r="H4455" s="124"/>
      <x:c r="I4455" s="124"/>
      <x:c r="J4455" s="124"/>
      <x:c r="M4455" s="126"/>
      <x:c r="P4455" s="126"/>
      <x:c r="Q4455" s="126"/>
      <x:c r="R4455" s="126"/>
      <x:c r="S4455" s="124"/>
      <x:c r="T4455" s="124"/>
      <x:c r="U4455" s="124"/>
      <x:c r="V4455" s="124"/>
      <x:c r="W4455" s="124"/>
      <x:c r="X4455" s="124"/>
      <x:c r="AD4455"/>
      <x:c r="AE4455" s="145"/>
      <x:c r="AF4455" s="145"/>
      <x:c r="AG4455" s="145"/>
      <x:c r="AH4455" s="145"/>
      <x:c r="AI4455" s="145"/>
      <x:c r="AJ4455"/>
    </x:row>
    <x:row r="4456">
      <x:c r="F4456" s="124"/>
      <x:c r="G4456" s="124"/>
      <x:c r="H4456" s="124"/>
      <x:c r="I4456" s="124"/>
      <x:c r="J4456" s="124"/>
      <x:c r="M4456" s="126"/>
      <x:c r="P4456" s="126"/>
      <x:c r="Q4456" s="126"/>
      <x:c r="R4456" s="126"/>
      <x:c r="S4456" s="124"/>
      <x:c r="T4456" s="124"/>
      <x:c r="U4456" s="124"/>
      <x:c r="V4456" s="124"/>
      <x:c r="W4456" s="124"/>
      <x:c r="X4456" s="124"/>
      <x:c r="AD4456"/>
      <x:c r="AE4456" s="145"/>
      <x:c r="AF4456" s="145"/>
      <x:c r="AG4456" s="145"/>
      <x:c r="AH4456" s="145"/>
      <x:c r="AI4456" s="145"/>
      <x:c r="AJ4456"/>
    </x:row>
    <x:row r="4457">
      <x:c r="F4457" s="124"/>
      <x:c r="G4457" s="124"/>
      <x:c r="H4457" s="124"/>
      <x:c r="I4457" s="124"/>
      <x:c r="J4457" s="124"/>
      <x:c r="M4457" s="126"/>
      <x:c r="P4457" s="126"/>
      <x:c r="Q4457" s="126"/>
      <x:c r="R4457" s="126"/>
      <x:c r="S4457" s="124"/>
      <x:c r="T4457" s="124"/>
      <x:c r="U4457" s="124"/>
      <x:c r="V4457" s="124"/>
      <x:c r="W4457" s="124"/>
      <x:c r="X4457" s="124"/>
      <x:c r="AD4457"/>
      <x:c r="AE4457" s="145"/>
      <x:c r="AF4457" s="145"/>
      <x:c r="AG4457" s="145"/>
      <x:c r="AH4457" s="145"/>
      <x:c r="AI4457" s="145"/>
      <x:c r="AJ4457"/>
    </x:row>
    <x:row r="4458">
      <x:c r="F4458" s="124"/>
      <x:c r="G4458" s="124"/>
      <x:c r="H4458" s="124"/>
      <x:c r="I4458" s="124"/>
      <x:c r="J4458" s="124"/>
      <x:c r="M4458" s="126"/>
      <x:c r="P4458" s="126"/>
      <x:c r="Q4458" s="126"/>
      <x:c r="R4458" s="126"/>
      <x:c r="S4458" s="124"/>
      <x:c r="T4458" s="124"/>
      <x:c r="U4458" s="124"/>
      <x:c r="V4458" s="124"/>
      <x:c r="W4458" s="124"/>
      <x:c r="X4458" s="124"/>
      <x:c r="AD4458"/>
      <x:c r="AE4458" s="145"/>
      <x:c r="AF4458" s="145"/>
      <x:c r="AG4458" s="145"/>
      <x:c r="AH4458" s="145"/>
      <x:c r="AI4458" s="145"/>
      <x:c r="AJ4458"/>
    </x:row>
    <x:row r="4459">
      <x:c r="F4459" s="124"/>
      <x:c r="G4459" s="124"/>
      <x:c r="H4459" s="124"/>
      <x:c r="I4459" s="124"/>
      <x:c r="J4459" s="124"/>
      <x:c r="M4459" s="126"/>
      <x:c r="P4459" s="126"/>
      <x:c r="Q4459" s="126"/>
      <x:c r="R4459" s="126"/>
      <x:c r="S4459" s="124"/>
      <x:c r="T4459" s="124"/>
      <x:c r="U4459" s="124"/>
      <x:c r="V4459" s="124"/>
      <x:c r="W4459" s="124"/>
      <x:c r="X4459" s="124"/>
      <x:c r="AD4459"/>
      <x:c r="AE4459" s="145"/>
      <x:c r="AF4459" s="145"/>
      <x:c r="AG4459" s="145"/>
      <x:c r="AH4459" s="145"/>
      <x:c r="AI4459" s="145"/>
      <x:c r="AJ4459"/>
    </x:row>
    <x:row r="4460">
      <x:c r="F4460" s="124"/>
      <x:c r="G4460" s="124"/>
      <x:c r="H4460" s="124"/>
      <x:c r="I4460" s="124"/>
      <x:c r="J4460" s="124"/>
      <x:c r="M4460" s="126"/>
      <x:c r="P4460" s="126"/>
      <x:c r="Q4460" s="126"/>
      <x:c r="R4460" s="126"/>
      <x:c r="S4460" s="124"/>
      <x:c r="T4460" s="124"/>
      <x:c r="U4460" s="124"/>
      <x:c r="V4460" s="124"/>
      <x:c r="W4460" s="124"/>
      <x:c r="X4460" s="124"/>
      <x:c r="AD4460"/>
      <x:c r="AE4460" s="145"/>
      <x:c r="AF4460" s="145"/>
      <x:c r="AG4460" s="145"/>
      <x:c r="AH4460" s="145"/>
      <x:c r="AI4460" s="145"/>
      <x:c r="AJ4460"/>
    </x:row>
    <x:row r="4461">
      <x:c r="F4461" s="124"/>
      <x:c r="G4461" s="124"/>
      <x:c r="H4461" s="124"/>
      <x:c r="I4461" s="124"/>
      <x:c r="J4461" s="124"/>
      <x:c r="M4461" s="126"/>
      <x:c r="P4461" s="126"/>
      <x:c r="Q4461" s="126"/>
      <x:c r="R4461" s="126"/>
      <x:c r="S4461" s="124"/>
      <x:c r="T4461" s="124"/>
      <x:c r="U4461" s="124"/>
      <x:c r="V4461" s="124"/>
      <x:c r="W4461" s="124"/>
      <x:c r="X4461" s="124"/>
      <x:c r="AD4461"/>
      <x:c r="AE4461" s="145"/>
      <x:c r="AF4461" s="145"/>
      <x:c r="AG4461" s="145"/>
      <x:c r="AH4461" s="145"/>
      <x:c r="AI4461" s="145"/>
      <x:c r="AJ4461"/>
    </x:row>
    <x:row r="4462">
      <x:c r="F4462" s="124"/>
      <x:c r="G4462" s="124"/>
      <x:c r="H4462" s="124"/>
      <x:c r="I4462" s="124"/>
      <x:c r="J4462" s="124"/>
      <x:c r="M4462" s="126"/>
      <x:c r="P4462" s="126"/>
      <x:c r="Q4462" s="126"/>
      <x:c r="R4462" s="126"/>
      <x:c r="S4462" s="124"/>
      <x:c r="T4462" s="124"/>
      <x:c r="U4462" s="124"/>
      <x:c r="V4462" s="124"/>
      <x:c r="W4462" s="124"/>
      <x:c r="X4462" s="124"/>
      <x:c r="AD4462"/>
      <x:c r="AE4462" s="145"/>
      <x:c r="AF4462" s="145"/>
      <x:c r="AG4462" s="145"/>
      <x:c r="AH4462" s="145"/>
      <x:c r="AI4462" s="145"/>
      <x:c r="AJ4462"/>
    </x:row>
    <x:row r="4463">
      <x:c r="F4463" s="124"/>
      <x:c r="G4463" s="124"/>
      <x:c r="H4463" s="124"/>
      <x:c r="I4463" s="124"/>
      <x:c r="J4463" s="124"/>
      <x:c r="M4463" s="126"/>
      <x:c r="P4463" s="126"/>
      <x:c r="Q4463" s="126"/>
      <x:c r="R4463" s="126"/>
      <x:c r="S4463" s="124"/>
      <x:c r="T4463" s="124"/>
      <x:c r="U4463" s="124"/>
      <x:c r="V4463" s="124"/>
      <x:c r="W4463" s="124"/>
      <x:c r="X4463" s="124"/>
      <x:c r="AD4463"/>
      <x:c r="AE4463" s="145"/>
      <x:c r="AF4463" s="145"/>
      <x:c r="AG4463" s="145"/>
      <x:c r="AH4463" s="145"/>
      <x:c r="AI4463" s="145"/>
      <x:c r="AJ4463"/>
    </x:row>
    <x:row r="4464">
      <x:c r="F4464" s="124"/>
      <x:c r="G4464" s="124"/>
      <x:c r="H4464" s="124"/>
      <x:c r="I4464" s="124"/>
      <x:c r="J4464" s="124"/>
      <x:c r="M4464" s="126"/>
      <x:c r="P4464" s="126"/>
      <x:c r="Q4464" s="126"/>
      <x:c r="R4464" s="126"/>
      <x:c r="S4464" s="124"/>
      <x:c r="T4464" s="124"/>
      <x:c r="U4464" s="124"/>
      <x:c r="V4464" s="124"/>
      <x:c r="W4464" s="124"/>
      <x:c r="X4464" s="124"/>
      <x:c r="AD4464"/>
      <x:c r="AE4464" s="145"/>
      <x:c r="AF4464" s="145"/>
      <x:c r="AG4464" s="145"/>
      <x:c r="AH4464" s="145"/>
      <x:c r="AI4464" s="145"/>
      <x:c r="AJ4464"/>
    </x:row>
    <x:row r="4465">
      <x:c r="F4465" s="124"/>
      <x:c r="G4465" s="124"/>
      <x:c r="H4465" s="124"/>
      <x:c r="I4465" s="124"/>
      <x:c r="J4465" s="124"/>
      <x:c r="M4465" s="126"/>
      <x:c r="P4465" s="126"/>
      <x:c r="Q4465" s="126"/>
      <x:c r="R4465" s="126"/>
      <x:c r="S4465" s="124"/>
      <x:c r="T4465" s="124"/>
      <x:c r="U4465" s="124"/>
      <x:c r="V4465" s="124"/>
      <x:c r="W4465" s="124"/>
      <x:c r="X4465" s="124"/>
      <x:c r="AD4465"/>
      <x:c r="AE4465" s="145"/>
      <x:c r="AF4465" s="145"/>
      <x:c r="AG4465" s="145"/>
      <x:c r="AH4465" s="145"/>
      <x:c r="AI4465" s="145"/>
      <x:c r="AJ4465"/>
    </x:row>
    <x:row r="4466">
      <x:c r="F4466" s="124"/>
      <x:c r="G4466" s="124"/>
      <x:c r="H4466" s="124"/>
      <x:c r="I4466" s="124"/>
      <x:c r="J4466" s="124"/>
      <x:c r="M4466" s="126"/>
      <x:c r="P4466" s="126"/>
      <x:c r="Q4466" s="126"/>
      <x:c r="R4466" s="126"/>
      <x:c r="S4466" s="124"/>
      <x:c r="T4466" s="124"/>
      <x:c r="U4466" s="124"/>
      <x:c r="V4466" s="124"/>
      <x:c r="W4466" s="124"/>
      <x:c r="X4466" s="124"/>
      <x:c r="AD4466"/>
      <x:c r="AE4466" s="145"/>
      <x:c r="AF4466" s="145"/>
      <x:c r="AG4466" s="145"/>
      <x:c r="AH4466" s="145"/>
      <x:c r="AI4466" s="145"/>
      <x:c r="AJ4466"/>
    </x:row>
    <x:row r="4467">
      <x:c r="F4467" s="124"/>
      <x:c r="G4467" s="124"/>
      <x:c r="H4467" s="124"/>
      <x:c r="I4467" s="124"/>
      <x:c r="J4467" s="124"/>
      <x:c r="M4467" s="126"/>
      <x:c r="P4467" s="126"/>
      <x:c r="Q4467" s="126"/>
      <x:c r="R4467" s="126"/>
      <x:c r="S4467" s="124"/>
      <x:c r="T4467" s="124"/>
      <x:c r="U4467" s="124"/>
      <x:c r="V4467" s="124"/>
      <x:c r="W4467" s="124"/>
      <x:c r="X4467" s="124"/>
      <x:c r="AD4467"/>
      <x:c r="AE4467" s="145"/>
      <x:c r="AF4467" s="145"/>
      <x:c r="AG4467" s="145"/>
      <x:c r="AH4467" s="145"/>
      <x:c r="AI4467" s="145"/>
      <x:c r="AJ4467"/>
    </x:row>
    <x:row r="4468">
      <x:c r="F4468" s="124"/>
      <x:c r="G4468" s="124"/>
      <x:c r="H4468" s="124"/>
      <x:c r="I4468" s="124"/>
      <x:c r="J4468" s="124"/>
      <x:c r="M4468" s="126"/>
      <x:c r="P4468" s="126"/>
      <x:c r="Q4468" s="126"/>
      <x:c r="R4468" s="126"/>
      <x:c r="S4468" s="124"/>
      <x:c r="T4468" s="124"/>
      <x:c r="U4468" s="124"/>
      <x:c r="V4468" s="124"/>
      <x:c r="W4468" s="124"/>
      <x:c r="X4468" s="124"/>
      <x:c r="AD4468"/>
      <x:c r="AE4468" s="145"/>
      <x:c r="AF4468" s="145"/>
      <x:c r="AG4468" s="145"/>
      <x:c r="AH4468" s="145"/>
      <x:c r="AI4468" s="145"/>
      <x:c r="AJ4468"/>
    </x:row>
    <x:row r="4469">
      <x:c r="F4469" s="124"/>
      <x:c r="G4469" s="124"/>
      <x:c r="H4469" s="124"/>
      <x:c r="I4469" s="124"/>
      <x:c r="J4469" s="124"/>
      <x:c r="M4469" s="126"/>
      <x:c r="P4469" s="126"/>
      <x:c r="Q4469" s="126"/>
      <x:c r="R4469" s="126"/>
      <x:c r="S4469" s="124"/>
      <x:c r="T4469" s="124"/>
      <x:c r="U4469" s="124"/>
      <x:c r="V4469" s="124"/>
      <x:c r="W4469" s="124"/>
      <x:c r="X4469" s="124"/>
      <x:c r="AD4469"/>
      <x:c r="AE4469" s="145"/>
      <x:c r="AF4469" s="145"/>
      <x:c r="AG4469" s="145"/>
      <x:c r="AH4469" s="145"/>
      <x:c r="AI4469" s="145"/>
      <x:c r="AJ4469"/>
    </x:row>
    <x:row r="4470">
      <x:c r="F4470" s="124"/>
      <x:c r="G4470" s="124"/>
      <x:c r="H4470" s="124"/>
      <x:c r="I4470" s="124"/>
      <x:c r="J4470" s="124"/>
      <x:c r="M4470" s="126"/>
      <x:c r="P4470" s="126"/>
      <x:c r="Q4470" s="126"/>
      <x:c r="R4470" s="126"/>
      <x:c r="S4470" s="124"/>
      <x:c r="T4470" s="124"/>
      <x:c r="U4470" s="124"/>
      <x:c r="V4470" s="124"/>
      <x:c r="W4470" s="124"/>
      <x:c r="X4470" s="124"/>
      <x:c r="AD4470"/>
      <x:c r="AE4470" s="145"/>
      <x:c r="AF4470" s="145"/>
      <x:c r="AG4470" s="145"/>
      <x:c r="AH4470" s="145"/>
      <x:c r="AI4470" s="145"/>
      <x:c r="AJ4470"/>
    </x:row>
    <x:row r="4471">
      <x:c r="F4471" s="124"/>
      <x:c r="G4471" s="124"/>
      <x:c r="H4471" s="124"/>
      <x:c r="I4471" s="124"/>
      <x:c r="J4471" s="124"/>
      <x:c r="M4471" s="126"/>
      <x:c r="P4471" s="126"/>
      <x:c r="Q4471" s="126"/>
      <x:c r="R4471" s="126"/>
      <x:c r="S4471" s="124"/>
      <x:c r="T4471" s="124"/>
      <x:c r="U4471" s="124"/>
      <x:c r="V4471" s="124"/>
      <x:c r="W4471" s="124"/>
      <x:c r="X4471" s="124"/>
      <x:c r="AD4471"/>
      <x:c r="AE4471" s="145"/>
      <x:c r="AF4471" s="145"/>
      <x:c r="AG4471" s="145"/>
      <x:c r="AH4471" s="145"/>
      <x:c r="AI4471" s="145"/>
      <x:c r="AJ4471"/>
    </x:row>
    <x:row r="4472">
      <x:c r="F4472" s="124"/>
      <x:c r="G4472" s="124"/>
      <x:c r="H4472" s="124"/>
      <x:c r="I4472" s="124"/>
      <x:c r="J4472" s="124"/>
      <x:c r="M4472" s="126"/>
      <x:c r="P4472" s="126"/>
      <x:c r="Q4472" s="126"/>
      <x:c r="R4472" s="126"/>
      <x:c r="S4472" s="124"/>
      <x:c r="T4472" s="124"/>
      <x:c r="U4472" s="124"/>
      <x:c r="V4472" s="124"/>
      <x:c r="W4472" s="124"/>
      <x:c r="X4472" s="124"/>
      <x:c r="AD4472"/>
      <x:c r="AE4472" s="145"/>
      <x:c r="AF4472" s="145"/>
      <x:c r="AG4472" s="145"/>
      <x:c r="AH4472" s="145"/>
      <x:c r="AI4472" s="145"/>
      <x:c r="AJ4472"/>
    </x:row>
    <x:row r="4473">
      <x:c r="F4473" s="124"/>
      <x:c r="G4473" s="124"/>
      <x:c r="H4473" s="124"/>
      <x:c r="I4473" s="124"/>
      <x:c r="J4473" s="124"/>
      <x:c r="M4473" s="126"/>
      <x:c r="P4473" s="126"/>
      <x:c r="Q4473" s="126"/>
      <x:c r="R4473" s="126"/>
      <x:c r="S4473" s="124"/>
      <x:c r="T4473" s="124"/>
      <x:c r="U4473" s="124"/>
      <x:c r="V4473" s="124"/>
      <x:c r="W4473" s="124"/>
      <x:c r="X4473" s="124"/>
      <x:c r="AD4473"/>
      <x:c r="AE4473" s="145"/>
      <x:c r="AF4473" s="145"/>
      <x:c r="AG4473" s="145"/>
      <x:c r="AH4473" s="145"/>
      <x:c r="AI4473" s="145"/>
      <x:c r="AJ4473"/>
    </x:row>
    <x:row r="4474">
      <x:c r="F4474" s="124"/>
      <x:c r="G4474" s="124"/>
      <x:c r="H4474" s="124"/>
      <x:c r="I4474" s="124"/>
      <x:c r="J4474" s="124"/>
      <x:c r="M4474" s="126"/>
      <x:c r="P4474" s="126"/>
      <x:c r="Q4474" s="126"/>
      <x:c r="R4474" s="126"/>
      <x:c r="S4474" s="124"/>
      <x:c r="T4474" s="124"/>
      <x:c r="U4474" s="124"/>
      <x:c r="V4474" s="124"/>
      <x:c r="W4474" s="124"/>
      <x:c r="X4474" s="124"/>
      <x:c r="AD4474"/>
      <x:c r="AE4474" s="145"/>
      <x:c r="AF4474" s="145"/>
      <x:c r="AG4474" s="145"/>
      <x:c r="AH4474" s="145"/>
      <x:c r="AI4474" s="145"/>
      <x:c r="AJ4474"/>
    </x:row>
    <x:row r="4475">
      <x:c r="F4475" s="124"/>
      <x:c r="G4475" s="124"/>
      <x:c r="H4475" s="124"/>
      <x:c r="I4475" s="124"/>
      <x:c r="J4475" s="124"/>
      <x:c r="M4475" s="126"/>
      <x:c r="P4475" s="126"/>
      <x:c r="Q4475" s="126"/>
      <x:c r="R4475" s="126"/>
      <x:c r="S4475" s="124"/>
      <x:c r="T4475" s="124"/>
      <x:c r="U4475" s="124"/>
      <x:c r="V4475" s="124"/>
      <x:c r="W4475" s="124"/>
      <x:c r="X4475" s="124"/>
      <x:c r="AD4475"/>
      <x:c r="AE4475" s="145"/>
      <x:c r="AF4475" s="145"/>
      <x:c r="AG4475" s="145"/>
      <x:c r="AH4475" s="145"/>
      <x:c r="AI4475" s="145"/>
      <x:c r="AJ4475"/>
    </x:row>
    <x:row r="4476">
      <x:c r="F4476" s="124"/>
      <x:c r="G4476" s="124"/>
      <x:c r="H4476" s="124"/>
      <x:c r="I4476" s="124"/>
      <x:c r="J4476" s="124"/>
      <x:c r="M4476" s="126"/>
      <x:c r="P4476" s="126"/>
      <x:c r="Q4476" s="126"/>
      <x:c r="R4476" s="126"/>
      <x:c r="S4476" s="124"/>
      <x:c r="T4476" s="124"/>
      <x:c r="U4476" s="124"/>
      <x:c r="V4476" s="124"/>
      <x:c r="W4476" s="124"/>
      <x:c r="X4476" s="124"/>
      <x:c r="AD4476"/>
      <x:c r="AE4476" s="145"/>
      <x:c r="AF4476" s="145"/>
      <x:c r="AG4476" s="145"/>
      <x:c r="AH4476" s="145"/>
      <x:c r="AI4476" s="145"/>
      <x:c r="AJ4476"/>
    </x:row>
    <x:row r="4477">
      <x:c r="F4477" s="124"/>
      <x:c r="G4477" s="124"/>
      <x:c r="H4477" s="124"/>
      <x:c r="I4477" s="124"/>
      <x:c r="J4477" s="124"/>
      <x:c r="M4477" s="126"/>
      <x:c r="P4477" s="126"/>
      <x:c r="Q4477" s="126"/>
      <x:c r="R4477" s="126"/>
      <x:c r="S4477" s="124"/>
      <x:c r="T4477" s="124"/>
      <x:c r="U4477" s="124"/>
      <x:c r="V4477" s="124"/>
      <x:c r="W4477" s="124"/>
      <x:c r="X4477" s="124"/>
      <x:c r="AD4477"/>
      <x:c r="AE4477" s="145"/>
      <x:c r="AF4477" s="145"/>
      <x:c r="AG4477" s="145"/>
      <x:c r="AH4477" s="145"/>
      <x:c r="AI4477" s="145"/>
      <x:c r="AJ4477"/>
    </x:row>
    <x:row r="4478">
      <x:c r="F4478" s="124"/>
      <x:c r="G4478" s="124"/>
      <x:c r="H4478" s="124"/>
      <x:c r="I4478" s="124"/>
      <x:c r="J4478" s="124"/>
      <x:c r="M4478" s="126"/>
      <x:c r="P4478" s="126"/>
      <x:c r="Q4478" s="126"/>
      <x:c r="R4478" s="126"/>
      <x:c r="S4478" s="124"/>
      <x:c r="T4478" s="124"/>
      <x:c r="U4478" s="124"/>
      <x:c r="V4478" s="124"/>
      <x:c r="W4478" s="124"/>
      <x:c r="X4478" s="124"/>
      <x:c r="AD4478"/>
      <x:c r="AE4478" s="145"/>
      <x:c r="AF4478" s="145"/>
      <x:c r="AG4478" s="145"/>
      <x:c r="AH4478" s="145"/>
      <x:c r="AI4478" s="145"/>
      <x:c r="AJ4478"/>
    </x:row>
    <x:row r="4479">
      <x:c r="F4479" s="124"/>
      <x:c r="G4479" s="124"/>
      <x:c r="H4479" s="124"/>
      <x:c r="I4479" s="124"/>
      <x:c r="J4479" s="124"/>
      <x:c r="M4479" s="126"/>
      <x:c r="P4479" s="126"/>
      <x:c r="Q4479" s="126"/>
      <x:c r="R4479" s="126"/>
      <x:c r="S4479" s="124"/>
      <x:c r="T4479" s="124"/>
      <x:c r="U4479" s="124"/>
      <x:c r="V4479" s="124"/>
      <x:c r="W4479" s="124"/>
      <x:c r="X4479" s="124"/>
      <x:c r="AD4479"/>
      <x:c r="AE4479" s="145"/>
      <x:c r="AF4479" s="145"/>
      <x:c r="AG4479" s="145"/>
      <x:c r="AH4479" s="145"/>
      <x:c r="AI4479" s="145"/>
      <x:c r="AJ4479"/>
    </x:row>
    <x:row r="4480">
      <x:c r="F4480" s="124"/>
      <x:c r="G4480" s="124"/>
      <x:c r="H4480" s="124"/>
      <x:c r="I4480" s="124"/>
      <x:c r="J4480" s="124"/>
      <x:c r="M4480" s="126"/>
      <x:c r="P4480" s="126"/>
      <x:c r="Q4480" s="126"/>
      <x:c r="R4480" s="126"/>
      <x:c r="S4480" s="124"/>
      <x:c r="T4480" s="124"/>
      <x:c r="U4480" s="124"/>
      <x:c r="V4480" s="124"/>
      <x:c r="W4480" s="124"/>
      <x:c r="X4480" s="124"/>
      <x:c r="AD4480"/>
      <x:c r="AE4480" s="145"/>
      <x:c r="AF4480" s="145"/>
      <x:c r="AG4480" s="145"/>
      <x:c r="AH4480" s="145"/>
      <x:c r="AI4480" s="145"/>
      <x:c r="AJ4480"/>
    </x:row>
    <x:row r="4481">
      <x:c r="F4481" s="124"/>
      <x:c r="G4481" s="124"/>
      <x:c r="H4481" s="124"/>
      <x:c r="I4481" s="124"/>
      <x:c r="J4481" s="124"/>
      <x:c r="M4481" s="126"/>
      <x:c r="P4481" s="126"/>
      <x:c r="Q4481" s="126"/>
      <x:c r="R4481" s="126"/>
      <x:c r="S4481" s="124"/>
      <x:c r="T4481" s="124"/>
      <x:c r="U4481" s="124"/>
      <x:c r="V4481" s="124"/>
      <x:c r="W4481" s="124"/>
      <x:c r="X4481" s="124"/>
      <x:c r="AD4481"/>
      <x:c r="AE4481" s="145"/>
      <x:c r="AF4481" s="145"/>
      <x:c r="AG4481" s="145"/>
      <x:c r="AH4481" s="145"/>
      <x:c r="AI4481" s="145"/>
      <x:c r="AJ4481"/>
    </x:row>
    <x:row r="4482">
      <x:c r="F4482" s="124"/>
      <x:c r="G4482" s="124"/>
      <x:c r="H4482" s="124"/>
      <x:c r="I4482" s="124"/>
      <x:c r="J4482" s="124"/>
      <x:c r="M4482" s="126"/>
      <x:c r="P4482" s="126"/>
      <x:c r="Q4482" s="126"/>
      <x:c r="R4482" s="126"/>
      <x:c r="S4482" s="124"/>
      <x:c r="T4482" s="124"/>
      <x:c r="U4482" s="124"/>
      <x:c r="V4482" s="124"/>
      <x:c r="W4482" s="124"/>
      <x:c r="X4482" s="124"/>
      <x:c r="AD4482"/>
      <x:c r="AE4482" s="145"/>
      <x:c r="AF4482" s="145"/>
      <x:c r="AG4482" s="145"/>
      <x:c r="AH4482" s="145"/>
      <x:c r="AI4482" s="145"/>
      <x:c r="AJ4482"/>
    </x:row>
    <x:row r="4483">
      <x:c r="F4483" s="124"/>
      <x:c r="G4483" s="124"/>
      <x:c r="H4483" s="124"/>
      <x:c r="I4483" s="124"/>
      <x:c r="J4483" s="124"/>
      <x:c r="M4483" s="126"/>
      <x:c r="P4483" s="126"/>
      <x:c r="Q4483" s="126"/>
      <x:c r="R4483" s="126"/>
      <x:c r="S4483" s="124"/>
      <x:c r="T4483" s="124"/>
      <x:c r="U4483" s="124"/>
      <x:c r="V4483" s="124"/>
      <x:c r="W4483" s="124"/>
      <x:c r="X4483" s="124"/>
      <x:c r="AD4483"/>
      <x:c r="AE4483" s="145"/>
      <x:c r="AF4483" s="145"/>
      <x:c r="AG4483" s="145"/>
      <x:c r="AH4483" s="145"/>
      <x:c r="AI4483" s="145"/>
      <x:c r="AJ4483"/>
    </x:row>
    <x:row r="4484">
      <x:c r="F4484" s="124"/>
      <x:c r="G4484" s="124"/>
      <x:c r="H4484" s="124"/>
      <x:c r="I4484" s="124"/>
      <x:c r="J4484" s="124"/>
      <x:c r="M4484" s="126"/>
      <x:c r="P4484" s="126"/>
      <x:c r="Q4484" s="126"/>
      <x:c r="R4484" s="126"/>
      <x:c r="S4484" s="124"/>
      <x:c r="T4484" s="124"/>
      <x:c r="U4484" s="124"/>
      <x:c r="V4484" s="124"/>
      <x:c r="W4484" s="124"/>
      <x:c r="X4484" s="124"/>
      <x:c r="AD4484"/>
      <x:c r="AE4484" s="145"/>
      <x:c r="AF4484" s="145"/>
      <x:c r="AG4484" s="145"/>
      <x:c r="AH4484" s="145"/>
      <x:c r="AI4484" s="145"/>
      <x:c r="AJ4484"/>
    </x:row>
    <x:row r="4485">
      <x:c r="F4485" s="124"/>
      <x:c r="G4485" s="124"/>
      <x:c r="H4485" s="124"/>
      <x:c r="I4485" s="124"/>
      <x:c r="J4485" s="124"/>
      <x:c r="M4485" s="126"/>
      <x:c r="P4485" s="126"/>
      <x:c r="Q4485" s="126"/>
      <x:c r="R4485" s="126"/>
      <x:c r="S4485" s="124"/>
      <x:c r="T4485" s="124"/>
      <x:c r="U4485" s="124"/>
      <x:c r="V4485" s="124"/>
      <x:c r="W4485" s="124"/>
      <x:c r="X4485" s="124"/>
      <x:c r="AD4485"/>
      <x:c r="AE4485" s="145"/>
      <x:c r="AF4485" s="145"/>
      <x:c r="AG4485" s="145"/>
      <x:c r="AH4485" s="145"/>
      <x:c r="AI4485" s="145"/>
      <x:c r="AJ4485"/>
    </x:row>
    <x:row r="4486">
      <x:c r="F4486" s="124"/>
      <x:c r="G4486" s="124"/>
      <x:c r="H4486" s="124"/>
      <x:c r="I4486" s="124"/>
      <x:c r="J4486" s="124"/>
      <x:c r="M4486" s="126"/>
      <x:c r="P4486" s="126"/>
      <x:c r="Q4486" s="126"/>
      <x:c r="R4486" s="126"/>
      <x:c r="S4486" s="124"/>
      <x:c r="T4486" s="124"/>
      <x:c r="U4486" s="124"/>
      <x:c r="V4486" s="124"/>
      <x:c r="W4486" s="124"/>
      <x:c r="X4486" s="124"/>
      <x:c r="AD4486"/>
      <x:c r="AE4486" s="145"/>
      <x:c r="AF4486" s="145"/>
      <x:c r="AG4486" s="145"/>
      <x:c r="AH4486" s="145"/>
      <x:c r="AI4486" s="145"/>
      <x:c r="AJ4486"/>
    </x:row>
    <x:row r="4487">
      <x:c r="F4487" s="124"/>
      <x:c r="G4487" s="124"/>
      <x:c r="H4487" s="124"/>
      <x:c r="I4487" s="124"/>
      <x:c r="J4487" s="124"/>
      <x:c r="M4487" s="126"/>
      <x:c r="P4487" s="126"/>
      <x:c r="Q4487" s="126"/>
      <x:c r="R4487" s="126"/>
      <x:c r="S4487" s="124"/>
      <x:c r="T4487" s="124"/>
      <x:c r="U4487" s="124"/>
      <x:c r="V4487" s="124"/>
      <x:c r="W4487" s="124"/>
      <x:c r="X4487" s="124"/>
      <x:c r="AD4487"/>
      <x:c r="AE4487" s="145"/>
      <x:c r="AF4487" s="145"/>
      <x:c r="AG4487" s="145"/>
      <x:c r="AH4487" s="145"/>
      <x:c r="AI4487" s="145"/>
      <x:c r="AJ4487"/>
    </x:row>
    <x:row r="4488">
      <x:c r="F4488" s="124"/>
      <x:c r="G4488" s="124"/>
      <x:c r="H4488" s="124"/>
      <x:c r="I4488" s="124"/>
      <x:c r="J4488" s="124"/>
      <x:c r="M4488" s="126"/>
      <x:c r="P4488" s="126"/>
      <x:c r="Q4488" s="126"/>
      <x:c r="R4488" s="126"/>
      <x:c r="S4488" s="124"/>
      <x:c r="T4488" s="124"/>
      <x:c r="U4488" s="124"/>
      <x:c r="V4488" s="124"/>
      <x:c r="W4488" s="124"/>
      <x:c r="X4488" s="124"/>
      <x:c r="AD4488"/>
      <x:c r="AE4488" s="145"/>
      <x:c r="AF4488" s="145"/>
      <x:c r="AG4488" s="145"/>
      <x:c r="AH4488" s="145"/>
      <x:c r="AI4488" s="145"/>
      <x:c r="AJ4488"/>
    </x:row>
    <x:row r="4489">
      <x:c r="F4489" s="124"/>
      <x:c r="G4489" s="124"/>
      <x:c r="H4489" s="124"/>
      <x:c r="I4489" s="124"/>
      <x:c r="J4489" s="124"/>
      <x:c r="M4489" s="126"/>
      <x:c r="P4489" s="126"/>
      <x:c r="Q4489" s="126"/>
      <x:c r="R4489" s="126"/>
      <x:c r="S4489" s="124"/>
      <x:c r="T4489" s="124"/>
      <x:c r="U4489" s="124"/>
      <x:c r="V4489" s="124"/>
      <x:c r="W4489" s="124"/>
      <x:c r="X4489" s="124"/>
      <x:c r="AD4489"/>
      <x:c r="AE4489" s="145"/>
      <x:c r="AF4489" s="145"/>
      <x:c r="AG4489" s="145"/>
      <x:c r="AH4489" s="145"/>
      <x:c r="AI4489" s="145"/>
      <x:c r="AJ4489"/>
    </x:row>
    <x:row r="4490">
      <x:c r="F4490" s="124"/>
      <x:c r="G4490" s="124"/>
      <x:c r="H4490" s="124"/>
      <x:c r="I4490" s="124"/>
      <x:c r="J4490" s="124"/>
      <x:c r="M4490" s="126"/>
      <x:c r="P4490" s="126"/>
      <x:c r="Q4490" s="126"/>
      <x:c r="R4490" s="126"/>
      <x:c r="S4490" s="124"/>
      <x:c r="T4490" s="124"/>
      <x:c r="U4490" s="124"/>
      <x:c r="V4490" s="124"/>
      <x:c r="W4490" s="124"/>
      <x:c r="X4490" s="124"/>
      <x:c r="AD4490"/>
      <x:c r="AE4490" s="145"/>
      <x:c r="AF4490" s="145"/>
      <x:c r="AG4490" s="145"/>
      <x:c r="AH4490" s="145"/>
      <x:c r="AI4490" s="145"/>
      <x:c r="AJ4490"/>
    </x:row>
    <x:row r="4491">
      <x:c r="F4491" s="124"/>
      <x:c r="G4491" s="124"/>
      <x:c r="H4491" s="124"/>
      <x:c r="I4491" s="124"/>
      <x:c r="J4491" s="124"/>
      <x:c r="M4491" s="126"/>
      <x:c r="P4491" s="126"/>
      <x:c r="Q4491" s="126"/>
      <x:c r="R4491" s="126"/>
      <x:c r="S4491" s="124"/>
      <x:c r="T4491" s="124"/>
      <x:c r="U4491" s="124"/>
      <x:c r="V4491" s="124"/>
      <x:c r="W4491" s="124"/>
      <x:c r="X4491" s="124"/>
      <x:c r="AD4491"/>
      <x:c r="AE4491" s="145"/>
      <x:c r="AF4491" s="145"/>
      <x:c r="AG4491" s="145"/>
      <x:c r="AH4491" s="145"/>
      <x:c r="AI4491" s="145"/>
      <x:c r="AJ4491"/>
    </x:row>
    <x:row r="4492">
      <x:c r="F4492" s="124"/>
      <x:c r="G4492" s="124"/>
      <x:c r="H4492" s="124"/>
      <x:c r="I4492" s="124"/>
      <x:c r="J4492" s="124"/>
      <x:c r="M4492" s="126"/>
      <x:c r="P4492" s="126"/>
      <x:c r="Q4492" s="126"/>
      <x:c r="R4492" s="126"/>
      <x:c r="S4492" s="124"/>
      <x:c r="T4492" s="124"/>
      <x:c r="U4492" s="124"/>
      <x:c r="V4492" s="124"/>
      <x:c r="W4492" s="124"/>
      <x:c r="X4492" s="124"/>
      <x:c r="AD4492"/>
      <x:c r="AE4492" s="145"/>
      <x:c r="AF4492" s="145"/>
      <x:c r="AG4492" s="145"/>
      <x:c r="AH4492" s="145"/>
      <x:c r="AI4492" s="145"/>
      <x:c r="AJ4492"/>
    </x:row>
    <x:row r="4493">
      <x:c r="F4493" s="124"/>
      <x:c r="G4493" s="124"/>
      <x:c r="H4493" s="124"/>
      <x:c r="I4493" s="124"/>
      <x:c r="J4493" s="124"/>
      <x:c r="M4493" s="126"/>
      <x:c r="P4493" s="126"/>
      <x:c r="Q4493" s="126"/>
      <x:c r="R4493" s="126"/>
      <x:c r="S4493" s="124"/>
      <x:c r="T4493" s="124"/>
      <x:c r="U4493" s="124"/>
      <x:c r="V4493" s="124"/>
      <x:c r="W4493" s="124"/>
      <x:c r="X4493" s="124"/>
      <x:c r="AD4493"/>
      <x:c r="AE4493" s="145"/>
      <x:c r="AF4493" s="145"/>
      <x:c r="AG4493" s="145"/>
      <x:c r="AH4493" s="145"/>
      <x:c r="AI4493" s="145"/>
      <x:c r="AJ4493"/>
    </x:row>
    <x:row r="4494">
      <x:c r="F4494" s="124"/>
      <x:c r="G4494" s="124"/>
      <x:c r="H4494" s="124"/>
      <x:c r="I4494" s="124"/>
      <x:c r="J4494" s="124"/>
      <x:c r="M4494" s="126"/>
      <x:c r="P4494" s="126"/>
      <x:c r="Q4494" s="126"/>
      <x:c r="R4494" s="126"/>
      <x:c r="S4494" s="124"/>
      <x:c r="T4494" s="124"/>
      <x:c r="U4494" s="124"/>
      <x:c r="V4494" s="124"/>
      <x:c r="W4494" s="124"/>
      <x:c r="X4494" s="124"/>
      <x:c r="AD4494"/>
      <x:c r="AE4494" s="145"/>
      <x:c r="AF4494" s="145"/>
      <x:c r="AG4494" s="145"/>
      <x:c r="AH4494" s="145"/>
      <x:c r="AI4494" s="145"/>
      <x:c r="AJ4494"/>
    </x:row>
    <x:row r="4495">
      <x:c r="F4495" s="124"/>
      <x:c r="G4495" s="124"/>
      <x:c r="H4495" s="124"/>
      <x:c r="I4495" s="124"/>
      <x:c r="J4495" s="124"/>
      <x:c r="M4495" s="126"/>
      <x:c r="P4495" s="126"/>
      <x:c r="Q4495" s="126"/>
      <x:c r="R4495" s="126"/>
      <x:c r="S4495" s="124"/>
      <x:c r="T4495" s="124"/>
      <x:c r="U4495" s="124"/>
      <x:c r="V4495" s="124"/>
      <x:c r="W4495" s="124"/>
      <x:c r="X4495" s="124"/>
      <x:c r="AD4495"/>
      <x:c r="AE4495" s="145"/>
      <x:c r="AF4495" s="145"/>
      <x:c r="AG4495" s="145"/>
      <x:c r="AH4495" s="145"/>
      <x:c r="AI4495" s="145"/>
      <x:c r="AJ4495"/>
    </x:row>
    <x:row r="4496">
      <x:c r="F4496" s="124"/>
      <x:c r="G4496" s="124"/>
      <x:c r="H4496" s="124"/>
      <x:c r="I4496" s="124"/>
      <x:c r="J4496" s="124"/>
      <x:c r="M4496" s="126"/>
      <x:c r="P4496" s="126"/>
      <x:c r="Q4496" s="126"/>
      <x:c r="R4496" s="126"/>
      <x:c r="S4496" s="124"/>
      <x:c r="T4496" s="124"/>
      <x:c r="U4496" s="124"/>
      <x:c r="V4496" s="124"/>
      <x:c r="W4496" s="124"/>
      <x:c r="X4496" s="124"/>
      <x:c r="AD4496"/>
      <x:c r="AE4496" s="145"/>
      <x:c r="AF4496" s="145"/>
      <x:c r="AG4496" s="145"/>
      <x:c r="AH4496" s="145"/>
      <x:c r="AI4496" s="145"/>
      <x:c r="AJ4496"/>
    </x:row>
    <x:row r="4497">
      <x:c r="F4497" s="124"/>
      <x:c r="G4497" s="124"/>
      <x:c r="H4497" s="124"/>
      <x:c r="I4497" s="124"/>
      <x:c r="J4497" s="124"/>
      <x:c r="M4497" s="126"/>
      <x:c r="P4497" s="126"/>
      <x:c r="Q4497" s="126"/>
      <x:c r="R4497" s="126"/>
      <x:c r="S4497" s="124"/>
      <x:c r="T4497" s="124"/>
      <x:c r="U4497" s="124"/>
      <x:c r="V4497" s="124"/>
      <x:c r="W4497" s="124"/>
      <x:c r="X4497" s="124"/>
      <x:c r="AD4497"/>
      <x:c r="AE4497" s="145"/>
      <x:c r="AF4497" s="145"/>
      <x:c r="AG4497" s="145"/>
      <x:c r="AH4497" s="145"/>
      <x:c r="AI4497" s="145"/>
      <x:c r="AJ4497"/>
    </x:row>
    <x:row r="4498">
      <x:c r="F4498" s="124"/>
      <x:c r="G4498" s="124"/>
      <x:c r="H4498" s="124"/>
      <x:c r="I4498" s="124"/>
      <x:c r="J4498" s="124"/>
      <x:c r="M4498" s="126"/>
      <x:c r="P4498" s="126"/>
      <x:c r="Q4498" s="126"/>
      <x:c r="R4498" s="126"/>
      <x:c r="S4498" s="124"/>
      <x:c r="T4498" s="124"/>
      <x:c r="U4498" s="124"/>
      <x:c r="V4498" s="124"/>
      <x:c r="W4498" s="124"/>
      <x:c r="X4498" s="124"/>
      <x:c r="AD4498"/>
      <x:c r="AE4498" s="145"/>
      <x:c r="AF4498" s="145"/>
      <x:c r="AG4498" s="145"/>
      <x:c r="AH4498" s="145"/>
      <x:c r="AI4498" s="145"/>
      <x:c r="AJ4498"/>
    </x:row>
    <x:row r="4499">
      <x:c r="F4499" s="124"/>
      <x:c r="G4499" s="124"/>
      <x:c r="H4499" s="124"/>
      <x:c r="I4499" s="124"/>
      <x:c r="J4499" s="124"/>
      <x:c r="M4499" s="126"/>
      <x:c r="P4499" s="126"/>
      <x:c r="Q4499" s="126"/>
      <x:c r="R4499" s="126"/>
      <x:c r="S4499" s="124"/>
      <x:c r="T4499" s="124"/>
      <x:c r="U4499" s="124"/>
      <x:c r="V4499" s="124"/>
      <x:c r="W4499" s="124"/>
      <x:c r="X4499" s="124"/>
      <x:c r="AD4499"/>
      <x:c r="AE4499" s="145"/>
      <x:c r="AF4499" s="145"/>
      <x:c r="AG4499" s="145"/>
      <x:c r="AH4499" s="145"/>
      <x:c r="AI4499" s="145"/>
      <x:c r="AJ4499"/>
    </x:row>
    <x:row r="4500">
      <x:c r="F4500" s="124"/>
      <x:c r="G4500" s="124"/>
      <x:c r="H4500" s="124"/>
      <x:c r="I4500" s="124"/>
      <x:c r="J4500" s="124"/>
      <x:c r="M4500" s="126"/>
      <x:c r="P4500" s="126"/>
      <x:c r="Q4500" s="126"/>
      <x:c r="R4500" s="126"/>
      <x:c r="S4500" s="124"/>
      <x:c r="T4500" s="124"/>
      <x:c r="U4500" s="124"/>
      <x:c r="V4500" s="124"/>
      <x:c r="W4500" s="124"/>
      <x:c r="X4500" s="124"/>
      <x:c r="AD4500"/>
      <x:c r="AE4500" s="145"/>
      <x:c r="AF4500" s="145"/>
      <x:c r="AG4500" s="145"/>
      <x:c r="AH4500" s="145"/>
      <x:c r="AI4500" s="145"/>
      <x:c r="AJ4500"/>
    </x:row>
    <x:row r="4501">
      <x:c r="F4501" s="124"/>
      <x:c r="G4501" s="124"/>
      <x:c r="H4501" s="124"/>
      <x:c r="I4501" s="124"/>
      <x:c r="J4501" s="124"/>
      <x:c r="M4501" s="126"/>
      <x:c r="P4501" s="126"/>
      <x:c r="Q4501" s="126"/>
      <x:c r="R4501" s="126"/>
      <x:c r="S4501" s="124"/>
      <x:c r="T4501" s="124"/>
      <x:c r="U4501" s="124"/>
      <x:c r="V4501" s="124"/>
      <x:c r="W4501" s="124"/>
      <x:c r="X4501" s="124"/>
      <x:c r="AD4501"/>
      <x:c r="AE4501" s="145"/>
      <x:c r="AF4501" s="145"/>
      <x:c r="AG4501" s="145"/>
      <x:c r="AH4501" s="145"/>
      <x:c r="AI4501" s="145"/>
      <x:c r="AJ4501"/>
    </x:row>
    <x:row r="4502">
      <x:c r="F4502" s="124"/>
      <x:c r="G4502" s="124"/>
      <x:c r="H4502" s="124"/>
      <x:c r="I4502" s="124"/>
      <x:c r="J4502" s="124"/>
      <x:c r="M4502" s="126"/>
      <x:c r="P4502" s="126"/>
      <x:c r="Q4502" s="126"/>
      <x:c r="R4502" s="126"/>
      <x:c r="S4502" s="124"/>
      <x:c r="T4502" s="124"/>
      <x:c r="U4502" s="124"/>
      <x:c r="V4502" s="124"/>
      <x:c r="W4502" s="124"/>
      <x:c r="X4502" s="124"/>
      <x:c r="AD4502"/>
      <x:c r="AE4502" s="145"/>
      <x:c r="AF4502" s="145"/>
      <x:c r="AG4502" s="145"/>
      <x:c r="AH4502" s="145"/>
      <x:c r="AI4502" s="145"/>
      <x:c r="AJ4502"/>
    </x:row>
    <x:row r="4503">
      <x:c r="F4503" s="124"/>
      <x:c r="G4503" s="124"/>
      <x:c r="H4503" s="124"/>
      <x:c r="I4503" s="124"/>
      <x:c r="J4503" s="124"/>
      <x:c r="M4503" s="126"/>
      <x:c r="P4503" s="126"/>
      <x:c r="Q4503" s="126"/>
      <x:c r="R4503" s="126"/>
      <x:c r="S4503" s="124"/>
      <x:c r="T4503" s="124"/>
      <x:c r="U4503" s="124"/>
      <x:c r="V4503" s="124"/>
      <x:c r="W4503" s="124"/>
      <x:c r="X4503" s="124"/>
      <x:c r="AD4503"/>
      <x:c r="AE4503" s="145"/>
      <x:c r="AF4503" s="145"/>
      <x:c r="AG4503" s="145"/>
      <x:c r="AH4503" s="145"/>
      <x:c r="AI4503" s="145"/>
      <x:c r="AJ4503"/>
    </x:row>
    <x:row r="4504">
      <x:c r="F4504" s="124"/>
      <x:c r="G4504" s="124"/>
      <x:c r="H4504" s="124"/>
      <x:c r="I4504" s="124"/>
      <x:c r="J4504" s="124"/>
      <x:c r="M4504" s="126"/>
      <x:c r="P4504" s="126"/>
      <x:c r="Q4504" s="126"/>
      <x:c r="R4504" s="126"/>
      <x:c r="S4504" s="124"/>
      <x:c r="T4504" s="124"/>
      <x:c r="U4504" s="124"/>
      <x:c r="V4504" s="124"/>
      <x:c r="W4504" s="124"/>
      <x:c r="X4504" s="124"/>
      <x:c r="AD4504"/>
      <x:c r="AE4504" s="145"/>
      <x:c r="AF4504" s="145"/>
      <x:c r="AG4504" s="145"/>
      <x:c r="AH4504" s="145"/>
      <x:c r="AI4504" s="145"/>
      <x:c r="AJ4504"/>
    </x:row>
    <x:row r="4505">
      <x:c r="F4505" s="124"/>
      <x:c r="G4505" s="124"/>
      <x:c r="H4505" s="124"/>
      <x:c r="I4505" s="124"/>
      <x:c r="J4505" s="124"/>
      <x:c r="M4505" s="126"/>
      <x:c r="P4505" s="126"/>
      <x:c r="Q4505" s="126"/>
      <x:c r="R4505" s="126"/>
      <x:c r="S4505" s="124"/>
      <x:c r="T4505" s="124"/>
      <x:c r="U4505" s="124"/>
      <x:c r="V4505" s="124"/>
      <x:c r="W4505" s="124"/>
      <x:c r="X4505" s="124"/>
      <x:c r="AD4505"/>
      <x:c r="AE4505" s="145"/>
      <x:c r="AF4505" s="145"/>
      <x:c r="AG4505" s="145"/>
      <x:c r="AH4505" s="145"/>
      <x:c r="AI4505" s="145"/>
      <x:c r="AJ4505"/>
    </x:row>
    <x:row r="4506">
      <x:c r="F4506" s="124"/>
      <x:c r="G4506" s="124"/>
      <x:c r="H4506" s="124"/>
      <x:c r="I4506" s="124"/>
      <x:c r="J4506" s="124"/>
      <x:c r="M4506" s="126"/>
      <x:c r="P4506" s="126"/>
      <x:c r="Q4506" s="126"/>
      <x:c r="R4506" s="126"/>
      <x:c r="S4506" s="124"/>
      <x:c r="T4506" s="124"/>
      <x:c r="U4506" s="124"/>
      <x:c r="V4506" s="124"/>
      <x:c r="W4506" s="124"/>
      <x:c r="X4506" s="124"/>
      <x:c r="AD4506"/>
      <x:c r="AE4506" s="145"/>
      <x:c r="AF4506" s="145"/>
      <x:c r="AG4506" s="145"/>
      <x:c r="AH4506" s="145"/>
      <x:c r="AI4506" s="145"/>
      <x:c r="AJ4506"/>
    </x:row>
    <x:row r="4507">
      <x:c r="F4507" s="124"/>
      <x:c r="G4507" s="124"/>
      <x:c r="H4507" s="124"/>
      <x:c r="I4507" s="124"/>
      <x:c r="J4507" s="124"/>
      <x:c r="M4507" s="126"/>
      <x:c r="P4507" s="126"/>
      <x:c r="Q4507" s="126"/>
      <x:c r="R4507" s="126"/>
      <x:c r="S4507" s="124"/>
      <x:c r="T4507" s="124"/>
      <x:c r="U4507" s="124"/>
      <x:c r="V4507" s="124"/>
      <x:c r="W4507" s="124"/>
      <x:c r="X4507" s="124"/>
      <x:c r="AD4507"/>
      <x:c r="AE4507" s="145"/>
      <x:c r="AF4507" s="145"/>
      <x:c r="AG4507" s="145"/>
      <x:c r="AH4507" s="145"/>
      <x:c r="AI4507" s="145"/>
      <x:c r="AJ4507"/>
    </x:row>
    <x:row r="4508">
      <x:c r="F4508" s="124"/>
      <x:c r="G4508" s="124"/>
      <x:c r="H4508" s="124"/>
      <x:c r="I4508" s="124"/>
      <x:c r="J4508" s="124"/>
      <x:c r="M4508" s="126"/>
      <x:c r="P4508" s="126"/>
      <x:c r="Q4508" s="126"/>
      <x:c r="R4508" s="126"/>
      <x:c r="S4508" s="124"/>
      <x:c r="T4508" s="124"/>
      <x:c r="U4508" s="124"/>
      <x:c r="V4508" s="124"/>
      <x:c r="W4508" s="124"/>
      <x:c r="X4508" s="124"/>
      <x:c r="AD4508"/>
      <x:c r="AE4508" s="145"/>
      <x:c r="AF4508" s="145"/>
      <x:c r="AG4508" s="145"/>
      <x:c r="AH4508" s="145"/>
      <x:c r="AI4508" s="145"/>
      <x:c r="AJ4508"/>
    </x:row>
    <x:row r="4509">
      <x:c r="F4509" s="124"/>
      <x:c r="G4509" s="124"/>
      <x:c r="H4509" s="124"/>
      <x:c r="I4509" s="124"/>
      <x:c r="J4509" s="124"/>
      <x:c r="M4509" s="126"/>
      <x:c r="P4509" s="126"/>
      <x:c r="Q4509" s="126"/>
      <x:c r="R4509" s="126"/>
      <x:c r="S4509" s="124"/>
      <x:c r="T4509" s="124"/>
      <x:c r="U4509" s="124"/>
      <x:c r="V4509" s="124"/>
      <x:c r="W4509" s="124"/>
      <x:c r="X4509" s="124"/>
      <x:c r="AD4509"/>
      <x:c r="AE4509" s="145"/>
      <x:c r="AF4509" s="145"/>
      <x:c r="AG4509" s="145"/>
      <x:c r="AH4509" s="145"/>
      <x:c r="AI4509" s="145"/>
      <x:c r="AJ4509"/>
    </x:row>
    <x:row r="4510">
      <x:c r="F4510" s="124"/>
      <x:c r="G4510" s="124"/>
      <x:c r="H4510" s="124"/>
      <x:c r="I4510" s="124"/>
      <x:c r="J4510" s="124"/>
      <x:c r="M4510" s="126"/>
      <x:c r="P4510" s="126"/>
      <x:c r="Q4510" s="126"/>
      <x:c r="R4510" s="126"/>
      <x:c r="S4510" s="124"/>
      <x:c r="T4510" s="124"/>
      <x:c r="U4510" s="124"/>
      <x:c r="V4510" s="124"/>
      <x:c r="W4510" s="124"/>
      <x:c r="X4510" s="124"/>
      <x:c r="AD4510"/>
      <x:c r="AE4510" s="145"/>
      <x:c r="AF4510" s="145"/>
      <x:c r="AG4510" s="145"/>
      <x:c r="AH4510" s="145"/>
      <x:c r="AI4510" s="145"/>
      <x:c r="AJ4510"/>
    </x:row>
    <x:row r="4511">
      <x:c r="F4511" s="124"/>
      <x:c r="G4511" s="124"/>
      <x:c r="H4511" s="124"/>
      <x:c r="I4511" s="124"/>
      <x:c r="J4511" s="124"/>
      <x:c r="M4511" s="126"/>
      <x:c r="P4511" s="126"/>
      <x:c r="Q4511" s="126"/>
      <x:c r="R4511" s="126"/>
      <x:c r="S4511" s="124"/>
      <x:c r="T4511" s="124"/>
      <x:c r="U4511" s="124"/>
      <x:c r="V4511" s="124"/>
      <x:c r="W4511" s="124"/>
      <x:c r="X4511" s="124"/>
      <x:c r="AD4511"/>
      <x:c r="AE4511" s="145"/>
      <x:c r="AF4511" s="145"/>
      <x:c r="AG4511" s="145"/>
      <x:c r="AH4511" s="145"/>
      <x:c r="AI4511" s="145"/>
      <x:c r="AJ4511"/>
    </x:row>
    <x:row r="4512">
      <x:c r="F4512" s="124"/>
      <x:c r="G4512" s="124"/>
      <x:c r="H4512" s="124"/>
      <x:c r="I4512" s="124"/>
      <x:c r="J4512" s="124"/>
      <x:c r="M4512" s="126"/>
      <x:c r="P4512" s="126"/>
      <x:c r="Q4512" s="126"/>
      <x:c r="R4512" s="126"/>
      <x:c r="S4512" s="124"/>
      <x:c r="T4512" s="124"/>
      <x:c r="U4512" s="124"/>
      <x:c r="V4512" s="124"/>
      <x:c r="W4512" s="124"/>
      <x:c r="X4512" s="124"/>
      <x:c r="AD4512"/>
      <x:c r="AE4512" s="145"/>
      <x:c r="AF4512" s="145"/>
      <x:c r="AG4512" s="145"/>
      <x:c r="AH4512" s="145"/>
      <x:c r="AI4512" s="145"/>
      <x:c r="AJ4512"/>
    </x:row>
    <x:row r="4513">
      <x:c r="F4513" s="124"/>
      <x:c r="G4513" s="124"/>
      <x:c r="H4513" s="124"/>
      <x:c r="I4513" s="124"/>
      <x:c r="J4513" s="124"/>
      <x:c r="M4513" s="126"/>
      <x:c r="P4513" s="126"/>
      <x:c r="Q4513" s="126"/>
      <x:c r="R4513" s="126"/>
      <x:c r="S4513" s="124"/>
      <x:c r="T4513" s="124"/>
      <x:c r="U4513" s="124"/>
      <x:c r="V4513" s="124"/>
      <x:c r="W4513" s="124"/>
      <x:c r="X4513" s="124"/>
      <x:c r="AD4513"/>
      <x:c r="AE4513" s="145"/>
      <x:c r="AF4513" s="145"/>
      <x:c r="AG4513" s="145"/>
      <x:c r="AH4513" s="145"/>
      <x:c r="AI4513" s="145"/>
      <x:c r="AJ4513"/>
    </x:row>
    <x:row r="4514">
      <x:c r="F4514" s="124"/>
      <x:c r="G4514" s="124"/>
      <x:c r="H4514" s="124"/>
      <x:c r="I4514" s="124"/>
      <x:c r="J4514" s="124"/>
      <x:c r="M4514" s="126"/>
      <x:c r="P4514" s="126"/>
      <x:c r="Q4514" s="126"/>
      <x:c r="R4514" s="126"/>
      <x:c r="S4514" s="124"/>
      <x:c r="T4514" s="124"/>
      <x:c r="U4514" s="124"/>
      <x:c r="V4514" s="124"/>
      <x:c r="W4514" s="124"/>
      <x:c r="X4514" s="124"/>
      <x:c r="AD4514"/>
      <x:c r="AE4514" s="145"/>
      <x:c r="AF4514" s="145"/>
      <x:c r="AG4514" s="145"/>
      <x:c r="AH4514" s="145"/>
      <x:c r="AI4514" s="145"/>
      <x:c r="AJ4514"/>
    </x:row>
    <x:row r="4515">
      <x:c r="F4515" s="124"/>
      <x:c r="G4515" s="124"/>
      <x:c r="H4515" s="124"/>
      <x:c r="I4515" s="124"/>
      <x:c r="J4515" s="124"/>
      <x:c r="M4515" s="126"/>
      <x:c r="P4515" s="126"/>
      <x:c r="Q4515" s="126"/>
      <x:c r="R4515" s="126"/>
      <x:c r="S4515" s="124"/>
      <x:c r="T4515" s="124"/>
      <x:c r="U4515" s="124"/>
      <x:c r="V4515" s="124"/>
      <x:c r="W4515" s="124"/>
      <x:c r="X4515" s="124"/>
      <x:c r="AD4515"/>
      <x:c r="AE4515" s="145"/>
      <x:c r="AF4515" s="145"/>
      <x:c r="AG4515" s="145"/>
      <x:c r="AH4515" s="145"/>
      <x:c r="AI4515" s="145"/>
      <x:c r="AJ4515"/>
    </x:row>
    <x:row r="4516">
      <x:c r="F4516" s="124"/>
      <x:c r="G4516" s="124"/>
      <x:c r="H4516" s="124"/>
      <x:c r="I4516" s="124"/>
      <x:c r="J4516" s="124"/>
      <x:c r="M4516" s="126"/>
      <x:c r="P4516" s="126"/>
      <x:c r="Q4516" s="126"/>
      <x:c r="R4516" s="126"/>
      <x:c r="S4516" s="124"/>
      <x:c r="T4516" s="124"/>
      <x:c r="U4516" s="124"/>
      <x:c r="V4516" s="124"/>
      <x:c r="W4516" s="124"/>
      <x:c r="X4516" s="124"/>
      <x:c r="AD4516"/>
      <x:c r="AE4516" s="145"/>
      <x:c r="AF4516" s="145"/>
      <x:c r="AG4516" s="145"/>
      <x:c r="AH4516" s="145"/>
      <x:c r="AI4516" s="145"/>
      <x:c r="AJ4516"/>
    </x:row>
    <x:row r="4517">
      <x:c r="F4517" s="124"/>
      <x:c r="G4517" s="124"/>
      <x:c r="H4517" s="124"/>
      <x:c r="I4517" s="124"/>
      <x:c r="J4517" s="124"/>
      <x:c r="M4517" s="126"/>
      <x:c r="P4517" s="126"/>
      <x:c r="Q4517" s="126"/>
      <x:c r="R4517" s="126"/>
      <x:c r="S4517" s="124"/>
      <x:c r="T4517" s="124"/>
      <x:c r="U4517" s="124"/>
      <x:c r="V4517" s="124"/>
      <x:c r="W4517" s="124"/>
      <x:c r="X4517" s="124"/>
      <x:c r="AD4517"/>
      <x:c r="AE4517" s="145"/>
      <x:c r="AF4517" s="145"/>
      <x:c r="AG4517" s="145"/>
      <x:c r="AH4517" s="145"/>
      <x:c r="AI4517" s="145"/>
      <x:c r="AJ4517"/>
    </x:row>
    <x:row r="4518">
      <x:c r="F4518" s="124"/>
      <x:c r="G4518" s="124"/>
      <x:c r="H4518" s="124"/>
      <x:c r="I4518" s="124"/>
      <x:c r="J4518" s="124"/>
      <x:c r="M4518" s="126"/>
      <x:c r="P4518" s="126"/>
      <x:c r="Q4518" s="126"/>
      <x:c r="R4518" s="126"/>
      <x:c r="S4518" s="124"/>
      <x:c r="T4518" s="124"/>
      <x:c r="U4518" s="124"/>
      <x:c r="V4518" s="124"/>
      <x:c r="W4518" s="124"/>
      <x:c r="X4518" s="124"/>
      <x:c r="AD4518"/>
      <x:c r="AE4518" s="145"/>
      <x:c r="AF4518" s="145"/>
      <x:c r="AG4518" s="145"/>
      <x:c r="AH4518" s="145"/>
      <x:c r="AI4518" s="145"/>
      <x:c r="AJ4518"/>
    </x:row>
    <x:row r="4519">
      <x:c r="F4519" s="124"/>
      <x:c r="G4519" s="124"/>
      <x:c r="H4519" s="124"/>
      <x:c r="I4519" s="124"/>
      <x:c r="J4519" s="124"/>
      <x:c r="M4519" s="126"/>
      <x:c r="P4519" s="126"/>
      <x:c r="Q4519" s="126"/>
      <x:c r="R4519" s="126"/>
      <x:c r="S4519" s="124"/>
      <x:c r="T4519" s="124"/>
      <x:c r="U4519" s="124"/>
      <x:c r="V4519" s="124"/>
      <x:c r="W4519" s="124"/>
      <x:c r="X4519" s="124"/>
      <x:c r="AD4519"/>
      <x:c r="AE4519" s="145"/>
      <x:c r="AF4519" s="145"/>
      <x:c r="AG4519" s="145"/>
      <x:c r="AH4519" s="145"/>
      <x:c r="AI4519" s="145"/>
      <x:c r="AJ4519"/>
    </x:row>
    <x:row r="4520">
      <x:c r="F4520" s="124"/>
      <x:c r="G4520" s="124"/>
      <x:c r="H4520" s="124"/>
      <x:c r="I4520" s="124"/>
      <x:c r="J4520" s="124"/>
      <x:c r="M4520" s="126"/>
      <x:c r="P4520" s="126"/>
      <x:c r="Q4520" s="126"/>
      <x:c r="R4520" s="126"/>
      <x:c r="S4520" s="124"/>
      <x:c r="T4520" s="124"/>
      <x:c r="U4520" s="124"/>
      <x:c r="V4520" s="124"/>
      <x:c r="W4520" s="124"/>
      <x:c r="X4520" s="124"/>
      <x:c r="AD4520"/>
      <x:c r="AE4520" s="145"/>
      <x:c r="AF4520" s="145"/>
      <x:c r="AG4520" s="145"/>
      <x:c r="AH4520" s="145"/>
      <x:c r="AI4520" s="145"/>
      <x:c r="AJ4520"/>
    </x:row>
    <x:row r="4521">
      <x:c r="F4521" s="124"/>
      <x:c r="G4521" s="124"/>
      <x:c r="H4521" s="124"/>
      <x:c r="I4521" s="124"/>
      <x:c r="J4521" s="124"/>
      <x:c r="M4521" s="126"/>
      <x:c r="P4521" s="126"/>
      <x:c r="Q4521" s="126"/>
      <x:c r="R4521" s="126"/>
      <x:c r="S4521" s="124"/>
      <x:c r="T4521" s="124"/>
      <x:c r="U4521" s="124"/>
      <x:c r="V4521" s="124"/>
      <x:c r="W4521" s="124"/>
      <x:c r="X4521" s="124"/>
      <x:c r="AD4521"/>
      <x:c r="AE4521" s="145"/>
      <x:c r="AF4521" s="145"/>
      <x:c r="AG4521" s="145"/>
      <x:c r="AH4521" s="145"/>
      <x:c r="AI4521" s="145"/>
      <x:c r="AJ4521"/>
    </x:row>
    <x:row r="4522">
      <x:c r="F4522" s="124"/>
      <x:c r="G4522" s="124"/>
      <x:c r="H4522" s="124"/>
      <x:c r="I4522" s="124"/>
      <x:c r="J4522" s="124"/>
      <x:c r="M4522" s="126"/>
      <x:c r="P4522" s="126"/>
      <x:c r="Q4522" s="126"/>
      <x:c r="R4522" s="126"/>
      <x:c r="S4522" s="124"/>
      <x:c r="T4522" s="124"/>
      <x:c r="U4522" s="124"/>
      <x:c r="V4522" s="124"/>
      <x:c r="W4522" s="124"/>
      <x:c r="X4522" s="124"/>
      <x:c r="AD4522"/>
      <x:c r="AE4522" s="145"/>
      <x:c r="AF4522" s="145"/>
      <x:c r="AG4522" s="145"/>
      <x:c r="AH4522" s="145"/>
      <x:c r="AI4522" s="145"/>
      <x:c r="AJ4522"/>
    </x:row>
    <x:row r="4523">
      <x:c r="F4523" s="124"/>
      <x:c r="G4523" s="124"/>
      <x:c r="H4523" s="124"/>
      <x:c r="I4523" s="124"/>
      <x:c r="J4523" s="124"/>
      <x:c r="M4523" s="126"/>
      <x:c r="P4523" s="126"/>
      <x:c r="Q4523" s="126"/>
      <x:c r="R4523" s="126"/>
      <x:c r="S4523" s="124"/>
      <x:c r="T4523" s="124"/>
      <x:c r="U4523" s="124"/>
      <x:c r="V4523" s="124"/>
      <x:c r="W4523" s="124"/>
      <x:c r="X4523" s="124"/>
      <x:c r="AD4523"/>
      <x:c r="AE4523" s="145"/>
      <x:c r="AF4523" s="145"/>
      <x:c r="AG4523" s="145"/>
      <x:c r="AH4523" s="145"/>
      <x:c r="AI4523" s="145"/>
      <x:c r="AJ4523"/>
    </x:row>
    <x:row r="4524">
      <x:c r="F4524" s="124"/>
      <x:c r="G4524" s="124"/>
      <x:c r="H4524" s="124"/>
      <x:c r="I4524" s="124"/>
      <x:c r="J4524" s="124"/>
      <x:c r="M4524" s="126"/>
      <x:c r="P4524" s="126"/>
      <x:c r="Q4524" s="126"/>
      <x:c r="R4524" s="126"/>
      <x:c r="S4524" s="124"/>
      <x:c r="T4524" s="124"/>
      <x:c r="U4524" s="124"/>
      <x:c r="V4524" s="124"/>
      <x:c r="W4524" s="124"/>
      <x:c r="X4524" s="124"/>
      <x:c r="AD4524"/>
      <x:c r="AE4524" s="145"/>
      <x:c r="AF4524" s="145"/>
      <x:c r="AG4524" s="145"/>
      <x:c r="AH4524" s="145"/>
      <x:c r="AI4524" s="145"/>
      <x:c r="AJ4524"/>
    </x:row>
    <x:row r="4525">
      <x:c r="F4525" s="124"/>
      <x:c r="G4525" s="124"/>
      <x:c r="H4525" s="124"/>
      <x:c r="I4525" s="124"/>
      <x:c r="J4525" s="124"/>
      <x:c r="M4525" s="126"/>
      <x:c r="P4525" s="126"/>
      <x:c r="Q4525" s="126"/>
      <x:c r="R4525" s="126"/>
      <x:c r="S4525" s="124"/>
      <x:c r="T4525" s="124"/>
      <x:c r="U4525" s="124"/>
      <x:c r="V4525" s="124"/>
      <x:c r="W4525" s="124"/>
      <x:c r="X4525" s="124"/>
      <x:c r="AD4525"/>
      <x:c r="AE4525" s="145"/>
      <x:c r="AF4525" s="145"/>
      <x:c r="AG4525" s="145"/>
      <x:c r="AH4525" s="145"/>
      <x:c r="AI4525" s="145"/>
      <x:c r="AJ4525"/>
    </x:row>
    <x:row r="4526">
      <x:c r="F4526" s="124"/>
      <x:c r="G4526" s="124"/>
      <x:c r="H4526" s="124"/>
      <x:c r="I4526" s="124"/>
      <x:c r="J4526" s="124"/>
      <x:c r="M4526" s="126"/>
      <x:c r="P4526" s="126"/>
      <x:c r="Q4526" s="126"/>
      <x:c r="R4526" s="126"/>
      <x:c r="S4526" s="124"/>
      <x:c r="T4526" s="124"/>
      <x:c r="U4526" s="124"/>
      <x:c r="V4526" s="124"/>
      <x:c r="W4526" s="124"/>
      <x:c r="X4526" s="124"/>
      <x:c r="AD4526"/>
      <x:c r="AE4526" s="145"/>
      <x:c r="AF4526" s="145"/>
      <x:c r="AG4526" s="145"/>
      <x:c r="AH4526" s="145"/>
      <x:c r="AI4526" s="145"/>
      <x:c r="AJ4526"/>
    </x:row>
    <x:row r="4527">
      <x:c r="F4527" s="124"/>
      <x:c r="G4527" s="124"/>
      <x:c r="H4527" s="124"/>
      <x:c r="I4527" s="124"/>
      <x:c r="J4527" s="124"/>
      <x:c r="M4527" s="126"/>
      <x:c r="P4527" s="126"/>
      <x:c r="Q4527" s="126"/>
      <x:c r="R4527" s="126"/>
      <x:c r="S4527" s="124"/>
      <x:c r="T4527" s="124"/>
      <x:c r="U4527" s="124"/>
      <x:c r="V4527" s="124"/>
      <x:c r="W4527" s="124"/>
      <x:c r="X4527" s="124"/>
      <x:c r="AD4527"/>
      <x:c r="AE4527" s="145"/>
      <x:c r="AF4527" s="145"/>
      <x:c r="AG4527" s="145"/>
      <x:c r="AH4527" s="145"/>
      <x:c r="AI4527" s="145"/>
      <x:c r="AJ4527"/>
    </x:row>
    <x:row r="4528">
      <x:c r="F4528" s="124"/>
      <x:c r="G4528" s="124"/>
      <x:c r="H4528" s="124"/>
      <x:c r="I4528" s="124"/>
      <x:c r="J4528" s="124"/>
      <x:c r="M4528" s="126"/>
      <x:c r="P4528" s="126"/>
      <x:c r="Q4528" s="126"/>
      <x:c r="R4528" s="126"/>
      <x:c r="S4528" s="124"/>
      <x:c r="T4528" s="124"/>
      <x:c r="U4528" s="124"/>
      <x:c r="V4528" s="124"/>
      <x:c r="W4528" s="124"/>
      <x:c r="X4528" s="124"/>
      <x:c r="AD4528"/>
      <x:c r="AE4528" s="145"/>
      <x:c r="AF4528" s="145"/>
      <x:c r="AG4528" s="145"/>
      <x:c r="AH4528" s="145"/>
      <x:c r="AI4528" s="145"/>
      <x:c r="AJ4528"/>
    </x:row>
    <x:row r="4529">
      <x:c r="F4529" s="124"/>
      <x:c r="G4529" s="124"/>
      <x:c r="H4529" s="124"/>
      <x:c r="I4529" s="124"/>
      <x:c r="J4529" s="124"/>
      <x:c r="M4529" s="126"/>
      <x:c r="P4529" s="126"/>
      <x:c r="Q4529" s="126"/>
      <x:c r="R4529" s="126"/>
      <x:c r="S4529" s="124"/>
      <x:c r="T4529" s="124"/>
      <x:c r="U4529" s="124"/>
      <x:c r="V4529" s="124"/>
      <x:c r="W4529" s="124"/>
      <x:c r="X4529" s="124"/>
      <x:c r="AD4529"/>
      <x:c r="AE4529" s="145"/>
      <x:c r="AF4529" s="145"/>
      <x:c r="AG4529" s="145"/>
      <x:c r="AH4529" s="145"/>
      <x:c r="AI4529" s="145"/>
      <x:c r="AJ4529"/>
    </x:row>
    <x:row r="4530">
      <x:c r="F4530" s="124"/>
      <x:c r="G4530" s="124"/>
      <x:c r="H4530" s="124"/>
      <x:c r="I4530" s="124"/>
      <x:c r="J4530" s="124"/>
      <x:c r="M4530" s="126"/>
      <x:c r="P4530" s="126"/>
      <x:c r="Q4530" s="126"/>
      <x:c r="R4530" s="126"/>
      <x:c r="S4530" s="124"/>
      <x:c r="T4530" s="124"/>
      <x:c r="U4530" s="124"/>
      <x:c r="V4530" s="124"/>
      <x:c r="W4530" s="124"/>
      <x:c r="X4530" s="124"/>
      <x:c r="AD4530"/>
      <x:c r="AE4530" s="145"/>
      <x:c r="AF4530" s="145"/>
      <x:c r="AG4530" s="145"/>
      <x:c r="AH4530" s="145"/>
      <x:c r="AI4530" s="145"/>
      <x:c r="AJ4530"/>
    </x:row>
    <x:row r="4531">
      <x:c r="F4531" s="124"/>
      <x:c r="G4531" s="124"/>
      <x:c r="H4531" s="124"/>
      <x:c r="I4531" s="124"/>
      <x:c r="J4531" s="124"/>
      <x:c r="M4531" s="126"/>
      <x:c r="P4531" s="126"/>
      <x:c r="Q4531" s="126"/>
      <x:c r="R4531" s="126"/>
      <x:c r="S4531" s="124"/>
      <x:c r="T4531" s="124"/>
      <x:c r="U4531" s="124"/>
      <x:c r="V4531" s="124"/>
      <x:c r="W4531" s="124"/>
      <x:c r="X4531" s="124"/>
      <x:c r="AD4531"/>
      <x:c r="AE4531" s="145"/>
      <x:c r="AF4531" s="145"/>
      <x:c r="AG4531" s="145"/>
      <x:c r="AH4531" s="145"/>
      <x:c r="AI4531" s="145"/>
      <x:c r="AJ4531"/>
    </x:row>
    <x:row r="4532">
      <x:c r="F4532" s="124"/>
      <x:c r="G4532" s="124"/>
      <x:c r="H4532" s="124"/>
      <x:c r="I4532" s="124"/>
      <x:c r="J4532" s="124"/>
      <x:c r="M4532" s="126"/>
      <x:c r="P4532" s="126"/>
      <x:c r="Q4532" s="126"/>
      <x:c r="R4532" s="126"/>
      <x:c r="S4532" s="124"/>
      <x:c r="T4532" s="124"/>
      <x:c r="U4532" s="124"/>
      <x:c r="V4532" s="124"/>
      <x:c r="W4532" s="124"/>
      <x:c r="X4532" s="124"/>
      <x:c r="AD4532"/>
      <x:c r="AE4532" s="145"/>
      <x:c r="AF4532" s="145"/>
      <x:c r="AG4532" s="145"/>
      <x:c r="AH4532" s="145"/>
      <x:c r="AI4532" s="145"/>
      <x:c r="AJ4532"/>
    </x:row>
    <x:row r="4533">
      <x:c r="F4533" s="124"/>
      <x:c r="G4533" s="124"/>
      <x:c r="H4533" s="124"/>
      <x:c r="I4533" s="124"/>
      <x:c r="J4533" s="124"/>
      <x:c r="M4533" s="126"/>
      <x:c r="P4533" s="126"/>
      <x:c r="Q4533" s="126"/>
      <x:c r="R4533" s="126"/>
      <x:c r="S4533" s="124"/>
      <x:c r="T4533" s="124"/>
      <x:c r="U4533" s="124"/>
      <x:c r="V4533" s="124"/>
      <x:c r="W4533" s="124"/>
      <x:c r="X4533" s="124"/>
      <x:c r="AD4533"/>
      <x:c r="AE4533" s="145"/>
      <x:c r="AF4533" s="145"/>
      <x:c r="AG4533" s="145"/>
      <x:c r="AH4533" s="145"/>
      <x:c r="AI4533" s="145"/>
      <x:c r="AJ4533"/>
    </x:row>
    <x:row r="4534">
      <x:c r="F4534" s="124"/>
      <x:c r="G4534" s="124"/>
      <x:c r="H4534" s="124"/>
      <x:c r="I4534" s="124"/>
      <x:c r="J4534" s="124"/>
      <x:c r="M4534" s="126"/>
      <x:c r="P4534" s="126"/>
      <x:c r="Q4534" s="126"/>
      <x:c r="R4534" s="126"/>
      <x:c r="S4534" s="124"/>
      <x:c r="T4534" s="124"/>
      <x:c r="U4534" s="124"/>
      <x:c r="V4534" s="124"/>
      <x:c r="W4534" s="124"/>
      <x:c r="X4534" s="124"/>
      <x:c r="AD4534"/>
      <x:c r="AE4534" s="145"/>
      <x:c r="AF4534" s="145"/>
      <x:c r="AG4534" s="145"/>
      <x:c r="AH4534" s="145"/>
      <x:c r="AI4534" s="145"/>
      <x:c r="AJ4534"/>
    </x:row>
    <x:row r="4535">
      <x:c r="F4535" s="124"/>
      <x:c r="G4535" s="124"/>
      <x:c r="H4535" s="124"/>
      <x:c r="I4535" s="124"/>
      <x:c r="J4535" s="124"/>
      <x:c r="M4535" s="126"/>
      <x:c r="P4535" s="126"/>
      <x:c r="Q4535" s="126"/>
      <x:c r="R4535" s="126"/>
      <x:c r="S4535" s="124"/>
      <x:c r="T4535" s="124"/>
      <x:c r="U4535" s="124"/>
      <x:c r="V4535" s="124"/>
      <x:c r="W4535" s="124"/>
      <x:c r="X4535" s="124"/>
      <x:c r="AD4535"/>
      <x:c r="AE4535" s="145"/>
      <x:c r="AF4535" s="145"/>
      <x:c r="AG4535" s="145"/>
      <x:c r="AH4535" s="145"/>
      <x:c r="AI4535" s="145"/>
      <x:c r="AJ4535"/>
    </x:row>
    <x:row r="4536">
      <x:c r="F4536" s="124"/>
      <x:c r="G4536" s="124"/>
      <x:c r="H4536" s="124"/>
      <x:c r="I4536" s="124"/>
      <x:c r="J4536" s="124"/>
      <x:c r="M4536" s="126"/>
      <x:c r="P4536" s="126"/>
      <x:c r="Q4536" s="126"/>
      <x:c r="R4536" s="126"/>
      <x:c r="S4536" s="124"/>
      <x:c r="T4536" s="124"/>
      <x:c r="U4536" s="124"/>
      <x:c r="V4536" s="124"/>
      <x:c r="W4536" s="124"/>
      <x:c r="X4536" s="124"/>
      <x:c r="AD4536"/>
      <x:c r="AE4536" s="145"/>
      <x:c r="AF4536" s="145"/>
      <x:c r="AG4536" s="145"/>
      <x:c r="AH4536" s="145"/>
      <x:c r="AI4536" s="145"/>
      <x:c r="AJ4536"/>
    </x:row>
    <x:row r="4537">
      <x:c r="F4537" s="124"/>
      <x:c r="G4537" s="124"/>
      <x:c r="H4537" s="124"/>
      <x:c r="I4537" s="124"/>
      <x:c r="J4537" s="124"/>
      <x:c r="M4537" s="126"/>
      <x:c r="P4537" s="126"/>
      <x:c r="Q4537" s="126"/>
      <x:c r="R4537" s="126"/>
      <x:c r="S4537" s="124"/>
      <x:c r="T4537" s="124"/>
      <x:c r="U4537" s="124"/>
      <x:c r="V4537" s="124"/>
      <x:c r="W4537" s="124"/>
      <x:c r="X4537" s="124"/>
      <x:c r="AD4537"/>
      <x:c r="AE4537" s="145"/>
      <x:c r="AF4537" s="145"/>
      <x:c r="AG4537" s="145"/>
      <x:c r="AH4537" s="145"/>
      <x:c r="AI4537" s="145"/>
      <x:c r="AJ4537"/>
    </x:row>
    <x:row r="4538">
      <x:c r="F4538" s="124"/>
      <x:c r="G4538" s="124"/>
      <x:c r="H4538" s="124"/>
      <x:c r="I4538" s="124"/>
      <x:c r="J4538" s="124"/>
      <x:c r="M4538" s="126"/>
      <x:c r="P4538" s="126"/>
      <x:c r="Q4538" s="126"/>
      <x:c r="R4538" s="126"/>
      <x:c r="S4538" s="124"/>
      <x:c r="T4538" s="124"/>
      <x:c r="U4538" s="124"/>
      <x:c r="V4538" s="124"/>
      <x:c r="W4538" s="124"/>
      <x:c r="X4538" s="124"/>
      <x:c r="AD4538"/>
      <x:c r="AE4538" s="145"/>
      <x:c r="AF4538" s="145"/>
      <x:c r="AG4538" s="145"/>
      <x:c r="AH4538" s="145"/>
      <x:c r="AI4538" s="145"/>
      <x:c r="AJ4538"/>
    </x:row>
    <x:row r="4539">
      <x:c r="F4539" s="124"/>
      <x:c r="G4539" s="124"/>
      <x:c r="H4539" s="124"/>
      <x:c r="I4539" s="124"/>
      <x:c r="J4539" s="124"/>
      <x:c r="M4539" s="126"/>
      <x:c r="P4539" s="126"/>
      <x:c r="Q4539" s="126"/>
      <x:c r="R4539" s="126"/>
      <x:c r="S4539" s="124"/>
      <x:c r="T4539" s="124"/>
      <x:c r="U4539" s="124"/>
      <x:c r="V4539" s="124"/>
      <x:c r="W4539" s="124"/>
      <x:c r="X4539" s="124"/>
      <x:c r="AD4539"/>
      <x:c r="AE4539" s="145"/>
      <x:c r="AF4539" s="145"/>
      <x:c r="AG4539" s="145"/>
      <x:c r="AH4539" s="145"/>
      <x:c r="AI4539" s="145"/>
      <x:c r="AJ4539"/>
    </x:row>
    <x:row r="4540">
      <x:c r="F4540" s="124"/>
      <x:c r="G4540" s="124"/>
      <x:c r="H4540" s="124"/>
      <x:c r="I4540" s="124"/>
      <x:c r="J4540" s="124"/>
      <x:c r="M4540" s="126"/>
      <x:c r="P4540" s="126"/>
      <x:c r="Q4540" s="126"/>
      <x:c r="R4540" s="126"/>
      <x:c r="S4540" s="124"/>
      <x:c r="T4540" s="124"/>
      <x:c r="U4540" s="124"/>
      <x:c r="V4540" s="124"/>
      <x:c r="W4540" s="124"/>
      <x:c r="X4540" s="124"/>
      <x:c r="AD4540"/>
      <x:c r="AE4540" s="145"/>
      <x:c r="AF4540" s="145"/>
      <x:c r="AG4540" s="145"/>
      <x:c r="AH4540" s="145"/>
      <x:c r="AI4540" s="145"/>
      <x:c r="AJ4540"/>
    </x:row>
    <x:row r="4541">
      <x:c r="F4541" s="124"/>
      <x:c r="G4541" s="124"/>
      <x:c r="H4541" s="124"/>
      <x:c r="I4541" s="124"/>
      <x:c r="J4541" s="124"/>
      <x:c r="M4541" s="126"/>
      <x:c r="P4541" s="126"/>
      <x:c r="Q4541" s="126"/>
      <x:c r="R4541" s="126"/>
      <x:c r="S4541" s="124"/>
      <x:c r="T4541" s="124"/>
      <x:c r="U4541" s="124"/>
      <x:c r="V4541" s="124"/>
      <x:c r="W4541" s="124"/>
      <x:c r="X4541" s="124"/>
      <x:c r="AD4541"/>
      <x:c r="AE4541" s="145"/>
      <x:c r="AF4541" s="145"/>
      <x:c r="AG4541" s="145"/>
      <x:c r="AH4541" s="145"/>
      <x:c r="AI4541" s="145"/>
      <x:c r="AJ4541"/>
    </x:row>
    <x:row r="4542">
      <x:c r="F4542" s="124"/>
      <x:c r="G4542" s="124"/>
      <x:c r="H4542" s="124"/>
      <x:c r="I4542" s="124"/>
      <x:c r="J4542" s="124"/>
      <x:c r="M4542" s="126"/>
      <x:c r="P4542" s="126"/>
      <x:c r="Q4542" s="126"/>
      <x:c r="R4542" s="126"/>
      <x:c r="S4542" s="124"/>
      <x:c r="T4542" s="124"/>
      <x:c r="U4542" s="124"/>
      <x:c r="V4542" s="124"/>
      <x:c r="W4542" s="124"/>
      <x:c r="X4542" s="124"/>
      <x:c r="AD4542"/>
      <x:c r="AE4542" s="145"/>
      <x:c r="AF4542" s="145"/>
      <x:c r="AG4542" s="145"/>
      <x:c r="AH4542" s="145"/>
      <x:c r="AI4542" s="145"/>
      <x:c r="AJ4542"/>
    </x:row>
    <x:row r="4543">
      <x:c r="F4543" s="124"/>
      <x:c r="G4543" s="124"/>
      <x:c r="H4543" s="124"/>
      <x:c r="I4543" s="124"/>
      <x:c r="J4543" s="124"/>
      <x:c r="M4543" s="126"/>
      <x:c r="P4543" s="126"/>
      <x:c r="Q4543" s="126"/>
      <x:c r="R4543" s="126"/>
      <x:c r="S4543" s="124"/>
      <x:c r="T4543" s="124"/>
      <x:c r="U4543" s="124"/>
      <x:c r="V4543" s="124"/>
      <x:c r="W4543" s="124"/>
      <x:c r="X4543" s="124"/>
      <x:c r="AD4543"/>
      <x:c r="AE4543" s="145"/>
      <x:c r="AF4543" s="145"/>
      <x:c r="AG4543" s="145"/>
      <x:c r="AH4543" s="145"/>
      <x:c r="AI4543" s="145"/>
      <x:c r="AJ4543"/>
    </x:row>
    <x:row r="4544">
      <x:c r="F4544" s="124"/>
      <x:c r="G4544" s="124"/>
      <x:c r="H4544" s="124"/>
      <x:c r="I4544" s="124"/>
      <x:c r="J4544" s="124"/>
      <x:c r="M4544" s="126"/>
      <x:c r="P4544" s="126"/>
      <x:c r="Q4544" s="126"/>
      <x:c r="R4544" s="126"/>
      <x:c r="S4544" s="124"/>
      <x:c r="T4544" s="124"/>
      <x:c r="U4544" s="124"/>
      <x:c r="V4544" s="124"/>
      <x:c r="W4544" s="124"/>
      <x:c r="X4544" s="124"/>
      <x:c r="AD4544"/>
      <x:c r="AE4544" s="145"/>
      <x:c r="AF4544" s="145"/>
      <x:c r="AG4544" s="145"/>
      <x:c r="AH4544" s="145"/>
      <x:c r="AI4544" s="145"/>
      <x:c r="AJ4544"/>
    </x:row>
    <x:row r="4545">
      <x:c r="F4545" s="124"/>
      <x:c r="G4545" s="124"/>
      <x:c r="H4545" s="124"/>
      <x:c r="I4545" s="124"/>
      <x:c r="J4545" s="124"/>
      <x:c r="M4545" s="126"/>
      <x:c r="P4545" s="126"/>
      <x:c r="Q4545" s="126"/>
      <x:c r="R4545" s="126"/>
      <x:c r="S4545" s="124"/>
      <x:c r="T4545" s="124"/>
      <x:c r="U4545" s="124"/>
      <x:c r="V4545" s="124"/>
      <x:c r="W4545" s="124"/>
      <x:c r="X4545" s="124"/>
      <x:c r="AD4545"/>
      <x:c r="AE4545" s="145"/>
      <x:c r="AF4545" s="145"/>
      <x:c r="AG4545" s="145"/>
      <x:c r="AH4545" s="145"/>
      <x:c r="AI4545" s="145"/>
      <x:c r="AJ4545"/>
    </x:row>
    <x:row r="4546">
      <x:c r="F4546" s="124"/>
      <x:c r="G4546" s="124"/>
      <x:c r="H4546" s="124"/>
      <x:c r="I4546" s="124"/>
      <x:c r="J4546" s="124"/>
      <x:c r="M4546" s="126"/>
      <x:c r="P4546" s="126"/>
      <x:c r="Q4546" s="126"/>
      <x:c r="R4546" s="126"/>
      <x:c r="S4546" s="124"/>
      <x:c r="T4546" s="124"/>
      <x:c r="U4546" s="124"/>
      <x:c r="V4546" s="124"/>
      <x:c r="W4546" s="124"/>
      <x:c r="X4546" s="124"/>
      <x:c r="AD4546"/>
      <x:c r="AE4546" s="145"/>
      <x:c r="AF4546" s="145"/>
      <x:c r="AG4546" s="145"/>
      <x:c r="AH4546" s="145"/>
      <x:c r="AI4546" s="145"/>
      <x:c r="AJ4546"/>
    </x:row>
    <x:row r="4547">
      <x:c r="F4547" s="124"/>
      <x:c r="G4547" s="124"/>
      <x:c r="H4547" s="124"/>
      <x:c r="I4547" s="124"/>
      <x:c r="J4547" s="124"/>
      <x:c r="M4547" s="126"/>
      <x:c r="P4547" s="126"/>
      <x:c r="Q4547" s="126"/>
      <x:c r="R4547" s="126"/>
      <x:c r="S4547" s="124"/>
      <x:c r="T4547" s="124"/>
      <x:c r="U4547" s="124"/>
      <x:c r="V4547" s="124"/>
      <x:c r="W4547" s="124"/>
      <x:c r="X4547" s="124"/>
      <x:c r="AD4547"/>
      <x:c r="AE4547" s="145"/>
      <x:c r="AF4547" s="145"/>
      <x:c r="AG4547" s="145"/>
      <x:c r="AH4547" s="145"/>
      <x:c r="AI4547" s="145"/>
      <x:c r="AJ4547"/>
    </x:row>
    <x:row r="4548">
      <x:c r="F4548" s="124"/>
      <x:c r="G4548" s="124"/>
      <x:c r="H4548" s="124"/>
      <x:c r="I4548" s="124"/>
      <x:c r="J4548" s="124"/>
      <x:c r="M4548" s="126"/>
      <x:c r="P4548" s="126"/>
      <x:c r="Q4548" s="126"/>
      <x:c r="R4548" s="126"/>
      <x:c r="S4548" s="124"/>
      <x:c r="T4548" s="124"/>
      <x:c r="U4548" s="124"/>
      <x:c r="V4548" s="124"/>
      <x:c r="W4548" s="124"/>
      <x:c r="X4548" s="124"/>
      <x:c r="AD4548"/>
      <x:c r="AE4548" s="145"/>
      <x:c r="AF4548" s="145"/>
      <x:c r="AG4548" s="145"/>
      <x:c r="AH4548" s="145"/>
      <x:c r="AI4548" s="145"/>
      <x:c r="AJ4548"/>
    </x:row>
    <x:row r="4549">
      <x:c r="F4549" s="124"/>
      <x:c r="G4549" s="124"/>
      <x:c r="H4549" s="124"/>
      <x:c r="I4549" s="124"/>
      <x:c r="J4549" s="124"/>
      <x:c r="M4549" s="126"/>
      <x:c r="P4549" s="126"/>
      <x:c r="Q4549" s="126"/>
      <x:c r="R4549" s="126"/>
      <x:c r="S4549" s="124"/>
      <x:c r="T4549" s="124"/>
      <x:c r="U4549" s="124"/>
      <x:c r="V4549" s="124"/>
      <x:c r="W4549" s="124"/>
      <x:c r="X4549" s="124"/>
      <x:c r="AD4549"/>
      <x:c r="AE4549" s="145"/>
      <x:c r="AF4549" s="145"/>
      <x:c r="AG4549" s="145"/>
      <x:c r="AH4549" s="145"/>
      <x:c r="AI4549" s="145"/>
      <x:c r="AJ4549"/>
    </x:row>
    <x:row r="4550">
      <x:c r="F4550" s="124"/>
      <x:c r="G4550" s="124"/>
      <x:c r="H4550" s="124"/>
      <x:c r="I4550" s="124"/>
      <x:c r="J4550" s="124"/>
      <x:c r="M4550" s="126"/>
      <x:c r="P4550" s="126"/>
      <x:c r="Q4550" s="126"/>
      <x:c r="R4550" s="126"/>
      <x:c r="S4550" s="124"/>
      <x:c r="T4550" s="124"/>
      <x:c r="U4550" s="124"/>
      <x:c r="V4550" s="124"/>
      <x:c r="W4550" s="124"/>
      <x:c r="X4550" s="124"/>
      <x:c r="AD4550"/>
      <x:c r="AE4550" s="145"/>
      <x:c r="AF4550" s="145"/>
      <x:c r="AG4550" s="145"/>
      <x:c r="AH4550" s="145"/>
      <x:c r="AI4550" s="145"/>
      <x:c r="AJ4550"/>
    </x:row>
    <x:row r="4551">
      <x:c r="F4551" s="124"/>
      <x:c r="G4551" s="124"/>
      <x:c r="H4551" s="124"/>
      <x:c r="I4551" s="124"/>
      <x:c r="J4551" s="124"/>
      <x:c r="M4551" s="126"/>
      <x:c r="P4551" s="126"/>
      <x:c r="Q4551" s="126"/>
      <x:c r="R4551" s="126"/>
      <x:c r="S4551" s="124"/>
      <x:c r="T4551" s="124"/>
      <x:c r="U4551" s="124"/>
      <x:c r="V4551" s="124"/>
      <x:c r="W4551" s="124"/>
      <x:c r="X4551" s="124"/>
      <x:c r="AD4551"/>
      <x:c r="AE4551" s="145"/>
      <x:c r="AF4551" s="145"/>
      <x:c r="AG4551" s="145"/>
      <x:c r="AH4551" s="145"/>
      <x:c r="AI4551" s="145"/>
      <x:c r="AJ4551"/>
    </x:row>
    <x:row r="4552">
      <x:c r="F4552" s="124"/>
      <x:c r="G4552" s="124"/>
      <x:c r="H4552" s="124"/>
      <x:c r="I4552" s="124"/>
      <x:c r="J4552" s="124"/>
      <x:c r="M4552" s="126"/>
      <x:c r="P4552" s="126"/>
      <x:c r="Q4552" s="126"/>
      <x:c r="R4552" s="126"/>
      <x:c r="S4552" s="124"/>
      <x:c r="T4552" s="124"/>
      <x:c r="U4552" s="124"/>
      <x:c r="V4552" s="124"/>
      <x:c r="W4552" s="124"/>
      <x:c r="X4552" s="124"/>
      <x:c r="AD4552"/>
      <x:c r="AE4552" s="145"/>
      <x:c r="AF4552" s="145"/>
      <x:c r="AG4552" s="145"/>
      <x:c r="AH4552" s="145"/>
      <x:c r="AI4552" s="145"/>
      <x:c r="AJ4552"/>
    </x:row>
    <x:row r="4553">
      <x:c r="F4553" s="124"/>
      <x:c r="G4553" s="124"/>
      <x:c r="H4553" s="124"/>
      <x:c r="I4553" s="124"/>
      <x:c r="J4553" s="124"/>
      <x:c r="M4553" s="126"/>
      <x:c r="P4553" s="126"/>
      <x:c r="Q4553" s="126"/>
      <x:c r="R4553" s="126"/>
      <x:c r="S4553" s="124"/>
      <x:c r="T4553" s="124"/>
      <x:c r="U4553" s="124"/>
      <x:c r="V4553" s="124"/>
      <x:c r="W4553" s="124"/>
      <x:c r="X4553" s="124"/>
      <x:c r="AD4553"/>
      <x:c r="AE4553" s="145"/>
      <x:c r="AF4553" s="145"/>
      <x:c r="AG4553" s="145"/>
      <x:c r="AH4553" s="145"/>
      <x:c r="AI4553" s="145"/>
      <x:c r="AJ4553"/>
    </x:row>
    <x:row r="4554">
      <x:c r="F4554" s="124"/>
      <x:c r="G4554" s="124"/>
      <x:c r="H4554" s="124"/>
      <x:c r="I4554" s="124"/>
      <x:c r="J4554" s="124"/>
      <x:c r="M4554" s="126"/>
      <x:c r="P4554" s="126"/>
      <x:c r="Q4554" s="126"/>
      <x:c r="R4554" s="126"/>
      <x:c r="S4554" s="124"/>
      <x:c r="T4554" s="124"/>
      <x:c r="U4554" s="124"/>
      <x:c r="V4554" s="124"/>
      <x:c r="W4554" s="124"/>
      <x:c r="X4554" s="124"/>
      <x:c r="AD4554"/>
      <x:c r="AE4554" s="145"/>
      <x:c r="AF4554" s="145"/>
      <x:c r="AG4554" s="145"/>
      <x:c r="AH4554" s="145"/>
      <x:c r="AI4554" s="145"/>
      <x:c r="AJ4554"/>
    </x:row>
    <x:row r="4555">
      <x:c r="F4555" s="124"/>
      <x:c r="G4555" s="124"/>
      <x:c r="H4555" s="124"/>
      <x:c r="I4555" s="124"/>
      <x:c r="J4555" s="124"/>
      <x:c r="M4555" s="126"/>
      <x:c r="P4555" s="126"/>
      <x:c r="Q4555" s="126"/>
      <x:c r="R4555" s="126"/>
      <x:c r="S4555" s="124"/>
      <x:c r="T4555" s="124"/>
      <x:c r="U4555" s="124"/>
      <x:c r="V4555" s="124"/>
      <x:c r="W4555" s="124"/>
      <x:c r="X4555" s="124"/>
      <x:c r="AD4555"/>
      <x:c r="AE4555" s="145"/>
      <x:c r="AF4555" s="145"/>
      <x:c r="AG4555" s="145"/>
      <x:c r="AH4555" s="145"/>
      <x:c r="AI4555" s="145"/>
      <x:c r="AJ4555"/>
    </x:row>
    <x:row r="4556">
      <x:c r="F4556" s="124"/>
      <x:c r="G4556" s="124"/>
      <x:c r="H4556" s="124"/>
      <x:c r="I4556" s="124"/>
      <x:c r="J4556" s="124"/>
      <x:c r="M4556" s="126"/>
      <x:c r="P4556" s="126"/>
      <x:c r="Q4556" s="126"/>
      <x:c r="R4556" s="126"/>
      <x:c r="S4556" s="124"/>
      <x:c r="T4556" s="124"/>
      <x:c r="U4556" s="124"/>
      <x:c r="V4556" s="124"/>
      <x:c r="W4556" s="124"/>
      <x:c r="X4556" s="124"/>
      <x:c r="AD4556"/>
      <x:c r="AE4556" s="145"/>
      <x:c r="AF4556" s="145"/>
      <x:c r="AG4556" s="145"/>
      <x:c r="AH4556" s="145"/>
      <x:c r="AI4556" s="145"/>
      <x:c r="AJ4556"/>
    </x:row>
    <x:row r="4557">
      <x:c r="F4557" s="124"/>
      <x:c r="G4557" s="124"/>
      <x:c r="H4557" s="124"/>
      <x:c r="I4557" s="124"/>
      <x:c r="J4557" s="124"/>
      <x:c r="M4557" s="126"/>
      <x:c r="P4557" s="126"/>
      <x:c r="Q4557" s="126"/>
      <x:c r="R4557" s="126"/>
      <x:c r="S4557" s="124"/>
      <x:c r="T4557" s="124"/>
      <x:c r="U4557" s="124"/>
      <x:c r="V4557" s="124"/>
      <x:c r="W4557" s="124"/>
      <x:c r="X4557" s="124"/>
      <x:c r="AD4557"/>
      <x:c r="AE4557" s="145"/>
      <x:c r="AF4557" s="145"/>
      <x:c r="AG4557" s="145"/>
      <x:c r="AH4557" s="145"/>
      <x:c r="AI4557" s="145"/>
      <x:c r="AJ4557"/>
    </x:row>
    <x:row r="4558">
      <x:c r="F4558" s="124"/>
      <x:c r="G4558" s="124"/>
      <x:c r="H4558" s="124"/>
      <x:c r="I4558" s="124"/>
      <x:c r="J4558" s="124"/>
      <x:c r="M4558" s="126"/>
      <x:c r="P4558" s="126"/>
      <x:c r="Q4558" s="126"/>
      <x:c r="R4558" s="126"/>
      <x:c r="S4558" s="124"/>
      <x:c r="T4558" s="124"/>
      <x:c r="U4558" s="124"/>
      <x:c r="V4558" s="124"/>
      <x:c r="W4558" s="124"/>
      <x:c r="X4558" s="124"/>
      <x:c r="AD4558"/>
      <x:c r="AE4558" s="145"/>
      <x:c r="AF4558" s="145"/>
      <x:c r="AG4558" s="145"/>
      <x:c r="AH4558" s="145"/>
      <x:c r="AI4558" s="145"/>
      <x:c r="AJ4558"/>
    </x:row>
    <x:row r="4559">
      <x:c r="F4559" s="124"/>
      <x:c r="G4559" s="124"/>
      <x:c r="H4559" s="124"/>
      <x:c r="I4559" s="124"/>
      <x:c r="J4559" s="124"/>
      <x:c r="M4559" s="126"/>
      <x:c r="P4559" s="126"/>
      <x:c r="Q4559" s="126"/>
      <x:c r="R4559" s="126"/>
      <x:c r="S4559" s="124"/>
      <x:c r="T4559" s="124"/>
      <x:c r="U4559" s="124"/>
      <x:c r="V4559" s="124"/>
      <x:c r="W4559" s="124"/>
      <x:c r="X4559" s="124"/>
      <x:c r="AD4559"/>
      <x:c r="AE4559" s="145"/>
      <x:c r="AF4559" s="145"/>
      <x:c r="AG4559" s="145"/>
      <x:c r="AH4559" s="145"/>
      <x:c r="AI4559" s="145"/>
      <x:c r="AJ4559"/>
    </x:row>
    <x:row r="4560">
      <x:c r="F4560" s="124"/>
      <x:c r="G4560" s="124"/>
      <x:c r="H4560" s="124"/>
      <x:c r="I4560" s="124"/>
      <x:c r="J4560" s="124"/>
      <x:c r="M4560" s="126"/>
      <x:c r="P4560" s="126"/>
      <x:c r="Q4560" s="126"/>
      <x:c r="R4560" s="126"/>
      <x:c r="S4560" s="124"/>
      <x:c r="T4560" s="124"/>
      <x:c r="U4560" s="124"/>
      <x:c r="V4560" s="124"/>
      <x:c r="W4560" s="124"/>
      <x:c r="X4560" s="124"/>
      <x:c r="AD4560"/>
      <x:c r="AE4560" s="145"/>
      <x:c r="AF4560" s="145"/>
      <x:c r="AG4560" s="145"/>
      <x:c r="AH4560" s="145"/>
      <x:c r="AI4560" s="145"/>
      <x:c r="AJ4560"/>
    </x:row>
    <x:row r="4561">
      <x:c r="F4561" s="124"/>
      <x:c r="G4561" s="124"/>
      <x:c r="H4561" s="124"/>
      <x:c r="I4561" s="124"/>
      <x:c r="J4561" s="124"/>
      <x:c r="M4561" s="126"/>
      <x:c r="P4561" s="126"/>
      <x:c r="Q4561" s="126"/>
      <x:c r="R4561" s="126"/>
      <x:c r="S4561" s="124"/>
      <x:c r="T4561" s="124"/>
      <x:c r="U4561" s="124"/>
      <x:c r="V4561" s="124"/>
      <x:c r="W4561" s="124"/>
      <x:c r="X4561" s="124"/>
      <x:c r="AD4561"/>
      <x:c r="AE4561" s="145"/>
      <x:c r="AF4561" s="145"/>
      <x:c r="AG4561" s="145"/>
      <x:c r="AH4561" s="145"/>
      <x:c r="AI4561" s="145"/>
      <x:c r="AJ4561"/>
    </x:row>
    <x:row r="4562">
      <x:c r="F4562" s="124"/>
      <x:c r="G4562" s="124"/>
      <x:c r="H4562" s="124"/>
      <x:c r="I4562" s="124"/>
      <x:c r="J4562" s="124"/>
      <x:c r="M4562" s="126"/>
      <x:c r="P4562" s="126"/>
      <x:c r="Q4562" s="126"/>
      <x:c r="R4562" s="126"/>
      <x:c r="S4562" s="124"/>
      <x:c r="T4562" s="124"/>
      <x:c r="U4562" s="124"/>
      <x:c r="V4562" s="124"/>
      <x:c r="W4562" s="124"/>
      <x:c r="X4562" s="124"/>
      <x:c r="AD4562"/>
      <x:c r="AE4562" s="145"/>
      <x:c r="AF4562" s="145"/>
      <x:c r="AG4562" s="145"/>
      <x:c r="AH4562" s="145"/>
      <x:c r="AI4562" s="145"/>
      <x:c r="AJ4562"/>
    </x:row>
    <x:row r="4563">
      <x:c r="F4563" s="124"/>
      <x:c r="G4563" s="124"/>
      <x:c r="H4563" s="124"/>
      <x:c r="I4563" s="124"/>
      <x:c r="J4563" s="124"/>
      <x:c r="M4563" s="126"/>
      <x:c r="P4563" s="126"/>
      <x:c r="Q4563" s="126"/>
      <x:c r="R4563" s="126"/>
      <x:c r="S4563" s="124"/>
      <x:c r="T4563" s="124"/>
      <x:c r="U4563" s="124"/>
      <x:c r="V4563" s="124"/>
      <x:c r="W4563" s="124"/>
      <x:c r="X4563" s="124"/>
      <x:c r="AD4563"/>
      <x:c r="AE4563" s="145"/>
      <x:c r="AF4563" s="145"/>
      <x:c r="AG4563" s="145"/>
      <x:c r="AH4563" s="145"/>
      <x:c r="AI4563" s="145"/>
      <x:c r="AJ4563"/>
    </x:row>
    <x:row r="4564">
      <x:c r="F4564" s="124"/>
      <x:c r="G4564" s="124"/>
      <x:c r="H4564" s="124"/>
      <x:c r="I4564" s="124"/>
      <x:c r="J4564" s="124"/>
      <x:c r="M4564" s="126"/>
      <x:c r="P4564" s="126"/>
      <x:c r="Q4564" s="126"/>
      <x:c r="R4564" s="126"/>
      <x:c r="S4564" s="124"/>
      <x:c r="T4564" s="124"/>
      <x:c r="U4564" s="124"/>
      <x:c r="V4564" s="124"/>
      <x:c r="W4564" s="124"/>
      <x:c r="X4564" s="124"/>
      <x:c r="AD4564"/>
      <x:c r="AE4564" s="145"/>
      <x:c r="AF4564" s="145"/>
      <x:c r="AG4564" s="145"/>
      <x:c r="AH4564" s="145"/>
      <x:c r="AI4564" s="145"/>
      <x:c r="AJ4564"/>
    </x:row>
    <x:row r="4565">
      <x:c r="F4565" s="124"/>
      <x:c r="G4565" s="124"/>
      <x:c r="H4565" s="124"/>
      <x:c r="I4565" s="124"/>
      <x:c r="J4565" s="124"/>
      <x:c r="M4565" s="126"/>
      <x:c r="P4565" s="126"/>
      <x:c r="Q4565" s="126"/>
      <x:c r="R4565" s="126"/>
      <x:c r="S4565" s="124"/>
      <x:c r="T4565" s="124"/>
      <x:c r="U4565" s="124"/>
      <x:c r="V4565" s="124"/>
      <x:c r="W4565" s="124"/>
      <x:c r="X4565" s="124"/>
      <x:c r="AD4565"/>
      <x:c r="AE4565" s="145"/>
      <x:c r="AF4565" s="145"/>
      <x:c r="AG4565" s="145"/>
      <x:c r="AH4565" s="145"/>
      <x:c r="AI4565" s="145"/>
      <x:c r="AJ4565"/>
    </x:row>
    <x:row r="4566">
      <x:c r="F4566" s="124"/>
      <x:c r="G4566" s="124"/>
      <x:c r="H4566" s="124"/>
      <x:c r="I4566" s="124"/>
      <x:c r="J4566" s="124"/>
      <x:c r="M4566" s="126"/>
      <x:c r="P4566" s="126"/>
      <x:c r="Q4566" s="126"/>
      <x:c r="R4566" s="126"/>
      <x:c r="S4566" s="124"/>
      <x:c r="T4566" s="124"/>
      <x:c r="U4566" s="124"/>
      <x:c r="V4566" s="124"/>
      <x:c r="W4566" s="124"/>
      <x:c r="X4566" s="124"/>
      <x:c r="AD4566"/>
      <x:c r="AE4566" s="145"/>
      <x:c r="AF4566" s="145"/>
      <x:c r="AG4566" s="145"/>
      <x:c r="AH4566" s="145"/>
      <x:c r="AI4566" s="145"/>
      <x:c r="AJ4566"/>
    </x:row>
    <x:row r="4567">
      <x:c r="F4567" s="124"/>
      <x:c r="G4567" s="124"/>
      <x:c r="H4567" s="124"/>
      <x:c r="I4567" s="124"/>
      <x:c r="J4567" s="124"/>
      <x:c r="M4567" s="126"/>
      <x:c r="P4567" s="126"/>
      <x:c r="Q4567" s="126"/>
      <x:c r="R4567" s="126"/>
      <x:c r="S4567" s="124"/>
      <x:c r="T4567" s="124"/>
      <x:c r="U4567" s="124"/>
      <x:c r="V4567" s="124"/>
      <x:c r="W4567" s="124"/>
      <x:c r="X4567" s="124"/>
      <x:c r="AD4567"/>
      <x:c r="AE4567" s="145"/>
      <x:c r="AF4567" s="145"/>
      <x:c r="AG4567" s="145"/>
      <x:c r="AH4567" s="145"/>
      <x:c r="AI4567" s="145"/>
      <x:c r="AJ4567"/>
    </x:row>
    <x:row r="4568">
      <x:c r="F4568" s="124"/>
      <x:c r="G4568" s="124"/>
      <x:c r="H4568" s="124"/>
      <x:c r="I4568" s="124"/>
      <x:c r="J4568" s="124"/>
      <x:c r="M4568" s="126"/>
      <x:c r="P4568" s="126"/>
      <x:c r="Q4568" s="126"/>
      <x:c r="R4568" s="126"/>
      <x:c r="S4568" s="124"/>
      <x:c r="T4568" s="124"/>
      <x:c r="U4568" s="124"/>
      <x:c r="V4568" s="124"/>
      <x:c r="W4568" s="124"/>
      <x:c r="X4568" s="124"/>
      <x:c r="AD4568"/>
      <x:c r="AE4568" s="145"/>
      <x:c r="AF4568" s="145"/>
      <x:c r="AG4568" s="145"/>
      <x:c r="AH4568" s="145"/>
      <x:c r="AI4568" s="145"/>
      <x:c r="AJ4568"/>
    </x:row>
    <x:row r="4569">
      <x:c r="F4569" s="124"/>
      <x:c r="G4569" s="124"/>
      <x:c r="H4569" s="124"/>
      <x:c r="I4569" s="124"/>
      <x:c r="J4569" s="124"/>
      <x:c r="M4569" s="126"/>
      <x:c r="P4569" s="126"/>
      <x:c r="Q4569" s="126"/>
      <x:c r="R4569" s="126"/>
      <x:c r="S4569" s="124"/>
      <x:c r="T4569" s="124"/>
      <x:c r="U4569" s="124"/>
      <x:c r="V4569" s="124"/>
      <x:c r="W4569" s="124"/>
      <x:c r="X4569" s="124"/>
      <x:c r="AD4569"/>
      <x:c r="AE4569" s="145"/>
      <x:c r="AF4569" s="145"/>
      <x:c r="AG4569" s="145"/>
      <x:c r="AH4569" s="145"/>
      <x:c r="AI4569" s="145"/>
      <x:c r="AJ4569"/>
    </x:row>
    <x:row r="4570">
      <x:c r="F4570" s="124"/>
      <x:c r="G4570" s="124"/>
      <x:c r="H4570" s="124"/>
      <x:c r="I4570" s="124"/>
      <x:c r="J4570" s="124"/>
      <x:c r="M4570" s="126"/>
      <x:c r="P4570" s="126"/>
      <x:c r="Q4570" s="126"/>
      <x:c r="R4570" s="126"/>
      <x:c r="S4570" s="124"/>
      <x:c r="T4570" s="124"/>
      <x:c r="U4570" s="124"/>
      <x:c r="V4570" s="124"/>
      <x:c r="W4570" s="124"/>
      <x:c r="X4570" s="124"/>
      <x:c r="AD4570"/>
      <x:c r="AE4570" s="145"/>
      <x:c r="AF4570" s="145"/>
      <x:c r="AG4570" s="145"/>
      <x:c r="AH4570" s="145"/>
      <x:c r="AI4570" s="145"/>
      <x:c r="AJ4570"/>
    </x:row>
    <x:row r="4571">
      <x:c r="F4571" s="124"/>
      <x:c r="G4571" s="124"/>
      <x:c r="H4571" s="124"/>
      <x:c r="I4571" s="124"/>
      <x:c r="J4571" s="124"/>
      <x:c r="M4571" s="126"/>
      <x:c r="P4571" s="126"/>
      <x:c r="Q4571" s="126"/>
      <x:c r="R4571" s="126"/>
      <x:c r="S4571" s="124"/>
      <x:c r="T4571" s="124"/>
      <x:c r="U4571" s="124"/>
      <x:c r="V4571" s="124"/>
      <x:c r="W4571" s="124"/>
      <x:c r="X4571" s="124"/>
      <x:c r="AD4571"/>
      <x:c r="AE4571" s="145"/>
      <x:c r="AF4571" s="145"/>
      <x:c r="AG4571" s="145"/>
      <x:c r="AH4571" s="145"/>
      <x:c r="AI4571" s="145"/>
      <x:c r="AJ4571"/>
    </x:row>
    <x:row r="4572">
      <x:c r="F4572" s="124"/>
      <x:c r="G4572" s="124"/>
      <x:c r="H4572" s="124"/>
      <x:c r="I4572" s="124"/>
      <x:c r="J4572" s="124"/>
      <x:c r="M4572" s="126"/>
      <x:c r="P4572" s="126"/>
      <x:c r="Q4572" s="126"/>
      <x:c r="R4572" s="126"/>
      <x:c r="S4572" s="124"/>
      <x:c r="T4572" s="124"/>
      <x:c r="U4572" s="124"/>
      <x:c r="V4572" s="124"/>
      <x:c r="W4572" s="124"/>
      <x:c r="X4572" s="124"/>
      <x:c r="AD4572"/>
      <x:c r="AE4572" s="145"/>
      <x:c r="AF4572" s="145"/>
      <x:c r="AG4572" s="145"/>
      <x:c r="AH4572" s="145"/>
      <x:c r="AI4572" s="145"/>
      <x:c r="AJ4572"/>
    </x:row>
    <x:row r="4573">
      <x:c r="F4573" s="124"/>
      <x:c r="G4573" s="124"/>
      <x:c r="H4573" s="124"/>
      <x:c r="I4573" s="124"/>
      <x:c r="J4573" s="124"/>
      <x:c r="M4573" s="126"/>
      <x:c r="P4573" s="126"/>
      <x:c r="Q4573" s="126"/>
      <x:c r="R4573" s="126"/>
      <x:c r="S4573" s="124"/>
      <x:c r="T4573" s="124"/>
      <x:c r="U4573" s="124"/>
      <x:c r="V4573" s="124"/>
      <x:c r="W4573" s="124"/>
      <x:c r="X4573" s="124"/>
      <x:c r="AD4573"/>
      <x:c r="AE4573" s="145"/>
      <x:c r="AF4573" s="145"/>
      <x:c r="AG4573" s="145"/>
      <x:c r="AH4573" s="145"/>
      <x:c r="AI4573" s="145"/>
      <x:c r="AJ4573"/>
    </x:row>
    <x:row r="4574">
      <x:c r="F4574" s="124"/>
      <x:c r="G4574" s="124"/>
      <x:c r="H4574" s="124"/>
      <x:c r="I4574" s="124"/>
      <x:c r="J4574" s="124"/>
      <x:c r="M4574" s="126"/>
      <x:c r="P4574" s="126"/>
      <x:c r="Q4574" s="126"/>
      <x:c r="R4574" s="126"/>
      <x:c r="S4574" s="124"/>
      <x:c r="T4574" s="124"/>
      <x:c r="U4574" s="124"/>
      <x:c r="V4574" s="124"/>
      <x:c r="W4574" s="124"/>
      <x:c r="X4574" s="124"/>
      <x:c r="AD4574"/>
      <x:c r="AE4574" s="145"/>
      <x:c r="AF4574" s="145"/>
      <x:c r="AG4574" s="145"/>
      <x:c r="AH4574" s="145"/>
      <x:c r="AI4574" s="145"/>
      <x:c r="AJ4574"/>
    </x:row>
    <x:row r="4575">
      <x:c r="F4575" s="124"/>
      <x:c r="G4575" s="124"/>
      <x:c r="H4575" s="124"/>
      <x:c r="I4575" s="124"/>
      <x:c r="J4575" s="124"/>
      <x:c r="M4575" s="126"/>
      <x:c r="P4575" s="126"/>
      <x:c r="Q4575" s="126"/>
      <x:c r="R4575" s="126"/>
      <x:c r="S4575" s="124"/>
      <x:c r="T4575" s="124"/>
      <x:c r="U4575" s="124"/>
      <x:c r="V4575" s="124"/>
      <x:c r="W4575" s="124"/>
      <x:c r="X4575" s="124"/>
      <x:c r="AD4575"/>
      <x:c r="AE4575" s="145"/>
      <x:c r="AF4575" s="145"/>
      <x:c r="AG4575" s="145"/>
      <x:c r="AH4575" s="145"/>
      <x:c r="AI4575" s="145"/>
      <x:c r="AJ4575"/>
    </x:row>
    <x:row r="4576">
      <x:c r="F4576" s="124"/>
      <x:c r="G4576" s="124"/>
      <x:c r="H4576" s="124"/>
      <x:c r="I4576" s="124"/>
      <x:c r="J4576" s="124"/>
      <x:c r="M4576" s="126"/>
      <x:c r="P4576" s="126"/>
      <x:c r="Q4576" s="126"/>
      <x:c r="R4576" s="126"/>
      <x:c r="S4576" s="124"/>
      <x:c r="T4576" s="124"/>
      <x:c r="U4576" s="124"/>
      <x:c r="V4576" s="124"/>
      <x:c r="W4576" s="124"/>
      <x:c r="X4576" s="124"/>
      <x:c r="AD4576"/>
      <x:c r="AE4576" s="145"/>
      <x:c r="AF4576" s="145"/>
      <x:c r="AG4576" s="145"/>
      <x:c r="AH4576" s="145"/>
      <x:c r="AI4576" s="145"/>
      <x:c r="AJ4576"/>
    </x:row>
    <x:row r="4577">
      <x:c r="F4577" s="124"/>
      <x:c r="G4577" s="124"/>
      <x:c r="H4577" s="124"/>
      <x:c r="I4577" s="124"/>
      <x:c r="J4577" s="124"/>
      <x:c r="M4577" s="126"/>
      <x:c r="P4577" s="126"/>
      <x:c r="Q4577" s="126"/>
      <x:c r="R4577" s="126"/>
      <x:c r="S4577" s="124"/>
      <x:c r="T4577" s="124"/>
      <x:c r="U4577" s="124"/>
      <x:c r="V4577" s="124"/>
      <x:c r="W4577" s="124"/>
      <x:c r="X4577" s="124"/>
      <x:c r="AD4577"/>
      <x:c r="AE4577" s="145"/>
      <x:c r="AF4577" s="145"/>
      <x:c r="AG4577" s="145"/>
      <x:c r="AH4577" s="145"/>
      <x:c r="AI4577" s="145"/>
      <x:c r="AJ4577"/>
    </x:row>
    <x:row r="4578">
      <x:c r="F4578" s="124"/>
      <x:c r="G4578" s="124"/>
      <x:c r="H4578" s="124"/>
      <x:c r="I4578" s="124"/>
      <x:c r="J4578" s="124"/>
      <x:c r="M4578" s="126"/>
      <x:c r="P4578" s="126"/>
      <x:c r="Q4578" s="126"/>
      <x:c r="R4578" s="126"/>
      <x:c r="S4578" s="124"/>
      <x:c r="T4578" s="124"/>
      <x:c r="U4578" s="124"/>
      <x:c r="V4578" s="124"/>
      <x:c r="W4578" s="124"/>
      <x:c r="X4578" s="124"/>
      <x:c r="AD4578"/>
      <x:c r="AE4578" s="145"/>
      <x:c r="AF4578" s="145"/>
      <x:c r="AG4578" s="145"/>
      <x:c r="AH4578" s="145"/>
      <x:c r="AI4578" s="145"/>
      <x:c r="AJ4578"/>
    </x:row>
    <x:row r="4579">
      <x:c r="F4579" s="124"/>
      <x:c r="G4579" s="124"/>
      <x:c r="H4579" s="124"/>
      <x:c r="I4579" s="124"/>
      <x:c r="J4579" s="124"/>
      <x:c r="M4579" s="126"/>
      <x:c r="P4579" s="126"/>
      <x:c r="Q4579" s="126"/>
      <x:c r="R4579" s="126"/>
      <x:c r="S4579" s="124"/>
      <x:c r="T4579" s="124"/>
      <x:c r="U4579" s="124"/>
      <x:c r="V4579" s="124"/>
      <x:c r="W4579" s="124"/>
      <x:c r="X4579" s="124"/>
      <x:c r="AD4579"/>
      <x:c r="AE4579" s="145"/>
      <x:c r="AF4579" s="145"/>
      <x:c r="AG4579" s="145"/>
      <x:c r="AH4579" s="145"/>
      <x:c r="AI4579" s="145"/>
      <x:c r="AJ4579"/>
    </x:row>
    <x:row r="4580">
      <x:c r="F4580" s="124"/>
      <x:c r="G4580" s="124"/>
      <x:c r="H4580" s="124"/>
      <x:c r="I4580" s="124"/>
      <x:c r="J4580" s="124"/>
      <x:c r="M4580" s="126"/>
      <x:c r="P4580" s="126"/>
      <x:c r="Q4580" s="126"/>
      <x:c r="R4580" s="126"/>
      <x:c r="S4580" s="124"/>
      <x:c r="T4580" s="124"/>
      <x:c r="U4580" s="124"/>
      <x:c r="V4580" s="124"/>
      <x:c r="W4580" s="124"/>
      <x:c r="X4580" s="124"/>
      <x:c r="AD4580"/>
      <x:c r="AE4580" s="145"/>
      <x:c r="AF4580" s="145"/>
      <x:c r="AG4580" s="145"/>
      <x:c r="AH4580" s="145"/>
      <x:c r="AI4580" s="145"/>
      <x:c r="AJ4580"/>
    </x:row>
    <x:row r="4581">
      <x:c r="F4581" s="124"/>
      <x:c r="G4581" s="124"/>
      <x:c r="H4581" s="124"/>
      <x:c r="I4581" s="124"/>
      <x:c r="J4581" s="124"/>
      <x:c r="M4581" s="126"/>
      <x:c r="P4581" s="126"/>
      <x:c r="Q4581" s="126"/>
      <x:c r="R4581" s="126"/>
      <x:c r="S4581" s="124"/>
      <x:c r="T4581" s="124"/>
      <x:c r="U4581" s="124"/>
      <x:c r="V4581" s="124"/>
      <x:c r="W4581" s="124"/>
      <x:c r="X4581" s="124"/>
      <x:c r="AD4581"/>
      <x:c r="AE4581" s="145"/>
      <x:c r="AF4581" s="145"/>
      <x:c r="AG4581" s="145"/>
      <x:c r="AH4581" s="145"/>
      <x:c r="AI4581" s="145"/>
      <x:c r="AJ4581"/>
    </x:row>
    <x:row r="4582">
      <x:c r="F4582" s="124"/>
      <x:c r="G4582" s="124"/>
      <x:c r="H4582" s="124"/>
      <x:c r="I4582" s="124"/>
      <x:c r="J4582" s="124"/>
      <x:c r="M4582" s="126"/>
      <x:c r="P4582" s="126"/>
      <x:c r="Q4582" s="126"/>
      <x:c r="R4582" s="126"/>
      <x:c r="S4582" s="124"/>
      <x:c r="T4582" s="124"/>
      <x:c r="U4582" s="124"/>
      <x:c r="V4582" s="124"/>
      <x:c r="W4582" s="124"/>
      <x:c r="X4582" s="124"/>
      <x:c r="AD4582"/>
      <x:c r="AE4582" s="145"/>
      <x:c r="AF4582" s="145"/>
      <x:c r="AG4582" s="145"/>
      <x:c r="AH4582" s="145"/>
      <x:c r="AI4582" s="145"/>
      <x:c r="AJ4582"/>
    </x:row>
    <x:row r="4583">
      <x:c r="F4583" s="124"/>
      <x:c r="G4583" s="124"/>
      <x:c r="H4583" s="124"/>
      <x:c r="I4583" s="124"/>
      <x:c r="J4583" s="124"/>
      <x:c r="M4583" s="126"/>
      <x:c r="P4583" s="126"/>
      <x:c r="Q4583" s="126"/>
      <x:c r="R4583" s="126"/>
      <x:c r="S4583" s="124"/>
      <x:c r="T4583" s="124"/>
      <x:c r="U4583" s="124"/>
      <x:c r="V4583" s="124"/>
      <x:c r="W4583" s="124"/>
      <x:c r="X4583" s="124"/>
      <x:c r="AD4583"/>
      <x:c r="AE4583" s="145"/>
      <x:c r="AF4583" s="145"/>
      <x:c r="AG4583" s="145"/>
      <x:c r="AH4583" s="145"/>
      <x:c r="AI4583" s="145"/>
      <x:c r="AJ4583"/>
    </x:row>
    <x:row r="4584">
      <x:c r="F4584" s="124"/>
      <x:c r="G4584" s="124"/>
      <x:c r="H4584" s="124"/>
      <x:c r="I4584" s="124"/>
      <x:c r="J4584" s="124"/>
      <x:c r="M4584" s="126"/>
      <x:c r="P4584" s="126"/>
      <x:c r="Q4584" s="126"/>
      <x:c r="R4584" s="126"/>
      <x:c r="S4584" s="124"/>
      <x:c r="T4584" s="124"/>
      <x:c r="U4584" s="124"/>
      <x:c r="V4584" s="124"/>
      <x:c r="W4584" s="124"/>
      <x:c r="X4584" s="124"/>
      <x:c r="AD4584"/>
      <x:c r="AE4584" s="145"/>
      <x:c r="AF4584" s="145"/>
      <x:c r="AG4584" s="145"/>
      <x:c r="AH4584" s="145"/>
      <x:c r="AI4584" s="145"/>
      <x:c r="AJ4584"/>
    </x:row>
    <x:row r="4585">
      <x:c r="F4585" s="124"/>
      <x:c r="G4585" s="124"/>
      <x:c r="H4585" s="124"/>
      <x:c r="I4585" s="124"/>
      <x:c r="J4585" s="124"/>
      <x:c r="M4585" s="126"/>
      <x:c r="P4585" s="126"/>
      <x:c r="Q4585" s="126"/>
      <x:c r="R4585" s="126"/>
      <x:c r="S4585" s="124"/>
      <x:c r="T4585" s="124"/>
      <x:c r="U4585" s="124"/>
      <x:c r="V4585" s="124"/>
      <x:c r="W4585" s="124"/>
      <x:c r="X4585" s="124"/>
      <x:c r="AD4585"/>
      <x:c r="AE4585" s="145"/>
      <x:c r="AF4585" s="145"/>
      <x:c r="AG4585" s="145"/>
      <x:c r="AH4585" s="145"/>
      <x:c r="AI4585" s="145"/>
      <x:c r="AJ4585"/>
    </x:row>
    <x:row r="4586">
      <x:c r="F4586" s="124"/>
      <x:c r="G4586" s="124"/>
      <x:c r="H4586" s="124"/>
      <x:c r="I4586" s="124"/>
      <x:c r="J4586" s="124"/>
      <x:c r="M4586" s="126"/>
      <x:c r="P4586" s="126"/>
      <x:c r="Q4586" s="126"/>
      <x:c r="R4586" s="126"/>
      <x:c r="S4586" s="124"/>
      <x:c r="T4586" s="124"/>
      <x:c r="U4586" s="124"/>
      <x:c r="V4586" s="124"/>
      <x:c r="W4586" s="124"/>
      <x:c r="X4586" s="124"/>
      <x:c r="AD4586"/>
      <x:c r="AE4586" s="145"/>
      <x:c r="AF4586" s="145"/>
      <x:c r="AG4586" s="145"/>
      <x:c r="AH4586" s="145"/>
      <x:c r="AI4586" s="145"/>
      <x:c r="AJ4586"/>
    </x:row>
    <x:row r="4587">
      <x:c r="F4587" s="124"/>
      <x:c r="G4587" s="124"/>
      <x:c r="H4587" s="124"/>
      <x:c r="I4587" s="124"/>
      <x:c r="J4587" s="124"/>
      <x:c r="M4587" s="126"/>
      <x:c r="P4587" s="126"/>
      <x:c r="Q4587" s="126"/>
      <x:c r="R4587" s="126"/>
      <x:c r="S4587" s="124"/>
      <x:c r="T4587" s="124"/>
      <x:c r="U4587" s="124"/>
      <x:c r="V4587" s="124"/>
      <x:c r="W4587" s="124"/>
      <x:c r="X4587" s="124"/>
      <x:c r="AD4587"/>
      <x:c r="AE4587" s="145"/>
      <x:c r="AF4587" s="145"/>
      <x:c r="AG4587" s="145"/>
      <x:c r="AH4587" s="145"/>
      <x:c r="AI4587" s="145"/>
      <x:c r="AJ4587"/>
    </x:row>
    <x:row r="4588">
      <x:c r="F4588" s="124"/>
      <x:c r="G4588" s="124"/>
      <x:c r="H4588" s="124"/>
      <x:c r="I4588" s="124"/>
      <x:c r="J4588" s="124"/>
      <x:c r="M4588" s="126"/>
      <x:c r="P4588" s="126"/>
      <x:c r="Q4588" s="126"/>
      <x:c r="R4588" s="126"/>
      <x:c r="S4588" s="124"/>
      <x:c r="T4588" s="124"/>
      <x:c r="U4588" s="124"/>
      <x:c r="V4588" s="124"/>
      <x:c r="W4588" s="124"/>
      <x:c r="X4588" s="124"/>
      <x:c r="AD4588"/>
      <x:c r="AE4588" s="145"/>
      <x:c r="AF4588" s="145"/>
      <x:c r="AG4588" s="145"/>
      <x:c r="AH4588" s="145"/>
      <x:c r="AI4588" s="145"/>
      <x:c r="AJ4588"/>
    </x:row>
    <x:row r="4589">
      <x:c r="F4589" s="124"/>
      <x:c r="G4589" s="124"/>
      <x:c r="H4589" s="124"/>
      <x:c r="I4589" s="124"/>
      <x:c r="J4589" s="124"/>
      <x:c r="M4589" s="126"/>
      <x:c r="P4589" s="126"/>
      <x:c r="Q4589" s="126"/>
      <x:c r="R4589" s="126"/>
      <x:c r="S4589" s="124"/>
      <x:c r="T4589" s="124"/>
      <x:c r="U4589" s="124"/>
      <x:c r="V4589" s="124"/>
      <x:c r="W4589" s="124"/>
      <x:c r="X4589" s="124"/>
      <x:c r="AD4589"/>
      <x:c r="AE4589" s="145"/>
      <x:c r="AF4589" s="145"/>
      <x:c r="AG4589" s="145"/>
      <x:c r="AH4589" s="145"/>
      <x:c r="AI4589" s="145"/>
      <x:c r="AJ4589"/>
    </x:row>
    <x:row r="4590">
      <x:c r="F4590" s="124"/>
      <x:c r="G4590" s="124"/>
      <x:c r="H4590" s="124"/>
      <x:c r="I4590" s="124"/>
      <x:c r="J4590" s="124"/>
      <x:c r="M4590" s="126"/>
      <x:c r="P4590" s="126"/>
      <x:c r="Q4590" s="126"/>
      <x:c r="R4590" s="126"/>
      <x:c r="S4590" s="124"/>
      <x:c r="T4590" s="124"/>
      <x:c r="U4590" s="124"/>
      <x:c r="V4590" s="124"/>
      <x:c r="W4590" s="124"/>
      <x:c r="X4590" s="124"/>
      <x:c r="AD4590"/>
      <x:c r="AE4590" s="145"/>
      <x:c r="AF4590" s="145"/>
      <x:c r="AG4590" s="145"/>
      <x:c r="AH4590" s="145"/>
      <x:c r="AI4590" s="145"/>
      <x:c r="AJ4590"/>
    </x:row>
    <x:row r="4591">
      <x:c r="F4591" s="124"/>
      <x:c r="G4591" s="124"/>
      <x:c r="H4591" s="124"/>
      <x:c r="I4591" s="124"/>
      <x:c r="J4591" s="124"/>
      <x:c r="M4591" s="126"/>
      <x:c r="P4591" s="126"/>
      <x:c r="Q4591" s="126"/>
      <x:c r="R4591" s="126"/>
      <x:c r="S4591" s="124"/>
      <x:c r="T4591" s="124"/>
      <x:c r="U4591" s="124"/>
      <x:c r="V4591" s="124"/>
      <x:c r="W4591" s="124"/>
      <x:c r="X4591" s="124"/>
      <x:c r="AD4591"/>
      <x:c r="AE4591" s="145"/>
      <x:c r="AF4591" s="145"/>
      <x:c r="AG4591" s="145"/>
      <x:c r="AH4591" s="145"/>
      <x:c r="AI4591" s="145"/>
      <x:c r="AJ4591"/>
    </x:row>
    <x:row r="4592">
      <x:c r="F4592" s="124"/>
      <x:c r="G4592" s="124"/>
      <x:c r="H4592" s="124"/>
      <x:c r="I4592" s="124"/>
      <x:c r="J4592" s="124"/>
      <x:c r="M4592" s="126"/>
      <x:c r="P4592" s="126"/>
      <x:c r="Q4592" s="126"/>
      <x:c r="R4592" s="126"/>
      <x:c r="S4592" s="124"/>
      <x:c r="T4592" s="124"/>
      <x:c r="U4592" s="124"/>
      <x:c r="V4592" s="124"/>
      <x:c r="W4592" s="124"/>
      <x:c r="X4592" s="124"/>
      <x:c r="AD4592"/>
      <x:c r="AE4592" s="145"/>
      <x:c r="AF4592" s="145"/>
      <x:c r="AG4592" s="145"/>
      <x:c r="AH4592" s="145"/>
      <x:c r="AI4592" s="145"/>
      <x:c r="AJ4592"/>
    </x:row>
    <x:row r="4593">
      <x:c r="F4593" s="124"/>
      <x:c r="G4593" s="124"/>
      <x:c r="H4593" s="124"/>
      <x:c r="I4593" s="124"/>
      <x:c r="J4593" s="124"/>
      <x:c r="M4593" s="126"/>
      <x:c r="P4593" s="126"/>
      <x:c r="Q4593" s="126"/>
      <x:c r="R4593" s="126"/>
      <x:c r="S4593" s="124"/>
      <x:c r="T4593" s="124"/>
      <x:c r="U4593" s="124"/>
      <x:c r="V4593" s="124"/>
      <x:c r="W4593" s="124"/>
      <x:c r="X4593" s="124"/>
      <x:c r="AD4593"/>
      <x:c r="AE4593" s="145"/>
      <x:c r="AF4593" s="145"/>
      <x:c r="AG4593" s="145"/>
      <x:c r="AH4593" s="145"/>
      <x:c r="AI4593" s="145"/>
      <x:c r="AJ4593"/>
    </x:row>
    <x:row r="4594">
      <x:c r="F4594" s="124"/>
      <x:c r="G4594" s="124"/>
      <x:c r="H4594" s="124"/>
      <x:c r="I4594" s="124"/>
      <x:c r="J4594" s="124"/>
      <x:c r="M4594" s="126"/>
      <x:c r="P4594" s="126"/>
      <x:c r="Q4594" s="126"/>
      <x:c r="R4594" s="126"/>
      <x:c r="S4594" s="124"/>
      <x:c r="T4594" s="124"/>
      <x:c r="U4594" s="124"/>
      <x:c r="V4594" s="124"/>
      <x:c r="W4594" s="124"/>
      <x:c r="X4594" s="124"/>
      <x:c r="AD4594"/>
      <x:c r="AE4594" s="145"/>
      <x:c r="AF4594" s="145"/>
      <x:c r="AG4594" s="145"/>
      <x:c r="AH4594" s="145"/>
      <x:c r="AI4594" s="145"/>
      <x:c r="AJ4594"/>
    </x:row>
    <x:row r="4595">
      <x:c r="F4595" s="124"/>
      <x:c r="G4595" s="124"/>
      <x:c r="H4595" s="124"/>
      <x:c r="I4595" s="124"/>
      <x:c r="J4595" s="124"/>
      <x:c r="M4595" s="126"/>
      <x:c r="P4595" s="126"/>
      <x:c r="Q4595" s="126"/>
      <x:c r="R4595" s="126"/>
      <x:c r="S4595" s="124"/>
      <x:c r="T4595" s="124"/>
      <x:c r="U4595" s="124"/>
      <x:c r="V4595" s="124"/>
      <x:c r="W4595" s="124"/>
      <x:c r="X4595" s="124"/>
      <x:c r="AD4595"/>
      <x:c r="AE4595" s="145"/>
      <x:c r="AF4595" s="145"/>
      <x:c r="AG4595" s="145"/>
      <x:c r="AH4595" s="145"/>
      <x:c r="AI4595" s="145"/>
      <x:c r="AJ4595"/>
    </x:row>
    <x:row r="4596">
      <x:c r="F4596" s="124"/>
      <x:c r="G4596" s="124"/>
      <x:c r="H4596" s="124"/>
      <x:c r="I4596" s="124"/>
      <x:c r="J4596" s="124"/>
      <x:c r="M4596" s="126"/>
      <x:c r="P4596" s="126"/>
      <x:c r="Q4596" s="126"/>
      <x:c r="R4596" s="126"/>
      <x:c r="S4596" s="124"/>
      <x:c r="T4596" s="124"/>
      <x:c r="U4596" s="124"/>
      <x:c r="V4596" s="124"/>
      <x:c r="W4596" s="124"/>
      <x:c r="X4596" s="124"/>
      <x:c r="AD4596"/>
      <x:c r="AE4596" s="145"/>
      <x:c r="AF4596" s="145"/>
      <x:c r="AG4596" s="145"/>
      <x:c r="AH4596" s="145"/>
      <x:c r="AI4596" s="145"/>
      <x:c r="AJ4596"/>
    </x:row>
    <x:row r="4597">
      <x:c r="F4597" s="124"/>
      <x:c r="G4597" s="124"/>
      <x:c r="H4597" s="124"/>
      <x:c r="I4597" s="124"/>
      <x:c r="J4597" s="124"/>
      <x:c r="M4597" s="126"/>
      <x:c r="P4597" s="126"/>
      <x:c r="Q4597" s="126"/>
      <x:c r="R4597" s="126"/>
      <x:c r="S4597" s="124"/>
      <x:c r="T4597" s="124"/>
      <x:c r="U4597" s="124"/>
      <x:c r="V4597" s="124"/>
      <x:c r="W4597" s="124"/>
      <x:c r="X4597" s="124"/>
      <x:c r="AD4597"/>
      <x:c r="AE4597" s="145"/>
      <x:c r="AF4597" s="145"/>
      <x:c r="AG4597" s="145"/>
      <x:c r="AH4597" s="145"/>
      <x:c r="AI4597" s="145"/>
      <x:c r="AJ4597"/>
    </x:row>
    <x:row r="4598">
      <x:c r="F4598" s="124"/>
      <x:c r="G4598" s="124"/>
      <x:c r="H4598" s="124"/>
      <x:c r="I4598" s="124"/>
      <x:c r="J4598" s="124"/>
      <x:c r="M4598" s="126"/>
      <x:c r="P4598" s="126"/>
      <x:c r="Q4598" s="126"/>
      <x:c r="R4598" s="126"/>
      <x:c r="S4598" s="124"/>
      <x:c r="T4598" s="124"/>
      <x:c r="U4598" s="124"/>
      <x:c r="V4598" s="124"/>
      <x:c r="W4598" s="124"/>
      <x:c r="X4598" s="124"/>
      <x:c r="AD4598"/>
      <x:c r="AE4598" s="145"/>
      <x:c r="AF4598" s="145"/>
      <x:c r="AG4598" s="145"/>
      <x:c r="AH4598" s="145"/>
      <x:c r="AI4598" s="145"/>
      <x:c r="AJ4598"/>
    </x:row>
    <x:row r="4599">
      <x:c r="F4599" s="124"/>
      <x:c r="G4599" s="124"/>
      <x:c r="H4599" s="124"/>
      <x:c r="I4599" s="124"/>
      <x:c r="J4599" s="124"/>
      <x:c r="M4599" s="126"/>
      <x:c r="P4599" s="126"/>
      <x:c r="Q4599" s="126"/>
      <x:c r="R4599" s="126"/>
      <x:c r="S4599" s="124"/>
      <x:c r="T4599" s="124"/>
      <x:c r="U4599" s="124"/>
      <x:c r="V4599" s="124"/>
      <x:c r="W4599" s="124"/>
      <x:c r="X4599" s="124"/>
      <x:c r="AD4599"/>
      <x:c r="AE4599" s="145"/>
      <x:c r="AF4599" s="145"/>
      <x:c r="AG4599" s="145"/>
      <x:c r="AH4599" s="145"/>
      <x:c r="AI4599" s="145"/>
      <x:c r="AJ4599"/>
    </x:row>
    <x:row r="4600">
      <x:c r="F4600" s="124"/>
      <x:c r="G4600" s="124"/>
      <x:c r="H4600" s="124"/>
      <x:c r="I4600" s="124"/>
      <x:c r="J4600" s="124"/>
      <x:c r="M4600" s="126"/>
      <x:c r="P4600" s="126"/>
      <x:c r="Q4600" s="126"/>
      <x:c r="R4600" s="126"/>
      <x:c r="S4600" s="124"/>
      <x:c r="T4600" s="124"/>
      <x:c r="U4600" s="124"/>
      <x:c r="V4600" s="124"/>
      <x:c r="W4600" s="124"/>
      <x:c r="X4600" s="124"/>
      <x:c r="AD4600"/>
      <x:c r="AE4600" s="145"/>
      <x:c r="AF4600" s="145"/>
      <x:c r="AG4600" s="145"/>
      <x:c r="AH4600" s="145"/>
      <x:c r="AI4600" s="145"/>
      <x:c r="AJ4600"/>
    </x:row>
    <x:row r="4601">
      <x:c r="F4601" s="124"/>
      <x:c r="G4601" s="124"/>
      <x:c r="H4601" s="124"/>
      <x:c r="I4601" s="124"/>
      <x:c r="J4601" s="124"/>
      <x:c r="M4601" s="126"/>
      <x:c r="P4601" s="126"/>
      <x:c r="Q4601" s="126"/>
      <x:c r="R4601" s="126"/>
      <x:c r="S4601" s="124"/>
      <x:c r="T4601" s="124"/>
      <x:c r="U4601" s="124"/>
      <x:c r="V4601" s="124"/>
      <x:c r="W4601" s="124"/>
      <x:c r="X4601" s="124"/>
      <x:c r="AD4601"/>
      <x:c r="AE4601" s="145"/>
      <x:c r="AF4601" s="145"/>
      <x:c r="AG4601" s="145"/>
      <x:c r="AH4601" s="145"/>
      <x:c r="AI4601" s="145"/>
      <x:c r="AJ4601"/>
    </x:row>
    <x:row r="4602">
      <x:c r="F4602" s="124"/>
      <x:c r="G4602" s="124"/>
      <x:c r="H4602" s="124"/>
      <x:c r="I4602" s="124"/>
      <x:c r="J4602" s="124"/>
      <x:c r="M4602" s="126"/>
      <x:c r="P4602" s="126"/>
      <x:c r="Q4602" s="126"/>
      <x:c r="R4602" s="126"/>
      <x:c r="S4602" s="124"/>
      <x:c r="T4602" s="124"/>
      <x:c r="U4602" s="124"/>
      <x:c r="V4602" s="124"/>
      <x:c r="W4602" s="124"/>
      <x:c r="X4602" s="124"/>
      <x:c r="AD4602"/>
      <x:c r="AE4602" s="145"/>
      <x:c r="AF4602" s="145"/>
      <x:c r="AG4602" s="145"/>
      <x:c r="AH4602" s="145"/>
      <x:c r="AI4602" s="145"/>
      <x:c r="AJ4602"/>
    </x:row>
    <x:row r="4603">
      <x:c r="F4603" s="124"/>
      <x:c r="G4603" s="124"/>
      <x:c r="H4603" s="124"/>
      <x:c r="I4603" s="124"/>
      <x:c r="J4603" s="124"/>
      <x:c r="M4603" s="126"/>
      <x:c r="P4603" s="126"/>
      <x:c r="Q4603" s="126"/>
      <x:c r="R4603" s="126"/>
      <x:c r="S4603" s="124"/>
      <x:c r="T4603" s="124"/>
      <x:c r="U4603" s="124"/>
      <x:c r="V4603" s="124"/>
      <x:c r="W4603" s="124"/>
      <x:c r="X4603" s="124"/>
      <x:c r="AD4603"/>
      <x:c r="AE4603" s="145"/>
      <x:c r="AF4603" s="145"/>
      <x:c r="AG4603" s="145"/>
      <x:c r="AH4603" s="145"/>
      <x:c r="AI4603" s="145"/>
      <x:c r="AJ4603"/>
    </x:row>
    <x:row r="4604">
      <x:c r="F4604" s="124"/>
      <x:c r="G4604" s="124"/>
      <x:c r="H4604" s="124"/>
      <x:c r="I4604" s="124"/>
      <x:c r="J4604" s="124"/>
      <x:c r="M4604" s="126"/>
      <x:c r="P4604" s="126"/>
      <x:c r="Q4604" s="126"/>
      <x:c r="R4604" s="126"/>
      <x:c r="S4604" s="124"/>
      <x:c r="T4604" s="124"/>
      <x:c r="U4604" s="124"/>
      <x:c r="V4604" s="124"/>
      <x:c r="W4604" s="124"/>
      <x:c r="X4604" s="124"/>
      <x:c r="AD4604"/>
      <x:c r="AE4604" s="145"/>
      <x:c r="AF4604" s="145"/>
      <x:c r="AG4604" s="145"/>
      <x:c r="AH4604" s="145"/>
      <x:c r="AI4604" s="145"/>
      <x:c r="AJ4604"/>
    </x:row>
    <x:row r="4605">
      <x:c r="F4605" s="124"/>
      <x:c r="G4605" s="124"/>
      <x:c r="H4605" s="124"/>
      <x:c r="I4605" s="124"/>
      <x:c r="J4605" s="124"/>
      <x:c r="M4605" s="126"/>
      <x:c r="P4605" s="126"/>
      <x:c r="Q4605" s="126"/>
      <x:c r="R4605" s="126"/>
      <x:c r="S4605" s="124"/>
      <x:c r="T4605" s="124"/>
      <x:c r="U4605" s="124"/>
      <x:c r="V4605" s="124"/>
      <x:c r="W4605" s="124"/>
      <x:c r="X4605" s="124"/>
      <x:c r="AD4605"/>
      <x:c r="AE4605" s="145"/>
      <x:c r="AF4605" s="145"/>
      <x:c r="AG4605" s="145"/>
      <x:c r="AH4605" s="145"/>
      <x:c r="AI4605" s="145"/>
      <x:c r="AJ4605"/>
    </x:row>
    <x:row r="4606">
      <x:c r="F4606" s="124"/>
      <x:c r="G4606" s="124"/>
      <x:c r="H4606" s="124"/>
      <x:c r="I4606" s="124"/>
      <x:c r="J4606" s="124"/>
      <x:c r="M4606" s="126"/>
      <x:c r="P4606" s="126"/>
      <x:c r="Q4606" s="126"/>
      <x:c r="R4606" s="126"/>
      <x:c r="S4606" s="124"/>
      <x:c r="T4606" s="124"/>
      <x:c r="U4606" s="124"/>
      <x:c r="V4606" s="124"/>
      <x:c r="W4606" s="124"/>
      <x:c r="X4606" s="124"/>
      <x:c r="AD4606"/>
      <x:c r="AE4606" s="145"/>
      <x:c r="AF4606" s="145"/>
      <x:c r="AG4606" s="145"/>
      <x:c r="AH4606" s="145"/>
      <x:c r="AI4606" s="145"/>
      <x:c r="AJ4606"/>
    </x:row>
    <x:row r="4607">
      <x:c r="F4607" s="124"/>
      <x:c r="G4607" s="124"/>
      <x:c r="H4607" s="124"/>
      <x:c r="I4607" s="124"/>
      <x:c r="J4607" s="124"/>
      <x:c r="M4607" s="126"/>
      <x:c r="P4607" s="126"/>
      <x:c r="Q4607" s="126"/>
      <x:c r="R4607" s="126"/>
      <x:c r="S4607" s="124"/>
      <x:c r="T4607" s="124"/>
      <x:c r="U4607" s="124"/>
      <x:c r="V4607" s="124"/>
      <x:c r="W4607" s="124"/>
      <x:c r="X4607" s="124"/>
      <x:c r="AD4607"/>
      <x:c r="AE4607" s="145"/>
      <x:c r="AF4607" s="145"/>
      <x:c r="AG4607" s="145"/>
      <x:c r="AH4607" s="145"/>
      <x:c r="AI4607" s="145"/>
      <x:c r="AJ4607"/>
    </x:row>
    <x:row r="4608">
      <x:c r="F4608" s="124"/>
      <x:c r="G4608" s="124"/>
      <x:c r="H4608" s="124"/>
      <x:c r="I4608" s="124"/>
      <x:c r="J4608" s="124"/>
      <x:c r="M4608" s="126"/>
      <x:c r="P4608" s="126"/>
      <x:c r="Q4608" s="126"/>
      <x:c r="R4608" s="126"/>
      <x:c r="S4608" s="124"/>
      <x:c r="T4608" s="124"/>
      <x:c r="U4608" s="124"/>
      <x:c r="V4608" s="124"/>
      <x:c r="W4608" s="124"/>
      <x:c r="X4608" s="124"/>
      <x:c r="AD4608"/>
      <x:c r="AE4608" s="145"/>
      <x:c r="AF4608" s="145"/>
      <x:c r="AG4608" s="145"/>
      <x:c r="AH4608" s="145"/>
      <x:c r="AI4608" s="145"/>
      <x:c r="AJ4608"/>
    </x:row>
    <x:row r="4609">
      <x:c r="F4609" s="124"/>
      <x:c r="G4609" s="124"/>
      <x:c r="H4609" s="124"/>
      <x:c r="I4609" s="124"/>
      <x:c r="J4609" s="124"/>
      <x:c r="M4609" s="126"/>
      <x:c r="P4609" s="126"/>
      <x:c r="Q4609" s="126"/>
      <x:c r="R4609" s="126"/>
      <x:c r="S4609" s="124"/>
      <x:c r="T4609" s="124"/>
      <x:c r="U4609" s="124"/>
      <x:c r="V4609" s="124"/>
      <x:c r="W4609" s="124"/>
      <x:c r="X4609" s="124"/>
      <x:c r="AD4609"/>
      <x:c r="AE4609" s="145"/>
      <x:c r="AF4609" s="145"/>
      <x:c r="AG4609" s="145"/>
      <x:c r="AH4609" s="145"/>
      <x:c r="AI4609" s="145"/>
      <x:c r="AJ4609"/>
    </x:row>
    <x:row r="4610">
      <x:c r="F4610" s="124"/>
      <x:c r="G4610" s="124"/>
      <x:c r="H4610" s="124"/>
      <x:c r="I4610" s="124"/>
      <x:c r="J4610" s="124"/>
      <x:c r="M4610" s="126"/>
      <x:c r="P4610" s="126"/>
      <x:c r="Q4610" s="126"/>
      <x:c r="R4610" s="126"/>
      <x:c r="S4610" s="124"/>
      <x:c r="T4610" s="124"/>
      <x:c r="U4610" s="124"/>
      <x:c r="V4610" s="124"/>
      <x:c r="W4610" s="124"/>
      <x:c r="X4610" s="124"/>
      <x:c r="AD4610"/>
      <x:c r="AE4610" s="145"/>
      <x:c r="AF4610" s="145"/>
      <x:c r="AG4610" s="145"/>
      <x:c r="AH4610" s="145"/>
      <x:c r="AI4610" s="145"/>
      <x:c r="AJ4610"/>
    </x:row>
    <x:row r="4611">
      <x:c r="F4611" s="124"/>
      <x:c r="G4611" s="124"/>
      <x:c r="H4611" s="124"/>
      <x:c r="I4611" s="124"/>
      <x:c r="J4611" s="124"/>
      <x:c r="M4611" s="126"/>
      <x:c r="P4611" s="126"/>
      <x:c r="Q4611" s="126"/>
      <x:c r="R4611" s="126"/>
      <x:c r="S4611" s="124"/>
      <x:c r="T4611" s="124"/>
      <x:c r="U4611" s="124"/>
      <x:c r="V4611" s="124"/>
      <x:c r="W4611" s="124"/>
      <x:c r="X4611" s="124"/>
      <x:c r="AD4611"/>
      <x:c r="AE4611" s="145"/>
      <x:c r="AF4611" s="145"/>
      <x:c r="AG4611" s="145"/>
      <x:c r="AH4611" s="145"/>
      <x:c r="AI4611" s="145"/>
      <x:c r="AJ4611"/>
    </x:row>
    <x:row r="4612">
      <x:c r="F4612" s="124"/>
      <x:c r="G4612" s="124"/>
      <x:c r="H4612" s="124"/>
      <x:c r="I4612" s="124"/>
      <x:c r="J4612" s="124"/>
      <x:c r="M4612" s="126"/>
      <x:c r="P4612" s="126"/>
      <x:c r="Q4612" s="126"/>
      <x:c r="R4612" s="126"/>
      <x:c r="S4612" s="124"/>
      <x:c r="T4612" s="124"/>
      <x:c r="U4612" s="124"/>
      <x:c r="V4612" s="124"/>
      <x:c r="W4612" s="124"/>
      <x:c r="X4612" s="124"/>
      <x:c r="AD4612"/>
      <x:c r="AE4612" s="145"/>
      <x:c r="AF4612" s="145"/>
      <x:c r="AG4612" s="145"/>
      <x:c r="AH4612" s="145"/>
      <x:c r="AI4612" s="145"/>
      <x:c r="AJ4612"/>
    </x:row>
    <x:row r="4613">
      <x:c r="F4613" s="124"/>
      <x:c r="G4613" s="124"/>
      <x:c r="H4613" s="124"/>
      <x:c r="I4613" s="124"/>
      <x:c r="J4613" s="124"/>
      <x:c r="M4613" s="126"/>
      <x:c r="P4613" s="126"/>
      <x:c r="Q4613" s="126"/>
      <x:c r="R4613" s="126"/>
      <x:c r="S4613" s="124"/>
      <x:c r="T4613" s="124"/>
      <x:c r="U4613" s="124"/>
      <x:c r="V4613" s="124"/>
      <x:c r="W4613" s="124"/>
      <x:c r="X4613" s="124"/>
      <x:c r="AD4613"/>
      <x:c r="AE4613" s="145"/>
      <x:c r="AF4613" s="145"/>
      <x:c r="AG4613" s="145"/>
      <x:c r="AH4613" s="145"/>
      <x:c r="AI4613" s="145"/>
      <x:c r="AJ4613"/>
    </x:row>
    <x:row r="4614">
      <x:c r="F4614" s="124"/>
      <x:c r="G4614" s="124"/>
      <x:c r="H4614" s="124"/>
      <x:c r="I4614" s="124"/>
      <x:c r="J4614" s="124"/>
      <x:c r="M4614" s="126"/>
      <x:c r="P4614" s="126"/>
      <x:c r="Q4614" s="126"/>
      <x:c r="R4614" s="126"/>
      <x:c r="S4614" s="124"/>
      <x:c r="T4614" s="124"/>
      <x:c r="U4614" s="124"/>
      <x:c r="V4614" s="124"/>
      <x:c r="W4614" s="124"/>
      <x:c r="X4614" s="124"/>
      <x:c r="AD4614"/>
      <x:c r="AE4614" s="145"/>
      <x:c r="AF4614" s="145"/>
      <x:c r="AG4614" s="145"/>
      <x:c r="AH4614" s="145"/>
      <x:c r="AI4614" s="145"/>
      <x:c r="AJ4614"/>
    </x:row>
    <x:row r="4615">
      <x:c r="F4615" s="124"/>
      <x:c r="G4615" s="124"/>
      <x:c r="H4615" s="124"/>
      <x:c r="I4615" s="124"/>
      <x:c r="J4615" s="124"/>
      <x:c r="M4615" s="126"/>
      <x:c r="P4615" s="126"/>
      <x:c r="Q4615" s="126"/>
      <x:c r="R4615" s="126"/>
      <x:c r="S4615" s="124"/>
      <x:c r="T4615" s="124"/>
      <x:c r="U4615" s="124"/>
      <x:c r="V4615" s="124"/>
      <x:c r="W4615" s="124"/>
      <x:c r="X4615" s="124"/>
      <x:c r="AD4615"/>
      <x:c r="AE4615" s="145"/>
      <x:c r="AF4615" s="145"/>
      <x:c r="AG4615" s="145"/>
      <x:c r="AH4615" s="145"/>
      <x:c r="AI4615" s="145"/>
      <x:c r="AJ4615"/>
    </x:row>
    <x:row r="4616">
      <x:c r="F4616" s="124"/>
      <x:c r="G4616" s="124"/>
      <x:c r="H4616" s="124"/>
      <x:c r="I4616" s="124"/>
      <x:c r="J4616" s="124"/>
      <x:c r="M4616" s="126"/>
      <x:c r="P4616" s="126"/>
      <x:c r="Q4616" s="126"/>
      <x:c r="R4616" s="126"/>
      <x:c r="S4616" s="124"/>
      <x:c r="T4616" s="124"/>
      <x:c r="U4616" s="124"/>
      <x:c r="V4616" s="124"/>
      <x:c r="W4616" s="124"/>
      <x:c r="X4616" s="124"/>
      <x:c r="AD4616"/>
      <x:c r="AE4616" s="145"/>
      <x:c r="AF4616" s="145"/>
      <x:c r="AG4616" s="145"/>
      <x:c r="AH4616" s="145"/>
      <x:c r="AI4616" s="145"/>
      <x:c r="AJ4616"/>
    </x:row>
    <x:row r="4617">
      <x:c r="F4617" s="124"/>
      <x:c r="G4617" s="124"/>
      <x:c r="H4617" s="124"/>
      <x:c r="I4617" s="124"/>
      <x:c r="J4617" s="124"/>
      <x:c r="M4617" s="126"/>
      <x:c r="P4617" s="126"/>
      <x:c r="Q4617" s="126"/>
      <x:c r="R4617" s="126"/>
      <x:c r="S4617" s="124"/>
      <x:c r="T4617" s="124"/>
      <x:c r="U4617" s="124"/>
      <x:c r="V4617" s="124"/>
      <x:c r="W4617" s="124"/>
      <x:c r="X4617" s="124"/>
      <x:c r="AD4617"/>
      <x:c r="AE4617" s="145"/>
      <x:c r="AF4617" s="145"/>
      <x:c r="AG4617" s="145"/>
      <x:c r="AH4617" s="145"/>
      <x:c r="AI4617" s="145"/>
      <x:c r="AJ4617"/>
    </x:row>
    <x:row r="4618">
      <x:c r="F4618" s="124"/>
      <x:c r="G4618" s="124"/>
      <x:c r="H4618" s="124"/>
      <x:c r="I4618" s="124"/>
      <x:c r="J4618" s="124"/>
      <x:c r="M4618" s="126"/>
      <x:c r="P4618" s="126"/>
      <x:c r="Q4618" s="126"/>
      <x:c r="R4618" s="126"/>
      <x:c r="S4618" s="124"/>
      <x:c r="T4618" s="124"/>
      <x:c r="U4618" s="124"/>
      <x:c r="V4618" s="124"/>
      <x:c r="W4618" s="124"/>
      <x:c r="X4618" s="124"/>
      <x:c r="AD4618"/>
      <x:c r="AE4618" s="145"/>
      <x:c r="AF4618" s="145"/>
      <x:c r="AG4618" s="145"/>
      <x:c r="AH4618" s="145"/>
      <x:c r="AI4618" s="145"/>
      <x:c r="AJ4618"/>
    </x:row>
    <x:row r="4619">
      <x:c r="F4619" s="124"/>
      <x:c r="G4619" s="124"/>
      <x:c r="H4619" s="124"/>
      <x:c r="I4619" s="124"/>
      <x:c r="J4619" s="124"/>
      <x:c r="M4619" s="126"/>
      <x:c r="P4619" s="126"/>
      <x:c r="Q4619" s="126"/>
      <x:c r="R4619" s="126"/>
      <x:c r="S4619" s="124"/>
      <x:c r="T4619" s="124"/>
      <x:c r="U4619" s="124"/>
      <x:c r="V4619" s="124"/>
      <x:c r="W4619" s="124"/>
      <x:c r="X4619" s="124"/>
      <x:c r="AD4619"/>
      <x:c r="AE4619" s="145"/>
      <x:c r="AF4619" s="145"/>
      <x:c r="AG4619" s="145"/>
      <x:c r="AH4619" s="145"/>
      <x:c r="AI4619" s="145"/>
      <x:c r="AJ4619"/>
    </x:row>
    <x:row r="4620">
      <x:c r="F4620" s="124"/>
      <x:c r="G4620" s="124"/>
      <x:c r="H4620" s="124"/>
      <x:c r="I4620" s="124"/>
      <x:c r="J4620" s="124"/>
      <x:c r="M4620" s="126"/>
      <x:c r="P4620" s="126"/>
      <x:c r="Q4620" s="126"/>
      <x:c r="R4620" s="126"/>
      <x:c r="S4620" s="124"/>
      <x:c r="T4620" s="124"/>
      <x:c r="U4620" s="124"/>
      <x:c r="V4620" s="124"/>
      <x:c r="W4620" s="124"/>
      <x:c r="X4620" s="124"/>
      <x:c r="AD4620"/>
      <x:c r="AE4620" s="145"/>
      <x:c r="AF4620" s="145"/>
      <x:c r="AG4620" s="145"/>
      <x:c r="AH4620" s="145"/>
      <x:c r="AI4620" s="145"/>
      <x:c r="AJ4620"/>
    </x:row>
    <x:row r="4621">
      <x:c r="F4621" s="124"/>
      <x:c r="G4621" s="124"/>
      <x:c r="H4621" s="124"/>
      <x:c r="I4621" s="124"/>
      <x:c r="J4621" s="124"/>
      <x:c r="M4621" s="126"/>
      <x:c r="P4621" s="126"/>
      <x:c r="Q4621" s="126"/>
      <x:c r="R4621" s="126"/>
      <x:c r="S4621" s="124"/>
      <x:c r="T4621" s="124"/>
      <x:c r="U4621" s="124"/>
      <x:c r="V4621" s="124"/>
      <x:c r="W4621" s="124"/>
      <x:c r="X4621" s="124"/>
      <x:c r="AD4621"/>
      <x:c r="AE4621" s="145"/>
      <x:c r="AF4621" s="145"/>
      <x:c r="AG4621" s="145"/>
      <x:c r="AH4621" s="145"/>
      <x:c r="AI4621" s="145"/>
      <x:c r="AJ4621"/>
    </x:row>
    <x:row r="4622">
      <x:c r="F4622" s="124"/>
      <x:c r="G4622" s="124"/>
      <x:c r="H4622" s="124"/>
      <x:c r="I4622" s="124"/>
      <x:c r="J4622" s="124"/>
      <x:c r="M4622" s="126"/>
      <x:c r="P4622" s="126"/>
      <x:c r="Q4622" s="126"/>
      <x:c r="R4622" s="126"/>
      <x:c r="S4622" s="124"/>
      <x:c r="T4622" s="124"/>
      <x:c r="U4622" s="124"/>
      <x:c r="V4622" s="124"/>
      <x:c r="W4622" s="124"/>
      <x:c r="X4622" s="124"/>
      <x:c r="AD4622"/>
      <x:c r="AE4622" s="145"/>
      <x:c r="AF4622" s="145"/>
      <x:c r="AG4622" s="145"/>
      <x:c r="AH4622" s="145"/>
      <x:c r="AI4622" s="145"/>
      <x:c r="AJ4622"/>
    </x:row>
    <x:row r="4623">
      <x:c r="F4623" s="124"/>
      <x:c r="G4623" s="124"/>
      <x:c r="H4623" s="124"/>
      <x:c r="I4623" s="124"/>
      <x:c r="J4623" s="124"/>
      <x:c r="M4623" s="126"/>
      <x:c r="P4623" s="126"/>
      <x:c r="Q4623" s="126"/>
      <x:c r="R4623" s="126"/>
      <x:c r="S4623" s="124"/>
      <x:c r="T4623" s="124"/>
      <x:c r="U4623" s="124"/>
      <x:c r="V4623" s="124"/>
      <x:c r="W4623" s="124"/>
      <x:c r="X4623" s="124"/>
      <x:c r="AD4623"/>
      <x:c r="AE4623" s="145"/>
      <x:c r="AF4623" s="145"/>
      <x:c r="AG4623" s="145"/>
      <x:c r="AH4623" s="145"/>
      <x:c r="AI4623" s="145"/>
      <x:c r="AJ4623"/>
    </x:row>
    <x:row r="4624">
      <x:c r="F4624" s="124"/>
      <x:c r="G4624" s="124"/>
      <x:c r="H4624" s="124"/>
      <x:c r="I4624" s="124"/>
      <x:c r="J4624" s="124"/>
      <x:c r="M4624" s="126"/>
      <x:c r="P4624" s="126"/>
      <x:c r="Q4624" s="126"/>
      <x:c r="R4624" s="126"/>
      <x:c r="S4624" s="124"/>
      <x:c r="T4624" s="124"/>
      <x:c r="U4624" s="124"/>
      <x:c r="V4624" s="124"/>
      <x:c r="W4624" s="124"/>
      <x:c r="X4624" s="124"/>
      <x:c r="AD4624"/>
      <x:c r="AE4624" s="145"/>
      <x:c r="AF4624" s="145"/>
      <x:c r="AG4624" s="145"/>
      <x:c r="AH4624" s="145"/>
      <x:c r="AI4624" s="145"/>
      <x:c r="AJ4624"/>
    </x:row>
    <x:row r="4625">
      <x:c r="F4625" s="124"/>
      <x:c r="G4625" s="124"/>
      <x:c r="H4625" s="124"/>
      <x:c r="I4625" s="124"/>
      <x:c r="J4625" s="124"/>
      <x:c r="M4625" s="126"/>
      <x:c r="P4625" s="126"/>
      <x:c r="Q4625" s="126"/>
      <x:c r="R4625" s="126"/>
      <x:c r="S4625" s="124"/>
      <x:c r="T4625" s="124"/>
      <x:c r="U4625" s="124"/>
      <x:c r="V4625" s="124"/>
      <x:c r="W4625" s="124"/>
      <x:c r="X4625" s="124"/>
      <x:c r="AD4625"/>
      <x:c r="AE4625" s="145"/>
      <x:c r="AF4625" s="145"/>
      <x:c r="AG4625" s="145"/>
      <x:c r="AH4625" s="145"/>
      <x:c r="AI4625" s="145"/>
      <x:c r="AJ4625"/>
    </x:row>
    <x:row r="4626">
      <x:c r="F4626" s="124"/>
      <x:c r="G4626" s="124"/>
      <x:c r="H4626" s="124"/>
      <x:c r="I4626" s="124"/>
      <x:c r="J4626" s="124"/>
      <x:c r="M4626" s="126"/>
      <x:c r="P4626" s="126"/>
      <x:c r="Q4626" s="126"/>
      <x:c r="R4626" s="126"/>
      <x:c r="S4626" s="124"/>
      <x:c r="T4626" s="124"/>
      <x:c r="U4626" s="124"/>
      <x:c r="V4626" s="124"/>
      <x:c r="W4626" s="124"/>
      <x:c r="X4626" s="124"/>
      <x:c r="AD4626"/>
      <x:c r="AE4626" s="145"/>
      <x:c r="AF4626" s="145"/>
      <x:c r="AG4626" s="145"/>
      <x:c r="AH4626" s="145"/>
      <x:c r="AI4626" s="145"/>
      <x:c r="AJ4626"/>
    </x:row>
    <x:row r="4627">
      <x:c r="F4627" s="124"/>
      <x:c r="G4627" s="124"/>
      <x:c r="H4627" s="124"/>
      <x:c r="I4627" s="124"/>
      <x:c r="J4627" s="124"/>
      <x:c r="M4627" s="126"/>
      <x:c r="P4627" s="126"/>
      <x:c r="Q4627" s="126"/>
      <x:c r="R4627" s="126"/>
      <x:c r="S4627" s="124"/>
      <x:c r="T4627" s="124"/>
      <x:c r="U4627" s="124"/>
      <x:c r="V4627" s="124"/>
      <x:c r="W4627" s="124"/>
      <x:c r="X4627" s="124"/>
      <x:c r="AD4627"/>
      <x:c r="AE4627" s="145"/>
      <x:c r="AF4627" s="145"/>
      <x:c r="AG4627" s="145"/>
      <x:c r="AH4627" s="145"/>
      <x:c r="AI4627" s="145"/>
      <x:c r="AJ4627"/>
    </x:row>
    <x:row r="4628">
      <x:c r="F4628" s="124"/>
      <x:c r="G4628" s="124"/>
      <x:c r="H4628" s="124"/>
      <x:c r="I4628" s="124"/>
      <x:c r="J4628" s="124"/>
      <x:c r="M4628" s="126"/>
      <x:c r="P4628" s="126"/>
      <x:c r="Q4628" s="126"/>
      <x:c r="R4628" s="126"/>
      <x:c r="S4628" s="124"/>
      <x:c r="T4628" s="124"/>
      <x:c r="U4628" s="124"/>
      <x:c r="V4628" s="124"/>
      <x:c r="W4628" s="124"/>
      <x:c r="X4628" s="124"/>
      <x:c r="AD4628"/>
      <x:c r="AE4628" s="145"/>
      <x:c r="AF4628" s="145"/>
      <x:c r="AG4628" s="145"/>
      <x:c r="AH4628" s="145"/>
      <x:c r="AI4628" s="145"/>
      <x:c r="AJ4628"/>
    </x:row>
    <x:row r="4629">
      <x:c r="F4629" s="124"/>
      <x:c r="G4629" s="124"/>
      <x:c r="H4629" s="124"/>
      <x:c r="I4629" s="124"/>
      <x:c r="J4629" s="124"/>
      <x:c r="M4629" s="126"/>
      <x:c r="P4629" s="126"/>
      <x:c r="Q4629" s="126"/>
      <x:c r="R4629" s="126"/>
      <x:c r="S4629" s="124"/>
      <x:c r="T4629" s="124"/>
      <x:c r="U4629" s="124"/>
      <x:c r="V4629" s="124"/>
      <x:c r="W4629" s="124"/>
      <x:c r="X4629" s="124"/>
      <x:c r="AD4629"/>
      <x:c r="AE4629" s="145"/>
      <x:c r="AF4629" s="145"/>
      <x:c r="AG4629" s="145"/>
      <x:c r="AH4629" s="145"/>
      <x:c r="AI4629" s="145"/>
      <x:c r="AJ4629"/>
    </x:row>
    <x:row r="4630">
      <x:c r="F4630" s="124"/>
      <x:c r="G4630" s="124"/>
      <x:c r="H4630" s="124"/>
      <x:c r="I4630" s="124"/>
      <x:c r="J4630" s="124"/>
      <x:c r="M4630" s="126"/>
      <x:c r="P4630" s="126"/>
      <x:c r="Q4630" s="126"/>
      <x:c r="R4630" s="126"/>
      <x:c r="S4630" s="124"/>
      <x:c r="T4630" s="124"/>
      <x:c r="U4630" s="124"/>
      <x:c r="V4630" s="124"/>
      <x:c r="W4630" s="124"/>
      <x:c r="X4630" s="124"/>
      <x:c r="AD4630"/>
      <x:c r="AE4630" s="145"/>
      <x:c r="AF4630" s="145"/>
      <x:c r="AG4630" s="145"/>
      <x:c r="AH4630" s="145"/>
      <x:c r="AI4630" s="145"/>
      <x:c r="AJ4630"/>
    </x:row>
    <x:row r="4631">
      <x:c r="F4631" s="124"/>
      <x:c r="G4631" s="124"/>
      <x:c r="H4631" s="124"/>
      <x:c r="I4631" s="124"/>
      <x:c r="J4631" s="124"/>
      <x:c r="M4631" s="126"/>
      <x:c r="P4631" s="126"/>
      <x:c r="Q4631" s="126"/>
      <x:c r="R4631" s="126"/>
      <x:c r="S4631" s="124"/>
      <x:c r="T4631" s="124"/>
      <x:c r="U4631" s="124"/>
      <x:c r="V4631" s="124"/>
      <x:c r="W4631" s="124"/>
      <x:c r="X4631" s="124"/>
      <x:c r="AD4631"/>
      <x:c r="AE4631" s="145"/>
      <x:c r="AF4631" s="145"/>
      <x:c r="AG4631" s="145"/>
      <x:c r="AH4631" s="145"/>
      <x:c r="AI4631" s="145"/>
      <x:c r="AJ4631"/>
    </x:row>
    <x:row r="4632">
      <x:c r="F4632" s="124"/>
      <x:c r="G4632" s="124"/>
      <x:c r="H4632" s="124"/>
      <x:c r="I4632" s="124"/>
      <x:c r="J4632" s="124"/>
      <x:c r="M4632" s="126"/>
      <x:c r="P4632" s="126"/>
      <x:c r="Q4632" s="126"/>
      <x:c r="R4632" s="126"/>
      <x:c r="S4632" s="124"/>
      <x:c r="T4632" s="124"/>
      <x:c r="U4632" s="124"/>
      <x:c r="V4632" s="124"/>
      <x:c r="W4632" s="124"/>
      <x:c r="X4632" s="124"/>
      <x:c r="AD4632"/>
      <x:c r="AE4632" s="145"/>
      <x:c r="AF4632" s="145"/>
      <x:c r="AG4632" s="145"/>
      <x:c r="AH4632" s="145"/>
      <x:c r="AI4632" s="145"/>
      <x:c r="AJ4632"/>
    </x:row>
    <x:row r="4633">
      <x:c r="F4633" s="124"/>
      <x:c r="G4633" s="124"/>
      <x:c r="H4633" s="124"/>
      <x:c r="I4633" s="124"/>
      <x:c r="J4633" s="124"/>
      <x:c r="M4633" s="126"/>
      <x:c r="P4633" s="126"/>
      <x:c r="Q4633" s="126"/>
      <x:c r="R4633" s="126"/>
      <x:c r="S4633" s="124"/>
      <x:c r="T4633" s="124"/>
      <x:c r="U4633" s="124"/>
      <x:c r="V4633" s="124"/>
      <x:c r="W4633" s="124"/>
      <x:c r="X4633" s="124"/>
      <x:c r="AD4633"/>
      <x:c r="AE4633" s="145"/>
      <x:c r="AF4633" s="145"/>
      <x:c r="AG4633" s="145"/>
      <x:c r="AH4633" s="145"/>
      <x:c r="AI4633" s="145"/>
      <x:c r="AJ4633"/>
    </x:row>
    <x:row r="4634">
      <x:c r="F4634" s="124"/>
      <x:c r="G4634" s="124"/>
      <x:c r="H4634" s="124"/>
      <x:c r="I4634" s="124"/>
      <x:c r="J4634" s="124"/>
      <x:c r="M4634" s="126"/>
      <x:c r="P4634" s="126"/>
      <x:c r="Q4634" s="126"/>
      <x:c r="R4634" s="126"/>
      <x:c r="S4634" s="124"/>
      <x:c r="T4634" s="124"/>
      <x:c r="U4634" s="124"/>
      <x:c r="V4634" s="124"/>
      <x:c r="W4634" s="124"/>
      <x:c r="X4634" s="124"/>
      <x:c r="AD4634"/>
      <x:c r="AE4634" s="145"/>
      <x:c r="AF4634" s="145"/>
      <x:c r="AG4634" s="145"/>
      <x:c r="AH4634" s="145"/>
      <x:c r="AI4634" s="145"/>
      <x:c r="AJ4634"/>
    </x:row>
    <x:row r="4635">
      <x:c r="F4635" s="124"/>
      <x:c r="G4635" s="124"/>
      <x:c r="H4635" s="124"/>
      <x:c r="I4635" s="124"/>
      <x:c r="J4635" s="124"/>
      <x:c r="M4635" s="126"/>
      <x:c r="P4635" s="126"/>
      <x:c r="Q4635" s="126"/>
      <x:c r="R4635" s="126"/>
      <x:c r="S4635" s="124"/>
      <x:c r="T4635" s="124"/>
      <x:c r="U4635" s="124"/>
      <x:c r="V4635" s="124"/>
      <x:c r="W4635" s="124"/>
      <x:c r="X4635" s="124"/>
      <x:c r="AD4635"/>
      <x:c r="AE4635" s="145"/>
      <x:c r="AF4635" s="145"/>
      <x:c r="AG4635" s="145"/>
      <x:c r="AH4635" s="145"/>
      <x:c r="AI4635" s="145"/>
      <x:c r="AJ4635"/>
    </x:row>
    <x:row r="4636">
      <x:c r="F4636" s="124"/>
      <x:c r="G4636" s="124"/>
      <x:c r="H4636" s="124"/>
      <x:c r="I4636" s="124"/>
      <x:c r="J4636" s="124"/>
      <x:c r="M4636" s="126"/>
      <x:c r="P4636" s="126"/>
      <x:c r="Q4636" s="126"/>
      <x:c r="R4636" s="126"/>
      <x:c r="S4636" s="124"/>
      <x:c r="T4636" s="124"/>
      <x:c r="U4636" s="124"/>
      <x:c r="V4636" s="124"/>
      <x:c r="W4636" s="124"/>
      <x:c r="X4636" s="124"/>
      <x:c r="AD4636"/>
      <x:c r="AE4636" s="145"/>
      <x:c r="AF4636" s="145"/>
      <x:c r="AG4636" s="145"/>
      <x:c r="AH4636" s="145"/>
      <x:c r="AI4636" s="145"/>
      <x:c r="AJ4636"/>
    </x:row>
    <x:row r="4637">
      <x:c r="F4637" s="124"/>
      <x:c r="G4637" s="124"/>
      <x:c r="H4637" s="124"/>
      <x:c r="I4637" s="124"/>
      <x:c r="J4637" s="124"/>
      <x:c r="M4637" s="126"/>
      <x:c r="P4637" s="126"/>
      <x:c r="Q4637" s="126"/>
      <x:c r="R4637" s="126"/>
      <x:c r="S4637" s="124"/>
      <x:c r="T4637" s="124"/>
      <x:c r="U4637" s="124"/>
      <x:c r="V4637" s="124"/>
      <x:c r="W4637" s="124"/>
      <x:c r="X4637" s="124"/>
      <x:c r="AD4637"/>
      <x:c r="AE4637" s="145"/>
      <x:c r="AF4637" s="145"/>
      <x:c r="AG4637" s="145"/>
      <x:c r="AH4637" s="145"/>
      <x:c r="AI4637" s="145"/>
      <x:c r="AJ4637"/>
    </x:row>
    <x:row r="4638">
      <x:c r="F4638" s="124"/>
      <x:c r="G4638" s="124"/>
      <x:c r="H4638" s="124"/>
      <x:c r="I4638" s="124"/>
      <x:c r="J4638" s="124"/>
      <x:c r="M4638" s="126"/>
      <x:c r="P4638" s="126"/>
      <x:c r="Q4638" s="126"/>
      <x:c r="R4638" s="126"/>
      <x:c r="S4638" s="124"/>
      <x:c r="T4638" s="124"/>
      <x:c r="U4638" s="124"/>
      <x:c r="V4638" s="124"/>
      <x:c r="W4638" s="124"/>
      <x:c r="X4638" s="124"/>
      <x:c r="AD4638"/>
      <x:c r="AE4638" s="145"/>
      <x:c r="AF4638" s="145"/>
      <x:c r="AG4638" s="145"/>
      <x:c r="AH4638" s="145"/>
      <x:c r="AI4638" s="145"/>
      <x:c r="AJ4638"/>
    </x:row>
    <x:row r="4639">
      <x:c r="F4639" s="124"/>
      <x:c r="G4639" s="124"/>
      <x:c r="H4639" s="124"/>
      <x:c r="I4639" s="124"/>
      <x:c r="J4639" s="124"/>
      <x:c r="M4639" s="126"/>
      <x:c r="P4639" s="126"/>
      <x:c r="Q4639" s="126"/>
      <x:c r="R4639" s="126"/>
      <x:c r="S4639" s="124"/>
      <x:c r="T4639" s="124"/>
      <x:c r="U4639" s="124"/>
      <x:c r="V4639" s="124"/>
      <x:c r="W4639" s="124"/>
      <x:c r="X4639" s="124"/>
      <x:c r="AD4639"/>
      <x:c r="AE4639" s="145"/>
      <x:c r="AF4639" s="145"/>
      <x:c r="AG4639" s="145"/>
      <x:c r="AH4639" s="145"/>
      <x:c r="AI4639" s="145"/>
      <x:c r="AJ4639"/>
    </x:row>
    <x:row r="4640">
      <x:c r="F4640" s="124"/>
      <x:c r="G4640" s="124"/>
      <x:c r="H4640" s="124"/>
      <x:c r="I4640" s="124"/>
      <x:c r="J4640" s="124"/>
      <x:c r="M4640" s="126"/>
      <x:c r="P4640" s="126"/>
      <x:c r="Q4640" s="126"/>
      <x:c r="R4640" s="126"/>
      <x:c r="S4640" s="124"/>
      <x:c r="T4640" s="124"/>
      <x:c r="U4640" s="124"/>
      <x:c r="V4640" s="124"/>
      <x:c r="W4640" s="124"/>
      <x:c r="X4640" s="124"/>
      <x:c r="AD4640"/>
      <x:c r="AE4640" s="145"/>
      <x:c r="AF4640" s="145"/>
      <x:c r="AG4640" s="145"/>
      <x:c r="AH4640" s="145"/>
      <x:c r="AI4640" s="145"/>
      <x:c r="AJ4640"/>
    </x:row>
    <x:row r="4641">
      <x:c r="F4641" s="124"/>
      <x:c r="G4641" s="124"/>
      <x:c r="H4641" s="124"/>
      <x:c r="I4641" s="124"/>
      <x:c r="J4641" s="124"/>
      <x:c r="M4641" s="126"/>
      <x:c r="P4641" s="126"/>
      <x:c r="Q4641" s="126"/>
      <x:c r="R4641" s="126"/>
      <x:c r="S4641" s="124"/>
      <x:c r="T4641" s="124"/>
      <x:c r="U4641" s="124"/>
      <x:c r="V4641" s="124"/>
      <x:c r="W4641" s="124"/>
      <x:c r="X4641" s="124"/>
      <x:c r="AD4641"/>
      <x:c r="AE4641" s="145"/>
      <x:c r="AF4641" s="145"/>
      <x:c r="AG4641" s="145"/>
      <x:c r="AH4641" s="145"/>
      <x:c r="AI4641" s="145"/>
      <x:c r="AJ4641"/>
    </x:row>
    <x:row r="4642">
      <x:c r="F4642" s="124"/>
      <x:c r="G4642" s="124"/>
      <x:c r="H4642" s="124"/>
      <x:c r="I4642" s="124"/>
      <x:c r="J4642" s="124"/>
      <x:c r="M4642" s="126"/>
      <x:c r="P4642" s="126"/>
      <x:c r="Q4642" s="126"/>
      <x:c r="R4642" s="126"/>
      <x:c r="S4642" s="124"/>
      <x:c r="T4642" s="124"/>
      <x:c r="U4642" s="124"/>
      <x:c r="V4642" s="124"/>
      <x:c r="W4642" s="124"/>
      <x:c r="X4642" s="124"/>
      <x:c r="AD4642"/>
      <x:c r="AE4642" s="145"/>
      <x:c r="AF4642" s="145"/>
      <x:c r="AG4642" s="145"/>
      <x:c r="AH4642" s="145"/>
      <x:c r="AI4642" s="145"/>
      <x:c r="AJ4642"/>
    </x:row>
    <x:row r="4643">
      <x:c r="F4643" s="124"/>
      <x:c r="G4643" s="124"/>
      <x:c r="H4643" s="124"/>
      <x:c r="I4643" s="124"/>
      <x:c r="J4643" s="124"/>
      <x:c r="M4643" s="126"/>
      <x:c r="P4643" s="126"/>
      <x:c r="Q4643" s="126"/>
      <x:c r="R4643" s="126"/>
      <x:c r="S4643" s="124"/>
      <x:c r="T4643" s="124"/>
      <x:c r="U4643" s="124"/>
      <x:c r="V4643" s="124"/>
      <x:c r="W4643" s="124"/>
      <x:c r="X4643" s="124"/>
      <x:c r="AD4643"/>
      <x:c r="AE4643" s="145"/>
      <x:c r="AF4643" s="145"/>
      <x:c r="AG4643" s="145"/>
      <x:c r="AH4643" s="145"/>
      <x:c r="AI4643" s="145"/>
      <x:c r="AJ4643"/>
    </x:row>
    <x:row r="4644">
      <x:c r="F4644" s="124"/>
      <x:c r="G4644" s="124"/>
      <x:c r="H4644" s="124"/>
      <x:c r="I4644" s="124"/>
      <x:c r="J4644" s="124"/>
      <x:c r="M4644" s="126"/>
      <x:c r="P4644" s="126"/>
      <x:c r="Q4644" s="126"/>
      <x:c r="R4644" s="126"/>
      <x:c r="S4644" s="124"/>
      <x:c r="T4644" s="124"/>
      <x:c r="U4644" s="124"/>
      <x:c r="V4644" s="124"/>
      <x:c r="W4644" s="124"/>
      <x:c r="X4644" s="124"/>
      <x:c r="AD4644"/>
      <x:c r="AE4644" s="145"/>
      <x:c r="AF4644" s="145"/>
      <x:c r="AG4644" s="145"/>
      <x:c r="AH4644" s="145"/>
      <x:c r="AI4644" s="145"/>
      <x:c r="AJ4644"/>
    </x:row>
    <x:row r="4645">
      <x:c r="F4645" s="124"/>
      <x:c r="G4645" s="124"/>
      <x:c r="H4645" s="124"/>
      <x:c r="I4645" s="124"/>
      <x:c r="J4645" s="124"/>
      <x:c r="M4645" s="126"/>
      <x:c r="P4645" s="126"/>
      <x:c r="Q4645" s="126"/>
      <x:c r="R4645" s="126"/>
      <x:c r="S4645" s="124"/>
      <x:c r="T4645" s="124"/>
      <x:c r="U4645" s="124"/>
      <x:c r="V4645" s="124"/>
      <x:c r="W4645" s="124"/>
      <x:c r="X4645" s="124"/>
      <x:c r="AD4645"/>
      <x:c r="AE4645" s="145"/>
      <x:c r="AF4645" s="145"/>
      <x:c r="AG4645" s="145"/>
      <x:c r="AH4645" s="145"/>
      <x:c r="AI4645" s="145"/>
      <x:c r="AJ4645"/>
    </x:row>
    <x:row r="4646">
      <x:c r="F4646" s="124"/>
      <x:c r="G4646" s="124"/>
      <x:c r="H4646" s="124"/>
      <x:c r="I4646" s="124"/>
      <x:c r="J4646" s="124"/>
      <x:c r="M4646" s="126"/>
      <x:c r="P4646" s="126"/>
      <x:c r="Q4646" s="126"/>
      <x:c r="R4646" s="126"/>
      <x:c r="S4646" s="124"/>
      <x:c r="T4646" s="124"/>
      <x:c r="U4646" s="124"/>
      <x:c r="V4646" s="124"/>
      <x:c r="W4646" s="124"/>
      <x:c r="X4646" s="124"/>
      <x:c r="AD4646"/>
      <x:c r="AE4646" s="145"/>
      <x:c r="AF4646" s="145"/>
      <x:c r="AG4646" s="145"/>
      <x:c r="AH4646" s="145"/>
      <x:c r="AI4646" s="145"/>
      <x:c r="AJ4646"/>
    </x:row>
    <x:row r="4647">
      <x:c r="F4647" s="124"/>
      <x:c r="G4647" s="124"/>
      <x:c r="H4647" s="124"/>
      <x:c r="I4647" s="124"/>
      <x:c r="J4647" s="124"/>
      <x:c r="M4647" s="126"/>
      <x:c r="P4647" s="126"/>
      <x:c r="Q4647" s="126"/>
      <x:c r="R4647" s="126"/>
      <x:c r="S4647" s="124"/>
      <x:c r="T4647" s="124"/>
      <x:c r="U4647" s="124"/>
      <x:c r="V4647" s="124"/>
      <x:c r="W4647" s="124"/>
      <x:c r="X4647" s="124"/>
      <x:c r="AD4647"/>
      <x:c r="AE4647" s="145"/>
      <x:c r="AF4647" s="145"/>
      <x:c r="AG4647" s="145"/>
      <x:c r="AH4647" s="145"/>
      <x:c r="AI4647" s="145"/>
      <x:c r="AJ4647"/>
    </x:row>
    <x:row r="4648">
      <x:c r="F4648" s="124"/>
      <x:c r="G4648" s="124"/>
      <x:c r="H4648" s="124"/>
      <x:c r="I4648" s="124"/>
      <x:c r="J4648" s="124"/>
      <x:c r="M4648" s="126"/>
      <x:c r="P4648" s="126"/>
      <x:c r="Q4648" s="126"/>
      <x:c r="R4648" s="126"/>
      <x:c r="S4648" s="124"/>
      <x:c r="T4648" s="124"/>
      <x:c r="U4648" s="124"/>
      <x:c r="V4648" s="124"/>
      <x:c r="W4648" s="124"/>
      <x:c r="X4648" s="124"/>
      <x:c r="AD4648"/>
      <x:c r="AE4648" s="145"/>
      <x:c r="AF4648" s="145"/>
      <x:c r="AG4648" s="145"/>
      <x:c r="AH4648" s="145"/>
      <x:c r="AI4648" s="145"/>
      <x:c r="AJ4648"/>
    </x:row>
    <x:row r="4649">
      <x:c r="F4649" s="124"/>
      <x:c r="G4649" s="124"/>
      <x:c r="H4649" s="124"/>
      <x:c r="I4649" s="124"/>
      <x:c r="J4649" s="124"/>
      <x:c r="M4649" s="126"/>
      <x:c r="P4649" s="126"/>
      <x:c r="Q4649" s="126"/>
      <x:c r="R4649" s="126"/>
      <x:c r="S4649" s="124"/>
      <x:c r="T4649" s="124"/>
      <x:c r="U4649" s="124"/>
      <x:c r="V4649" s="124"/>
      <x:c r="W4649" s="124"/>
      <x:c r="X4649" s="124"/>
      <x:c r="AD4649"/>
      <x:c r="AE4649" s="145"/>
      <x:c r="AF4649" s="145"/>
      <x:c r="AG4649" s="145"/>
      <x:c r="AH4649" s="145"/>
      <x:c r="AI4649" s="145"/>
      <x:c r="AJ4649"/>
    </x:row>
    <x:row r="4650">
      <x:c r="F4650" s="124"/>
      <x:c r="G4650" s="124"/>
      <x:c r="H4650" s="124"/>
      <x:c r="I4650" s="124"/>
      <x:c r="J4650" s="124"/>
      <x:c r="M4650" s="126"/>
      <x:c r="P4650" s="126"/>
      <x:c r="Q4650" s="126"/>
      <x:c r="R4650" s="126"/>
      <x:c r="S4650" s="124"/>
      <x:c r="T4650" s="124"/>
      <x:c r="U4650" s="124"/>
      <x:c r="V4650" s="124"/>
      <x:c r="W4650" s="124"/>
      <x:c r="X4650" s="124"/>
      <x:c r="AD4650"/>
      <x:c r="AE4650" s="145"/>
      <x:c r="AF4650" s="145"/>
      <x:c r="AG4650" s="145"/>
      <x:c r="AH4650" s="145"/>
      <x:c r="AI4650" s="145"/>
      <x:c r="AJ4650"/>
    </x:row>
    <x:row r="4651">
      <x:c r="F4651" s="124"/>
      <x:c r="G4651" s="124"/>
      <x:c r="H4651" s="124"/>
      <x:c r="I4651" s="124"/>
      <x:c r="J4651" s="124"/>
      <x:c r="M4651" s="126"/>
      <x:c r="P4651" s="126"/>
      <x:c r="Q4651" s="126"/>
      <x:c r="R4651" s="126"/>
      <x:c r="S4651" s="124"/>
      <x:c r="T4651" s="124"/>
      <x:c r="U4651" s="124"/>
      <x:c r="V4651" s="124"/>
      <x:c r="W4651" s="124"/>
      <x:c r="X4651" s="124"/>
      <x:c r="AD4651"/>
      <x:c r="AE4651" s="145"/>
      <x:c r="AF4651" s="145"/>
      <x:c r="AG4651" s="145"/>
      <x:c r="AH4651" s="145"/>
      <x:c r="AI4651" s="145"/>
      <x:c r="AJ4651"/>
    </x:row>
    <x:row r="4652">
      <x:c r="F4652" s="124"/>
      <x:c r="G4652" s="124"/>
      <x:c r="H4652" s="124"/>
      <x:c r="I4652" s="124"/>
      <x:c r="J4652" s="124"/>
      <x:c r="M4652" s="126"/>
      <x:c r="P4652" s="126"/>
      <x:c r="Q4652" s="126"/>
      <x:c r="R4652" s="126"/>
      <x:c r="S4652" s="124"/>
      <x:c r="T4652" s="124"/>
      <x:c r="U4652" s="124"/>
      <x:c r="V4652" s="124"/>
      <x:c r="W4652" s="124"/>
      <x:c r="X4652" s="124"/>
      <x:c r="AD4652"/>
      <x:c r="AE4652" s="145"/>
      <x:c r="AF4652" s="145"/>
      <x:c r="AG4652" s="145"/>
      <x:c r="AH4652" s="145"/>
      <x:c r="AI4652" s="145"/>
      <x:c r="AJ4652"/>
    </x:row>
    <x:row r="4653">
      <x:c r="F4653" s="124"/>
      <x:c r="G4653" s="124"/>
      <x:c r="H4653" s="124"/>
      <x:c r="I4653" s="124"/>
      <x:c r="J4653" s="124"/>
      <x:c r="M4653" s="126"/>
      <x:c r="P4653" s="126"/>
      <x:c r="Q4653" s="126"/>
      <x:c r="R4653" s="126"/>
      <x:c r="S4653" s="124"/>
      <x:c r="T4653" s="124"/>
      <x:c r="U4653" s="124"/>
      <x:c r="V4653" s="124"/>
      <x:c r="W4653" s="124"/>
      <x:c r="X4653" s="124"/>
      <x:c r="AD4653"/>
      <x:c r="AE4653" s="145"/>
      <x:c r="AF4653" s="145"/>
      <x:c r="AG4653" s="145"/>
      <x:c r="AH4653" s="145"/>
      <x:c r="AI4653" s="145"/>
      <x:c r="AJ4653"/>
    </x:row>
    <x:row r="4654">
      <x:c r="F4654" s="124"/>
      <x:c r="G4654" s="124"/>
      <x:c r="H4654" s="124"/>
      <x:c r="I4654" s="124"/>
      <x:c r="J4654" s="124"/>
      <x:c r="M4654" s="126"/>
      <x:c r="P4654" s="126"/>
      <x:c r="Q4654" s="126"/>
      <x:c r="R4654" s="126"/>
      <x:c r="S4654" s="124"/>
      <x:c r="T4654" s="124"/>
      <x:c r="U4654" s="124"/>
      <x:c r="V4654" s="124"/>
      <x:c r="W4654" s="124"/>
      <x:c r="X4654" s="124"/>
      <x:c r="AD4654"/>
      <x:c r="AE4654" s="145"/>
      <x:c r="AF4654" s="145"/>
      <x:c r="AG4654" s="145"/>
      <x:c r="AH4654" s="145"/>
      <x:c r="AI4654" s="145"/>
      <x:c r="AJ4654"/>
    </x:row>
    <x:row r="4655">
      <x:c r="F4655" s="124"/>
      <x:c r="G4655" s="124"/>
      <x:c r="H4655" s="124"/>
      <x:c r="I4655" s="124"/>
      <x:c r="J4655" s="124"/>
      <x:c r="M4655" s="126"/>
      <x:c r="P4655" s="126"/>
      <x:c r="Q4655" s="126"/>
      <x:c r="R4655" s="126"/>
      <x:c r="S4655" s="124"/>
      <x:c r="T4655" s="124"/>
      <x:c r="U4655" s="124"/>
      <x:c r="V4655" s="124"/>
      <x:c r="W4655" s="124"/>
      <x:c r="X4655" s="124"/>
      <x:c r="AD4655"/>
      <x:c r="AE4655" s="145"/>
      <x:c r="AF4655" s="145"/>
      <x:c r="AG4655" s="145"/>
      <x:c r="AH4655" s="145"/>
      <x:c r="AI4655" s="145"/>
      <x:c r="AJ4655"/>
    </x:row>
    <x:row r="4656">
      <x:c r="F4656" s="124"/>
      <x:c r="G4656" s="124"/>
      <x:c r="H4656" s="124"/>
      <x:c r="I4656" s="124"/>
      <x:c r="J4656" s="124"/>
      <x:c r="M4656" s="126"/>
      <x:c r="P4656" s="126"/>
      <x:c r="Q4656" s="126"/>
      <x:c r="R4656" s="126"/>
      <x:c r="S4656" s="124"/>
      <x:c r="T4656" s="124"/>
      <x:c r="U4656" s="124"/>
      <x:c r="V4656" s="124"/>
      <x:c r="W4656" s="124"/>
      <x:c r="X4656" s="124"/>
      <x:c r="AD4656"/>
      <x:c r="AE4656" s="145"/>
      <x:c r="AF4656" s="145"/>
      <x:c r="AG4656" s="145"/>
      <x:c r="AH4656" s="145"/>
      <x:c r="AI4656" s="145"/>
      <x:c r="AJ4656"/>
    </x:row>
    <x:row r="4657">
      <x:c r="F4657" s="124"/>
      <x:c r="G4657" s="124"/>
      <x:c r="H4657" s="124"/>
      <x:c r="I4657" s="124"/>
      <x:c r="J4657" s="124"/>
      <x:c r="M4657" s="126"/>
      <x:c r="P4657" s="126"/>
      <x:c r="Q4657" s="126"/>
      <x:c r="R4657" s="126"/>
      <x:c r="S4657" s="124"/>
      <x:c r="T4657" s="124"/>
      <x:c r="U4657" s="124"/>
      <x:c r="V4657" s="124"/>
      <x:c r="W4657" s="124"/>
      <x:c r="X4657" s="124"/>
      <x:c r="AD4657"/>
      <x:c r="AE4657" s="145"/>
      <x:c r="AF4657" s="145"/>
      <x:c r="AG4657" s="145"/>
      <x:c r="AH4657" s="145"/>
      <x:c r="AI4657" s="145"/>
      <x:c r="AJ4657"/>
    </x:row>
    <x:row r="4658">
      <x:c r="F4658" s="124"/>
      <x:c r="G4658" s="124"/>
      <x:c r="H4658" s="124"/>
      <x:c r="I4658" s="124"/>
      <x:c r="J4658" s="124"/>
      <x:c r="M4658" s="126"/>
      <x:c r="P4658" s="126"/>
      <x:c r="Q4658" s="126"/>
      <x:c r="R4658" s="126"/>
      <x:c r="S4658" s="124"/>
      <x:c r="T4658" s="124"/>
      <x:c r="U4658" s="124"/>
      <x:c r="V4658" s="124"/>
      <x:c r="W4658" s="124"/>
      <x:c r="X4658" s="124"/>
      <x:c r="AD4658"/>
      <x:c r="AE4658" s="145"/>
      <x:c r="AF4658" s="145"/>
      <x:c r="AG4658" s="145"/>
      <x:c r="AH4658" s="145"/>
      <x:c r="AI4658" s="145"/>
      <x:c r="AJ4658"/>
    </x:row>
    <x:row r="4659">
      <x:c r="F4659" s="124"/>
      <x:c r="G4659" s="124"/>
      <x:c r="H4659" s="124"/>
      <x:c r="I4659" s="124"/>
      <x:c r="J4659" s="124"/>
      <x:c r="M4659" s="126"/>
      <x:c r="P4659" s="126"/>
      <x:c r="Q4659" s="126"/>
      <x:c r="R4659" s="126"/>
      <x:c r="S4659" s="124"/>
      <x:c r="T4659" s="124"/>
      <x:c r="U4659" s="124"/>
      <x:c r="V4659" s="124"/>
      <x:c r="W4659" s="124"/>
      <x:c r="X4659" s="124"/>
      <x:c r="AD4659"/>
      <x:c r="AE4659" s="145"/>
      <x:c r="AF4659" s="145"/>
      <x:c r="AG4659" s="145"/>
      <x:c r="AH4659" s="145"/>
      <x:c r="AI4659" s="145"/>
      <x:c r="AJ4659"/>
    </x:row>
    <x:row r="4660">
      <x:c r="F4660" s="124"/>
      <x:c r="G4660" s="124"/>
      <x:c r="H4660" s="124"/>
      <x:c r="I4660" s="124"/>
      <x:c r="J4660" s="124"/>
      <x:c r="M4660" s="126"/>
      <x:c r="P4660" s="126"/>
      <x:c r="Q4660" s="126"/>
      <x:c r="R4660" s="126"/>
      <x:c r="S4660" s="124"/>
      <x:c r="T4660" s="124"/>
      <x:c r="U4660" s="124"/>
      <x:c r="V4660" s="124"/>
      <x:c r="W4660" s="124"/>
      <x:c r="X4660" s="124"/>
      <x:c r="AD4660"/>
      <x:c r="AE4660" s="145"/>
      <x:c r="AF4660" s="145"/>
      <x:c r="AG4660" s="145"/>
      <x:c r="AH4660" s="145"/>
      <x:c r="AI4660" s="145"/>
      <x:c r="AJ4660"/>
    </x:row>
    <x:row r="4661">
      <x:c r="F4661" s="124"/>
      <x:c r="G4661" s="124"/>
      <x:c r="H4661" s="124"/>
      <x:c r="I4661" s="124"/>
      <x:c r="J4661" s="124"/>
      <x:c r="M4661" s="126"/>
      <x:c r="P4661" s="126"/>
      <x:c r="Q4661" s="126"/>
      <x:c r="R4661" s="126"/>
      <x:c r="S4661" s="124"/>
      <x:c r="T4661" s="124"/>
      <x:c r="U4661" s="124"/>
      <x:c r="V4661" s="124"/>
      <x:c r="W4661" s="124"/>
      <x:c r="X4661" s="124"/>
      <x:c r="AD4661"/>
      <x:c r="AE4661" s="145"/>
      <x:c r="AF4661" s="145"/>
      <x:c r="AG4661" s="145"/>
      <x:c r="AH4661" s="145"/>
      <x:c r="AI4661" s="145"/>
      <x:c r="AJ4661"/>
    </x:row>
    <x:row r="4662">
      <x:c r="F4662" s="124"/>
      <x:c r="G4662" s="124"/>
      <x:c r="H4662" s="124"/>
      <x:c r="I4662" s="124"/>
      <x:c r="J4662" s="124"/>
      <x:c r="M4662" s="126"/>
      <x:c r="P4662" s="126"/>
      <x:c r="Q4662" s="126"/>
      <x:c r="R4662" s="126"/>
      <x:c r="S4662" s="124"/>
      <x:c r="T4662" s="124"/>
      <x:c r="U4662" s="124"/>
      <x:c r="V4662" s="124"/>
      <x:c r="W4662" s="124"/>
      <x:c r="X4662" s="124"/>
      <x:c r="AD4662"/>
      <x:c r="AE4662" s="145"/>
      <x:c r="AF4662" s="145"/>
      <x:c r="AG4662" s="145"/>
      <x:c r="AH4662" s="145"/>
      <x:c r="AI4662" s="145"/>
      <x:c r="AJ4662"/>
    </x:row>
    <x:row r="4663">
      <x:c r="F4663" s="124"/>
      <x:c r="G4663" s="124"/>
      <x:c r="H4663" s="124"/>
      <x:c r="I4663" s="124"/>
      <x:c r="J4663" s="124"/>
      <x:c r="M4663" s="126"/>
      <x:c r="P4663" s="126"/>
      <x:c r="Q4663" s="126"/>
      <x:c r="R4663" s="126"/>
      <x:c r="S4663" s="124"/>
      <x:c r="T4663" s="124"/>
      <x:c r="U4663" s="124"/>
      <x:c r="V4663" s="124"/>
      <x:c r="W4663" s="124"/>
      <x:c r="X4663" s="124"/>
      <x:c r="AD4663"/>
      <x:c r="AE4663" s="145"/>
      <x:c r="AF4663" s="145"/>
      <x:c r="AG4663" s="145"/>
      <x:c r="AH4663" s="145"/>
      <x:c r="AI4663" s="145"/>
      <x:c r="AJ4663"/>
    </x:row>
    <x:row r="4664">
      <x:c r="F4664" s="124"/>
      <x:c r="G4664" s="124"/>
      <x:c r="H4664" s="124"/>
      <x:c r="I4664" s="124"/>
      <x:c r="J4664" s="124"/>
      <x:c r="M4664" s="126"/>
      <x:c r="P4664" s="126"/>
      <x:c r="Q4664" s="126"/>
      <x:c r="R4664" s="126"/>
      <x:c r="S4664" s="124"/>
      <x:c r="T4664" s="124"/>
      <x:c r="U4664" s="124"/>
      <x:c r="V4664" s="124"/>
      <x:c r="W4664" s="124"/>
      <x:c r="X4664" s="124"/>
      <x:c r="AD4664"/>
      <x:c r="AE4664" s="145"/>
      <x:c r="AF4664" s="145"/>
      <x:c r="AG4664" s="145"/>
      <x:c r="AH4664" s="145"/>
      <x:c r="AI4664" s="145"/>
      <x:c r="AJ4664"/>
    </x:row>
    <x:row r="4665">
      <x:c r="F4665" s="124"/>
      <x:c r="G4665" s="124"/>
      <x:c r="H4665" s="124"/>
      <x:c r="I4665" s="124"/>
      <x:c r="J4665" s="124"/>
      <x:c r="M4665" s="126"/>
      <x:c r="P4665" s="126"/>
      <x:c r="Q4665" s="126"/>
      <x:c r="R4665" s="126"/>
      <x:c r="S4665" s="124"/>
      <x:c r="T4665" s="124"/>
      <x:c r="U4665" s="124"/>
      <x:c r="V4665" s="124"/>
      <x:c r="W4665" s="124"/>
      <x:c r="X4665" s="124"/>
      <x:c r="AD4665"/>
      <x:c r="AE4665" s="145"/>
      <x:c r="AF4665" s="145"/>
      <x:c r="AG4665" s="145"/>
      <x:c r="AH4665" s="145"/>
      <x:c r="AI4665" s="145"/>
      <x:c r="AJ4665"/>
    </x:row>
    <x:row r="4666">
      <x:c r="F4666" s="124"/>
      <x:c r="G4666" s="124"/>
      <x:c r="H4666" s="124"/>
      <x:c r="I4666" s="124"/>
      <x:c r="J4666" s="124"/>
      <x:c r="M4666" s="126"/>
      <x:c r="P4666" s="126"/>
      <x:c r="Q4666" s="126"/>
      <x:c r="R4666" s="126"/>
      <x:c r="S4666" s="124"/>
      <x:c r="T4666" s="124"/>
      <x:c r="U4666" s="124"/>
      <x:c r="V4666" s="124"/>
      <x:c r="W4666" s="124"/>
      <x:c r="X4666" s="124"/>
      <x:c r="AD4666"/>
      <x:c r="AE4666" s="145"/>
      <x:c r="AF4666" s="145"/>
      <x:c r="AG4666" s="145"/>
      <x:c r="AH4666" s="145"/>
      <x:c r="AI4666" s="145"/>
      <x:c r="AJ4666"/>
    </x:row>
    <x:row r="4667">
      <x:c r="F4667" s="124"/>
      <x:c r="G4667" s="124"/>
      <x:c r="H4667" s="124"/>
      <x:c r="I4667" s="124"/>
      <x:c r="J4667" s="124"/>
      <x:c r="M4667" s="126"/>
      <x:c r="P4667" s="126"/>
      <x:c r="Q4667" s="126"/>
      <x:c r="R4667" s="126"/>
      <x:c r="S4667" s="124"/>
      <x:c r="T4667" s="124"/>
      <x:c r="U4667" s="124"/>
      <x:c r="V4667" s="124"/>
      <x:c r="W4667" s="124"/>
      <x:c r="X4667" s="124"/>
      <x:c r="AD4667"/>
      <x:c r="AE4667" s="145"/>
      <x:c r="AF4667" s="145"/>
      <x:c r="AG4667" s="145"/>
      <x:c r="AH4667" s="145"/>
      <x:c r="AI4667" s="145"/>
      <x:c r="AJ4667"/>
    </x:row>
    <x:row r="4668">
      <x:c r="F4668" s="124"/>
      <x:c r="G4668" s="124"/>
      <x:c r="H4668" s="124"/>
      <x:c r="I4668" s="124"/>
      <x:c r="J4668" s="124"/>
      <x:c r="M4668" s="126"/>
      <x:c r="P4668" s="126"/>
      <x:c r="Q4668" s="126"/>
      <x:c r="R4668" s="126"/>
      <x:c r="S4668" s="124"/>
      <x:c r="T4668" s="124"/>
      <x:c r="U4668" s="124"/>
      <x:c r="V4668" s="124"/>
      <x:c r="W4668" s="124"/>
      <x:c r="X4668" s="124"/>
      <x:c r="AD4668"/>
      <x:c r="AE4668" s="145"/>
      <x:c r="AF4668" s="145"/>
      <x:c r="AG4668" s="145"/>
      <x:c r="AH4668" s="145"/>
      <x:c r="AI4668" s="145"/>
      <x:c r="AJ4668"/>
    </x:row>
    <x:row r="4669">
      <x:c r="F4669" s="124"/>
      <x:c r="G4669" s="124"/>
      <x:c r="H4669" s="124"/>
      <x:c r="I4669" s="124"/>
      <x:c r="J4669" s="124"/>
      <x:c r="M4669" s="126"/>
      <x:c r="P4669" s="126"/>
      <x:c r="Q4669" s="126"/>
      <x:c r="R4669" s="126"/>
      <x:c r="S4669" s="124"/>
      <x:c r="T4669" s="124"/>
      <x:c r="U4669" s="124"/>
      <x:c r="V4669" s="124"/>
      <x:c r="W4669" s="124"/>
      <x:c r="X4669" s="124"/>
      <x:c r="AD4669"/>
      <x:c r="AE4669" s="145"/>
      <x:c r="AF4669" s="145"/>
      <x:c r="AG4669" s="145"/>
      <x:c r="AH4669" s="145"/>
      <x:c r="AI4669" s="145"/>
      <x:c r="AJ4669"/>
    </x:row>
    <x:row r="4670">
      <x:c r="F4670" s="124"/>
      <x:c r="G4670" s="124"/>
      <x:c r="H4670" s="124"/>
      <x:c r="I4670" s="124"/>
      <x:c r="J4670" s="124"/>
      <x:c r="M4670" s="126"/>
      <x:c r="P4670" s="126"/>
      <x:c r="Q4670" s="126"/>
      <x:c r="R4670" s="126"/>
      <x:c r="S4670" s="124"/>
      <x:c r="T4670" s="124"/>
      <x:c r="U4670" s="124"/>
      <x:c r="V4670" s="124"/>
      <x:c r="W4670" s="124"/>
      <x:c r="X4670" s="124"/>
      <x:c r="AD4670"/>
      <x:c r="AE4670" s="145"/>
      <x:c r="AF4670" s="145"/>
      <x:c r="AG4670" s="145"/>
      <x:c r="AH4670" s="145"/>
      <x:c r="AI4670" s="145"/>
      <x:c r="AJ4670"/>
    </x:row>
    <x:row r="4671">
      <x:c r="F4671" s="124"/>
      <x:c r="G4671" s="124"/>
      <x:c r="H4671" s="124"/>
      <x:c r="I4671" s="124"/>
      <x:c r="J4671" s="124"/>
      <x:c r="M4671" s="126"/>
      <x:c r="P4671" s="126"/>
      <x:c r="Q4671" s="126"/>
      <x:c r="R4671" s="126"/>
      <x:c r="S4671" s="124"/>
      <x:c r="T4671" s="124"/>
      <x:c r="U4671" s="124"/>
      <x:c r="V4671" s="124"/>
      <x:c r="W4671" s="124"/>
      <x:c r="X4671" s="124"/>
      <x:c r="AD4671"/>
      <x:c r="AE4671" s="145"/>
      <x:c r="AF4671" s="145"/>
      <x:c r="AG4671" s="145"/>
      <x:c r="AH4671" s="145"/>
      <x:c r="AI4671" s="145"/>
      <x:c r="AJ4671"/>
    </x:row>
    <x:row r="4672">
      <x:c r="F4672" s="124"/>
      <x:c r="G4672" s="124"/>
      <x:c r="H4672" s="124"/>
      <x:c r="I4672" s="124"/>
      <x:c r="J4672" s="124"/>
      <x:c r="M4672" s="126"/>
      <x:c r="P4672" s="126"/>
      <x:c r="Q4672" s="126"/>
      <x:c r="R4672" s="126"/>
      <x:c r="S4672" s="124"/>
      <x:c r="T4672" s="124"/>
      <x:c r="U4672" s="124"/>
      <x:c r="V4672" s="124"/>
      <x:c r="W4672" s="124"/>
      <x:c r="X4672" s="124"/>
      <x:c r="AD4672"/>
      <x:c r="AE4672" s="145"/>
      <x:c r="AF4672" s="145"/>
      <x:c r="AG4672" s="145"/>
      <x:c r="AH4672" s="145"/>
      <x:c r="AI4672" s="145"/>
      <x:c r="AJ4672"/>
    </x:row>
    <x:row r="4673">
      <x:c r="F4673" s="124"/>
      <x:c r="G4673" s="124"/>
      <x:c r="H4673" s="124"/>
      <x:c r="I4673" s="124"/>
      <x:c r="J4673" s="124"/>
      <x:c r="M4673" s="126"/>
      <x:c r="P4673" s="126"/>
      <x:c r="Q4673" s="126"/>
      <x:c r="R4673" s="126"/>
      <x:c r="S4673" s="124"/>
      <x:c r="T4673" s="124"/>
      <x:c r="U4673" s="124"/>
      <x:c r="V4673" s="124"/>
      <x:c r="W4673" s="124"/>
      <x:c r="X4673" s="124"/>
      <x:c r="AD4673"/>
      <x:c r="AE4673" s="145"/>
      <x:c r="AF4673" s="145"/>
      <x:c r="AG4673" s="145"/>
      <x:c r="AH4673" s="145"/>
      <x:c r="AI4673" s="145"/>
      <x:c r="AJ4673"/>
    </x:row>
    <x:row r="4674">
      <x:c r="F4674" s="124"/>
      <x:c r="G4674" s="124"/>
      <x:c r="H4674" s="124"/>
      <x:c r="I4674" s="124"/>
      <x:c r="J4674" s="124"/>
      <x:c r="M4674" s="126"/>
      <x:c r="P4674" s="126"/>
      <x:c r="Q4674" s="126"/>
      <x:c r="R4674" s="126"/>
      <x:c r="S4674" s="124"/>
      <x:c r="T4674" s="124"/>
      <x:c r="U4674" s="124"/>
      <x:c r="V4674" s="124"/>
      <x:c r="W4674" s="124"/>
      <x:c r="X4674" s="124"/>
      <x:c r="AD4674"/>
      <x:c r="AE4674" s="145"/>
      <x:c r="AF4674" s="145"/>
      <x:c r="AG4674" s="145"/>
      <x:c r="AH4674" s="145"/>
      <x:c r="AI4674" s="145"/>
      <x:c r="AJ4674"/>
    </x:row>
    <x:row r="4675">
      <x:c r="F4675" s="124"/>
      <x:c r="G4675" s="124"/>
      <x:c r="H4675" s="124"/>
      <x:c r="I4675" s="124"/>
      <x:c r="J4675" s="124"/>
      <x:c r="M4675" s="126"/>
      <x:c r="P4675" s="126"/>
      <x:c r="Q4675" s="126"/>
      <x:c r="R4675" s="126"/>
      <x:c r="S4675" s="124"/>
      <x:c r="T4675" s="124"/>
      <x:c r="U4675" s="124"/>
      <x:c r="V4675" s="124"/>
      <x:c r="W4675" s="124"/>
      <x:c r="X4675" s="124"/>
      <x:c r="AD4675"/>
      <x:c r="AE4675" s="145"/>
      <x:c r="AF4675" s="145"/>
      <x:c r="AG4675" s="145"/>
      <x:c r="AH4675" s="145"/>
      <x:c r="AI4675" s="145"/>
      <x:c r="AJ4675"/>
    </x:row>
    <x:row r="4676">
      <x:c r="F4676" s="124"/>
      <x:c r="G4676" s="124"/>
      <x:c r="H4676" s="124"/>
      <x:c r="I4676" s="124"/>
      <x:c r="J4676" s="124"/>
      <x:c r="M4676" s="126"/>
      <x:c r="P4676" s="126"/>
      <x:c r="Q4676" s="126"/>
      <x:c r="R4676" s="126"/>
      <x:c r="S4676" s="124"/>
      <x:c r="T4676" s="124"/>
      <x:c r="U4676" s="124"/>
      <x:c r="V4676" s="124"/>
      <x:c r="W4676" s="124"/>
      <x:c r="X4676" s="124"/>
      <x:c r="AD4676"/>
      <x:c r="AE4676" s="145"/>
      <x:c r="AF4676" s="145"/>
      <x:c r="AG4676" s="145"/>
      <x:c r="AH4676" s="145"/>
      <x:c r="AI4676" s="145"/>
      <x:c r="AJ4676"/>
    </x:row>
    <x:row r="4677">
      <x:c r="F4677" s="124"/>
      <x:c r="G4677" s="124"/>
      <x:c r="H4677" s="124"/>
      <x:c r="I4677" s="124"/>
      <x:c r="J4677" s="124"/>
      <x:c r="M4677" s="126"/>
      <x:c r="P4677" s="126"/>
      <x:c r="Q4677" s="126"/>
      <x:c r="R4677" s="126"/>
      <x:c r="S4677" s="124"/>
      <x:c r="T4677" s="124"/>
      <x:c r="U4677" s="124"/>
      <x:c r="V4677" s="124"/>
      <x:c r="W4677" s="124"/>
      <x:c r="X4677" s="124"/>
      <x:c r="AD4677"/>
      <x:c r="AE4677" s="145"/>
      <x:c r="AF4677" s="145"/>
      <x:c r="AG4677" s="145"/>
      <x:c r="AH4677" s="145"/>
      <x:c r="AI4677" s="145"/>
      <x:c r="AJ4677"/>
    </x:row>
    <x:row r="4678">
      <x:c r="F4678" s="124"/>
      <x:c r="G4678" s="124"/>
      <x:c r="H4678" s="124"/>
      <x:c r="I4678" s="124"/>
      <x:c r="J4678" s="124"/>
      <x:c r="M4678" s="126"/>
      <x:c r="P4678" s="126"/>
      <x:c r="Q4678" s="126"/>
      <x:c r="R4678" s="126"/>
      <x:c r="S4678" s="124"/>
      <x:c r="T4678" s="124"/>
      <x:c r="U4678" s="124"/>
      <x:c r="V4678" s="124"/>
      <x:c r="W4678" s="124"/>
      <x:c r="X4678" s="124"/>
      <x:c r="AD4678"/>
      <x:c r="AE4678" s="145"/>
      <x:c r="AF4678" s="145"/>
      <x:c r="AG4678" s="145"/>
      <x:c r="AH4678" s="145"/>
      <x:c r="AI4678" s="145"/>
      <x:c r="AJ4678"/>
    </x:row>
    <x:row r="4679">
      <x:c r="F4679" s="124"/>
      <x:c r="G4679" s="124"/>
      <x:c r="H4679" s="124"/>
      <x:c r="I4679" s="124"/>
      <x:c r="J4679" s="124"/>
      <x:c r="M4679" s="126"/>
      <x:c r="P4679" s="126"/>
      <x:c r="Q4679" s="126"/>
      <x:c r="R4679" s="126"/>
      <x:c r="S4679" s="124"/>
      <x:c r="T4679" s="124"/>
      <x:c r="U4679" s="124"/>
      <x:c r="V4679" s="124"/>
      <x:c r="W4679" s="124"/>
      <x:c r="X4679" s="124"/>
      <x:c r="AD4679"/>
      <x:c r="AE4679" s="145"/>
      <x:c r="AF4679" s="145"/>
      <x:c r="AG4679" s="145"/>
      <x:c r="AH4679" s="145"/>
      <x:c r="AI4679" s="145"/>
      <x:c r="AJ4679"/>
    </x:row>
    <x:row r="4680">
      <x:c r="F4680" s="124"/>
      <x:c r="G4680" s="124"/>
      <x:c r="H4680" s="124"/>
      <x:c r="I4680" s="124"/>
      <x:c r="J4680" s="124"/>
      <x:c r="M4680" s="126"/>
      <x:c r="P4680" s="126"/>
      <x:c r="Q4680" s="126"/>
      <x:c r="R4680" s="126"/>
      <x:c r="S4680" s="124"/>
      <x:c r="T4680" s="124"/>
      <x:c r="U4680" s="124"/>
      <x:c r="V4680" s="124"/>
      <x:c r="W4680" s="124"/>
      <x:c r="X4680" s="124"/>
      <x:c r="AD4680"/>
      <x:c r="AE4680" s="145"/>
      <x:c r="AF4680" s="145"/>
      <x:c r="AG4680" s="145"/>
      <x:c r="AH4680" s="145"/>
      <x:c r="AI4680" s="145"/>
      <x:c r="AJ4680"/>
    </x:row>
    <x:row r="4681">
      <x:c r="F4681" s="124"/>
      <x:c r="G4681" s="124"/>
      <x:c r="H4681" s="124"/>
      <x:c r="I4681" s="124"/>
      <x:c r="J4681" s="124"/>
      <x:c r="M4681" s="126"/>
      <x:c r="P4681" s="126"/>
      <x:c r="Q4681" s="126"/>
      <x:c r="R4681" s="126"/>
      <x:c r="S4681" s="124"/>
      <x:c r="T4681" s="124"/>
      <x:c r="U4681" s="124"/>
      <x:c r="V4681" s="124"/>
      <x:c r="W4681" s="124"/>
      <x:c r="X4681" s="124"/>
      <x:c r="AD4681"/>
      <x:c r="AE4681" s="145"/>
      <x:c r="AF4681" s="145"/>
      <x:c r="AG4681" s="145"/>
      <x:c r="AH4681" s="145"/>
      <x:c r="AI4681" s="145"/>
      <x:c r="AJ4681"/>
    </x:row>
    <x:row r="4682">
      <x:c r="F4682" s="124"/>
      <x:c r="G4682" s="124"/>
      <x:c r="H4682" s="124"/>
      <x:c r="I4682" s="124"/>
      <x:c r="J4682" s="124"/>
      <x:c r="M4682" s="126"/>
      <x:c r="P4682" s="126"/>
      <x:c r="Q4682" s="126"/>
      <x:c r="R4682" s="126"/>
      <x:c r="S4682" s="124"/>
      <x:c r="T4682" s="124"/>
      <x:c r="U4682" s="124"/>
      <x:c r="V4682" s="124"/>
      <x:c r="W4682" s="124"/>
      <x:c r="X4682" s="124"/>
      <x:c r="AD4682"/>
      <x:c r="AE4682" s="145"/>
      <x:c r="AF4682" s="145"/>
      <x:c r="AG4682" s="145"/>
      <x:c r="AH4682" s="145"/>
      <x:c r="AI4682" s="145"/>
      <x:c r="AJ4682"/>
    </x:row>
    <x:row r="4683">
      <x:c r="F4683" s="124"/>
      <x:c r="G4683" s="124"/>
      <x:c r="H4683" s="124"/>
      <x:c r="I4683" s="124"/>
      <x:c r="J4683" s="124"/>
      <x:c r="M4683" s="126"/>
      <x:c r="P4683" s="126"/>
      <x:c r="Q4683" s="126"/>
      <x:c r="R4683" s="126"/>
      <x:c r="S4683" s="124"/>
      <x:c r="T4683" s="124"/>
      <x:c r="U4683" s="124"/>
      <x:c r="V4683" s="124"/>
      <x:c r="W4683" s="124"/>
      <x:c r="X4683" s="124"/>
      <x:c r="AD4683"/>
      <x:c r="AE4683" s="145"/>
      <x:c r="AF4683" s="145"/>
      <x:c r="AG4683" s="145"/>
      <x:c r="AH4683" s="145"/>
      <x:c r="AI4683" s="145"/>
      <x:c r="AJ4683"/>
    </x:row>
    <x:row r="4684">
      <x:c r="F4684" s="124"/>
      <x:c r="G4684" s="124"/>
      <x:c r="H4684" s="124"/>
      <x:c r="I4684" s="124"/>
      <x:c r="J4684" s="124"/>
      <x:c r="M4684" s="126"/>
      <x:c r="P4684" s="126"/>
      <x:c r="Q4684" s="126"/>
      <x:c r="R4684" s="126"/>
      <x:c r="S4684" s="124"/>
      <x:c r="T4684" s="124"/>
      <x:c r="U4684" s="124"/>
      <x:c r="V4684" s="124"/>
      <x:c r="W4684" s="124"/>
      <x:c r="X4684" s="124"/>
      <x:c r="AD4684"/>
      <x:c r="AE4684" s="145"/>
      <x:c r="AF4684" s="145"/>
      <x:c r="AG4684" s="145"/>
      <x:c r="AH4684" s="145"/>
      <x:c r="AI4684" s="145"/>
      <x:c r="AJ4684"/>
    </x:row>
    <x:row r="4685">
      <x:c r="F4685" s="124"/>
      <x:c r="G4685" s="124"/>
      <x:c r="H4685" s="124"/>
      <x:c r="I4685" s="124"/>
      <x:c r="J4685" s="124"/>
      <x:c r="M4685" s="126"/>
      <x:c r="P4685" s="126"/>
      <x:c r="Q4685" s="126"/>
      <x:c r="R4685" s="126"/>
      <x:c r="S4685" s="124"/>
      <x:c r="T4685" s="124"/>
      <x:c r="U4685" s="124"/>
      <x:c r="V4685" s="124"/>
      <x:c r="W4685" s="124"/>
      <x:c r="X4685" s="124"/>
      <x:c r="AD4685"/>
      <x:c r="AE4685" s="145"/>
      <x:c r="AF4685" s="145"/>
      <x:c r="AG4685" s="145"/>
      <x:c r="AH4685" s="145"/>
      <x:c r="AI4685" s="145"/>
      <x:c r="AJ4685"/>
    </x:row>
    <x:row r="4686">
      <x:c r="F4686" s="124"/>
      <x:c r="G4686" s="124"/>
      <x:c r="H4686" s="124"/>
      <x:c r="I4686" s="124"/>
      <x:c r="J4686" s="124"/>
      <x:c r="M4686" s="126"/>
      <x:c r="P4686" s="126"/>
      <x:c r="Q4686" s="126"/>
      <x:c r="R4686" s="126"/>
      <x:c r="S4686" s="124"/>
      <x:c r="T4686" s="124"/>
      <x:c r="U4686" s="124"/>
      <x:c r="V4686" s="124"/>
      <x:c r="W4686" s="124"/>
      <x:c r="X4686" s="124"/>
      <x:c r="AD4686"/>
      <x:c r="AE4686" s="145"/>
      <x:c r="AF4686" s="145"/>
      <x:c r="AG4686" s="145"/>
      <x:c r="AH4686" s="145"/>
      <x:c r="AI4686" s="145"/>
      <x:c r="AJ4686"/>
    </x:row>
    <x:row r="4687">
      <x:c r="F4687" s="124"/>
      <x:c r="G4687" s="124"/>
      <x:c r="H4687" s="124"/>
      <x:c r="I4687" s="124"/>
      <x:c r="J4687" s="124"/>
      <x:c r="M4687" s="126"/>
      <x:c r="P4687" s="126"/>
      <x:c r="Q4687" s="126"/>
      <x:c r="R4687" s="126"/>
      <x:c r="S4687" s="124"/>
      <x:c r="T4687" s="124"/>
      <x:c r="U4687" s="124"/>
      <x:c r="V4687" s="124"/>
      <x:c r="W4687" s="124"/>
      <x:c r="X4687" s="124"/>
      <x:c r="AD4687"/>
      <x:c r="AE4687" s="145"/>
      <x:c r="AF4687" s="145"/>
      <x:c r="AG4687" s="145"/>
      <x:c r="AH4687" s="145"/>
      <x:c r="AI4687" s="145"/>
      <x:c r="AJ4687"/>
    </x:row>
    <x:row r="4688">
      <x:c r="F4688" s="124"/>
      <x:c r="G4688" s="124"/>
      <x:c r="H4688" s="124"/>
      <x:c r="I4688" s="124"/>
      <x:c r="J4688" s="124"/>
      <x:c r="M4688" s="126"/>
      <x:c r="P4688" s="126"/>
      <x:c r="Q4688" s="126"/>
      <x:c r="R4688" s="126"/>
      <x:c r="S4688" s="124"/>
      <x:c r="T4688" s="124"/>
      <x:c r="U4688" s="124"/>
      <x:c r="V4688" s="124"/>
      <x:c r="W4688" s="124"/>
      <x:c r="X4688" s="124"/>
      <x:c r="AD4688"/>
      <x:c r="AE4688" s="145"/>
      <x:c r="AF4688" s="145"/>
      <x:c r="AG4688" s="145"/>
      <x:c r="AH4688" s="145"/>
      <x:c r="AI4688" s="145"/>
      <x:c r="AJ4688"/>
    </x:row>
    <x:row r="4689">
      <x:c r="F4689" s="124"/>
      <x:c r="G4689" s="124"/>
      <x:c r="H4689" s="124"/>
      <x:c r="I4689" s="124"/>
      <x:c r="J4689" s="124"/>
      <x:c r="M4689" s="126"/>
      <x:c r="P4689" s="126"/>
      <x:c r="Q4689" s="126"/>
      <x:c r="R4689" s="126"/>
      <x:c r="S4689" s="124"/>
      <x:c r="T4689" s="124"/>
      <x:c r="U4689" s="124"/>
      <x:c r="V4689" s="124"/>
      <x:c r="W4689" s="124"/>
      <x:c r="X4689" s="124"/>
      <x:c r="AD4689"/>
      <x:c r="AE4689" s="145"/>
      <x:c r="AF4689" s="145"/>
      <x:c r="AG4689" s="145"/>
      <x:c r="AH4689" s="145"/>
      <x:c r="AI4689" s="145"/>
      <x:c r="AJ4689"/>
    </x:row>
    <x:row r="4690">
      <x:c r="F4690" s="124"/>
      <x:c r="G4690" s="124"/>
      <x:c r="H4690" s="124"/>
      <x:c r="I4690" s="124"/>
      <x:c r="J4690" s="124"/>
      <x:c r="M4690" s="126"/>
      <x:c r="P4690" s="126"/>
      <x:c r="Q4690" s="126"/>
      <x:c r="R4690" s="126"/>
      <x:c r="S4690" s="124"/>
      <x:c r="T4690" s="124"/>
      <x:c r="U4690" s="124"/>
      <x:c r="V4690" s="124"/>
      <x:c r="W4690" s="124"/>
      <x:c r="X4690" s="124"/>
      <x:c r="AD4690"/>
      <x:c r="AE4690" s="145"/>
      <x:c r="AF4690" s="145"/>
      <x:c r="AG4690" s="145"/>
      <x:c r="AH4690" s="145"/>
      <x:c r="AI4690" s="145"/>
      <x:c r="AJ4690"/>
    </x:row>
    <x:row r="4691">
      <x:c r="F4691" s="124"/>
      <x:c r="G4691" s="124"/>
      <x:c r="H4691" s="124"/>
      <x:c r="I4691" s="124"/>
      <x:c r="J4691" s="124"/>
      <x:c r="M4691" s="126"/>
      <x:c r="P4691" s="126"/>
      <x:c r="Q4691" s="126"/>
      <x:c r="R4691" s="126"/>
      <x:c r="S4691" s="124"/>
      <x:c r="T4691" s="124"/>
      <x:c r="U4691" s="124"/>
      <x:c r="V4691" s="124"/>
      <x:c r="W4691" s="124"/>
      <x:c r="X4691" s="124"/>
      <x:c r="AD4691"/>
      <x:c r="AE4691" s="145"/>
      <x:c r="AF4691" s="145"/>
      <x:c r="AG4691" s="145"/>
      <x:c r="AH4691" s="145"/>
      <x:c r="AI4691" s="145"/>
      <x:c r="AJ4691"/>
    </x:row>
    <x:row r="4692">
      <x:c r="F4692" s="124"/>
      <x:c r="G4692" s="124"/>
      <x:c r="H4692" s="124"/>
      <x:c r="I4692" s="124"/>
      <x:c r="J4692" s="124"/>
      <x:c r="M4692" s="126"/>
      <x:c r="P4692" s="126"/>
      <x:c r="Q4692" s="126"/>
      <x:c r="R4692" s="126"/>
      <x:c r="S4692" s="124"/>
      <x:c r="T4692" s="124"/>
      <x:c r="U4692" s="124"/>
      <x:c r="V4692" s="124"/>
      <x:c r="W4692" s="124"/>
      <x:c r="X4692" s="124"/>
      <x:c r="AD4692"/>
      <x:c r="AE4692" s="145"/>
      <x:c r="AF4692" s="145"/>
      <x:c r="AG4692" s="145"/>
      <x:c r="AH4692" s="145"/>
      <x:c r="AI4692" s="145"/>
      <x:c r="AJ4692"/>
    </x:row>
    <x:row r="4693">
      <x:c r="F4693" s="124"/>
      <x:c r="G4693" s="124"/>
      <x:c r="H4693" s="124"/>
      <x:c r="I4693" s="124"/>
      <x:c r="J4693" s="124"/>
      <x:c r="M4693" s="126"/>
      <x:c r="P4693" s="126"/>
      <x:c r="Q4693" s="126"/>
      <x:c r="R4693" s="126"/>
      <x:c r="S4693" s="124"/>
      <x:c r="T4693" s="124"/>
      <x:c r="U4693" s="124"/>
      <x:c r="V4693" s="124"/>
      <x:c r="W4693" s="124"/>
      <x:c r="X4693" s="124"/>
      <x:c r="AD4693"/>
      <x:c r="AE4693" s="145"/>
      <x:c r="AF4693" s="145"/>
      <x:c r="AG4693" s="145"/>
      <x:c r="AH4693" s="145"/>
      <x:c r="AI4693" s="145"/>
      <x:c r="AJ4693"/>
    </x:row>
    <x:row r="4694">
      <x:c r="F4694" s="124"/>
      <x:c r="G4694" s="124"/>
      <x:c r="H4694" s="124"/>
      <x:c r="I4694" s="124"/>
      <x:c r="J4694" s="124"/>
      <x:c r="M4694" s="126"/>
      <x:c r="P4694" s="126"/>
      <x:c r="Q4694" s="126"/>
      <x:c r="R4694" s="126"/>
      <x:c r="S4694" s="124"/>
      <x:c r="T4694" s="124"/>
      <x:c r="U4694" s="124"/>
      <x:c r="V4694" s="124"/>
      <x:c r="W4694" s="124"/>
      <x:c r="X4694" s="124"/>
      <x:c r="AD4694"/>
      <x:c r="AE4694" s="145"/>
      <x:c r="AF4694" s="145"/>
      <x:c r="AG4694" s="145"/>
      <x:c r="AH4694" s="145"/>
      <x:c r="AI4694" s="145"/>
      <x:c r="AJ4694"/>
    </x:row>
    <x:row r="4695">
      <x:c r="F4695" s="124"/>
      <x:c r="G4695" s="124"/>
      <x:c r="H4695" s="124"/>
      <x:c r="I4695" s="124"/>
      <x:c r="J4695" s="124"/>
      <x:c r="M4695" s="126"/>
      <x:c r="P4695" s="126"/>
      <x:c r="Q4695" s="126"/>
      <x:c r="R4695" s="126"/>
      <x:c r="S4695" s="124"/>
      <x:c r="T4695" s="124"/>
      <x:c r="U4695" s="124"/>
      <x:c r="V4695" s="124"/>
      <x:c r="W4695" s="124"/>
      <x:c r="X4695" s="124"/>
      <x:c r="AD4695"/>
      <x:c r="AE4695" s="145"/>
      <x:c r="AF4695" s="145"/>
      <x:c r="AG4695" s="145"/>
      <x:c r="AH4695" s="145"/>
      <x:c r="AI4695" s="145"/>
      <x:c r="AJ4695"/>
    </x:row>
    <x:row r="4696">
      <x:c r="F4696" s="124"/>
      <x:c r="G4696" s="124"/>
      <x:c r="H4696" s="124"/>
      <x:c r="I4696" s="124"/>
      <x:c r="J4696" s="124"/>
      <x:c r="M4696" s="126"/>
      <x:c r="P4696" s="126"/>
      <x:c r="Q4696" s="126"/>
      <x:c r="R4696" s="126"/>
      <x:c r="S4696" s="124"/>
      <x:c r="T4696" s="124"/>
      <x:c r="U4696" s="124"/>
      <x:c r="V4696" s="124"/>
      <x:c r="W4696" s="124"/>
      <x:c r="X4696" s="124"/>
      <x:c r="AD4696"/>
      <x:c r="AE4696" s="145"/>
      <x:c r="AF4696" s="145"/>
      <x:c r="AG4696" s="145"/>
      <x:c r="AH4696" s="145"/>
      <x:c r="AI4696" s="145"/>
      <x:c r="AJ4696"/>
    </x:row>
    <x:row r="4697">
      <x:c r="F4697" s="124"/>
      <x:c r="G4697" s="124"/>
      <x:c r="H4697" s="124"/>
      <x:c r="I4697" s="124"/>
      <x:c r="J4697" s="124"/>
      <x:c r="M4697" s="126"/>
      <x:c r="P4697" s="126"/>
      <x:c r="Q4697" s="126"/>
      <x:c r="R4697" s="126"/>
      <x:c r="S4697" s="124"/>
      <x:c r="T4697" s="124"/>
      <x:c r="U4697" s="124"/>
      <x:c r="V4697" s="124"/>
      <x:c r="W4697" s="124"/>
      <x:c r="X4697" s="124"/>
      <x:c r="AD4697"/>
      <x:c r="AE4697" s="145"/>
      <x:c r="AF4697" s="145"/>
      <x:c r="AG4697" s="145"/>
      <x:c r="AH4697" s="145"/>
      <x:c r="AI4697" s="145"/>
      <x:c r="AJ4697"/>
    </x:row>
    <x:row r="4698">
      <x:c r="F4698" s="124"/>
      <x:c r="G4698" s="124"/>
      <x:c r="H4698" s="124"/>
      <x:c r="I4698" s="124"/>
      <x:c r="J4698" s="124"/>
      <x:c r="M4698" s="126"/>
      <x:c r="P4698" s="126"/>
      <x:c r="Q4698" s="126"/>
      <x:c r="R4698" s="126"/>
      <x:c r="S4698" s="124"/>
      <x:c r="T4698" s="124"/>
      <x:c r="U4698" s="124"/>
      <x:c r="V4698" s="124"/>
      <x:c r="W4698" s="124"/>
      <x:c r="X4698" s="124"/>
      <x:c r="AD4698"/>
      <x:c r="AE4698" s="145"/>
      <x:c r="AF4698" s="145"/>
      <x:c r="AG4698" s="145"/>
      <x:c r="AH4698" s="145"/>
      <x:c r="AI4698" s="145"/>
      <x:c r="AJ4698"/>
    </x:row>
    <x:row r="4699">
      <x:c r="F4699" s="124"/>
      <x:c r="G4699" s="124"/>
      <x:c r="H4699" s="124"/>
      <x:c r="I4699" s="124"/>
      <x:c r="J4699" s="124"/>
      <x:c r="M4699" s="126"/>
      <x:c r="P4699" s="126"/>
      <x:c r="Q4699" s="126"/>
      <x:c r="R4699" s="126"/>
      <x:c r="S4699" s="124"/>
      <x:c r="T4699" s="124"/>
      <x:c r="U4699" s="124"/>
      <x:c r="V4699" s="124"/>
      <x:c r="W4699" s="124"/>
      <x:c r="X4699" s="124"/>
      <x:c r="AD4699"/>
      <x:c r="AE4699" s="145"/>
      <x:c r="AF4699" s="145"/>
      <x:c r="AG4699" s="145"/>
      <x:c r="AH4699" s="145"/>
      <x:c r="AI4699" s="145"/>
      <x:c r="AJ4699"/>
    </x:row>
    <x:row r="4700">
      <x:c r="F4700" s="124"/>
      <x:c r="G4700" s="124"/>
      <x:c r="H4700" s="124"/>
      <x:c r="I4700" s="124"/>
      <x:c r="J4700" s="124"/>
      <x:c r="M4700" s="126"/>
      <x:c r="P4700" s="126"/>
      <x:c r="Q4700" s="126"/>
      <x:c r="R4700" s="126"/>
      <x:c r="S4700" s="124"/>
      <x:c r="T4700" s="124"/>
      <x:c r="U4700" s="124"/>
      <x:c r="V4700" s="124"/>
      <x:c r="W4700" s="124"/>
      <x:c r="X4700" s="124"/>
      <x:c r="AD4700"/>
      <x:c r="AE4700" s="145"/>
      <x:c r="AF4700" s="145"/>
      <x:c r="AG4700" s="145"/>
      <x:c r="AH4700" s="145"/>
      <x:c r="AI4700" s="145"/>
      <x:c r="AJ4700"/>
    </x:row>
    <x:row r="4701">
      <x:c r="F4701" s="124"/>
      <x:c r="G4701" s="124"/>
      <x:c r="H4701" s="124"/>
      <x:c r="I4701" s="124"/>
      <x:c r="J4701" s="124"/>
      <x:c r="M4701" s="126"/>
      <x:c r="P4701" s="126"/>
      <x:c r="Q4701" s="126"/>
      <x:c r="R4701" s="126"/>
      <x:c r="S4701" s="124"/>
      <x:c r="T4701" s="124"/>
      <x:c r="U4701" s="124"/>
      <x:c r="V4701" s="124"/>
      <x:c r="W4701" s="124"/>
      <x:c r="X4701" s="124"/>
      <x:c r="AD4701"/>
      <x:c r="AE4701" s="145"/>
      <x:c r="AF4701" s="145"/>
      <x:c r="AG4701" s="145"/>
      <x:c r="AH4701" s="145"/>
      <x:c r="AI4701" s="145"/>
      <x:c r="AJ4701"/>
    </x:row>
    <x:row r="4702">
      <x:c r="F4702" s="124"/>
      <x:c r="G4702" s="124"/>
      <x:c r="H4702" s="124"/>
      <x:c r="I4702" s="124"/>
      <x:c r="J4702" s="124"/>
      <x:c r="M4702" s="126"/>
      <x:c r="P4702" s="126"/>
      <x:c r="Q4702" s="126"/>
      <x:c r="R4702" s="126"/>
      <x:c r="S4702" s="124"/>
      <x:c r="T4702" s="124"/>
      <x:c r="U4702" s="124"/>
      <x:c r="V4702" s="124"/>
      <x:c r="W4702" s="124"/>
      <x:c r="X4702" s="124"/>
      <x:c r="AD4702"/>
      <x:c r="AE4702" s="145"/>
      <x:c r="AF4702" s="145"/>
      <x:c r="AG4702" s="145"/>
      <x:c r="AH4702" s="145"/>
      <x:c r="AI4702" s="145"/>
      <x:c r="AJ4702"/>
    </x:row>
    <x:row r="4703">
      <x:c r="F4703" s="124"/>
      <x:c r="G4703" s="124"/>
      <x:c r="H4703" s="124"/>
      <x:c r="I4703" s="124"/>
      <x:c r="J4703" s="124"/>
      <x:c r="M4703" s="126"/>
      <x:c r="P4703" s="126"/>
      <x:c r="Q4703" s="126"/>
      <x:c r="R4703" s="126"/>
      <x:c r="S4703" s="124"/>
      <x:c r="T4703" s="124"/>
      <x:c r="U4703" s="124"/>
      <x:c r="V4703" s="124"/>
      <x:c r="W4703" s="124"/>
      <x:c r="X4703" s="124"/>
      <x:c r="AD4703"/>
      <x:c r="AE4703" s="145"/>
      <x:c r="AF4703" s="145"/>
      <x:c r="AG4703" s="145"/>
      <x:c r="AH4703" s="145"/>
      <x:c r="AI4703" s="145"/>
      <x:c r="AJ4703"/>
    </x:row>
    <x:row r="4704">
      <x:c r="F4704" s="124"/>
      <x:c r="G4704" s="124"/>
      <x:c r="H4704" s="124"/>
      <x:c r="I4704" s="124"/>
      <x:c r="J4704" s="124"/>
      <x:c r="M4704" s="126"/>
      <x:c r="P4704" s="126"/>
      <x:c r="Q4704" s="126"/>
      <x:c r="R4704" s="126"/>
      <x:c r="S4704" s="124"/>
      <x:c r="T4704" s="124"/>
      <x:c r="U4704" s="124"/>
      <x:c r="V4704" s="124"/>
      <x:c r="W4704" s="124"/>
      <x:c r="X4704" s="124"/>
      <x:c r="AD4704"/>
      <x:c r="AE4704" s="145"/>
      <x:c r="AF4704" s="145"/>
      <x:c r="AG4704" s="145"/>
      <x:c r="AH4704" s="145"/>
      <x:c r="AI4704" s="145"/>
      <x:c r="AJ4704"/>
    </x:row>
    <x:row r="4705">
      <x:c r="F4705" s="124"/>
      <x:c r="G4705" s="124"/>
      <x:c r="H4705" s="124"/>
      <x:c r="I4705" s="124"/>
      <x:c r="J4705" s="124"/>
      <x:c r="M4705" s="126"/>
      <x:c r="P4705" s="126"/>
      <x:c r="Q4705" s="126"/>
      <x:c r="R4705" s="126"/>
      <x:c r="S4705" s="124"/>
      <x:c r="T4705" s="124"/>
      <x:c r="U4705" s="124"/>
      <x:c r="V4705" s="124"/>
      <x:c r="W4705" s="124"/>
      <x:c r="X4705" s="124"/>
      <x:c r="AD4705"/>
      <x:c r="AE4705" s="145"/>
      <x:c r="AF4705" s="145"/>
      <x:c r="AG4705" s="145"/>
      <x:c r="AH4705" s="145"/>
      <x:c r="AI4705" s="145"/>
      <x:c r="AJ4705"/>
    </x:row>
    <x:row r="4706">
      <x:c r="F4706" s="124"/>
      <x:c r="G4706" s="124"/>
      <x:c r="H4706" s="124"/>
      <x:c r="I4706" s="124"/>
      <x:c r="J4706" s="124"/>
      <x:c r="M4706" s="126"/>
      <x:c r="P4706" s="126"/>
      <x:c r="Q4706" s="126"/>
      <x:c r="R4706" s="126"/>
      <x:c r="S4706" s="124"/>
      <x:c r="T4706" s="124"/>
      <x:c r="U4706" s="124"/>
      <x:c r="V4706" s="124"/>
      <x:c r="W4706" s="124"/>
      <x:c r="X4706" s="124"/>
      <x:c r="AD4706"/>
      <x:c r="AE4706" s="145"/>
      <x:c r="AF4706" s="145"/>
      <x:c r="AG4706" s="145"/>
      <x:c r="AH4706" s="145"/>
      <x:c r="AI4706" s="145"/>
      <x:c r="AJ4706"/>
    </x:row>
    <x:row r="4707">
      <x:c r="F4707" s="124"/>
      <x:c r="G4707" s="124"/>
      <x:c r="H4707" s="124"/>
      <x:c r="I4707" s="124"/>
      <x:c r="J4707" s="124"/>
      <x:c r="M4707" s="126"/>
      <x:c r="P4707" s="126"/>
      <x:c r="Q4707" s="126"/>
      <x:c r="R4707" s="126"/>
      <x:c r="S4707" s="124"/>
      <x:c r="T4707" s="124"/>
      <x:c r="U4707" s="124"/>
      <x:c r="V4707" s="124"/>
      <x:c r="W4707" s="124"/>
      <x:c r="X4707" s="124"/>
      <x:c r="AD4707"/>
      <x:c r="AE4707" s="145"/>
      <x:c r="AF4707" s="145"/>
      <x:c r="AG4707" s="145"/>
      <x:c r="AH4707" s="145"/>
      <x:c r="AI4707" s="145"/>
      <x:c r="AJ4707"/>
    </x:row>
    <x:row r="4708">
      <x:c r="F4708" s="124"/>
      <x:c r="G4708" s="124"/>
      <x:c r="H4708" s="124"/>
      <x:c r="I4708" s="124"/>
      <x:c r="J4708" s="124"/>
      <x:c r="M4708" s="126"/>
      <x:c r="P4708" s="126"/>
      <x:c r="Q4708" s="126"/>
      <x:c r="R4708" s="126"/>
      <x:c r="S4708" s="124"/>
      <x:c r="T4708" s="124"/>
      <x:c r="U4708" s="124"/>
      <x:c r="V4708" s="124"/>
      <x:c r="W4708" s="124"/>
      <x:c r="X4708" s="124"/>
      <x:c r="AD4708"/>
      <x:c r="AE4708" s="145"/>
      <x:c r="AF4708" s="145"/>
      <x:c r="AG4708" s="145"/>
      <x:c r="AH4708" s="145"/>
      <x:c r="AI4708" s="145"/>
      <x:c r="AJ4708"/>
    </x:row>
    <x:row r="4709">
      <x:c r="F4709" s="124"/>
      <x:c r="G4709" s="124"/>
      <x:c r="H4709" s="124"/>
      <x:c r="I4709" s="124"/>
      <x:c r="J4709" s="124"/>
      <x:c r="M4709" s="126"/>
      <x:c r="P4709" s="126"/>
      <x:c r="Q4709" s="126"/>
      <x:c r="R4709" s="126"/>
      <x:c r="S4709" s="124"/>
      <x:c r="T4709" s="124"/>
      <x:c r="U4709" s="124"/>
      <x:c r="V4709" s="124"/>
      <x:c r="W4709" s="124"/>
      <x:c r="X4709" s="124"/>
      <x:c r="AD4709"/>
      <x:c r="AE4709" s="145"/>
      <x:c r="AF4709" s="145"/>
      <x:c r="AG4709" s="145"/>
      <x:c r="AH4709" s="145"/>
      <x:c r="AI4709" s="145"/>
      <x:c r="AJ4709"/>
    </x:row>
    <x:row r="4710">
      <x:c r="F4710" s="124"/>
      <x:c r="G4710" s="124"/>
      <x:c r="H4710" s="124"/>
      <x:c r="I4710" s="124"/>
      <x:c r="J4710" s="124"/>
      <x:c r="M4710" s="126"/>
      <x:c r="P4710" s="126"/>
      <x:c r="Q4710" s="126"/>
      <x:c r="R4710" s="126"/>
      <x:c r="S4710" s="124"/>
      <x:c r="T4710" s="124"/>
      <x:c r="U4710" s="124"/>
      <x:c r="V4710" s="124"/>
      <x:c r="W4710" s="124"/>
      <x:c r="X4710" s="124"/>
      <x:c r="AD4710"/>
      <x:c r="AE4710" s="145"/>
      <x:c r="AF4710" s="145"/>
      <x:c r="AG4710" s="145"/>
      <x:c r="AH4710" s="145"/>
      <x:c r="AI4710" s="145"/>
      <x:c r="AJ4710"/>
    </x:row>
    <x:row r="4711">
      <x:c r="F4711" s="124"/>
      <x:c r="G4711" s="124"/>
      <x:c r="H4711" s="124"/>
      <x:c r="I4711" s="124"/>
      <x:c r="J4711" s="124"/>
      <x:c r="M4711" s="126"/>
      <x:c r="P4711" s="126"/>
      <x:c r="Q4711" s="126"/>
      <x:c r="R4711" s="126"/>
      <x:c r="S4711" s="124"/>
      <x:c r="T4711" s="124"/>
      <x:c r="U4711" s="124"/>
      <x:c r="V4711" s="124"/>
      <x:c r="W4711" s="124"/>
      <x:c r="X4711" s="124"/>
      <x:c r="AD4711"/>
      <x:c r="AE4711" s="145"/>
      <x:c r="AF4711" s="145"/>
      <x:c r="AG4711" s="145"/>
      <x:c r="AH4711" s="145"/>
      <x:c r="AI4711" s="145"/>
      <x:c r="AJ4711"/>
    </x:row>
    <x:row r="4712">
      <x:c r="F4712" s="124"/>
      <x:c r="G4712" s="124"/>
      <x:c r="H4712" s="124"/>
      <x:c r="I4712" s="124"/>
      <x:c r="J4712" s="124"/>
      <x:c r="M4712" s="126"/>
      <x:c r="P4712" s="126"/>
      <x:c r="Q4712" s="126"/>
      <x:c r="R4712" s="126"/>
      <x:c r="S4712" s="124"/>
      <x:c r="T4712" s="124"/>
      <x:c r="U4712" s="124"/>
      <x:c r="V4712" s="124"/>
      <x:c r="W4712" s="124"/>
      <x:c r="X4712" s="124"/>
      <x:c r="AD4712"/>
      <x:c r="AE4712" s="145"/>
      <x:c r="AF4712" s="145"/>
      <x:c r="AG4712" s="145"/>
      <x:c r="AH4712" s="145"/>
      <x:c r="AI4712" s="145"/>
      <x:c r="AJ4712"/>
    </x:row>
    <x:row r="4713">
      <x:c r="F4713" s="124"/>
      <x:c r="G4713" s="124"/>
      <x:c r="H4713" s="124"/>
      <x:c r="I4713" s="124"/>
      <x:c r="J4713" s="124"/>
      <x:c r="M4713" s="126"/>
      <x:c r="P4713" s="126"/>
      <x:c r="Q4713" s="126"/>
      <x:c r="R4713" s="126"/>
      <x:c r="S4713" s="124"/>
      <x:c r="T4713" s="124"/>
      <x:c r="U4713" s="124"/>
      <x:c r="V4713" s="124"/>
      <x:c r="W4713" s="124"/>
      <x:c r="X4713" s="124"/>
      <x:c r="AD4713"/>
      <x:c r="AE4713" s="145"/>
      <x:c r="AF4713" s="145"/>
      <x:c r="AG4713" s="145"/>
      <x:c r="AH4713" s="145"/>
      <x:c r="AI4713" s="145"/>
      <x:c r="AJ4713"/>
    </x:row>
    <x:row r="4714">
      <x:c r="F4714" s="124"/>
      <x:c r="G4714" s="124"/>
      <x:c r="H4714" s="124"/>
      <x:c r="I4714" s="124"/>
      <x:c r="J4714" s="124"/>
      <x:c r="M4714" s="126"/>
      <x:c r="P4714" s="126"/>
      <x:c r="Q4714" s="126"/>
      <x:c r="R4714" s="126"/>
      <x:c r="S4714" s="124"/>
      <x:c r="T4714" s="124"/>
      <x:c r="U4714" s="124"/>
      <x:c r="V4714" s="124"/>
      <x:c r="W4714" s="124"/>
      <x:c r="X4714" s="124"/>
      <x:c r="AD4714"/>
      <x:c r="AE4714" s="145"/>
      <x:c r="AF4714" s="145"/>
      <x:c r="AG4714" s="145"/>
      <x:c r="AH4714" s="145"/>
      <x:c r="AI4714" s="145"/>
      <x:c r="AJ4714"/>
    </x:row>
    <x:row r="4715">
      <x:c r="F4715" s="124"/>
      <x:c r="G4715" s="124"/>
      <x:c r="H4715" s="124"/>
      <x:c r="I4715" s="124"/>
      <x:c r="J4715" s="124"/>
      <x:c r="M4715" s="126"/>
      <x:c r="P4715" s="126"/>
      <x:c r="Q4715" s="126"/>
      <x:c r="R4715" s="126"/>
      <x:c r="S4715" s="124"/>
      <x:c r="T4715" s="124"/>
      <x:c r="U4715" s="124"/>
      <x:c r="V4715" s="124"/>
      <x:c r="W4715" s="124"/>
      <x:c r="X4715" s="124"/>
      <x:c r="AD4715"/>
      <x:c r="AE4715" s="145"/>
      <x:c r="AF4715" s="145"/>
      <x:c r="AG4715" s="145"/>
      <x:c r="AH4715" s="145"/>
      <x:c r="AI4715" s="145"/>
      <x:c r="AJ4715"/>
    </x:row>
    <x:row r="4716">
      <x:c r="F4716" s="124"/>
      <x:c r="G4716" s="124"/>
      <x:c r="H4716" s="124"/>
      <x:c r="I4716" s="124"/>
      <x:c r="J4716" s="124"/>
      <x:c r="M4716" s="126"/>
      <x:c r="P4716" s="126"/>
      <x:c r="Q4716" s="126"/>
      <x:c r="R4716" s="126"/>
      <x:c r="S4716" s="124"/>
      <x:c r="T4716" s="124"/>
      <x:c r="U4716" s="124"/>
      <x:c r="V4716" s="124"/>
      <x:c r="W4716" s="124"/>
      <x:c r="X4716" s="124"/>
      <x:c r="AD4716"/>
      <x:c r="AE4716" s="145"/>
      <x:c r="AF4716" s="145"/>
      <x:c r="AG4716" s="145"/>
      <x:c r="AH4716" s="145"/>
      <x:c r="AI4716" s="145"/>
      <x:c r="AJ4716"/>
    </x:row>
    <x:row r="4717">
      <x:c r="F4717" s="124"/>
      <x:c r="G4717" s="124"/>
      <x:c r="H4717" s="124"/>
      <x:c r="I4717" s="124"/>
      <x:c r="J4717" s="124"/>
      <x:c r="M4717" s="126"/>
      <x:c r="P4717" s="126"/>
      <x:c r="Q4717" s="126"/>
      <x:c r="R4717" s="126"/>
      <x:c r="S4717" s="124"/>
      <x:c r="T4717" s="124"/>
      <x:c r="U4717" s="124"/>
      <x:c r="V4717" s="124"/>
      <x:c r="W4717" s="124"/>
      <x:c r="X4717" s="124"/>
      <x:c r="AD4717"/>
      <x:c r="AE4717" s="145"/>
      <x:c r="AF4717" s="145"/>
      <x:c r="AG4717" s="145"/>
      <x:c r="AH4717" s="145"/>
      <x:c r="AI4717" s="145"/>
      <x:c r="AJ4717"/>
    </x:row>
    <x:row r="4718">
      <x:c r="F4718" s="124"/>
      <x:c r="G4718" s="124"/>
      <x:c r="H4718" s="124"/>
      <x:c r="I4718" s="124"/>
      <x:c r="J4718" s="124"/>
      <x:c r="M4718" s="126"/>
      <x:c r="P4718" s="126"/>
      <x:c r="Q4718" s="126"/>
      <x:c r="R4718" s="126"/>
      <x:c r="S4718" s="124"/>
      <x:c r="T4718" s="124"/>
      <x:c r="U4718" s="124"/>
      <x:c r="V4718" s="124"/>
      <x:c r="W4718" s="124"/>
      <x:c r="X4718" s="124"/>
      <x:c r="AD4718"/>
      <x:c r="AE4718" s="145"/>
      <x:c r="AF4718" s="145"/>
      <x:c r="AG4718" s="145"/>
      <x:c r="AH4718" s="145"/>
      <x:c r="AI4718" s="145"/>
      <x:c r="AJ4718"/>
    </x:row>
    <x:row r="4719">
      <x:c r="F4719" s="124"/>
      <x:c r="G4719" s="124"/>
      <x:c r="H4719" s="124"/>
      <x:c r="I4719" s="124"/>
      <x:c r="J4719" s="124"/>
      <x:c r="M4719" s="126"/>
      <x:c r="P4719" s="126"/>
      <x:c r="Q4719" s="126"/>
      <x:c r="R4719" s="126"/>
      <x:c r="S4719" s="124"/>
      <x:c r="T4719" s="124"/>
      <x:c r="U4719" s="124"/>
      <x:c r="V4719" s="124"/>
      <x:c r="W4719" s="124"/>
      <x:c r="X4719" s="124"/>
      <x:c r="AD4719"/>
      <x:c r="AE4719" s="145"/>
      <x:c r="AF4719" s="145"/>
      <x:c r="AG4719" s="145"/>
      <x:c r="AH4719" s="145"/>
      <x:c r="AI4719" s="145"/>
      <x:c r="AJ4719"/>
    </x:row>
    <x:row r="4720">
      <x:c r="F4720" s="124"/>
      <x:c r="G4720" s="124"/>
      <x:c r="H4720" s="124"/>
      <x:c r="I4720" s="124"/>
      <x:c r="J4720" s="124"/>
      <x:c r="M4720" s="126"/>
      <x:c r="P4720" s="126"/>
      <x:c r="Q4720" s="126"/>
      <x:c r="R4720" s="126"/>
      <x:c r="S4720" s="124"/>
      <x:c r="T4720" s="124"/>
      <x:c r="U4720" s="124"/>
      <x:c r="V4720" s="124"/>
      <x:c r="W4720" s="124"/>
      <x:c r="X4720" s="124"/>
      <x:c r="AD4720"/>
      <x:c r="AE4720" s="145"/>
      <x:c r="AF4720" s="145"/>
      <x:c r="AG4720" s="145"/>
      <x:c r="AH4720" s="145"/>
      <x:c r="AI4720" s="145"/>
      <x:c r="AJ4720"/>
    </x:row>
    <x:row r="4721">
      <x:c r="F4721" s="124"/>
      <x:c r="G4721" s="124"/>
      <x:c r="H4721" s="124"/>
      <x:c r="I4721" s="124"/>
      <x:c r="J4721" s="124"/>
      <x:c r="M4721" s="126"/>
      <x:c r="P4721" s="126"/>
      <x:c r="Q4721" s="126"/>
      <x:c r="R4721" s="126"/>
      <x:c r="S4721" s="124"/>
      <x:c r="T4721" s="124"/>
      <x:c r="U4721" s="124"/>
      <x:c r="V4721" s="124"/>
      <x:c r="W4721" s="124"/>
      <x:c r="X4721" s="124"/>
      <x:c r="AD4721"/>
      <x:c r="AE4721" s="145"/>
      <x:c r="AF4721" s="145"/>
      <x:c r="AG4721" s="145"/>
      <x:c r="AH4721" s="145"/>
      <x:c r="AI4721" s="145"/>
      <x:c r="AJ4721"/>
    </x:row>
    <x:row r="4722">
      <x:c r="F4722" s="124"/>
      <x:c r="G4722" s="124"/>
      <x:c r="H4722" s="124"/>
      <x:c r="I4722" s="124"/>
      <x:c r="J4722" s="124"/>
      <x:c r="M4722" s="126"/>
      <x:c r="P4722" s="126"/>
      <x:c r="Q4722" s="126"/>
      <x:c r="R4722" s="126"/>
      <x:c r="S4722" s="124"/>
      <x:c r="T4722" s="124"/>
      <x:c r="U4722" s="124"/>
      <x:c r="V4722" s="124"/>
      <x:c r="W4722" s="124"/>
      <x:c r="X4722" s="124"/>
      <x:c r="AD4722"/>
      <x:c r="AE4722" s="145"/>
      <x:c r="AF4722" s="145"/>
      <x:c r="AG4722" s="145"/>
      <x:c r="AH4722" s="145"/>
      <x:c r="AI4722" s="145"/>
      <x:c r="AJ4722"/>
    </x:row>
    <x:row r="4723">
      <x:c r="F4723" s="124"/>
      <x:c r="G4723" s="124"/>
      <x:c r="H4723" s="124"/>
      <x:c r="I4723" s="124"/>
      <x:c r="J4723" s="124"/>
      <x:c r="M4723" s="126"/>
      <x:c r="P4723" s="126"/>
      <x:c r="Q4723" s="126"/>
      <x:c r="R4723" s="126"/>
      <x:c r="S4723" s="124"/>
      <x:c r="T4723" s="124"/>
      <x:c r="U4723" s="124"/>
      <x:c r="V4723" s="124"/>
      <x:c r="W4723" s="124"/>
      <x:c r="X4723" s="124"/>
      <x:c r="AD4723"/>
      <x:c r="AE4723" s="145"/>
      <x:c r="AF4723" s="145"/>
      <x:c r="AG4723" s="145"/>
      <x:c r="AH4723" s="145"/>
      <x:c r="AI4723" s="145"/>
      <x:c r="AJ4723"/>
    </x:row>
    <x:row r="4724">
      <x:c r="F4724" s="124"/>
      <x:c r="G4724" s="124"/>
      <x:c r="H4724" s="124"/>
      <x:c r="I4724" s="124"/>
      <x:c r="J4724" s="124"/>
      <x:c r="M4724" s="126"/>
      <x:c r="P4724" s="126"/>
      <x:c r="Q4724" s="126"/>
      <x:c r="R4724" s="126"/>
      <x:c r="S4724" s="124"/>
      <x:c r="T4724" s="124"/>
      <x:c r="U4724" s="124"/>
      <x:c r="V4724" s="124"/>
      <x:c r="W4724" s="124"/>
      <x:c r="X4724" s="124"/>
      <x:c r="AD4724"/>
      <x:c r="AE4724" s="145"/>
      <x:c r="AF4724" s="145"/>
      <x:c r="AG4724" s="145"/>
      <x:c r="AH4724" s="145"/>
      <x:c r="AI4724" s="145"/>
      <x:c r="AJ4724"/>
    </x:row>
    <x:row r="4725">
      <x:c r="F4725" s="124"/>
      <x:c r="G4725" s="124"/>
      <x:c r="H4725" s="124"/>
      <x:c r="I4725" s="124"/>
      <x:c r="J4725" s="124"/>
      <x:c r="M4725" s="126"/>
      <x:c r="P4725" s="126"/>
      <x:c r="Q4725" s="126"/>
      <x:c r="R4725" s="126"/>
      <x:c r="S4725" s="124"/>
      <x:c r="T4725" s="124"/>
      <x:c r="U4725" s="124"/>
      <x:c r="V4725" s="124"/>
      <x:c r="W4725" s="124"/>
      <x:c r="X4725" s="124"/>
      <x:c r="AD4725"/>
      <x:c r="AE4725" s="145"/>
      <x:c r="AF4725" s="145"/>
      <x:c r="AG4725" s="145"/>
      <x:c r="AH4725" s="145"/>
      <x:c r="AI4725" s="145"/>
      <x:c r="AJ4725"/>
    </x:row>
    <x:row r="4726">
      <x:c r="F4726" s="124"/>
      <x:c r="G4726" s="124"/>
      <x:c r="H4726" s="124"/>
      <x:c r="I4726" s="124"/>
      <x:c r="J4726" s="124"/>
      <x:c r="M4726" s="126"/>
      <x:c r="P4726" s="126"/>
      <x:c r="Q4726" s="126"/>
      <x:c r="R4726" s="126"/>
      <x:c r="S4726" s="124"/>
      <x:c r="T4726" s="124"/>
      <x:c r="U4726" s="124"/>
      <x:c r="V4726" s="124"/>
      <x:c r="W4726" s="124"/>
      <x:c r="X4726" s="124"/>
      <x:c r="AD4726"/>
      <x:c r="AE4726" s="145"/>
      <x:c r="AF4726" s="145"/>
      <x:c r="AG4726" s="145"/>
      <x:c r="AH4726" s="145"/>
      <x:c r="AI4726" s="145"/>
      <x:c r="AJ4726"/>
    </x:row>
    <x:row r="4727">
      <x:c r="F4727" s="124"/>
      <x:c r="G4727" s="124"/>
      <x:c r="H4727" s="124"/>
      <x:c r="I4727" s="124"/>
      <x:c r="J4727" s="124"/>
      <x:c r="M4727" s="126"/>
      <x:c r="P4727" s="126"/>
      <x:c r="Q4727" s="126"/>
      <x:c r="R4727" s="126"/>
      <x:c r="S4727" s="124"/>
      <x:c r="T4727" s="124"/>
      <x:c r="U4727" s="124"/>
      <x:c r="V4727" s="124"/>
      <x:c r="W4727" s="124"/>
      <x:c r="X4727" s="124"/>
      <x:c r="AD4727"/>
      <x:c r="AE4727" s="145"/>
      <x:c r="AF4727" s="145"/>
      <x:c r="AG4727" s="145"/>
      <x:c r="AH4727" s="145"/>
      <x:c r="AI4727" s="145"/>
      <x:c r="AJ4727"/>
    </x:row>
    <x:row r="4728">
      <x:c r="F4728" s="124"/>
      <x:c r="G4728" s="124"/>
      <x:c r="H4728" s="124"/>
      <x:c r="I4728" s="124"/>
      <x:c r="J4728" s="124"/>
      <x:c r="M4728" s="126"/>
      <x:c r="P4728" s="126"/>
      <x:c r="Q4728" s="126"/>
      <x:c r="R4728" s="126"/>
      <x:c r="S4728" s="124"/>
      <x:c r="T4728" s="124"/>
      <x:c r="U4728" s="124"/>
      <x:c r="V4728" s="124"/>
      <x:c r="W4728" s="124"/>
      <x:c r="X4728" s="124"/>
      <x:c r="AD4728"/>
      <x:c r="AE4728" s="145"/>
      <x:c r="AF4728" s="145"/>
      <x:c r="AG4728" s="145"/>
      <x:c r="AH4728" s="145"/>
      <x:c r="AI4728" s="145"/>
      <x:c r="AJ4728"/>
    </x:row>
    <x:row r="4729">
      <x:c r="F4729" s="124"/>
      <x:c r="G4729" s="124"/>
      <x:c r="H4729" s="124"/>
      <x:c r="I4729" s="124"/>
      <x:c r="J4729" s="124"/>
      <x:c r="M4729" s="126"/>
      <x:c r="P4729" s="126"/>
      <x:c r="Q4729" s="126"/>
      <x:c r="R4729" s="126"/>
      <x:c r="S4729" s="124"/>
      <x:c r="T4729" s="124"/>
      <x:c r="U4729" s="124"/>
      <x:c r="V4729" s="124"/>
      <x:c r="W4729" s="124"/>
      <x:c r="X4729" s="124"/>
      <x:c r="AD4729"/>
      <x:c r="AE4729" s="145"/>
      <x:c r="AF4729" s="145"/>
      <x:c r="AG4729" s="145"/>
      <x:c r="AH4729" s="145"/>
      <x:c r="AI4729" s="145"/>
      <x:c r="AJ4729"/>
    </x:row>
    <x:row r="4730">
      <x:c r="F4730" s="124"/>
      <x:c r="G4730" s="124"/>
      <x:c r="H4730" s="124"/>
      <x:c r="I4730" s="124"/>
      <x:c r="J4730" s="124"/>
      <x:c r="M4730" s="126"/>
      <x:c r="P4730" s="126"/>
      <x:c r="Q4730" s="126"/>
      <x:c r="R4730" s="126"/>
      <x:c r="S4730" s="124"/>
      <x:c r="T4730" s="124"/>
      <x:c r="U4730" s="124"/>
      <x:c r="V4730" s="124"/>
      <x:c r="W4730" s="124"/>
      <x:c r="X4730" s="124"/>
      <x:c r="AD4730"/>
      <x:c r="AE4730" s="145"/>
      <x:c r="AF4730" s="145"/>
      <x:c r="AG4730" s="145"/>
      <x:c r="AH4730" s="145"/>
      <x:c r="AI4730" s="145"/>
      <x:c r="AJ4730"/>
    </x:row>
    <x:row r="4731">
      <x:c r="F4731" s="124"/>
      <x:c r="G4731" s="124"/>
      <x:c r="H4731" s="124"/>
      <x:c r="I4731" s="124"/>
      <x:c r="J4731" s="124"/>
      <x:c r="M4731" s="126"/>
      <x:c r="P4731" s="126"/>
      <x:c r="Q4731" s="126"/>
      <x:c r="R4731" s="126"/>
      <x:c r="S4731" s="124"/>
      <x:c r="T4731" s="124"/>
      <x:c r="U4731" s="124"/>
      <x:c r="V4731" s="124"/>
      <x:c r="W4731" s="124"/>
      <x:c r="X4731" s="124"/>
      <x:c r="AD4731"/>
      <x:c r="AE4731" s="145"/>
      <x:c r="AF4731" s="145"/>
      <x:c r="AG4731" s="145"/>
      <x:c r="AH4731" s="145"/>
      <x:c r="AI4731" s="145"/>
      <x:c r="AJ4731"/>
    </x:row>
    <x:row r="4732">
      <x:c r="F4732" s="124"/>
      <x:c r="G4732" s="124"/>
      <x:c r="H4732" s="124"/>
      <x:c r="I4732" s="124"/>
      <x:c r="J4732" s="124"/>
      <x:c r="M4732" s="126"/>
      <x:c r="P4732" s="126"/>
      <x:c r="Q4732" s="126"/>
      <x:c r="R4732" s="126"/>
      <x:c r="S4732" s="124"/>
      <x:c r="T4732" s="124"/>
      <x:c r="U4732" s="124"/>
      <x:c r="V4732" s="124"/>
      <x:c r="W4732" s="124"/>
      <x:c r="X4732" s="124"/>
      <x:c r="AD4732"/>
      <x:c r="AE4732" s="145"/>
      <x:c r="AF4732" s="145"/>
      <x:c r="AG4732" s="145"/>
      <x:c r="AH4732" s="145"/>
      <x:c r="AI4732" s="145"/>
      <x:c r="AJ4732"/>
    </x:row>
    <x:row r="4733">
      <x:c r="F4733" s="124"/>
      <x:c r="G4733" s="124"/>
      <x:c r="H4733" s="124"/>
      <x:c r="I4733" s="124"/>
      <x:c r="J4733" s="124"/>
      <x:c r="M4733" s="126"/>
      <x:c r="P4733" s="126"/>
      <x:c r="Q4733" s="126"/>
      <x:c r="R4733" s="126"/>
      <x:c r="S4733" s="124"/>
      <x:c r="T4733" s="124"/>
      <x:c r="U4733" s="124"/>
      <x:c r="V4733" s="124"/>
      <x:c r="W4733" s="124"/>
      <x:c r="X4733" s="124"/>
      <x:c r="AD4733"/>
      <x:c r="AE4733" s="145"/>
      <x:c r="AF4733" s="145"/>
      <x:c r="AG4733" s="145"/>
      <x:c r="AH4733" s="145"/>
      <x:c r="AI4733" s="145"/>
      <x:c r="AJ4733"/>
    </x:row>
    <x:row r="4734">
      <x:c r="F4734" s="124"/>
      <x:c r="G4734" s="124"/>
      <x:c r="H4734" s="124"/>
      <x:c r="I4734" s="124"/>
      <x:c r="J4734" s="124"/>
      <x:c r="M4734" s="126"/>
      <x:c r="P4734" s="126"/>
      <x:c r="Q4734" s="126"/>
      <x:c r="R4734" s="126"/>
      <x:c r="S4734" s="124"/>
      <x:c r="T4734" s="124"/>
      <x:c r="U4734" s="124"/>
      <x:c r="V4734" s="124"/>
      <x:c r="W4734" s="124"/>
      <x:c r="X4734" s="124"/>
      <x:c r="AD4734"/>
      <x:c r="AE4734" s="145"/>
      <x:c r="AF4734" s="145"/>
      <x:c r="AG4734" s="145"/>
      <x:c r="AH4734" s="145"/>
      <x:c r="AI4734" s="145"/>
      <x:c r="AJ4734"/>
    </x:row>
    <x:row r="4735">
      <x:c r="F4735" s="124"/>
      <x:c r="G4735" s="124"/>
      <x:c r="H4735" s="124"/>
      <x:c r="I4735" s="124"/>
      <x:c r="J4735" s="124"/>
      <x:c r="M4735" s="126"/>
      <x:c r="P4735" s="126"/>
      <x:c r="Q4735" s="126"/>
      <x:c r="R4735" s="126"/>
      <x:c r="S4735" s="124"/>
      <x:c r="T4735" s="124"/>
      <x:c r="U4735" s="124"/>
      <x:c r="V4735" s="124"/>
      <x:c r="W4735" s="124"/>
      <x:c r="X4735" s="124"/>
      <x:c r="AD4735"/>
      <x:c r="AE4735" s="145"/>
      <x:c r="AF4735" s="145"/>
      <x:c r="AG4735" s="145"/>
      <x:c r="AH4735" s="145"/>
      <x:c r="AI4735" s="145"/>
      <x:c r="AJ4735"/>
    </x:row>
    <x:row r="4736">
      <x:c r="F4736" s="124"/>
      <x:c r="G4736" s="124"/>
      <x:c r="H4736" s="124"/>
      <x:c r="I4736" s="124"/>
      <x:c r="J4736" s="124"/>
      <x:c r="M4736" s="126"/>
      <x:c r="P4736" s="126"/>
      <x:c r="Q4736" s="126"/>
      <x:c r="R4736" s="126"/>
      <x:c r="S4736" s="124"/>
      <x:c r="T4736" s="124"/>
      <x:c r="U4736" s="124"/>
      <x:c r="V4736" s="124"/>
      <x:c r="W4736" s="124"/>
      <x:c r="X4736" s="124"/>
      <x:c r="AD4736"/>
      <x:c r="AE4736" s="145"/>
      <x:c r="AF4736" s="145"/>
      <x:c r="AG4736" s="145"/>
      <x:c r="AH4736" s="145"/>
      <x:c r="AI4736" s="145"/>
      <x:c r="AJ4736"/>
    </x:row>
    <x:row r="4737">
      <x:c r="F4737" s="124"/>
      <x:c r="G4737" s="124"/>
      <x:c r="H4737" s="124"/>
      <x:c r="I4737" s="124"/>
      <x:c r="J4737" s="124"/>
      <x:c r="M4737" s="126"/>
      <x:c r="P4737" s="126"/>
      <x:c r="Q4737" s="126"/>
      <x:c r="R4737" s="126"/>
      <x:c r="S4737" s="124"/>
      <x:c r="T4737" s="124"/>
      <x:c r="U4737" s="124"/>
      <x:c r="V4737" s="124"/>
      <x:c r="W4737" s="124"/>
      <x:c r="X4737" s="124"/>
      <x:c r="AD4737"/>
      <x:c r="AE4737" s="145"/>
      <x:c r="AF4737" s="145"/>
      <x:c r="AG4737" s="145"/>
      <x:c r="AH4737" s="145"/>
      <x:c r="AI4737" s="145"/>
      <x:c r="AJ4737"/>
    </x:row>
    <x:row r="4738">
      <x:c r="F4738" s="124"/>
      <x:c r="G4738" s="124"/>
      <x:c r="H4738" s="124"/>
      <x:c r="I4738" s="124"/>
      <x:c r="J4738" s="124"/>
      <x:c r="M4738" s="126"/>
      <x:c r="P4738" s="126"/>
      <x:c r="Q4738" s="126"/>
      <x:c r="R4738" s="126"/>
      <x:c r="S4738" s="124"/>
      <x:c r="T4738" s="124"/>
      <x:c r="U4738" s="124"/>
      <x:c r="V4738" s="124"/>
      <x:c r="W4738" s="124"/>
      <x:c r="X4738" s="124"/>
      <x:c r="AD4738"/>
      <x:c r="AE4738" s="145"/>
      <x:c r="AF4738" s="145"/>
      <x:c r="AG4738" s="145"/>
      <x:c r="AH4738" s="145"/>
      <x:c r="AI4738" s="145"/>
      <x:c r="AJ4738"/>
    </x:row>
    <x:row r="4739">
      <x:c r="F4739" s="124"/>
      <x:c r="G4739" s="124"/>
      <x:c r="H4739" s="124"/>
      <x:c r="I4739" s="124"/>
      <x:c r="J4739" s="124"/>
      <x:c r="M4739" s="126"/>
      <x:c r="P4739" s="126"/>
      <x:c r="Q4739" s="126"/>
      <x:c r="R4739" s="126"/>
      <x:c r="S4739" s="124"/>
      <x:c r="T4739" s="124"/>
      <x:c r="U4739" s="124"/>
      <x:c r="V4739" s="124"/>
      <x:c r="W4739" s="124"/>
      <x:c r="X4739" s="124"/>
      <x:c r="AD4739"/>
      <x:c r="AE4739" s="145"/>
      <x:c r="AF4739" s="145"/>
      <x:c r="AG4739" s="145"/>
      <x:c r="AH4739" s="145"/>
      <x:c r="AI4739" s="145"/>
      <x:c r="AJ4739"/>
    </x:row>
    <x:row r="4740">
      <x:c r="F4740" s="124"/>
      <x:c r="G4740" s="124"/>
      <x:c r="H4740" s="124"/>
      <x:c r="I4740" s="124"/>
      <x:c r="J4740" s="124"/>
      <x:c r="M4740" s="126"/>
      <x:c r="P4740" s="126"/>
      <x:c r="Q4740" s="126"/>
      <x:c r="R4740" s="126"/>
      <x:c r="S4740" s="124"/>
      <x:c r="T4740" s="124"/>
      <x:c r="U4740" s="124"/>
      <x:c r="V4740" s="124"/>
      <x:c r="W4740" s="124"/>
      <x:c r="X4740" s="124"/>
      <x:c r="AD4740"/>
      <x:c r="AE4740" s="145"/>
      <x:c r="AF4740" s="145"/>
      <x:c r="AG4740" s="145"/>
      <x:c r="AH4740" s="145"/>
      <x:c r="AI4740" s="145"/>
      <x:c r="AJ4740"/>
    </x:row>
    <x:row r="4741">
      <x:c r="F4741" s="124"/>
      <x:c r="G4741" s="124"/>
      <x:c r="H4741" s="124"/>
      <x:c r="I4741" s="124"/>
      <x:c r="J4741" s="124"/>
      <x:c r="M4741" s="126"/>
      <x:c r="P4741" s="126"/>
      <x:c r="Q4741" s="126"/>
      <x:c r="R4741" s="126"/>
      <x:c r="S4741" s="124"/>
      <x:c r="T4741" s="124"/>
      <x:c r="U4741" s="124"/>
      <x:c r="V4741" s="124"/>
      <x:c r="W4741" s="124"/>
      <x:c r="X4741" s="124"/>
      <x:c r="AD4741"/>
      <x:c r="AE4741" s="145"/>
      <x:c r="AF4741" s="145"/>
      <x:c r="AG4741" s="145"/>
      <x:c r="AH4741" s="145"/>
      <x:c r="AI4741" s="145"/>
      <x:c r="AJ4741"/>
    </x:row>
    <x:row r="4742">
      <x:c r="F4742" s="124"/>
      <x:c r="G4742" s="124"/>
      <x:c r="H4742" s="124"/>
      <x:c r="I4742" s="124"/>
      <x:c r="J4742" s="124"/>
      <x:c r="M4742" s="126"/>
      <x:c r="P4742" s="126"/>
      <x:c r="Q4742" s="126"/>
      <x:c r="R4742" s="126"/>
      <x:c r="S4742" s="124"/>
      <x:c r="T4742" s="124"/>
      <x:c r="U4742" s="124"/>
      <x:c r="V4742" s="124"/>
      <x:c r="W4742" s="124"/>
      <x:c r="X4742" s="124"/>
      <x:c r="AD4742"/>
      <x:c r="AE4742" s="145"/>
      <x:c r="AF4742" s="145"/>
      <x:c r="AG4742" s="145"/>
      <x:c r="AH4742" s="145"/>
      <x:c r="AI4742" s="145"/>
      <x:c r="AJ4742"/>
    </x:row>
    <x:row r="4743">
      <x:c r="F4743" s="124"/>
      <x:c r="G4743" s="124"/>
      <x:c r="H4743" s="124"/>
      <x:c r="I4743" s="124"/>
      <x:c r="J4743" s="124"/>
      <x:c r="M4743" s="126"/>
      <x:c r="P4743" s="126"/>
      <x:c r="Q4743" s="126"/>
      <x:c r="R4743" s="126"/>
      <x:c r="S4743" s="124"/>
      <x:c r="T4743" s="124"/>
      <x:c r="U4743" s="124"/>
      <x:c r="V4743" s="124"/>
      <x:c r="W4743" s="124"/>
      <x:c r="X4743" s="124"/>
      <x:c r="AD4743"/>
      <x:c r="AE4743" s="145"/>
      <x:c r="AF4743" s="145"/>
      <x:c r="AG4743" s="145"/>
      <x:c r="AH4743" s="145"/>
      <x:c r="AI4743" s="145"/>
      <x:c r="AJ4743"/>
    </x:row>
    <x:row r="4744">
      <x:c r="F4744" s="124"/>
      <x:c r="G4744" s="124"/>
      <x:c r="H4744" s="124"/>
      <x:c r="I4744" s="124"/>
      <x:c r="J4744" s="124"/>
      <x:c r="M4744" s="126"/>
      <x:c r="P4744" s="126"/>
      <x:c r="Q4744" s="126"/>
      <x:c r="R4744" s="126"/>
      <x:c r="S4744" s="124"/>
      <x:c r="T4744" s="124"/>
      <x:c r="U4744" s="124"/>
      <x:c r="V4744" s="124"/>
      <x:c r="W4744" s="124"/>
      <x:c r="X4744" s="124"/>
      <x:c r="AD4744"/>
      <x:c r="AE4744" s="145"/>
      <x:c r="AF4744" s="145"/>
      <x:c r="AG4744" s="145"/>
      <x:c r="AH4744" s="145"/>
      <x:c r="AI4744" s="145"/>
      <x:c r="AJ4744"/>
    </x:row>
    <x:row r="4745">
      <x:c r="F4745" s="124"/>
      <x:c r="G4745" s="124"/>
      <x:c r="H4745" s="124"/>
      <x:c r="I4745" s="124"/>
      <x:c r="J4745" s="124"/>
      <x:c r="M4745" s="126"/>
      <x:c r="P4745" s="126"/>
      <x:c r="Q4745" s="126"/>
      <x:c r="R4745" s="126"/>
      <x:c r="S4745" s="124"/>
      <x:c r="T4745" s="124"/>
      <x:c r="U4745" s="124"/>
      <x:c r="V4745" s="124"/>
      <x:c r="W4745" s="124"/>
      <x:c r="X4745" s="124"/>
      <x:c r="AD4745"/>
      <x:c r="AE4745" s="145"/>
      <x:c r="AF4745" s="145"/>
      <x:c r="AG4745" s="145"/>
      <x:c r="AH4745" s="145"/>
      <x:c r="AI4745" s="145"/>
      <x:c r="AJ4745"/>
    </x:row>
    <x:row r="4746">
      <x:c r="F4746" s="124"/>
      <x:c r="G4746" s="124"/>
      <x:c r="H4746" s="124"/>
      <x:c r="I4746" s="124"/>
      <x:c r="J4746" s="124"/>
      <x:c r="M4746" s="126"/>
      <x:c r="P4746" s="126"/>
      <x:c r="Q4746" s="126"/>
      <x:c r="R4746" s="126"/>
      <x:c r="S4746" s="124"/>
      <x:c r="T4746" s="124"/>
      <x:c r="U4746" s="124"/>
      <x:c r="V4746" s="124"/>
      <x:c r="W4746" s="124"/>
      <x:c r="X4746" s="124"/>
      <x:c r="AD4746"/>
      <x:c r="AE4746" s="145"/>
      <x:c r="AF4746" s="145"/>
      <x:c r="AG4746" s="145"/>
      <x:c r="AH4746" s="145"/>
      <x:c r="AI4746" s="145"/>
      <x:c r="AJ4746"/>
    </x:row>
    <x:row r="4747">
      <x:c r="F4747" s="124"/>
      <x:c r="G4747" s="124"/>
      <x:c r="H4747" s="124"/>
      <x:c r="I4747" s="124"/>
      <x:c r="J4747" s="124"/>
      <x:c r="M4747" s="126"/>
      <x:c r="P4747" s="126"/>
      <x:c r="Q4747" s="126"/>
      <x:c r="R4747" s="126"/>
      <x:c r="S4747" s="124"/>
      <x:c r="T4747" s="124"/>
      <x:c r="U4747" s="124"/>
      <x:c r="V4747" s="124"/>
      <x:c r="W4747" s="124"/>
      <x:c r="X4747" s="124"/>
      <x:c r="AD4747"/>
      <x:c r="AE4747" s="145"/>
      <x:c r="AF4747" s="145"/>
      <x:c r="AG4747" s="145"/>
      <x:c r="AH4747" s="145"/>
      <x:c r="AI4747" s="145"/>
      <x:c r="AJ4747"/>
    </x:row>
    <x:row r="4748">
      <x:c r="F4748" s="124"/>
      <x:c r="G4748" s="124"/>
      <x:c r="H4748" s="124"/>
      <x:c r="I4748" s="124"/>
      <x:c r="J4748" s="124"/>
      <x:c r="M4748" s="126"/>
      <x:c r="P4748" s="126"/>
      <x:c r="Q4748" s="126"/>
      <x:c r="R4748" s="126"/>
      <x:c r="S4748" s="124"/>
      <x:c r="T4748" s="124"/>
      <x:c r="U4748" s="124"/>
      <x:c r="V4748" s="124"/>
      <x:c r="W4748" s="124"/>
      <x:c r="X4748" s="124"/>
      <x:c r="AD4748"/>
      <x:c r="AE4748" s="145"/>
      <x:c r="AF4748" s="145"/>
      <x:c r="AG4748" s="145"/>
      <x:c r="AH4748" s="145"/>
      <x:c r="AI4748" s="145"/>
      <x:c r="AJ4748"/>
    </x:row>
    <x:row r="4749">
      <x:c r="F4749" s="124"/>
      <x:c r="G4749" s="124"/>
      <x:c r="H4749" s="124"/>
      <x:c r="I4749" s="124"/>
      <x:c r="J4749" s="124"/>
      <x:c r="M4749" s="126"/>
      <x:c r="P4749" s="126"/>
      <x:c r="Q4749" s="126"/>
      <x:c r="R4749" s="126"/>
      <x:c r="S4749" s="124"/>
      <x:c r="T4749" s="124"/>
      <x:c r="U4749" s="124"/>
      <x:c r="V4749" s="124"/>
      <x:c r="W4749" s="124"/>
      <x:c r="X4749" s="124"/>
      <x:c r="AD4749"/>
      <x:c r="AE4749" s="145"/>
      <x:c r="AF4749" s="145"/>
      <x:c r="AG4749" s="145"/>
      <x:c r="AH4749" s="145"/>
      <x:c r="AI4749" s="145"/>
      <x:c r="AJ4749"/>
    </x:row>
    <x:row r="4750">
      <x:c r="F4750" s="124"/>
      <x:c r="G4750" s="124"/>
      <x:c r="H4750" s="124"/>
      <x:c r="I4750" s="124"/>
      <x:c r="J4750" s="124"/>
      <x:c r="M4750" s="126"/>
      <x:c r="P4750" s="126"/>
      <x:c r="Q4750" s="126"/>
      <x:c r="R4750" s="126"/>
      <x:c r="S4750" s="124"/>
      <x:c r="T4750" s="124"/>
      <x:c r="U4750" s="124"/>
      <x:c r="V4750" s="124"/>
      <x:c r="W4750" s="124"/>
      <x:c r="X4750" s="124"/>
      <x:c r="AD4750"/>
      <x:c r="AE4750" s="145"/>
      <x:c r="AF4750" s="145"/>
      <x:c r="AG4750" s="145"/>
      <x:c r="AH4750" s="145"/>
      <x:c r="AI4750" s="145"/>
      <x:c r="AJ4750"/>
    </x:row>
    <x:row r="4751">
      <x:c r="F4751" s="124"/>
      <x:c r="G4751" s="124"/>
      <x:c r="H4751" s="124"/>
      <x:c r="I4751" s="124"/>
      <x:c r="J4751" s="124"/>
      <x:c r="M4751" s="126"/>
      <x:c r="P4751" s="126"/>
      <x:c r="Q4751" s="126"/>
      <x:c r="R4751" s="126"/>
      <x:c r="S4751" s="124"/>
      <x:c r="T4751" s="124"/>
      <x:c r="U4751" s="124"/>
      <x:c r="V4751" s="124"/>
      <x:c r="W4751" s="124"/>
      <x:c r="X4751" s="124"/>
      <x:c r="AD4751"/>
      <x:c r="AE4751" s="145"/>
      <x:c r="AF4751" s="145"/>
      <x:c r="AG4751" s="145"/>
      <x:c r="AH4751" s="145"/>
      <x:c r="AI4751" s="145"/>
      <x:c r="AJ4751"/>
    </x:row>
    <x:row r="4752">
      <x:c r="F4752" s="124"/>
      <x:c r="G4752" s="124"/>
      <x:c r="H4752" s="124"/>
      <x:c r="I4752" s="124"/>
      <x:c r="J4752" s="124"/>
      <x:c r="M4752" s="126"/>
      <x:c r="P4752" s="126"/>
      <x:c r="Q4752" s="126"/>
      <x:c r="R4752" s="126"/>
      <x:c r="S4752" s="124"/>
      <x:c r="T4752" s="124"/>
      <x:c r="U4752" s="124"/>
      <x:c r="V4752" s="124"/>
      <x:c r="W4752" s="124"/>
      <x:c r="X4752" s="124"/>
      <x:c r="AD4752"/>
      <x:c r="AE4752" s="145"/>
      <x:c r="AF4752" s="145"/>
      <x:c r="AG4752" s="145"/>
      <x:c r="AH4752" s="145"/>
      <x:c r="AI4752" s="145"/>
      <x:c r="AJ4752"/>
    </x:row>
    <x:row r="4753">
      <x:c r="F4753" s="124"/>
      <x:c r="G4753" s="124"/>
      <x:c r="H4753" s="124"/>
      <x:c r="I4753" s="124"/>
      <x:c r="J4753" s="124"/>
      <x:c r="M4753" s="126"/>
      <x:c r="P4753" s="126"/>
      <x:c r="Q4753" s="126"/>
      <x:c r="R4753" s="126"/>
      <x:c r="S4753" s="124"/>
      <x:c r="T4753" s="124"/>
      <x:c r="U4753" s="124"/>
      <x:c r="V4753" s="124"/>
      <x:c r="W4753" s="124"/>
      <x:c r="X4753" s="124"/>
      <x:c r="AD4753"/>
      <x:c r="AE4753" s="145"/>
      <x:c r="AF4753" s="145"/>
      <x:c r="AG4753" s="145"/>
      <x:c r="AH4753" s="145"/>
      <x:c r="AI4753" s="145"/>
      <x:c r="AJ4753"/>
    </x:row>
    <x:row r="4754">
      <x:c r="F4754" s="124"/>
      <x:c r="G4754" s="124"/>
      <x:c r="H4754" s="124"/>
      <x:c r="I4754" s="124"/>
      <x:c r="J4754" s="124"/>
      <x:c r="M4754" s="126"/>
      <x:c r="P4754" s="126"/>
      <x:c r="Q4754" s="126"/>
      <x:c r="R4754" s="126"/>
      <x:c r="S4754" s="124"/>
      <x:c r="T4754" s="124"/>
      <x:c r="U4754" s="124"/>
      <x:c r="V4754" s="124"/>
      <x:c r="W4754" s="124"/>
      <x:c r="X4754" s="124"/>
      <x:c r="AD4754"/>
      <x:c r="AE4754" s="145"/>
      <x:c r="AF4754" s="145"/>
      <x:c r="AG4754" s="145"/>
      <x:c r="AH4754" s="145"/>
      <x:c r="AI4754" s="145"/>
      <x:c r="AJ4754"/>
    </x:row>
    <x:row r="4755">
      <x:c r="F4755" s="124"/>
      <x:c r="G4755" s="124"/>
      <x:c r="H4755" s="124"/>
      <x:c r="I4755" s="124"/>
      <x:c r="J4755" s="124"/>
      <x:c r="M4755" s="126"/>
      <x:c r="P4755" s="126"/>
      <x:c r="Q4755" s="126"/>
      <x:c r="R4755" s="126"/>
      <x:c r="S4755" s="124"/>
      <x:c r="T4755" s="124"/>
      <x:c r="U4755" s="124"/>
      <x:c r="V4755" s="124"/>
      <x:c r="W4755" s="124"/>
      <x:c r="X4755" s="124"/>
      <x:c r="AD4755"/>
      <x:c r="AE4755" s="145"/>
      <x:c r="AF4755" s="145"/>
      <x:c r="AG4755" s="145"/>
      <x:c r="AH4755" s="145"/>
      <x:c r="AI4755" s="145"/>
      <x:c r="AJ4755"/>
    </x:row>
    <x:row r="4756">
      <x:c r="F4756" s="124"/>
      <x:c r="G4756" s="124"/>
      <x:c r="H4756" s="124"/>
      <x:c r="I4756" s="124"/>
      <x:c r="J4756" s="124"/>
      <x:c r="M4756" s="126"/>
      <x:c r="P4756" s="126"/>
      <x:c r="Q4756" s="126"/>
      <x:c r="R4756" s="126"/>
      <x:c r="S4756" s="124"/>
      <x:c r="T4756" s="124"/>
      <x:c r="U4756" s="124"/>
      <x:c r="V4756" s="124"/>
      <x:c r="W4756" s="124"/>
      <x:c r="X4756" s="124"/>
      <x:c r="AD4756"/>
      <x:c r="AE4756" s="145"/>
      <x:c r="AF4756" s="145"/>
      <x:c r="AG4756" s="145"/>
      <x:c r="AH4756" s="145"/>
      <x:c r="AI4756" s="145"/>
      <x:c r="AJ4756"/>
    </x:row>
    <x:row r="4757">
      <x:c r="F4757" s="124"/>
      <x:c r="G4757" s="124"/>
      <x:c r="H4757" s="124"/>
      <x:c r="I4757" s="124"/>
      <x:c r="J4757" s="124"/>
      <x:c r="M4757" s="126"/>
      <x:c r="P4757" s="126"/>
      <x:c r="Q4757" s="126"/>
      <x:c r="R4757" s="126"/>
      <x:c r="S4757" s="124"/>
      <x:c r="T4757" s="124"/>
      <x:c r="U4757" s="124"/>
      <x:c r="V4757" s="124"/>
      <x:c r="W4757" s="124"/>
      <x:c r="X4757" s="124"/>
      <x:c r="AD4757"/>
      <x:c r="AE4757" s="145"/>
      <x:c r="AF4757" s="145"/>
      <x:c r="AG4757" s="145"/>
      <x:c r="AH4757" s="145"/>
      <x:c r="AI4757" s="145"/>
      <x:c r="AJ4757"/>
    </x:row>
    <x:row r="4758">
      <x:c r="F4758" s="124"/>
      <x:c r="G4758" s="124"/>
      <x:c r="H4758" s="124"/>
      <x:c r="I4758" s="124"/>
      <x:c r="J4758" s="124"/>
      <x:c r="M4758" s="126"/>
      <x:c r="P4758" s="126"/>
      <x:c r="Q4758" s="126"/>
      <x:c r="R4758" s="126"/>
      <x:c r="S4758" s="124"/>
      <x:c r="T4758" s="124"/>
      <x:c r="U4758" s="124"/>
      <x:c r="V4758" s="124"/>
      <x:c r="W4758" s="124"/>
      <x:c r="X4758" s="124"/>
      <x:c r="AD4758"/>
      <x:c r="AE4758" s="145"/>
      <x:c r="AF4758" s="145"/>
      <x:c r="AG4758" s="145"/>
      <x:c r="AH4758" s="145"/>
      <x:c r="AI4758" s="145"/>
      <x:c r="AJ4758"/>
    </x:row>
    <x:row r="4759">
      <x:c r="F4759" s="124"/>
      <x:c r="G4759" s="124"/>
      <x:c r="H4759" s="124"/>
      <x:c r="I4759" s="124"/>
      <x:c r="J4759" s="124"/>
      <x:c r="M4759" s="126"/>
      <x:c r="P4759" s="126"/>
      <x:c r="Q4759" s="126"/>
      <x:c r="R4759" s="126"/>
      <x:c r="S4759" s="124"/>
      <x:c r="T4759" s="124"/>
      <x:c r="U4759" s="124"/>
      <x:c r="V4759" s="124"/>
      <x:c r="W4759" s="124"/>
      <x:c r="X4759" s="124"/>
      <x:c r="AD4759"/>
      <x:c r="AE4759" s="145"/>
      <x:c r="AF4759" s="145"/>
      <x:c r="AG4759" s="145"/>
      <x:c r="AH4759" s="145"/>
      <x:c r="AI4759" s="145"/>
      <x:c r="AJ4759"/>
    </x:row>
    <x:row r="4760">
      <x:c r="F4760" s="124"/>
      <x:c r="G4760" s="124"/>
      <x:c r="H4760" s="124"/>
      <x:c r="I4760" s="124"/>
      <x:c r="J4760" s="124"/>
      <x:c r="M4760" s="126"/>
      <x:c r="P4760" s="126"/>
      <x:c r="Q4760" s="126"/>
      <x:c r="R4760" s="126"/>
      <x:c r="S4760" s="124"/>
      <x:c r="T4760" s="124"/>
      <x:c r="U4760" s="124"/>
      <x:c r="V4760" s="124"/>
      <x:c r="W4760" s="124"/>
      <x:c r="X4760" s="124"/>
      <x:c r="AD4760"/>
      <x:c r="AE4760" s="145"/>
      <x:c r="AF4760" s="145"/>
      <x:c r="AG4760" s="145"/>
      <x:c r="AH4760" s="145"/>
      <x:c r="AI4760" s="145"/>
      <x:c r="AJ4760"/>
    </x:row>
    <x:row r="4761">
      <x:c r="F4761" s="124"/>
      <x:c r="G4761" s="124"/>
      <x:c r="H4761" s="124"/>
      <x:c r="I4761" s="124"/>
      <x:c r="J4761" s="124"/>
      <x:c r="M4761" s="126"/>
      <x:c r="P4761" s="126"/>
      <x:c r="Q4761" s="126"/>
      <x:c r="R4761" s="126"/>
      <x:c r="S4761" s="124"/>
      <x:c r="T4761" s="124"/>
      <x:c r="U4761" s="124"/>
      <x:c r="V4761" s="124"/>
      <x:c r="W4761" s="124"/>
      <x:c r="X4761" s="124"/>
      <x:c r="AD4761"/>
      <x:c r="AE4761" s="145"/>
      <x:c r="AF4761" s="145"/>
      <x:c r="AG4761" s="145"/>
      <x:c r="AH4761" s="145"/>
      <x:c r="AI4761" s="145"/>
      <x:c r="AJ4761"/>
    </x:row>
    <x:row r="4762">
      <x:c r="F4762" s="124"/>
      <x:c r="G4762" s="124"/>
      <x:c r="H4762" s="124"/>
      <x:c r="I4762" s="124"/>
      <x:c r="J4762" s="124"/>
      <x:c r="M4762" s="126"/>
      <x:c r="P4762" s="126"/>
      <x:c r="Q4762" s="126"/>
      <x:c r="R4762" s="126"/>
      <x:c r="S4762" s="124"/>
      <x:c r="T4762" s="124"/>
      <x:c r="U4762" s="124"/>
      <x:c r="V4762" s="124"/>
      <x:c r="W4762" s="124"/>
      <x:c r="X4762" s="124"/>
      <x:c r="AD4762"/>
      <x:c r="AE4762" s="145"/>
      <x:c r="AF4762" s="145"/>
      <x:c r="AG4762" s="145"/>
      <x:c r="AH4762" s="145"/>
      <x:c r="AI4762" s="145"/>
      <x:c r="AJ4762"/>
    </x:row>
    <x:row r="4763">
      <x:c r="F4763" s="124"/>
      <x:c r="G4763" s="124"/>
      <x:c r="H4763" s="124"/>
      <x:c r="I4763" s="124"/>
      <x:c r="J4763" s="124"/>
      <x:c r="M4763" s="126"/>
      <x:c r="P4763" s="126"/>
      <x:c r="Q4763" s="126"/>
      <x:c r="R4763" s="126"/>
      <x:c r="S4763" s="124"/>
      <x:c r="T4763" s="124"/>
      <x:c r="U4763" s="124"/>
      <x:c r="V4763" s="124"/>
      <x:c r="W4763" s="124"/>
      <x:c r="X4763" s="124"/>
      <x:c r="AD4763"/>
      <x:c r="AE4763" s="145"/>
      <x:c r="AF4763" s="145"/>
      <x:c r="AG4763" s="145"/>
      <x:c r="AH4763" s="145"/>
      <x:c r="AI4763" s="145"/>
      <x:c r="AJ4763"/>
    </x:row>
    <x:row r="4764">
      <x:c r="F4764" s="124"/>
      <x:c r="G4764" s="124"/>
      <x:c r="H4764" s="124"/>
      <x:c r="I4764" s="124"/>
      <x:c r="J4764" s="124"/>
      <x:c r="M4764" s="126"/>
      <x:c r="P4764" s="126"/>
      <x:c r="Q4764" s="126"/>
      <x:c r="R4764" s="126"/>
      <x:c r="S4764" s="124"/>
      <x:c r="T4764" s="124"/>
      <x:c r="U4764" s="124"/>
      <x:c r="V4764" s="124"/>
      <x:c r="W4764" s="124"/>
      <x:c r="X4764" s="124"/>
      <x:c r="AD4764"/>
      <x:c r="AE4764" s="145"/>
      <x:c r="AF4764" s="145"/>
      <x:c r="AG4764" s="145"/>
      <x:c r="AH4764" s="145"/>
      <x:c r="AI4764" s="145"/>
      <x:c r="AJ4764"/>
    </x:row>
    <x:row r="4765">
      <x:c r="F4765" s="124"/>
      <x:c r="G4765" s="124"/>
      <x:c r="H4765" s="124"/>
      <x:c r="I4765" s="124"/>
      <x:c r="J4765" s="124"/>
      <x:c r="M4765" s="126"/>
      <x:c r="P4765" s="126"/>
      <x:c r="Q4765" s="126"/>
      <x:c r="R4765" s="126"/>
      <x:c r="S4765" s="124"/>
      <x:c r="T4765" s="124"/>
      <x:c r="U4765" s="124"/>
      <x:c r="V4765" s="124"/>
      <x:c r="W4765" s="124"/>
      <x:c r="X4765" s="124"/>
      <x:c r="AD4765"/>
      <x:c r="AE4765" s="145"/>
      <x:c r="AF4765" s="145"/>
      <x:c r="AG4765" s="145"/>
      <x:c r="AH4765" s="145"/>
      <x:c r="AI4765" s="145"/>
      <x:c r="AJ4765"/>
    </x:row>
    <x:row r="4766">
      <x:c r="F4766" s="124"/>
      <x:c r="G4766" s="124"/>
      <x:c r="H4766" s="124"/>
      <x:c r="I4766" s="124"/>
      <x:c r="J4766" s="124"/>
      <x:c r="M4766" s="126"/>
      <x:c r="P4766" s="126"/>
      <x:c r="Q4766" s="126"/>
      <x:c r="R4766" s="126"/>
      <x:c r="S4766" s="124"/>
      <x:c r="T4766" s="124"/>
      <x:c r="U4766" s="124"/>
      <x:c r="V4766" s="124"/>
      <x:c r="W4766" s="124"/>
      <x:c r="X4766" s="124"/>
      <x:c r="AD4766"/>
      <x:c r="AE4766" s="145"/>
      <x:c r="AF4766" s="145"/>
      <x:c r="AG4766" s="145"/>
      <x:c r="AH4766" s="145"/>
      <x:c r="AI4766" s="145"/>
      <x:c r="AJ4766"/>
    </x:row>
    <x:row r="4767">
      <x:c r="F4767" s="124"/>
      <x:c r="G4767" s="124"/>
      <x:c r="H4767" s="124"/>
      <x:c r="I4767" s="124"/>
      <x:c r="J4767" s="124"/>
      <x:c r="M4767" s="126"/>
      <x:c r="P4767" s="126"/>
      <x:c r="Q4767" s="126"/>
      <x:c r="R4767" s="126"/>
      <x:c r="S4767" s="124"/>
      <x:c r="T4767" s="124"/>
      <x:c r="U4767" s="124"/>
      <x:c r="V4767" s="124"/>
      <x:c r="W4767" s="124"/>
      <x:c r="X4767" s="124"/>
      <x:c r="AD4767"/>
      <x:c r="AE4767" s="145"/>
      <x:c r="AF4767" s="145"/>
      <x:c r="AG4767" s="145"/>
      <x:c r="AH4767" s="145"/>
      <x:c r="AI4767" s="145"/>
      <x:c r="AJ4767"/>
    </x:row>
    <x:row r="4768">
      <x:c r="F4768" s="124"/>
      <x:c r="G4768" s="124"/>
      <x:c r="H4768" s="124"/>
      <x:c r="I4768" s="124"/>
      <x:c r="J4768" s="124"/>
      <x:c r="M4768" s="126"/>
      <x:c r="P4768" s="126"/>
      <x:c r="Q4768" s="126"/>
      <x:c r="R4768" s="126"/>
      <x:c r="S4768" s="124"/>
      <x:c r="T4768" s="124"/>
      <x:c r="U4768" s="124"/>
      <x:c r="V4768" s="124"/>
      <x:c r="W4768" s="124"/>
      <x:c r="X4768" s="124"/>
      <x:c r="AD4768"/>
      <x:c r="AE4768" s="145"/>
      <x:c r="AF4768" s="145"/>
      <x:c r="AG4768" s="145"/>
      <x:c r="AH4768" s="145"/>
      <x:c r="AI4768" s="145"/>
      <x:c r="AJ4768"/>
    </x:row>
    <x:row r="4769">
      <x:c r="F4769" s="124"/>
      <x:c r="G4769" s="124"/>
      <x:c r="H4769" s="124"/>
      <x:c r="I4769" s="124"/>
      <x:c r="J4769" s="124"/>
      <x:c r="M4769" s="126"/>
      <x:c r="P4769" s="126"/>
      <x:c r="Q4769" s="126"/>
      <x:c r="R4769" s="126"/>
      <x:c r="S4769" s="124"/>
      <x:c r="T4769" s="124"/>
      <x:c r="U4769" s="124"/>
      <x:c r="V4769" s="124"/>
      <x:c r="W4769" s="124"/>
      <x:c r="X4769" s="124"/>
      <x:c r="AD4769"/>
      <x:c r="AE4769" s="145"/>
      <x:c r="AF4769" s="145"/>
      <x:c r="AG4769" s="145"/>
      <x:c r="AH4769" s="145"/>
      <x:c r="AI4769" s="145"/>
      <x:c r="AJ4769"/>
    </x:row>
    <x:row r="4770">
      <x:c r="F4770" s="124"/>
      <x:c r="G4770" s="124"/>
      <x:c r="H4770" s="124"/>
      <x:c r="I4770" s="124"/>
      <x:c r="J4770" s="124"/>
      <x:c r="M4770" s="126"/>
      <x:c r="P4770" s="126"/>
      <x:c r="Q4770" s="126"/>
      <x:c r="R4770" s="126"/>
      <x:c r="S4770" s="124"/>
      <x:c r="T4770" s="124"/>
      <x:c r="U4770" s="124"/>
      <x:c r="V4770" s="124"/>
      <x:c r="W4770" s="124"/>
      <x:c r="X4770" s="124"/>
      <x:c r="AD4770"/>
      <x:c r="AE4770" s="145"/>
      <x:c r="AF4770" s="145"/>
      <x:c r="AG4770" s="145"/>
      <x:c r="AH4770" s="145"/>
      <x:c r="AI4770" s="145"/>
      <x:c r="AJ4770"/>
    </x:row>
    <x:row r="4771">
      <x:c r="F4771" s="124"/>
      <x:c r="G4771" s="124"/>
      <x:c r="H4771" s="124"/>
      <x:c r="I4771" s="124"/>
      <x:c r="J4771" s="124"/>
      <x:c r="M4771" s="126"/>
      <x:c r="P4771" s="126"/>
      <x:c r="Q4771" s="126"/>
      <x:c r="R4771" s="126"/>
      <x:c r="S4771" s="124"/>
      <x:c r="T4771" s="124"/>
      <x:c r="U4771" s="124"/>
      <x:c r="V4771" s="124"/>
      <x:c r="W4771" s="124"/>
      <x:c r="X4771" s="124"/>
      <x:c r="AD4771"/>
      <x:c r="AE4771" s="145"/>
      <x:c r="AF4771" s="145"/>
      <x:c r="AG4771" s="145"/>
      <x:c r="AH4771" s="145"/>
      <x:c r="AI4771" s="145"/>
      <x:c r="AJ4771"/>
    </x:row>
    <x:row r="4772">
      <x:c r="F4772" s="124"/>
      <x:c r="G4772" s="124"/>
      <x:c r="H4772" s="124"/>
      <x:c r="I4772" s="124"/>
      <x:c r="J4772" s="124"/>
      <x:c r="M4772" s="126"/>
      <x:c r="P4772" s="126"/>
      <x:c r="Q4772" s="126"/>
      <x:c r="R4772" s="126"/>
      <x:c r="S4772" s="124"/>
      <x:c r="T4772" s="124"/>
      <x:c r="U4772" s="124"/>
      <x:c r="V4772" s="124"/>
      <x:c r="W4772" s="124"/>
      <x:c r="X4772" s="124"/>
      <x:c r="AD4772"/>
      <x:c r="AE4772" s="145"/>
      <x:c r="AF4772" s="145"/>
      <x:c r="AG4772" s="145"/>
      <x:c r="AH4772" s="145"/>
      <x:c r="AI4772" s="145"/>
      <x:c r="AJ4772"/>
    </x:row>
    <x:row r="4773">
      <x:c r="F4773" s="124"/>
      <x:c r="G4773" s="124"/>
      <x:c r="H4773" s="124"/>
      <x:c r="I4773" s="124"/>
      <x:c r="J4773" s="124"/>
      <x:c r="M4773" s="126"/>
      <x:c r="P4773" s="126"/>
      <x:c r="Q4773" s="126"/>
      <x:c r="R4773" s="126"/>
      <x:c r="S4773" s="124"/>
      <x:c r="T4773" s="124"/>
      <x:c r="U4773" s="124"/>
      <x:c r="V4773" s="124"/>
      <x:c r="W4773" s="124"/>
      <x:c r="X4773" s="124"/>
      <x:c r="AD4773"/>
      <x:c r="AE4773" s="145"/>
      <x:c r="AF4773" s="145"/>
      <x:c r="AG4773" s="145"/>
      <x:c r="AH4773" s="145"/>
      <x:c r="AI4773" s="145"/>
      <x:c r="AJ4773"/>
    </x:row>
    <x:row r="4774">
      <x:c r="F4774" s="124"/>
      <x:c r="G4774" s="124"/>
      <x:c r="H4774" s="124"/>
      <x:c r="I4774" s="124"/>
      <x:c r="J4774" s="124"/>
      <x:c r="M4774" s="126"/>
      <x:c r="P4774" s="126"/>
      <x:c r="Q4774" s="126"/>
      <x:c r="R4774" s="126"/>
      <x:c r="S4774" s="124"/>
      <x:c r="T4774" s="124"/>
      <x:c r="U4774" s="124"/>
      <x:c r="V4774" s="124"/>
      <x:c r="W4774" s="124"/>
      <x:c r="X4774" s="124"/>
      <x:c r="AD4774"/>
      <x:c r="AE4774" s="145"/>
      <x:c r="AF4774" s="145"/>
      <x:c r="AG4774" s="145"/>
      <x:c r="AH4774" s="145"/>
      <x:c r="AI4774" s="145"/>
      <x:c r="AJ4774"/>
    </x:row>
    <x:row r="4775">
      <x:c r="F4775" s="124"/>
      <x:c r="G4775" s="124"/>
      <x:c r="H4775" s="124"/>
      <x:c r="I4775" s="124"/>
      <x:c r="J4775" s="124"/>
      <x:c r="M4775" s="126"/>
      <x:c r="P4775" s="126"/>
      <x:c r="Q4775" s="126"/>
      <x:c r="R4775" s="126"/>
      <x:c r="S4775" s="124"/>
      <x:c r="T4775" s="124"/>
      <x:c r="U4775" s="124"/>
      <x:c r="V4775" s="124"/>
      <x:c r="W4775" s="124"/>
      <x:c r="X4775" s="124"/>
      <x:c r="AD4775"/>
      <x:c r="AE4775" s="145"/>
      <x:c r="AF4775" s="145"/>
      <x:c r="AG4775" s="145"/>
      <x:c r="AH4775" s="145"/>
      <x:c r="AI4775" s="145"/>
      <x:c r="AJ4775"/>
    </x:row>
    <x:row r="4776">
      <x:c r="F4776" s="124"/>
      <x:c r="G4776" s="124"/>
      <x:c r="H4776" s="124"/>
      <x:c r="I4776" s="124"/>
      <x:c r="J4776" s="124"/>
      <x:c r="M4776" s="126"/>
      <x:c r="P4776" s="126"/>
      <x:c r="Q4776" s="126"/>
      <x:c r="R4776" s="126"/>
      <x:c r="S4776" s="124"/>
      <x:c r="T4776" s="124"/>
      <x:c r="U4776" s="124"/>
      <x:c r="V4776" s="124"/>
      <x:c r="W4776" s="124"/>
      <x:c r="X4776" s="124"/>
      <x:c r="AD4776"/>
      <x:c r="AE4776" s="145"/>
      <x:c r="AF4776" s="145"/>
      <x:c r="AG4776" s="145"/>
      <x:c r="AH4776" s="145"/>
      <x:c r="AI4776" s="145"/>
      <x:c r="AJ4776"/>
    </x:row>
    <x:row r="4777">
      <x:c r="F4777" s="124"/>
      <x:c r="G4777" s="124"/>
      <x:c r="H4777" s="124"/>
      <x:c r="I4777" s="124"/>
      <x:c r="J4777" s="124"/>
      <x:c r="M4777" s="126"/>
      <x:c r="P4777" s="126"/>
      <x:c r="Q4777" s="126"/>
      <x:c r="R4777" s="126"/>
      <x:c r="S4777" s="124"/>
      <x:c r="T4777" s="124"/>
      <x:c r="U4777" s="124"/>
      <x:c r="V4777" s="124"/>
      <x:c r="W4777" s="124"/>
      <x:c r="X4777" s="124"/>
      <x:c r="AD4777"/>
      <x:c r="AE4777" s="145"/>
      <x:c r="AF4777" s="145"/>
      <x:c r="AG4777" s="145"/>
      <x:c r="AH4777" s="145"/>
      <x:c r="AI4777" s="145"/>
      <x:c r="AJ4777"/>
    </x:row>
    <x:row r="4778">
      <x:c r="F4778" s="124"/>
      <x:c r="G4778" s="124"/>
      <x:c r="H4778" s="124"/>
      <x:c r="I4778" s="124"/>
      <x:c r="J4778" s="124"/>
      <x:c r="M4778" s="126"/>
      <x:c r="P4778" s="126"/>
      <x:c r="Q4778" s="126"/>
      <x:c r="R4778" s="126"/>
      <x:c r="S4778" s="124"/>
      <x:c r="T4778" s="124"/>
      <x:c r="U4778" s="124"/>
      <x:c r="V4778" s="124"/>
      <x:c r="W4778" s="124"/>
      <x:c r="X4778" s="124"/>
      <x:c r="AD4778"/>
      <x:c r="AE4778" s="145"/>
      <x:c r="AF4778" s="145"/>
      <x:c r="AG4778" s="145"/>
      <x:c r="AH4778" s="145"/>
      <x:c r="AI4778" s="145"/>
      <x:c r="AJ4778"/>
    </x:row>
    <x:row r="4779">
      <x:c r="F4779" s="124"/>
      <x:c r="G4779" s="124"/>
      <x:c r="H4779" s="124"/>
      <x:c r="I4779" s="124"/>
      <x:c r="J4779" s="124"/>
      <x:c r="M4779" s="126"/>
      <x:c r="P4779" s="126"/>
      <x:c r="Q4779" s="126"/>
      <x:c r="R4779" s="126"/>
      <x:c r="S4779" s="124"/>
      <x:c r="T4779" s="124"/>
      <x:c r="U4779" s="124"/>
      <x:c r="V4779" s="124"/>
      <x:c r="W4779" s="124"/>
      <x:c r="X4779" s="124"/>
      <x:c r="AD4779"/>
      <x:c r="AE4779" s="145"/>
      <x:c r="AF4779" s="145"/>
      <x:c r="AG4779" s="145"/>
      <x:c r="AH4779" s="145"/>
      <x:c r="AI4779" s="145"/>
      <x:c r="AJ4779"/>
    </x:row>
    <x:row r="4780">
      <x:c r="F4780" s="124"/>
      <x:c r="G4780" s="124"/>
      <x:c r="H4780" s="124"/>
      <x:c r="I4780" s="124"/>
      <x:c r="J4780" s="124"/>
      <x:c r="M4780" s="126"/>
      <x:c r="P4780" s="126"/>
      <x:c r="Q4780" s="126"/>
      <x:c r="R4780" s="126"/>
      <x:c r="S4780" s="124"/>
      <x:c r="T4780" s="124"/>
      <x:c r="U4780" s="124"/>
      <x:c r="V4780" s="124"/>
      <x:c r="W4780" s="124"/>
      <x:c r="X4780" s="124"/>
      <x:c r="AD4780"/>
      <x:c r="AE4780" s="145"/>
      <x:c r="AF4780" s="145"/>
      <x:c r="AG4780" s="145"/>
      <x:c r="AH4780" s="145"/>
      <x:c r="AI4780" s="145"/>
      <x:c r="AJ4780"/>
    </x:row>
    <x:row r="4781">
      <x:c r="F4781" s="124"/>
      <x:c r="G4781" s="124"/>
      <x:c r="H4781" s="124"/>
      <x:c r="I4781" s="124"/>
      <x:c r="J4781" s="124"/>
      <x:c r="M4781" s="126"/>
      <x:c r="P4781" s="126"/>
      <x:c r="Q4781" s="126"/>
      <x:c r="R4781" s="126"/>
      <x:c r="S4781" s="124"/>
      <x:c r="T4781" s="124"/>
      <x:c r="U4781" s="124"/>
      <x:c r="V4781" s="124"/>
      <x:c r="W4781" s="124"/>
      <x:c r="X4781" s="124"/>
      <x:c r="AD4781"/>
      <x:c r="AE4781" s="145"/>
      <x:c r="AF4781" s="145"/>
      <x:c r="AG4781" s="145"/>
      <x:c r="AH4781" s="145"/>
      <x:c r="AI4781" s="145"/>
      <x:c r="AJ4781"/>
    </x:row>
    <x:row r="4782">
      <x:c r="F4782" s="124"/>
      <x:c r="G4782" s="124"/>
      <x:c r="H4782" s="124"/>
      <x:c r="I4782" s="124"/>
      <x:c r="J4782" s="124"/>
      <x:c r="M4782" s="126"/>
      <x:c r="P4782" s="126"/>
      <x:c r="Q4782" s="126"/>
      <x:c r="R4782" s="126"/>
      <x:c r="S4782" s="124"/>
      <x:c r="T4782" s="124"/>
      <x:c r="U4782" s="124"/>
      <x:c r="V4782" s="124"/>
      <x:c r="W4782" s="124"/>
      <x:c r="X4782" s="124"/>
      <x:c r="AD4782"/>
      <x:c r="AE4782" s="145"/>
      <x:c r="AF4782" s="145"/>
      <x:c r="AG4782" s="145"/>
      <x:c r="AH4782" s="145"/>
      <x:c r="AI4782" s="145"/>
      <x:c r="AJ4782"/>
    </x:row>
    <x:row r="4783">
      <x:c r="F4783" s="124"/>
      <x:c r="G4783" s="124"/>
      <x:c r="H4783" s="124"/>
      <x:c r="I4783" s="124"/>
      <x:c r="J4783" s="124"/>
      <x:c r="M4783" s="126"/>
      <x:c r="P4783" s="126"/>
      <x:c r="Q4783" s="126"/>
      <x:c r="R4783" s="126"/>
      <x:c r="S4783" s="124"/>
      <x:c r="T4783" s="124"/>
      <x:c r="U4783" s="124"/>
      <x:c r="V4783" s="124"/>
      <x:c r="W4783" s="124"/>
      <x:c r="X4783" s="124"/>
      <x:c r="AD4783"/>
      <x:c r="AE4783" s="145"/>
      <x:c r="AF4783" s="145"/>
      <x:c r="AG4783" s="145"/>
      <x:c r="AH4783" s="145"/>
      <x:c r="AI4783" s="145"/>
      <x:c r="AJ4783"/>
    </x:row>
    <x:row r="4784">
      <x:c r="F4784" s="124"/>
      <x:c r="G4784" s="124"/>
      <x:c r="H4784" s="124"/>
      <x:c r="I4784" s="124"/>
      <x:c r="J4784" s="124"/>
      <x:c r="M4784" s="126"/>
      <x:c r="P4784" s="126"/>
      <x:c r="Q4784" s="126"/>
      <x:c r="R4784" s="126"/>
      <x:c r="S4784" s="124"/>
      <x:c r="T4784" s="124"/>
      <x:c r="U4784" s="124"/>
      <x:c r="V4784" s="124"/>
      <x:c r="W4784" s="124"/>
      <x:c r="X4784" s="124"/>
      <x:c r="AD4784"/>
      <x:c r="AE4784" s="145"/>
      <x:c r="AF4784" s="145"/>
      <x:c r="AG4784" s="145"/>
      <x:c r="AH4784" s="145"/>
      <x:c r="AI4784" s="145"/>
      <x:c r="AJ4784"/>
    </x:row>
    <x:row r="4785">
      <x:c r="F4785" s="124"/>
      <x:c r="G4785" s="124"/>
      <x:c r="H4785" s="124"/>
      <x:c r="I4785" s="124"/>
      <x:c r="J4785" s="124"/>
      <x:c r="M4785" s="126"/>
      <x:c r="P4785" s="126"/>
      <x:c r="Q4785" s="126"/>
      <x:c r="R4785" s="126"/>
      <x:c r="S4785" s="124"/>
      <x:c r="T4785" s="124"/>
      <x:c r="U4785" s="124"/>
      <x:c r="V4785" s="124"/>
      <x:c r="W4785" s="124"/>
      <x:c r="X4785" s="124"/>
      <x:c r="AD4785"/>
      <x:c r="AE4785" s="145"/>
      <x:c r="AF4785" s="145"/>
      <x:c r="AG4785" s="145"/>
      <x:c r="AH4785" s="145"/>
      <x:c r="AI4785" s="145"/>
      <x:c r="AJ4785"/>
    </x:row>
    <x:row r="4786">
      <x:c r="F4786" s="124"/>
      <x:c r="G4786" s="124"/>
      <x:c r="H4786" s="124"/>
      <x:c r="I4786" s="124"/>
      <x:c r="J4786" s="124"/>
      <x:c r="M4786" s="126"/>
      <x:c r="P4786" s="126"/>
      <x:c r="Q4786" s="126"/>
      <x:c r="R4786" s="126"/>
      <x:c r="S4786" s="124"/>
      <x:c r="T4786" s="124"/>
      <x:c r="U4786" s="124"/>
      <x:c r="V4786" s="124"/>
      <x:c r="W4786" s="124"/>
      <x:c r="X4786" s="124"/>
      <x:c r="AD4786"/>
      <x:c r="AE4786" s="145"/>
      <x:c r="AF4786" s="145"/>
      <x:c r="AG4786" s="145"/>
      <x:c r="AH4786" s="145"/>
      <x:c r="AI4786" s="145"/>
      <x:c r="AJ4786"/>
    </x:row>
    <x:row r="4787">
      <x:c r="F4787" s="124"/>
      <x:c r="G4787" s="124"/>
      <x:c r="H4787" s="124"/>
      <x:c r="I4787" s="124"/>
      <x:c r="J4787" s="124"/>
      <x:c r="M4787" s="126"/>
      <x:c r="P4787" s="126"/>
      <x:c r="Q4787" s="126"/>
      <x:c r="R4787" s="126"/>
      <x:c r="S4787" s="124"/>
      <x:c r="T4787" s="124"/>
      <x:c r="U4787" s="124"/>
      <x:c r="V4787" s="124"/>
      <x:c r="W4787" s="124"/>
      <x:c r="X4787" s="124"/>
      <x:c r="AD4787"/>
      <x:c r="AE4787" s="145"/>
      <x:c r="AF4787" s="145"/>
      <x:c r="AG4787" s="145"/>
      <x:c r="AH4787" s="145"/>
      <x:c r="AI4787" s="145"/>
      <x:c r="AJ4787"/>
    </x:row>
    <x:row r="4788">
      <x:c r="F4788" s="124"/>
      <x:c r="G4788" s="124"/>
      <x:c r="H4788" s="124"/>
      <x:c r="I4788" s="124"/>
      <x:c r="J4788" s="124"/>
      <x:c r="M4788" s="126"/>
      <x:c r="P4788" s="126"/>
      <x:c r="Q4788" s="126"/>
      <x:c r="R4788" s="126"/>
      <x:c r="S4788" s="124"/>
      <x:c r="T4788" s="124"/>
      <x:c r="U4788" s="124"/>
      <x:c r="V4788" s="124"/>
      <x:c r="W4788" s="124"/>
      <x:c r="X4788" s="124"/>
      <x:c r="AD4788"/>
      <x:c r="AE4788" s="145"/>
      <x:c r="AF4788" s="145"/>
      <x:c r="AG4788" s="145"/>
      <x:c r="AH4788" s="145"/>
      <x:c r="AI4788" s="145"/>
      <x:c r="AJ4788"/>
    </x:row>
    <x:row r="4789">
      <x:c r="F4789" s="124"/>
      <x:c r="G4789" s="124"/>
      <x:c r="H4789" s="124"/>
      <x:c r="I4789" s="124"/>
      <x:c r="J4789" s="124"/>
      <x:c r="M4789" s="126"/>
      <x:c r="P4789" s="126"/>
      <x:c r="Q4789" s="126"/>
      <x:c r="R4789" s="126"/>
      <x:c r="S4789" s="124"/>
      <x:c r="T4789" s="124"/>
      <x:c r="U4789" s="124"/>
      <x:c r="V4789" s="124"/>
      <x:c r="W4789" s="124"/>
      <x:c r="X4789" s="124"/>
      <x:c r="AD4789"/>
      <x:c r="AE4789" s="145"/>
      <x:c r="AF4789" s="145"/>
      <x:c r="AG4789" s="145"/>
      <x:c r="AH4789" s="145"/>
      <x:c r="AI4789" s="145"/>
      <x:c r="AJ4789"/>
    </x:row>
    <x:row r="4790">
      <x:c r="F4790" s="124"/>
      <x:c r="G4790" s="124"/>
      <x:c r="H4790" s="124"/>
      <x:c r="I4790" s="124"/>
      <x:c r="J4790" s="124"/>
      <x:c r="M4790" s="126"/>
      <x:c r="P4790" s="126"/>
      <x:c r="Q4790" s="126"/>
      <x:c r="R4790" s="126"/>
      <x:c r="S4790" s="124"/>
      <x:c r="T4790" s="124"/>
      <x:c r="U4790" s="124"/>
      <x:c r="V4790" s="124"/>
      <x:c r="W4790" s="124"/>
      <x:c r="X4790" s="124"/>
      <x:c r="AD4790"/>
      <x:c r="AE4790" s="145"/>
      <x:c r="AF4790" s="145"/>
      <x:c r="AG4790" s="145"/>
      <x:c r="AH4790" s="145"/>
      <x:c r="AI4790" s="145"/>
      <x:c r="AJ4790"/>
    </x:row>
    <x:row r="4791">
      <x:c r="F4791" s="124"/>
      <x:c r="G4791" s="124"/>
      <x:c r="H4791" s="124"/>
      <x:c r="I4791" s="124"/>
      <x:c r="J4791" s="124"/>
      <x:c r="M4791" s="126"/>
      <x:c r="P4791" s="126"/>
      <x:c r="Q4791" s="126"/>
      <x:c r="R4791" s="126"/>
      <x:c r="S4791" s="124"/>
      <x:c r="T4791" s="124"/>
      <x:c r="U4791" s="124"/>
      <x:c r="V4791" s="124"/>
      <x:c r="W4791" s="124"/>
      <x:c r="X4791" s="124"/>
      <x:c r="AD4791"/>
      <x:c r="AE4791" s="145"/>
      <x:c r="AF4791" s="145"/>
      <x:c r="AG4791" s="145"/>
      <x:c r="AH4791" s="145"/>
      <x:c r="AI4791" s="145"/>
      <x:c r="AJ4791"/>
    </x:row>
    <x:row r="4792">
      <x:c r="F4792" s="124"/>
      <x:c r="G4792" s="124"/>
      <x:c r="H4792" s="124"/>
      <x:c r="I4792" s="124"/>
      <x:c r="J4792" s="124"/>
      <x:c r="M4792" s="126"/>
      <x:c r="P4792" s="126"/>
      <x:c r="Q4792" s="126"/>
      <x:c r="R4792" s="126"/>
      <x:c r="S4792" s="124"/>
      <x:c r="T4792" s="124"/>
      <x:c r="U4792" s="124"/>
      <x:c r="V4792" s="124"/>
      <x:c r="W4792" s="124"/>
      <x:c r="X4792" s="124"/>
      <x:c r="AD4792"/>
      <x:c r="AE4792" s="145"/>
      <x:c r="AF4792" s="145"/>
      <x:c r="AG4792" s="145"/>
      <x:c r="AH4792" s="145"/>
      <x:c r="AI4792" s="145"/>
      <x:c r="AJ4792"/>
    </x:row>
    <x:row r="4793">
      <x:c r="F4793" s="124"/>
      <x:c r="G4793" s="124"/>
      <x:c r="H4793" s="124"/>
      <x:c r="I4793" s="124"/>
      <x:c r="J4793" s="124"/>
      <x:c r="M4793" s="126"/>
      <x:c r="P4793" s="126"/>
      <x:c r="Q4793" s="126"/>
      <x:c r="R4793" s="126"/>
      <x:c r="S4793" s="124"/>
      <x:c r="T4793" s="124"/>
      <x:c r="U4793" s="124"/>
      <x:c r="V4793" s="124"/>
      <x:c r="W4793" s="124"/>
      <x:c r="X4793" s="124"/>
      <x:c r="AD4793"/>
      <x:c r="AE4793" s="145"/>
      <x:c r="AF4793" s="145"/>
      <x:c r="AG4793" s="145"/>
      <x:c r="AH4793" s="145"/>
      <x:c r="AI4793" s="145"/>
      <x:c r="AJ4793"/>
    </x:row>
    <x:row r="4794">
      <x:c r="F4794" s="124"/>
      <x:c r="G4794" s="124"/>
      <x:c r="H4794" s="124"/>
      <x:c r="I4794" s="124"/>
      <x:c r="J4794" s="124"/>
      <x:c r="M4794" s="126"/>
      <x:c r="P4794" s="126"/>
      <x:c r="Q4794" s="126"/>
      <x:c r="R4794" s="126"/>
      <x:c r="S4794" s="124"/>
      <x:c r="T4794" s="124"/>
      <x:c r="U4794" s="124"/>
      <x:c r="V4794" s="124"/>
      <x:c r="W4794" s="124"/>
      <x:c r="X4794" s="124"/>
      <x:c r="AD4794"/>
      <x:c r="AE4794" s="145"/>
      <x:c r="AF4794" s="145"/>
      <x:c r="AG4794" s="145"/>
      <x:c r="AH4794" s="145"/>
      <x:c r="AI4794" s="145"/>
      <x:c r="AJ4794"/>
    </x:row>
    <x:row r="4795">
      <x:c r="F4795" s="124"/>
      <x:c r="G4795" s="124"/>
      <x:c r="H4795" s="124"/>
      <x:c r="I4795" s="124"/>
      <x:c r="J4795" s="124"/>
      <x:c r="M4795" s="126"/>
      <x:c r="P4795" s="126"/>
      <x:c r="Q4795" s="126"/>
      <x:c r="R4795" s="126"/>
      <x:c r="S4795" s="124"/>
      <x:c r="T4795" s="124"/>
      <x:c r="U4795" s="124"/>
      <x:c r="V4795" s="124"/>
      <x:c r="W4795" s="124"/>
      <x:c r="X4795" s="124"/>
      <x:c r="AD4795"/>
      <x:c r="AE4795" s="145"/>
      <x:c r="AF4795" s="145"/>
      <x:c r="AG4795" s="145"/>
      <x:c r="AH4795" s="145"/>
      <x:c r="AI4795" s="145"/>
      <x:c r="AJ4795"/>
    </x:row>
    <x:row r="4796">
      <x:c r="F4796" s="124"/>
      <x:c r="G4796" s="124"/>
      <x:c r="H4796" s="124"/>
      <x:c r="I4796" s="124"/>
      <x:c r="J4796" s="124"/>
      <x:c r="M4796" s="126"/>
      <x:c r="P4796" s="126"/>
      <x:c r="Q4796" s="126"/>
      <x:c r="R4796" s="126"/>
      <x:c r="S4796" s="124"/>
      <x:c r="T4796" s="124"/>
      <x:c r="U4796" s="124"/>
      <x:c r="V4796" s="124"/>
      <x:c r="W4796" s="124"/>
      <x:c r="X4796" s="124"/>
      <x:c r="AD4796"/>
      <x:c r="AE4796" s="145"/>
      <x:c r="AF4796" s="145"/>
      <x:c r="AG4796" s="145"/>
      <x:c r="AH4796" s="145"/>
      <x:c r="AI4796" s="145"/>
      <x:c r="AJ4796"/>
    </x:row>
    <x:row r="4797">
      <x:c r="F4797" s="124"/>
      <x:c r="G4797" s="124"/>
      <x:c r="H4797" s="124"/>
      <x:c r="I4797" s="124"/>
      <x:c r="J4797" s="124"/>
      <x:c r="M4797" s="126"/>
      <x:c r="P4797" s="126"/>
      <x:c r="Q4797" s="126"/>
      <x:c r="R4797" s="126"/>
      <x:c r="S4797" s="124"/>
      <x:c r="T4797" s="124"/>
      <x:c r="U4797" s="124"/>
      <x:c r="V4797" s="124"/>
      <x:c r="W4797" s="124"/>
      <x:c r="X4797" s="124"/>
      <x:c r="AD4797"/>
      <x:c r="AE4797" s="145"/>
      <x:c r="AF4797" s="145"/>
      <x:c r="AG4797" s="145"/>
      <x:c r="AH4797" s="145"/>
      <x:c r="AI4797" s="145"/>
      <x:c r="AJ4797"/>
    </x:row>
    <x:row r="4798">
      <x:c r="F4798" s="124"/>
      <x:c r="G4798" s="124"/>
      <x:c r="H4798" s="124"/>
      <x:c r="I4798" s="124"/>
      <x:c r="J4798" s="124"/>
      <x:c r="M4798" s="126"/>
      <x:c r="P4798" s="126"/>
      <x:c r="Q4798" s="126"/>
      <x:c r="R4798" s="126"/>
      <x:c r="S4798" s="124"/>
      <x:c r="T4798" s="124"/>
      <x:c r="U4798" s="124"/>
      <x:c r="V4798" s="124"/>
      <x:c r="W4798" s="124"/>
      <x:c r="X4798" s="124"/>
      <x:c r="AD4798"/>
      <x:c r="AE4798" s="145"/>
      <x:c r="AF4798" s="145"/>
      <x:c r="AG4798" s="145"/>
      <x:c r="AH4798" s="145"/>
      <x:c r="AI4798" s="145"/>
      <x:c r="AJ4798"/>
    </x:row>
    <x:row r="4799">
      <x:c r="F4799" s="124"/>
      <x:c r="G4799" s="124"/>
      <x:c r="H4799" s="124"/>
      <x:c r="I4799" s="124"/>
      <x:c r="J4799" s="124"/>
      <x:c r="M4799" s="126"/>
      <x:c r="P4799" s="126"/>
      <x:c r="Q4799" s="126"/>
      <x:c r="R4799" s="126"/>
      <x:c r="S4799" s="124"/>
      <x:c r="T4799" s="124"/>
      <x:c r="U4799" s="124"/>
      <x:c r="V4799" s="124"/>
      <x:c r="W4799" s="124"/>
      <x:c r="X4799" s="124"/>
      <x:c r="AD4799"/>
      <x:c r="AE4799" s="145"/>
      <x:c r="AF4799" s="145"/>
      <x:c r="AG4799" s="145"/>
      <x:c r="AH4799" s="145"/>
      <x:c r="AI4799" s="145"/>
      <x:c r="AJ4799"/>
    </x:row>
    <x:row r="4800">
      <x:c r="F4800" s="124"/>
      <x:c r="G4800" s="124"/>
      <x:c r="H4800" s="124"/>
      <x:c r="I4800" s="124"/>
      <x:c r="J4800" s="124"/>
      <x:c r="M4800" s="126"/>
      <x:c r="P4800" s="126"/>
      <x:c r="Q4800" s="126"/>
      <x:c r="R4800" s="126"/>
      <x:c r="S4800" s="124"/>
      <x:c r="T4800" s="124"/>
      <x:c r="U4800" s="124"/>
      <x:c r="V4800" s="124"/>
      <x:c r="W4800" s="124"/>
      <x:c r="X4800" s="124"/>
      <x:c r="AD4800"/>
      <x:c r="AE4800" s="145"/>
      <x:c r="AF4800" s="145"/>
      <x:c r="AG4800" s="145"/>
      <x:c r="AH4800" s="145"/>
      <x:c r="AI4800" s="145"/>
      <x:c r="AJ4800"/>
    </x:row>
    <x:row r="4801">
      <x:c r="F4801" s="124"/>
      <x:c r="G4801" s="124"/>
      <x:c r="H4801" s="124"/>
      <x:c r="I4801" s="124"/>
      <x:c r="J4801" s="124"/>
      <x:c r="M4801" s="126"/>
      <x:c r="P4801" s="126"/>
      <x:c r="Q4801" s="126"/>
      <x:c r="R4801" s="126"/>
      <x:c r="S4801" s="124"/>
      <x:c r="T4801" s="124"/>
      <x:c r="U4801" s="124"/>
      <x:c r="V4801" s="124"/>
      <x:c r="W4801" s="124"/>
      <x:c r="X4801" s="124"/>
      <x:c r="AD4801"/>
      <x:c r="AE4801" s="145"/>
      <x:c r="AF4801" s="145"/>
      <x:c r="AG4801" s="145"/>
      <x:c r="AH4801" s="145"/>
      <x:c r="AI4801" s="145"/>
      <x:c r="AJ4801"/>
    </x:row>
    <x:row r="4802">
      <x:c r="F4802" s="124"/>
      <x:c r="G4802" s="124"/>
      <x:c r="H4802" s="124"/>
      <x:c r="I4802" s="124"/>
      <x:c r="J4802" s="124"/>
      <x:c r="M4802" s="126"/>
      <x:c r="P4802" s="126"/>
      <x:c r="Q4802" s="126"/>
      <x:c r="R4802" s="126"/>
      <x:c r="S4802" s="124"/>
      <x:c r="T4802" s="124"/>
      <x:c r="U4802" s="124"/>
      <x:c r="V4802" s="124"/>
      <x:c r="W4802" s="124"/>
      <x:c r="X4802" s="124"/>
      <x:c r="AD4802"/>
      <x:c r="AE4802" s="145"/>
      <x:c r="AF4802" s="145"/>
      <x:c r="AG4802" s="145"/>
      <x:c r="AH4802" s="145"/>
      <x:c r="AI4802" s="145"/>
      <x:c r="AJ4802"/>
    </x:row>
    <x:row r="4803">
      <x:c r="F4803" s="124"/>
      <x:c r="G4803" s="124"/>
      <x:c r="H4803" s="124"/>
      <x:c r="I4803" s="124"/>
      <x:c r="J4803" s="124"/>
      <x:c r="M4803" s="126"/>
      <x:c r="P4803" s="126"/>
      <x:c r="Q4803" s="126"/>
      <x:c r="R4803" s="126"/>
      <x:c r="S4803" s="124"/>
      <x:c r="T4803" s="124"/>
      <x:c r="U4803" s="124"/>
      <x:c r="V4803" s="124"/>
      <x:c r="W4803" s="124"/>
      <x:c r="X4803" s="124"/>
      <x:c r="AD4803"/>
      <x:c r="AE4803" s="145"/>
      <x:c r="AF4803" s="145"/>
      <x:c r="AG4803" s="145"/>
      <x:c r="AH4803" s="145"/>
      <x:c r="AI4803" s="145"/>
      <x:c r="AJ4803"/>
    </x:row>
    <x:row r="4804">
      <x:c r="F4804" s="124"/>
      <x:c r="G4804" s="124"/>
      <x:c r="H4804" s="124"/>
      <x:c r="I4804" s="124"/>
      <x:c r="J4804" s="124"/>
      <x:c r="M4804" s="126"/>
      <x:c r="P4804" s="126"/>
      <x:c r="Q4804" s="126"/>
      <x:c r="R4804" s="126"/>
      <x:c r="S4804" s="124"/>
      <x:c r="T4804" s="124"/>
      <x:c r="U4804" s="124"/>
      <x:c r="V4804" s="124"/>
      <x:c r="W4804" s="124"/>
      <x:c r="X4804" s="124"/>
      <x:c r="AD4804"/>
      <x:c r="AE4804" s="145"/>
      <x:c r="AF4804" s="145"/>
      <x:c r="AG4804" s="145"/>
      <x:c r="AH4804" s="145"/>
      <x:c r="AI4804" s="145"/>
      <x:c r="AJ4804"/>
    </x:row>
    <x:row r="4805">
      <x:c r="F4805" s="124"/>
      <x:c r="G4805" s="124"/>
      <x:c r="H4805" s="124"/>
      <x:c r="I4805" s="124"/>
      <x:c r="J4805" s="124"/>
      <x:c r="M4805" s="126"/>
      <x:c r="P4805" s="126"/>
      <x:c r="Q4805" s="126"/>
      <x:c r="R4805" s="126"/>
      <x:c r="S4805" s="124"/>
      <x:c r="T4805" s="124"/>
      <x:c r="U4805" s="124"/>
      <x:c r="V4805" s="124"/>
      <x:c r="W4805" s="124"/>
      <x:c r="X4805" s="124"/>
      <x:c r="AD4805"/>
      <x:c r="AE4805" s="145"/>
      <x:c r="AF4805" s="145"/>
      <x:c r="AG4805" s="145"/>
      <x:c r="AH4805" s="145"/>
      <x:c r="AI4805" s="145"/>
      <x:c r="AJ4805"/>
    </x:row>
    <x:row r="4806">
      <x:c r="F4806" s="124"/>
      <x:c r="G4806" s="124"/>
      <x:c r="H4806" s="124"/>
      <x:c r="I4806" s="124"/>
      <x:c r="J4806" s="124"/>
      <x:c r="M4806" s="126"/>
      <x:c r="P4806" s="126"/>
      <x:c r="Q4806" s="126"/>
      <x:c r="R4806" s="126"/>
      <x:c r="S4806" s="124"/>
      <x:c r="T4806" s="124"/>
      <x:c r="U4806" s="124"/>
      <x:c r="V4806" s="124"/>
      <x:c r="W4806" s="124"/>
      <x:c r="X4806" s="124"/>
      <x:c r="AD4806"/>
      <x:c r="AE4806" s="145"/>
      <x:c r="AF4806" s="145"/>
      <x:c r="AG4806" s="145"/>
      <x:c r="AH4806" s="145"/>
      <x:c r="AI4806" s="145"/>
      <x:c r="AJ4806"/>
    </x:row>
    <x:row r="4807">
      <x:c r="F4807" s="124"/>
      <x:c r="G4807" s="124"/>
      <x:c r="H4807" s="124"/>
      <x:c r="I4807" s="124"/>
      <x:c r="J4807" s="124"/>
      <x:c r="M4807" s="126"/>
      <x:c r="P4807" s="126"/>
      <x:c r="Q4807" s="126"/>
      <x:c r="R4807" s="126"/>
      <x:c r="S4807" s="124"/>
      <x:c r="T4807" s="124"/>
      <x:c r="U4807" s="124"/>
      <x:c r="V4807" s="124"/>
      <x:c r="W4807" s="124"/>
      <x:c r="X4807" s="124"/>
      <x:c r="AD4807"/>
      <x:c r="AE4807" s="145"/>
      <x:c r="AF4807" s="145"/>
      <x:c r="AG4807" s="145"/>
      <x:c r="AH4807" s="145"/>
      <x:c r="AI4807" s="145"/>
      <x:c r="AJ4807"/>
    </x:row>
    <x:row r="4808">
      <x:c r="F4808" s="124"/>
      <x:c r="G4808" s="124"/>
      <x:c r="H4808" s="124"/>
      <x:c r="I4808" s="124"/>
      <x:c r="J4808" s="124"/>
      <x:c r="M4808" s="126"/>
      <x:c r="P4808" s="126"/>
      <x:c r="Q4808" s="126"/>
      <x:c r="R4808" s="126"/>
      <x:c r="S4808" s="124"/>
      <x:c r="T4808" s="124"/>
      <x:c r="U4808" s="124"/>
      <x:c r="V4808" s="124"/>
      <x:c r="W4808" s="124"/>
      <x:c r="X4808" s="124"/>
      <x:c r="AD4808"/>
      <x:c r="AE4808" s="145"/>
      <x:c r="AF4808" s="145"/>
      <x:c r="AG4808" s="145"/>
      <x:c r="AH4808" s="145"/>
      <x:c r="AI4808" s="145"/>
      <x:c r="AJ4808"/>
    </x:row>
    <x:row r="4809">
      <x:c r="F4809" s="124"/>
      <x:c r="G4809" s="124"/>
      <x:c r="H4809" s="124"/>
      <x:c r="I4809" s="124"/>
      <x:c r="J4809" s="124"/>
      <x:c r="M4809" s="126"/>
      <x:c r="P4809" s="126"/>
      <x:c r="Q4809" s="126"/>
      <x:c r="R4809" s="126"/>
      <x:c r="S4809" s="124"/>
      <x:c r="T4809" s="124"/>
      <x:c r="U4809" s="124"/>
      <x:c r="V4809" s="124"/>
      <x:c r="W4809" s="124"/>
      <x:c r="X4809" s="124"/>
      <x:c r="AD4809"/>
      <x:c r="AE4809" s="145"/>
      <x:c r="AF4809" s="145"/>
      <x:c r="AG4809" s="145"/>
      <x:c r="AH4809" s="145"/>
      <x:c r="AI4809" s="145"/>
      <x:c r="AJ4809"/>
    </x:row>
    <x:row r="4810">
      <x:c r="F4810" s="124"/>
      <x:c r="G4810" s="124"/>
      <x:c r="H4810" s="124"/>
      <x:c r="I4810" s="124"/>
      <x:c r="J4810" s="124"/>
      <x:c r="M4810" s="126"/>
      <x:c r="P4810" s="126"/>
      <x:c r="Q4810" s="126"/>
      <x:c r="R4810" s="126"/>
      <x:c r="S4810" s="124"/>
      <x:c r="T4810" s="124"/>
      <x:c r="U4810" s="124"/>
      <x:c r="V4810" s="124"/>
      <x:c r="W4810" s="124"/>
      <x:c r="X4810" s="124"/>
      <x:c r="AD4810"/>
      <x:c r="AE4810" s="145"/>
      <x:c r="AF4810" s="145"/>
      <x:c r="AG4810" s="145"/>
      <x:c r="AH4810" s="145"/>
      <x:c r="AI4810" s="145"/>
      <x:c r="AJ4810"/>
    </x:row>
    <x:row r="4811">
      <x:c r="F4811" s="124"/>
      <x:c r="G4811" s="124"/>
      <x:c r="H4811" s="124"/>
      <x:c r="I4811" s="124"/>
      <x:c r="J4811" s="124"/>
      <x:c r="M4811" s="126"/>
      <x:c r="P4811" s="126"/>
      <x:c r="Q4811" s="126"/>
      <x:c r="R4811" s="126"/>
      <x:c r="S4811" s="124"/>
      <x:c r="T4811" s="124"/>
      <x:c r="U4811" s="124"/>
      <x:c r="V4811" s="124"/>
      <x:c r="W4811" s="124"/>
      <x:c r="X4811" s="124"/>
      <x:c r="AD4811"/>
      <x:c r="AE4811" s="145"/>
      <x:c r="AF4811" s="145"/>
      <x:c r="AG4811" s="145"/>
      <x:c r="AH4811" s="145"/>
      <x:c r="AI4811" s="145"/>
      <x:c r="AJ4811"/>
    </x:row>
    <x:row r="4812">
      <x:c r="F4812" s="124"/>
      <x:c r="G4812" s="124"/>
      <x:c r="H4812" s="124"/>
      <x:c r="I4812" s="124"/>
      <x:c r="J4812" s="124"/>
      <x:c r="M4812" s="126"/>
      <x:c r="P4812" s="126"/>
      <x:c r="Q4812" s="126"/>
      <x:c r="R4812" s="126"/>
      <x:c r="S4812" s="124"/>
      <x:c r="T4812" s="124"/>
      <x:c r="U4812" s="124"/>
      <x:c r="V4812" s="124"/>
      <x:c r="W4812" s="124"/>
      <x:c r="X4812" s="124"/>
      <x:c r="AD4812"/>
      <x:c r="AE4812" s="145"/>
      <x:c r="AF4812" s="145"/>
      <x:c r="AG4812" s="145"/>
      <x:c r="AH4812" s="145"/>
      <x:c r="AI4812" s="145"/>
      <x:c r="AJ4812"/>
    </x:row>
    <x:row r="4813">
      <x:c r="F4813" s="124"/>
      <x:c r="G4813" s="124"/>
      <x:c r="H4813" s="124"/>
      <x:c r="I4813" s="124"/>
      <x:c r="J4813" s="124"/>
      <x:c r="M4813" s="126"/>
      <x:c r="P4813" s="126"/>
      <x:c r="Q4813" s="126"/>
      <x:c r="R4813" s="126"/>
      <x:c r="S4813" s="124"/>
      <x:c r="T4813" s="124"/>
      <x:c r="U4813" s="124"/>
      <x:c r="V4813" s="124"/>
      <x:c r="W4813" s="124"/>
      <x:c r="X4813" s="124"/>
      <x:c r="AD4813"/>
      <x:c r="AE4813" s="145"/>
      <x:c r="AF4813" s="145"/>
      <x:c r="AG4813" s="145"/>
      <x:c r="AH4813" s="145"/>
      <x:c r="AI4813" s="145"/>
      <x:c r="AJ4813"/>
    </x:row>
    <x:row r="4814">
      <x:c r="F4814" s="124"/>
      <x:c r="G4814" s="124"/>
      <x:c r="H4814" s="124"/>
      <x:c r="I4814" s="124"/>
      <x:c r="J4814" s="124"/>
      <x:c r="M4814" s="126"/>
      <x:c r="P4814" s="126"/>
      <x:c r="Q4814" s="126"/>
      <x:c r="R4814" s="126"/>
      <x:c r="S4814" s="124"/>
      <x:c r="T4814" s="124"/>
      <x:c r="U4814" s="124"/>
      <x:c r="V4814" s="124"/>
      <x:c r="W4814" s="124"/>
      <x:c r="X4814" s="124"/>
      <x:c r="AD4814"/>
      <x:c r="AE4814" s="145"/>
      <x:c r="AF4814" s="145"/>
      <x:c r="AG4814" s="145"/>
      <x:c r="AH4814" s="145"/>
      <x:c r="AI4814" s="145"/>
      <x:c r="AJ4814"/>
    </x:row>
    <x:row r="4815">
      <x:c r="F4815" s="124"/>
      <x:c r="G4815" s="124"/>
      <x:c r="H4815" s="124"/>
      <x:c r="I4815" s="124"/>
      <x:c r="J4815" s="124"/>
      <x:c r="M4815" s="126"/>
      <x:c r="P4815" s="126"/>
      <x:c r="Q4815" s="126"/>
      <x:c r="R4815" s="126"/>
      <x:c r="S4815" s="124"/>
      <x:c r="T4815" s="124"/>
      <x:c r="U4815" s="124"/>
      <x:c r="V4815" s="124"/>
      <x:c r="W4815" s="124"/>
      <x:c r="X4815" s="124"/>
      <x:c r="AD4815"/>
      <x:c r="AE4815" s="145"/>
      <x:c r="AF4815" s="145"/>
      <x:c r="AG4815" s="145"/>
      <x:c r="AH4815" s="145"/>
      <x:c r="AI4815" s="145"/>
      <x:c r="AJ4815"/>
    </x:row>
    <x:row r="4816">
      <x:c r="F4816" s="124"/>
      <x:c r="G4816" s="124"/>
      <x:c r="H4816" s="124"/>
      <x:c r="I4816" s="124"/>
      <x:c r="J4816" s="124"/>
      <x:c r="M4816" s="126"/>
      <x:c r="P4816" s="126"/>
      <x:c r="Q4816" s="126"/>
      <x:c r="R4816" s="126"/>
      <x:c r="S4816" s="124"/>
      <x:c r="T4816" s="124"/>
      <x:c r="U4816" s="124"/>
      <x:c r="V4816" s="124"/>
      <x:c r="W4816" s="124"/>
      <x:c r="X4816" s="124"/>
      <x:c r="AD4816"/>
      <x:c r="AE4816" s="145"/>
      <x:c r="AF4816" s="145"/>
      <x:c r="AG4816" s="145"/>
      <x:c r="AH4816" s="145"/>
      <x:c r="AI4816" s="145"/>
      <x:c r="AJ4816"/>
    </x:row>
    <x:row r="4817">
      <x:c r="F4817" s="124"/>
      <x:c r="G4817" s="124"/>
      <x:c r="H4817" s="124"/>
      <x:c r="I4817" s="124"/>
      <x:c r="J4817" s="124"/>
      <x:c r="M4817" s="126"/>
      <x:c r="P4817" s="126"/>
      <x:c r="Q4817" s="126"/>
      <x:c r="R4817" s="126"/>
      <x:c r="S4817" s="124"/>
      <x:c r="T4817" s="124"/>
      <x:c r="U4817" s="124"/>
      <x:c r="V4817" s="124"/>
      <x:c r="W4817" s="124"/>
      <x:c r="X4817" s="124"/>
      <x:c r="AD4817"/>
      <x:c r="AE4817" s="145"/>
      <x:c r="AF4817" s="145"/>
      <x:c r="AG4817" s="145"/>
      <x:c r="AH4817" s="145"/>
      <x:c r="AI4817" s="145"/>
      <x:c r="AJ4817"/>
    </x:row>
    <x:row r="4818">
      <x:c r="F4818" s="124"/>
      <x:c r="G4818" s="124"/>
      <x:c r="H4818" s="124"/>
      <x:c r="I4818" s="124"/>
      <x:c r="J4818" s="124"/>
      <x:c r="M4818" s="126"/>
      <x:c r="P4818" s="126"/>
      <x:c r="Q4818" s="126"/>
      <x:c r="R4818" s="126"/>
      <x:c r="S4818" s="124"/>
      <x:c r="T4818" s="124"/>
      <x:c r="U4818" s="124"/>
      <x:c r="V4818" s="124"/>
      <x:c r="W4818" s="124"/>
      <x:c r="X4818" s="124"/>
      <x:c r="AD4818"/>
      <x:c r="AE4818" s="145"/>
      <x:c r="AF4818" s="145"/>
      <x:c r="AG4818" s="145"/>
      <x:c r="AH4818" s="145"/>
      <x:c r="AI4818" s="145"/>
      <x:c r="AJ4818"/>
    </x:row>
    <x:row r="4819">
      <x:c r="F4819" s="124"/>
      <x:c r="G4819" s="124"/>
      <x:c r="H4819" s="124"/>
      <x:c r="I4819" s="124"/>
      <x:c r="J4819" s="124"/>
      <x:c r="M4819" s="126"/>
      <x:c r="P4819" s="126"/>
      <x:c r="Q4819" s="126"/>
      <x:c r="R4819" s="126"/>
      <x:c r="S4819" s="124"/>
      <x:c r="T4819" s="124"/>
      <x:c r="U4819" s="124"/>
      <x:c r="V4819" s="124"/>
      <x:c r="W4819" s="124"/>
      <x:c r="X4819" s="124"/>
      <x:c r="AD4819"/>
      <x:c r="AE4819" s="145"/>
      <x:c r="AF4819" s="145"/>
      <x:c r="AG4819" s="145"/>
      <x:c r="AH4819" s="145"/>
      <x:c r="AI4819" s="145"/>
      <x:c r="AJ4819"/>
    </x:row>
    <x:row r="4820">
      <x:c r="F4820" s="124"/>
      <x:c r="G4820" s="124"/>
      <x:c r="H4820" s="124"/>
      <x:c r="I4820" s="124"/>
      <x:c r="J4820" s="124"/>
      <x:c r="M4820" s="126"/>
      <x:c r="P4820" s="126"/>
      <x:c r="Q4820" s="126"/>
      <x:c r="R4820" s="126"/>
      <x:c r="S4820" s="124"/>
      <x:c r="T4820" s="124"/>
      <x:c r="U4820" s="124"/>
      <x:c r="V4820" s="124"/>
      <x:c r="W4820" s="124"/>
      <x:c r="X4820" s="124"/>
      <x:c r="AD4820"/>
      <x:c r="AE4820" s="145"/>
      <x:c r="AF4820" s="145"/>
      <x:c r="AG4820" s="145"/>
      <x:c r="AH4820" s="145"/>
      <x:c r="AI4820" s="145"/>
      <x:c r="AJ4820"/>
    </x:row>
    <x:row r="4821">
      <x:c r="F4821" s="124"/>
      <x:c r="G4821" s="124"/>
      <x:c r="H4821" s="124"/>
      <x:c r="I4821" s="124"/>
      <x:c r="J4821" s="124"/>
      <x:c r="M4821" s="126"/>
      <x:c r="P4821" s="126"/>
      <x:c r="Q4821" s="126"/>
      <x:c r="R4821" s="126"/>
      <x:c r="S4821" s="124"/>
      <x:c r="T4821" s="124"/>
      <x:c r="U4821" s="124"/>
      <x:c r="V4821" s="124"/>
      <x:c r="W4821" s="124"/>
      <x:c r="X4821" s="124"/>
      <x:c r="AD4821"/>
      <x:c r="AE4821" s="145"/>
      <x:c r="AF4821" s="145"/>
      <x:c r="AG4821" s="145"/>
      <x:c r="AH4821" s="145"/>
      <x:c r="AI4821" s="145"/>
      <x:c r="AJ4821"/>
    </x:row>
    <x:row r="4822">
      <x:c r="F4822" s="124"/>
      <x:c r="G4822" s="124"/>
      <x:c r="H4822" s="124"/>
      <x:c r="I4822" s="124"/>
      <x:c r="J4822" s="124"/>
      <x:c r="M4822" s="126"/>
      <x:c r="P4822" s="126"/>
      <x:c r="Q4822" s="126"/>
      <x:c r="R4822" s="126"/>
      <x:c r="S4822" s="124"/>
      <x:c r="T4822" s="124"/>
      <x:c r="U4822" s="124"/>
      <x:c r="V4822" s="124"/>
      <x:c r="W4822" s="124"/>
      <x:c r="X4822" s="124"/>
      <x:c r="AD4822"/>
      <x:c r="AE4822" s="145"/>
      <x:c r="AF4822" s="145"/>
      <x:c r="AG4822" s="145"/>
      <x:c r="AH4822" s="145"/>
      <x:c r="AI4822" s="145"/>
      <x:c r="AJ4822"/>
    </x:row>
    <x:row r="4823">
      <x:c r="F4823" s="124"/>
      <x:c r="G4823" s="124"/>
      <x:c r="H4823" s="124"/>
      <x:c r="I4823" s="124"/>
      <x:c r="J4823" s="124"/>
      <x:c r="M4823" s="126"/>
      <x:c r="P4823" s="126"/>
      <x:c r="Q4823" s="126"/>
      <x:c r="R4823" s="126"/>
      <x:c r="S4823" s="124"/>
      <x:c r="T4823" s="124"/>
      <x:c r="U4823" s="124"/>
      <x:c r="V4823" s="124"/>
      <x:c r="W4823" s="124"/>
      <x:c r="X4823" s="124"/>
      <x:c r="AD4823"/>
      <x:c r="AE4823" s="145"/>
      <x:c r="AF4823" s="145"/>
      <x:c r="AG4823" s="145"/>
      <x:c r="AH4823" s="145"/>
      <x:c r="AI4823" s="145"/>
      <x:c r="AJ4823"/>
    </x:row>
    <x:row r="4824">
      <x:c r="F4824" s="124"/>
      <x:c r="G4824" s="124"/>
      <x:c r="H4824" s="124"/>
      <x:c r="I4824" s="124"/>
      <x:c r="J4824" s="124"/>
      <x:c r="M4824" s="126"/>
      <x:c r="P4824" s="126"/>
      <x:c r="Q4824" s="126"/>
      <x:c r="R4824" s="126"/>
      <x:c r="S4824" s="124"/>
      <x:c r="T4824" s="124"/>
      <x:c r="U4824" s="124"/>
      <x:c r="V4824" s="124"/>
      <x:c r="W4824" s="124"/>
      <x:c r="X4824" s="124"/>
      <x:c r="AD4824"/>
      <x:c r="AE4824" s="145"/>
      <x:c r="AF4824" s="145"/>
      <x:c r="AG4824" s="145"/>
      <x:c r="AH4824" s="145"/>
      <x:c r="AI4824" s="145"/>
      <x:c r="AJ4824"/>
    </x:row>
    <x:row r="4825">
      <x:c r="F4825" s="124"/>
      <x:c r="G4825" s="124"/>
      <x:c r="H4825" s="124"/>
      <x:c r="I4825" s="124"/>
      <x:c r="J4825" s="124"/>
      <x:c r="M4825" s="126"/>
      <x:c r="P4825" s="126"/>
      <x:c r="Q4825" s="126"/>
      <x:c r="R4825" s="126"/>
      <x:c r="S4825" s="124"/>
      <x:c r="T4825" s="124"/>
      <x:c r="U4825" s="124"/>
      <x:c r="V4825" s="124"/>
      <x:c r="W4825" s="124"/>
      <x:c r="X4825" s="124"/>
      <x:c r="AD4825"/>
      <x:c r="AE4825" s="145"/>
      <x:c r="AF4825" s="145"/>
      <x:c r="AG4825" s="145"/>
      <x:c r="AH4825" s="145"/>
      <x:c r="AI4825" s="145"/>
      <x:c r="AJ4825"/>
    </x:row>
    <x:row r="4826">
      <x:c r="F4826" s="124"/>
      <x:c r="G4826" s="124"/>
      <x:c r="H4826" s="124"/>
      <x:c r="I4826" s="124"/>
      <x:c r="J4826" s="124"/>
      <x:c r="M4826" s="126"/>
      <x:c r="P4826" s="126"/>
      <x:c r="Q4826" s="126"/>
      <x:c r="R4826" s="126"/>
      <x:c r="S4826" s="124"/>
      <x:c r="T4826" s="124"/>
      <x:c r="U4826" s="124"/>
      <x:c r="V4826" s="124"/>
      <x:c r="W4826" s="124"/>
      <x:c r="X4826" s="124"/>
      <x:c r="AD4826"/>
      <x:c r="AE4826" s="145"/>
      <x:c r="AF4826" s="145"/>
      <x:c r="AG4826" s="145"/>
      <x:c r="AH4826" s="145"/>
      <x:c r="AI4826" s="145"/>
      <x:c r="AJ4826"/>
    </x:row>
    <x:row r="4827">
      <x:c r="F4827" s="124"/>
      <x:c r="G4827" s="124"/>
      <x:c r="H4827" s="124"/>
      <x:c r="I4827" s="124"/>
      <x:c r="J4827" s="124"/>
      <x:c r="M4827" s="126"/>
      <x:c r="P4827" s="126"/>
      <x:c r="Q4827" s="126"/>
      <x:c r="R4827" s="126"/>
      <x:c r="S4827" s="124"/>
      <x:c r="T4827" s="124"/>
      <x:c r="U4827" s="124"/>
      <x:c r="V4827" s="124"/>
      <x:c r="W4827" s="124"/>
      <x:c r="X4827" s="124"/>
      <x:c r="AD4827"/>
      <x:c r="AE4827" s="145"/>
      <x:c r="AF4827" s="145"/>
      <x:c r="AG4827" s="145"/>
      <x:c r="AH4827" s="145"/>
      <x:c r="AI4827" s="145"/>
      <x:c r="AJ4827"/>
    </x:row>
    <x:row r="4828">
      <x:c r="F4828" s="124"/>
      <x:c r="G4828" s="124"/>
      <x:c r="H4828" s="124"/>
      <x:c r="I4828" s="124"/>
      <x:c r="J4828" s="124"/>
      <x:c r="M4828" s="126"/>
      <x:c r="P4828" s="126"/>
      <x:c r="Q4828" s="126"/>
      <x:c r="R4828" s="126"/>
      <x:c r="S4828" s="124"/>
      <x:c r="T4828" s="124"/>
      <x:c r="U4828" s="124"/>
      <x:c r="V4828" s="124"/>
      <x:c r="W4828" s="124"/>
      <x:c r="X4828" s="124"/>
      <x:c r="AD4828"/>
      <x:c r="AE4828" s="145"/>
      <x:c r="AF4828" s="145"/>
      <x:c r="AG4828" s="145"/>
      <x:c r="AH4828" s="145"/>
      <x:c r="AI4828" s="145"/>
      <x:c r="AJ4828"/>
    </x:row>
    <x:row r="4829">
      <x:c r="F4829" s="124"/>
      <x:c r="G4829" s="124"/>
      <x:c r="H4829" s="124"/>
      <x:c r="I4829" s="124"/>
      <x:c r="J4829" s="124"/>
      <x:c r="M4829" s="126"/>
      <x:c r="P4829" s="126"/>
      <x:c r="Q4829" s="126"/>
      <x:c r="R4829" s="126"/>
      <x:c r="S4829" s="124"/>
      <x:c r="T4829" s="124"/>
      <x:c r="U4829" s="124"/>
      <x:c r="V4829" s="124"/>
      <x:c r="W4829" s="124"/>
      <x:c r="X4829" s="124"/>
      <x:c r="AD4829"/>
      <x:c r="AE4829" s="145"/>
      <x:c r="AF4829" s="145"/>
      <x:c r="AG4829" s="145"/>
      <x:c r="AH4829" s="145"/>
      <x:c r="AI4829" s="145"/>
      <x:c r="AJ4829"/>
    </x:row>
    <x:row r="4830">
      <x:c r="F4830" s="124"/>
      <x:c r="G4830" s="124"/>
      <x:c r="H4830" s="124"/>
      <x:c r="I4830" s="124"/>
      <x:c r="J4830" s="124"/>
      <x:c r="M4830" s="126"/>
      <x:c r="P4830" s="126"/>
      <x:c r="Q4830" s="126"/>
      <x:c r="R4830" s="126"/>
      <x:c r="S4830" s="124"/>
      <x:c r="T4830" s="124"/>
      <x:c r="U4830" s="124"/>
      <x:c r="V4830" s="124"/>
      <x:c r="W4830" s="124"/>
      <x:c r="X4830" s="124"/>
      <x:c r="AD4830"/>
      <x:c r="AE4830" s="145"/>
      <x:c r="AF4830" s="145"/>
      <x:c r="AG4830" s="145"/>
      <x:c r="AH4830" s="145"/>
      <x:c r="AI4830" s="145"/>
      <x:c r="AJ4830"/>
    </x:row>
    <x:row r="4831">
      <x:c r="F4831" s="124"/>
      <x:c r="G4831" s="124"/>
      <x:c r="H4831" s="124"/>
      <x:c r="I4831" s="124"/>
      <x:c r="J4831" s="124"/>
      <x:c r="M4831" s="126"/>
      <x:c r="P4831" s="126"/>
      <x:c r="Q4831" s="126"/>
      <x:c r="R4831" s="126"/>
      <x:c r="S4831" s="124"/>
      <x:c r="T4831" s="124"/>
      <x:c r="U4831" s="124"/>
      <x:c r="V4831" s="124"/>
      <x:c r="W4831" s="124"/>
      <x:c r="X4831" s="124"/>
      <x:c r="AD4831"/>
      <x:c r="AE4831" s="145"/>
      <x:c r="AF4831" s="145"/>
      <x:c r="AG4831" s="145"/>
      <x:c r="AH4831" s="145"/>
      <x:c r="AI4831" s="145"/>
      <x:c r="AJ4831"/>
    </x:row>
    <x:row r="4832">
      <x:c r="F4832" s="124"/>
      <x:c r="G4832" s="124"/>
      <x:c r="H4832" s="124"/>
      <x:c r="I4832" s="124"/>
      <x:c r="J4832" s="124"/>
      <x:c r="M4832" s="126"/>
      <x:c r="P4832" s="126"/>
      <x:c r="Q4832" s="126"/>
      <x:c r="R4832" s="126"/>
      <x:c r="S4832" s="124"/>
      <x:c r="T4832" s="124"/>
      <x:c r="U4832" s="124"/>
      <x:c r="V4832" s="124"/>
      <x:c r="W4832" s="124"/>
      <x:c r="X4832" s="124"/>
      <x:c r="AD4832"/>
      <x:c r="AE4832" s="145"/>
      <x:c r="AF4832" s="145"/>
      <x:c r="AG4832" s="145"/>
      <x:c r="AH4832" s="145"/>
      <x:c r="AI4832" s="145"/>
      <x:c r="AJ4832"/>
    </x:row>
    <x:row r="4833">
      <x:c r="F4833" s="124"/>
      <x:c r="G4833" s="124"/>
      <x:c r="H4833" s="124"/>
      <x:c r="I4833" s="124"/>
      <x:c r="J4833" s="124"/>
      <x:c r="M4833" s="126"/>
      <x:c r="P4833" s="126"/>
      <x:c r="Q4833" s="126"/>
      <x:c r="R4833" s="126"/>
      <x:c r="S4833" s="124"/>
      <x:c r="T4833" s="124"/>
      <x:c r="U4833" s="124"/>
      <x:c r="V4833" s="124"/>
      <x:c r="W4833" s="124"/>
      <x:c r="X4833" s="124"/>
      <x:c r="AD4833"/>
      <x:c r="AE4833" s="145"/>
      <x:c r="AF4833" s="145"/>
      <x:c r="AG4833" s="145"/>
      <x:c r="AH4833" s="145"/>
      <x:c r="AI4833" s="145"/>
      <x:c r="AJ4833"/>
    </x:row>
    <x:row r="4834">
      <x:c r="F4834" s="124"/>
      <x:c r="G4834" s="124"/>
      <x:c r="H4834" s="124"/>
      <x:c r="I4834" s="124"/>
      <x:c r="J4834" s="124"/>
      <x:c r="M4834" s="126"/>
      <x:c r="P4834" s="126"/>
      <x:c r="Q4834" s="126"/>
      <x:c r="R4834" s="126"/>
      <x:c r="S4834" s="124"/>
      <x:c r="T4834" s="124"/>
      <x:c r="U4834" s="124"/>
      <x:c r="V4834" s="124"/>
      <x:c r="W4834" s="124"/>
      <x:c r="X4834" s="124"/>
      <x:c r="AD4834"/>
      <x:c r="AE4834" s="145"/>
      <x:c r="AF4834" s="145"/>
      <x:c r="AG4834" s="145"/>
      <x:c r="AH4834" s="145"/>
      <x:c r="AI4834" s="145"/>
      <x:c r="AJ4834"/>
    </x:row>
    <x:row r="4835">
      <x:c r="F4835" s="124"/>
      <x:c r="G4835" s="124"/>
      <x:c r="H4835" s="124"/>
      <x:c r="I4835" s="124"/>
      <x:c r="J4835" s="124"/>
      <x:c r="M4835" s="126"/>
      <x:c r="P4835" s="126"/>
      <x:c r="Q4835" s="126"/>
      <x:c r="R4835" s="126"/>
      <x:c r="S4835" s="124"/>
      <x:c r="T4835" s="124"/>
      <x:c r="U4835" s="124"/>
      <x:c r="V4835" s="124"/>
      <x:c r="W4835" s="124"/>
      <x:c r="X4835" s="124"/>
      <x:c r="AD4835"/>
      <x:c r="AE4835" s="145"/>
      <x:c r="AF4835" s="145"/>
      <x:c r="AG4835" s="145"/>
      <x:c r="AH4835" s="145"/>
      <x:c r="AI4835" s="145"/>
      <x:c r="AJ4835"/>
    </x:row>
    <x:row r="4836">
      <x:c r="F4836" s="124"/>
      <x:c r="G4836" s="124"/>
      <x:c r="H4836" s="124"/>
      <x:c r="I4836" s="124"/>
      <x:c r="J4836" s="124"/>
      <x:c r="M4836" s="126"/>
      <x:c r="P4836" s="126"/>
      <x:c r="Q4836" s="126"/>
      <x:c r="R4836" s="126"/>
      <x:c r="S4836" s="124"/>
      <x:c r="T4836" s="124"/>
      <x:c r="U4836" s="124"/>
      <x:c r="V4836" s="124"/>
      <x:c r="W4836" s="124"/>
      <x:c r="X4836" s="124"/>
      <x:c r="AD4836"/>
      <x:c r="AE4836" s="145"/>
      <x:c r="AF4836" s="145"/>
      <x:c r="AG4836" s="145"/>
      <x:c r="AH4836" s="145"/>
      <x:c r="AI4836" s="145"/>
      <x:c r="AJ4836"/>
    </x:row>
    <x:row r="4837">
      <x:c r="F4837" s="124"/>
      <x:c r="G4837" s="124"/>
      <x:c r="H4837" s="124"/>
      <x:c r="I4837" s="124"/>
      <x:c r="J4837" s="124"/>
      <x:c r="M4837" s="126"/>
      <x:c r="P4837" s="126"/>
      <x:c r="Q4837" s="126"/>
      <x:c r="R4837" s="126"/>
      <x:c r="S4837" s="124"/>
      <x:c r="T4837" s="124"/>
      <x:c r="U4837" s="124"/>
      <x:c r="V4837" s="124"/>
      <x:c r="W4837" s="124"/>
      <x:c r="X4837" s="124"/>
      <x:c r="AD4837"/>
      <x:c r="AE4837" s="145"/>
      <x:c r="AF4837" s="145"/>
      <x:c r="AG4837" s="145"/>
      <x:c r="AH4837" s="145"/>
      <x:c r="AI4837" s="145"/>
      <x:c r="AJ4837"/>
    </x:row>
    <x:row r="4838">
      <x:c r="F4838" s="124"/>
      <x:c r="G4838" s="124"/>
      <x:c r="H4838" s="124"/>
      <x:c r="I4838" s="124"/>
      <x:c r="J4838" s="124"/>
      <x:c r="M4838" s="126"/>
      <x:c r="P4838" s="126"/>
      <x:c r="Q4838" s="126"/>
      <x:c r="R4838" s="126"/>
      <x:c r="S4838" s="124"/>
      <x:c r="T4838" s="124"/>
      <x:c r="U4838" s="124"/>
      <x:c r="V4838" s="124"/>
      <x:c r="W4838" s="124"/>
      <x:c r="X4838" s="124"/>
      <x:c r="AD4838"/>
      <x:c r="AE4838" s="145"/>
      <x:c r="AF4838" s="145"/>
      <x:c r="AG4838" s="145"/>
      <x:c r="AH4838" s="145"/>
      <x:c r="AI4838" s="145"/>
      <x:c r="AJ4838"/>
    </x:row>
    <x:row r="4839">
      <x:c r="F4839" s="124"/>
      <x:c r="G4839" s="124"/>
      <x:c r="H4839" s="124"/>
      <x:c r="I4839" s="124"/>
      <x:c r="J4839" s="124"/>
      <x:c r="M4839" s="126"/>
      <x:c r="P4839" s="126"/>
      <x:c r="Q4839" s="126"/>
      <x:c r="R4839" s="126"/>
      <x:c r="S4839" s="124"/>
      <x:c r="T4839" s="124"/>
      <x:c r="U4839" s="124"/>
      <x:c r="V4839" s="124"/>
      <x:c r="W4839" s="124"/>
      <x:c r="X4839" s="124"/>
      <x:c r="AD4839"/>
      <x:c r="AE4839" s="145"/>
      <x:c r="AF4839" s="145"/>
      <x:c r="AG4839" s="145"/>
      <x:c r="AH4839" s="145"/>
      <x:c r="AI4839" s="145"/>
      <x:c r="AJ4839"/>
    </x:row>
    <x:row r="4840">
      <x:c r="F4840" s="124"/>
      <x:c r="G4840" s="124"/>
      <x:c r="H4840" s="124"/>
      <x:c r="I4840" s="124"/>
      <x:c r="J4840" s="124"/>
      <x:c r="M4840" s="126"/>
      <x:c r="P4840" s="126"/>
      <x:c r="Q4840" s="126"/>
      <x:c r="R4840" s="126"/>
      <x:c r="S4840" s="124"/>
      <x:c r="T4840" s="124"/>
      <x:c r="U4840" s="124"/>
      <x:c r="V4840" s="124"/>
      <x:c r="W4840" s="124"/>
      <x:c r="X4840" s="124"/>
      <x:c r="AD4840"/>
      <x:c r="AE4840" s="145"/>
      <x:c r="AF4840" s="145"/>
      <x:c r="AG4840" s="145"/>
      <x:c r="AH4840" s="145"/>
      <x:c r="AI4840" s="145"/>
      <x:c r="AJ4840"/>
    </x:row>
    <x:row r="4841">
      <x:c r="F4841" s="124"/>
      <x:c r="G4841" s="124"/>
      <x:c r="H4841" s="124"/>
      <x:c r="I4841" s="124"/>
      <x:c r="J4841" s="124"/>
      <x:c r="M4841" s="126"/>
      <x:c r="P4841" s="126"/>
      <x:c r="Q4841" s="126"/>
      <x:c r="R4841" s="126"/>
      <x:c r="S4841" s="124"/>
      <x:c r="T4841" s="124"/>
      <x:c r="U4841" s="124"/>
      <x:c r="V4841" s="124"/>
      <x:c r="W4841" s="124"/>
      <x:c r="X4841" s="124"/>
      <x:c r="AD4841"/>
      <x:c r="AE4841" s="145"/>
      <x:c r="AF4841" s="145"/>
      <x:c r="AG4841" s="145"/>
      <x:c r="AH4841" s="145"/>
      <x:c r="AI4841" s="145"/>
      <x:c r="AJ4841"/>
    </x:row>
    <x:row r="4842">
      <x:c r="F4842" s="124"/>
      <x:c r="G4842" s="124"/>
      <x:c r="H4842" s="124"/>
      <x:c r="I4842" s="124"/>
      <x:c r="J4842" s="124"/>
      <x:c r="M4842" s="126"/>
      <x:c r="P4842" s="126"/>
      <x:c r="Q4842" s="126"/>
      <x:c r="R4842" s="126"/>
      <x:c r="S4842" s="124"/>
      <x:c r="T4842" s="124"/>
      <x:c r="U4842" s="124"/>
      <x:c r="V4842" s="124"/>
      <x:c r="W4842" s="124"/>
      <x:c r="X4842" s="124"/>
      <x:c r="AD4842"/>
      <x:c r="AE4842" s="145"/>
      <x:c r="AF4842" s="145"/>
      <x:c r="AG4842" s="145"/>
      <x:c r="AH4842" s="145"/>
      <x:c r="AI4842" s="145"/>
      <x:c r="AJ4842"/>
    </x:row>
    <x:row r="4843">
      <x:c r="F4843" s="124"/>
      <x:c r="G4843" s="124"/>
      <x:c r="H4843" s="124"/>
      <x:c r="I4843" s="124"/>
      <x:c r="J4843" s="124"/>
      <x:c r="M4843" s="126"/>
      <x:c r="P4843" s="126"/>
      <x:c r="Q4843" s="126"/>
      <x:c r="R4843" s="126"/>
      <x:c r="S4843" s="124"/>
      <x:c r="T4843" s="124"/>
      <x:c r="U4843" s="124"/>
      <x:c r="V4843" s="124"/>
      <x:c r="W4843" s="124"/>
      <x:c r="X4843" s="124"/>
      <x:c r="AD4843"/>
      <x:c r="AE4843" s="145"/>
      <x:c r="AF4843" s="145"/>
      <x:c r="AG4843" s="145"/>
      <x:c r="AH4843" s="145"/>
      <x:c r="AI4843" s="145"/>
      <x:c r="AJ4843"/>
    </x:row>
    <x:row r="4844">
      <x:c r="F4844" s="124"/>
      <x:c r="G4844" s="124"/>
      <x:c r="H4844" s="124"/>
      <x:c r="I4844" s="124"/>
      <x:c r="J4844" s="124"/>
      <x:c r="M4844" s="126"/>
      <x:c r="P4844" s="126"/>
      <x:c r="Q4844" s="126"/>
      <x:c r="R4844" s="126"/>
      <x:c r="S4844" s="124"/>
      <x:c r="T4844" s="124"/>
      <x:c r="U4844" s="124"/>
      <x:c r="V4844" s="124"/>
      <x:c r="W4844" s="124"/>
      <x:c r="X4844" s="124"/>
      <x:c r="AD4844"/>
      <x:c r="AE4844" s="145"/>
      <x:c r="AF4844" s="145"/>
      <x:c r="AG4844" s="145"/>
      <x:c r="AH4844" s="145"/>
      <x:c r="AI4844" s="145"/>
      <x:c r="AJ4844"/>
    </x:row>
    <x:row r="4845">
      <x:c r="F4845" s="124"/>
      <x:c r="G4845" s="124"/>
      <x:c r="H4845" s="124"/>
      <x:c r="I4845" s="124"/>
      <x:c r="J4845" s="124"/>
      <x:c r="M4845" s="126"/>
      <x:c r="P4845" s="126"/>
      <x:c r="Q4845" s="126"/>
      <x:c r="R4845" s="126"/>
      <x:c r="S4845" s="124"/>
      <x:c r="T4845" s="124"/>
      <x:c r="U4845" s="124"/>
      <x:c r="V4845" s="124"/>
      <x:c r="W4845" s="124"/>
      <x:c r="X4845" s="124"/>
      <x:c r="AD4845"/>
      <x:c r="AE4845" s="145"/>
      <x:c r="AF4845" s="145"/>
      <x:c r="AG4845" s="145"/>
      <x:c r="AH4845" s="145"/>
      <x:c r="AI4845" s="145"/>
      <x:c r="AJ4845"/>
    </x:row>
    <x:row r="4846">
      <x:c r="F4846" s="124"/>
      <x:c r="G4846" s="124"/>
      <x:c r="H4846" s="124"/>
      <x:c r="I4846" s="124"/>
      <x:c r="J4846" s="124"/>
      <x:c r="M4846" s="126"/>
      <x:c r="P4846" s="126"/>
      <x:c r="Q4846" s="126"/>
      <x:c r="R4846" s="126"/>
      <x:c r="S4846" s="124"/>
      <x:c r="T4846" s="124"/>
      <x:c r="U4846" s="124"/>
      <x:c r="V4846" s="124"/>
      <x:c r="W4846" s="124"/>
      <x:c r="X4846" s="124"/>
      <x:c r="AD4846"/>
      <x:c r="AE4846" s="145"/>
      <x:c r="AF4846" s="145"/>
      <x:c r="AG4846" s="145"/>
      <x:c r="AH4846" s="145"/>
      <x:c r="AI4846" s="145"/>
      <x:c r="AJ4846"/>
    </x:row>
    <x:row r="4847">
      <x:c r="F4847" s="124"/>
      <x:c r="G4847" s="124"/>
      <x:c r="H4847" s="124"/>
      <x:c r="I4847" s="124"/>
      <x:c r="J4847" s="124"/>
      <x:c r="M4847" s="126"/>
      <x:c r="P4847" s="126"/>
      <x:c r="Q4847" s="126"/>
      <x:c r="R4847" s="126"/>
      <x:c r="S4847" s="124"/>
      <x:c r="T4847" s="124"/>
      <x:c r="U4847" s="124"/>
      <x:c r="V4847" s="124"/>
      <x:c r="W4847" s="124"/>
      <x:c r="X4847" s="124"/>
      <x:c r="AD4847"/>
      <x:c r="AE4847" s="145"/>
      <x:c r="AF4847" s="145"/>
      <x:c r="AG4847" s="145"/>
      <x:c r="AH4847" s="145"/>
      <x:c r="AI4847" s="145"/>
      <x:c r="AJ4847"/>
    </x:row>
    <x:row r="4848">
      <x:c r="F4848" s="124"/>
      <x:c r="G4848" s="124"/>
      <x:c r="H4848" s="124"/>
      <x:c r="I4848" s="124"/>
      <x:c r="J4848" s="124"/>
      <x:c r="M4848" s="126"/>
      <x:c r="P4848" s="126"/>
      <x:c r="Q4848" s="126"/>
      <x:c r="R4848" s="126"/>
      <x:c r="S4848" s="124"/>
      <x:c r="T4848" s="124"/>
      <x:c r="U4848" s="124"/>
      <x:c r="V4848" s="124"/>
      <x:c r="W4848" s="124"/>
      <x:c r="X4848" s="124"/>
      <x:c r="AD4848"/>
      <x:c r="AE4848" s="145"/>
      <x:c r="AF4848" s="145"/>
      <x:c r="AG4848" s="145"/>
      <x:c r="AH4848" s="145"/>
      <x:c r="AI4848" s="145"/>
      <x:c r="AJ4848"/>
    </x:row>
    <x:row r="4849">
      <x:c r="F4849" s="124"/>
      <x:c r="G4849" s="124"/>
      <x:c r="H4849" s="124"/>
      <x:c r="I4849" s="124"/>
      <x:c r="J4849" s="124"/>
      <x:c r="M4849" s="126"/>
      <x:c r="P4849" s="126"/>
      <x:c r="Q4849" s="126"/>
      <x:c r="R4849" s="126"/>
      <x:c r="S4849" s="124"/>
      <x:c r="T4849" s="124"/>
      <x:c r="U4849" s="124"/>
      <x:c r="V4849" s="124"/>
      <x:c r="W4849" s="124"/>
      <x:c r="X4849" s="124"/>
      <x:c r="AD4849"/>
      <x:c r="AE4849" s="145"/>
      <x:c r="AF4849" s="145"/>
      <x:c r="AG4849" s="145"/>
      <x:c r="AH4849" s="145"/>
      <x:c r="AI4849" s="145"/>
      <x:c r="AJ4849"/>
    </x:row>
    <x:row r="4850">
      <x:c r="F4850" s="124"/>
      <x:c r="G4850" s="124"/>
      <x:c r="H4850" s="124"/>
      <x:c r="I4850" s="124"/>
      <x:c r="J4850" s="124"/>
      <x:c r="M4850" s="126"/>
      <x:c r="P4850" s="126"/>
      <x:c r="Q4850" s="126"/>
      <x:c r="R4850" s="126"/>
      <x:c r="S4850" s="124"/>
      <x:c r="T4850" s="124"/>
      <x:c r="U4850" s="124"/>
      <x:c r="V4850" s="124"/>
      <x:c r="W4850" s="124"/>
      <x:c r="X4850" s="124"/>
      <x:c r="AD4850"/>
      <x:c r="AE4850" s="145"/>
      <x:c r="AF4850" s="145"/>
      <x:c r="AG4850" s="145"/>
      <x:c r="AH4850" s="145"/>
      <x:c r="AI4850" s="145"/>
      <x:c r="AJ4850"/>
    </x:row>
    <x:row r="4851">
      <x:c r="F4851" s="124"/>
      <x:c r="G4851" s="124"/>
      <x:c r="H4851" s="124"/>
      <x:c r="I4851" s="124"/>
      <x:c r="J4851" s="124"/>
      <x:c r="M4851" s="126"/>
      <x:c r="P4851" s="126"/>
      <x:c r="Q4851" s="126"/>
      <x:c r="R4851" s="126"/>
      <x:c r="S4851" s="124"/>
      <x:c r="T4851" s="124"/>
      <x:c r="U4851" s="124"/>
      <x:c r="V4851" s="124"/>
      <x:c r="W4851" s="124"/>
      <x:c r="X4851" s="124"/>
      <x:c r="AD4851"/>
      <x:c r="AE4851" s="145"/>
      <x:c r="AF4851" s="145"/>
      <x:c r="AG4851" s="145"/>
      <x:c r="AH4851" s="145"/>
      <x:c r="AI4851" s="145"/>
      <x:c r="AJ4851"/>
    </x:row>
    <x:row r="4852">
      <x:c r="F4852" s="124"/>
      <x:c r="G4852" s="124"/>
      <x:c r="H4852" s="124"/>
      <x:c r="I4852" s="124"/>
      <x:c r="J4852" s="124"/>
      <x:c r="M4852" s="126"/>
      <x:c r="P4852" s="126"/>
      <x:c r="Q4852" s="126"/>
      <x:c r="R4852" s="126"/>
      <x:c r="S4852" s="124"/>
      <x:c r="T4852" s="124"/>
      <x:c r="U4852" s="124"/>
      <x:c r="V4852" s="124"/>
      <x:c r="W4852" s="124"/>
      <x:c r="X4852" s="124"/>
      <x:c r="AD4852"/>
      <x:c r="AE4852" s="145"/>
      <x:c r="AF4852" s="145"/>
      <x:c r="AG4852" s="145"/>
      <x:c r="AH4852" s="145"/>
      <x:c r="AI4852" s="145"/>
      <x:c r="AJ4852"/>
    </x:row>
    <x:row r="4853">
      <x:c r="F4853" s="124"/>
      <x:c r="G4853" s="124"/>
      <x:c r="H4853" s="124"/>
      <x:c r="I4853" s="124"/>
      <x:c r="J4853" s="124"/>
      <x:c r="M4853" s="126"/>
      <x:c r="P4853" s="126"/>
      <x:c r="Q4853" s="126"/>
      <x:c r="R4853" s="126"/>
      <x:c r="S4853" s="124"/>
      <x:c r="T4853" s="124"/>
      <x:c r="U4853" s="124"/>
      <x:c r="V4853" s="124"/>
      <x:c r="W4853" s="124"/>
      <x:c r="X4853" s="124"/>
      <x:c r="AD4853"/>
      <x:c r="AE4853" s="145"/>
      <x:c r="AF4853" s="145"/>
      <x:c r="AG4853" s="145"/>
      <x:c r="AH4853" s="145"/>
      <x:c r="AI4853" s="145"/>
      <x:c r="AJ4853"/>
    </x:row>
    <x:row r="4854">
      <x:c r="F4854" s="124"/>
      <x:c r="G4854" s="124"/>
      <x:c r="H4854" s="124"/>
      <x:c r="I4854" s="124"/>
      <x:c r="J4854" s="124"/>
      <x:c r="M4854" s="126"/>
      <x:c r="P4854" s="126"/>
      <x:c r="Q4854" s="126"/>
      <x:c r="R4854" s="126"/>
      <x:c r="S4854" s="124"/>
      <x:c r="T4854" s="124"/>
      <x:c r="U4854" s="124"/>
      <x:c r="V4854" s="124"/>
      <x:c r="W4854" s="124"/>
      <x:c r="X4854" s="124"/>
      <x:c r="AD4854"/>
      <x:c r="AE4854" s="145"/>
      <x:c r="AF4854" s="145"/>
      <x:c r="AG4854" s="145"/>
      <x:c r="AH4854" s="145"/>
      <x:c r="AI4854" s="145"/>
      <x:c r="AJ4854"/>
    </x:row>
    <x:row r="4855">
      <x:c r="F4855" s="124"/>
      <x:c r="G4855" s="124"/>
      <x:c r="H4855" s="124"/>
      <x:c r="I4855" s="124"/>
      <x:c r="J4855" s="124"/>
      <x:c r="M4855" s="126"/>
      <x:c r="P4855" s="126"/>
      <x:c r="Q4855" s="126"/>
      <x:c r="R4855" s="126"/>
      <x:c r="S4855" s="124"/>
      <x:c r="T4855" s="124"/>
      <x:c r="U4855" s="124"/>
      <x:c r="V4855" s="124"/>
      <x:c r="W4855" s="124"/>
      <x:c r="X4855" s="124"/>
      <x:c r="AD4855"/>
      <x:c r="AE4855" s="145"/>
      <x:c r="AF4855" s="145"/>
      <x:c r="AG4855" s="145"/>
      <x:c r="AH4855" s="145"/>
      <x:c r="AI4855" s="145"/>
      <x:c r="AJ4855"/>
    </x:row>
    <x:row r="4856">
      <x:c r="F4856" s="124"/>
      <x:c r="G4856" s="124"/>
      <x:c r="H4856" s="124"/>
      <x:c r="I4856" s="124"/>
      <x:c r="J4856" s="124"/>
      <x:c r="M4856" s="126"/>
      <x:c r="P4856" s="126"/>
      <x:c r="Q4856" s="126"/>
      <x:c r="R4856" s="126"/>
      <x:c r="S4856" s="124"/>
      <x:c r="T4856" s="124"/>
      <x:c r="U4856" s="124"/>
      <x:c r="V4856" s="124"/>
      <x:c r="W4856" s="124"/>
      <x:c r="X4856" s="124"/>
      <x:c r="AD4856"/>
      <x:c r="AE4856" s="145"/>
      <x:c r="AF4856" s="145"/>
      <x:c r="AG4856" s="145"/>
      <x:c r="AH4856" s="145"/>
      <x:c r="AI4856" s="145"/>
      <x:c r="AJ4856"/>
    </x:row>
    <x:row r="4857">
      <x:c r="F4857" s="124"/>
      <x:c r="G4857" s="124"/>
      <x:c r="H4857" s="124"/>
      <x:c r="I4857" s="124"/>
      <x:c r="J4857" s="124"/>
      <x:c r="M4857" s="126"/>
      <x:c r="P4857" s="126"/>
      <x:c r="Q4857" s="126"/>
      <x:c r="R4857" s="126"/>
      <x:c r="S4857" s="124"/>
      <x:c r="T4857" s="124"/>
      <x:c r="U4857" s="124"/>
      <x:c r="V4857" s="124"/>
      <x:c r="W4857" s="124"/>
      <x:c r="X4857" s="124"/>
      <x:c r="AD4857"/>
      <x:c r="AE4857" s="145"/>
      <x:c r="AF4857" s="145"/>
      <x:c r="AG4857" s="145"/>
      <x:c r="AH4857" s="145"/>
      <x:c r="AI4857" s="145"/>
      <x:c r="AJ4857"/>
    </x:row>
    <x:row r="4858">
      <x:c r="F4858" s="124"/>
      <x:c r="G4858" s="124"/>
      <x:c r="H4858" s="124"/>
      <x:c r="I4858" s="124"/>
      <x:c r="J4858" s="124"/>
      <x:c r="M4858" s="126"/>
      <x:c r="P4858" s="126"/>
      <x:c r="Q4858" s="126"/>
      <x:c r="R4858" s="126"/>
      <x:c r="S4858" s="124"/>
      <x:c r="T4858" s="124"/>
      <x:c r="U4858" s="124"/>
      <x:c r="V4858" s="124"/>
      <x:c r="W4858" s="124"/>
      <x:c r="X4858" s="124"/>
      <x:c r="AD4858"/>
      <x:c r="AE4858" s="145"/>
      <x:c r="AF4858" s="145"/>
      <x:c r="AG4858" s="145"/>
      <x:c r="AH4858" s="145"/>
      <x:c r="AI4858" s="145"/>
      <x:c r="AJ4858"/>
    </x:row>
    <x:row r="4859">
      <x:c r="F4859" s="124"/>
      <x:c r="G4859" s="124"/>
      <x:c r="H4859" s="124"/>
      <x:c r="I4859" s="124"/>
      <x:c r="J4859" s="124"/>
      <x:c r="M4859" s="126"/>
      <x:c r="P4859" s="126"/>
      <x:c r="Q4859" s="126"/>
      <x:c r="R4859" s="126"/>
      <x:c r="S4859" s="124"/>
      <x:c r="T4859" s="124"/>
      <x:c r="U4859" s="124"/>
      <x:c r="V4859" s="124"/>
      <x:c r="W4859" s="124"/>
      <x:c r="X4859" s="124"/>
      <x:c r="AD4859"/>
      <x:c r="AE4859" s="145"/>
      <x:c r="AF4859" s="145"/>
      <x:c r="AG4859" s="145"/>
      <x:c r="AH4859" s="145"/>
      <x:c r="AI4859" s="145"/>
      <x:c r="AJ4859"/>
    </x:row>
    <x:row r="4860">
      <x:c r="F4860" s="124"/>
      <x:c r="G4860" s="124"/>
      <x:c r="H4860" s="124"/>
      <x:c r="I4860" s="124"/>
      <x:c r="J4860" s="124"/>
      <x:c r="M4860" s="126"/>
      <x:c r="P4860" s="126"/>
      <x:c r="Q4860" s="126"/>
      <x:c r="R4860" s="126"/>
      <x:c r="S4860" s="124"/>
      <x:c r="T4860" s="124"/>
      <x:c r="U4860" s="124"/>
      <x:c r="V4860" s="124"/>
      <x:c r="W4860" s="124"/>
      <x:c r="X4860" s="124"/>
      <x:c r="AD4860"/>
      <x:c r="AE4860" s="145"/>
      <x:c r="AF4860" s="145"/>
      <x:c r="AG4860" s="145"/>
      <x:c r="AH4860" s="145"/>
      <x:c r="AI4860" s="145"/>
      <x:c r="AJ4860"/>
    </x:row>
    <x:row r="4861">
      <x:c r="F4861" s="124"/>
      <x:c r="G4861" s="124"/>
      <x:c r="H4861" s="124"/>
      <x:c r="I4861" s="124"/>
      <x:c r="J4861" s="124"/>
      <x:c r="M4861" s="126"/>
      <x:c r="P4861" s="126"/>
      <x:c r="Q4861" s="126"/>
      <x:c r="R4861" s="126"/>
      <x:c r="S4861" s="124"/>
      <x:c r="T4861" s="124"/>
      <x:c r="U4861" s="124"/>
      <x:c r="V4861" s="124"/>
      <x:c r="W4861" s="124"/>
      <x:c r="X4861" s="124"/>
      <x:c r="AD4861"/>
      <x:c r="AE4861" s="145"/>
      <x:c r="AF4861" s="145"/>
      <x:c r="AG4861" s="145"/>
      <x:c r="AH4861" s="145"/>
      <x:c r="AI4861" s="145"/>
      <x:c r="AJ4861"/>
    </x:row>
    <x:row r="4862">
      <x:c r="F4862" s="124"/>
      <x:c r="G4862" s="124"/>
      <x:c r="H4862" s="124"/>
      <x:c r="I4862" s="124"/>
      <x:c r="J4862" s="124"/>
      <x:c r="M4862" s="126"/>
      <x:c r="P4862" s="126"/>
      <x:c r="Q4862" s="126"/>
      <x:c r="R4862" s="126"/>
      <x:c r="S4862" s="124"/>
      <x:c r="T4862" s="124"/>
      <x:c r="U4862" s="124"/>
      <x:c r="V4862" s="124"/>
      <x:c r="W4862" s="124"/>
      <x:c r="X4862" s="124"/>
      <x:c r="AD4862"/>
      <x:c r="AE4862" s="145"/>
      <x:c r="AF4862" s="145"/>
      <x:c r="AG4862" s="145"/>
      <x:c r="AH4862" s="145"/>
      <x:c r="AI4862" s="145"/>
      <x:c r="AJ4862"/>
    </x:row>
    <x:row r="4863">
      <x:c r="F4863" s="124"/>
      <x:c r="G4863" s="124"/>
      <x:c r="H4863" s="124"/>
      <x:c r="I4863" s="124"/>
      <x:c r="J4863" s="124"/>
      <x:c r="M4863" s="126"/>
      <x:c r="P4863" s="126"/>
      <x:c r="Q4863" s="126"/>
      <x:c r="R4863" s="126"/>
      <x:c r="S4863" s="124"/>
      <x:c r="T4863" s="124"/>
      <x:c r="U4863" s="124"/>
      <x:c r="V4863" s="124"/>
      <x:c r="W4863" s="124"/>
      <x:c r="X4863" s="124"/>
      <x:c r="AD4863"/>
      <x:c r="AE4863" s="145"/>
      <x:c r="AF4863" s="145"/>
      <x:c r="AG4863" s="145"/>
      <x:c r="AH4863" s="145"/>
      <x:c r="AI4863" s="145"/>
      <x:c r="AJ4863"/>
    </x:row>
    <x:row r="4864">
      <x:c r="F4864" s="124"/>
      <x:c r="G4864" s="124"/>
      <x:c r="H4864" s="124"/>
      <x:c r="I4864" s="124"/>
      <x:c r="J4864" s="124"/>
      <x:c r="M4864" s="126"/>
      <x:c r="P4864" s="126"/>
      <x:c r="Q4864" s="126"/>
      <x:c r="R4864" s="126"/>
      <x:c r="S4864" s="124"/>
      <x:c r="T4864" s="124"/>
      <x:c r="U4864" s="124"/>
      <x:c r="V4864" s="124"/>
      <x:c r="W4864" s="124"/>
      <x:c r="X4864" s="124"/>
      <x:c r="AD4864"/>
      <x:c r="AE4864" s="145"/>
      <x:c r="AF4864" s="145"/>
      <x:c r="AG4864" s="145"/>
      <x:c r="AH4864" s="145"/>
      <x:c r="AI4864" s="145"/>
      <x:c r="AJ4864"/>
    </x:row>
    <x:row r="4865">
      <x:c r="F4865" s="124"/>
      <x:c r="G4865" s="124"/>
      <x:c r="H4865" s="124"/>
      <x:c r="I4865" s="124"/>
      <x:c r="J4865" s="124"/>
      <x:c r="M4865" s="126"/>
      <x:c r="P4865" s="126"/>
      <x:c r="Q4865" s="126"/>
      <x:c r="R4865" s="126"/>
      <x:c r="S4865" s="124"/>
      <x:c r="T4865" s="124"/>
      <x:c r="U4865" s="124"/>
      <x:c r="V4865" s="124"/>
      <x:c r="W4865" s="124"/>
      <x:c r="X4865" s="124"/>
      <x:c r="AD4865"/>
      <x:c r="AE4865" s="145"/>
      <x:c r="AF4865" s="145"/>
      <x:c r="AG4865" s="145"/>
      <x:c r="AH4865" s="145"/>
      <x:c r="AI4865" s="145"/>
      <x:c r="AJ4865"/>
    </x:row>
    <x:row r="4866">
      <x:c r="F4866" s="124"/>
      <x:c r="G4866" s="124"/>
      <x:c r="H4866" s="124"/>
      <x:c r="I4866" s="124"/>
      <x:c r="J4866" s="124"/>
      <x:c r="M4866" s="126"/>
      <x:c r="P4866" s="126"/>
      <x:c r="Q4866" s="126"/>
      <x:c r="R4866" s="126"/>
      <x:c r="S4866" s="124"/>
      <x:c r="T4866" s="124"/>
      <x:c r="U4866" s="124"/>
      <x:c r="V4866" s="124"/>
      <x:c r="W4866" s="124"/>
      <x:c r="X4866" s="124"/>
      <x:c r="AD4866"/>
      <x:c r="AE4866" s="145"/>
      <x:c r="AF4866" s="145"/>
      <x:c r="AG4866" s="145"/>
      <x:c r="AH4866" s="145"/>
      <x:c r="AI4866" s="145"/>
      <x:c r="AJ4866"/>
    </x:row>
    <x:row r="4867">
      <x:c r="F4867" s="124"/>
      <x:c r="G4867" s="124"/>
      <x:c r="H4867" s="124"/>
      <x:c r="I4867" s="124"/>
      <x:c r="J4867" s="124"/>
      <x:c r="M4867" s="126"/>
      <x:c r="P4867" s="126"/>
      <x:c r="Q4867" s="126"/>
      <x:c r="R4867" s="126"/>
      <x:c r="S4867" s="124"/>
      <x:c r="T4867" s="124"/>
      <x:c r="U4867" s="124"/>
      <x:c r="V4867" s="124"/>
      <x:c r="W4867" s="124"/>
      <x:c r="X4867" s="124"/>
      <x:c r="AD4867"/>
      <x:c r="AE4867" s="145"/>
      <x:c r="AF4867" s="145"/>
      <x:c r="AG4867" s="145"/>
      <x:c r="AH4867" s="145"/>
      <x:c r="AI4867" s="145"/>
      <x:c r="AJ4867"/>
    </x:row>
    <x:row r="4868">
      <x:c r="F4868" s="124"/>
      <x:c r="G4868" s="124"/>
      <x:c r="H4868" s="124"/>
      <x:c r="I4868" s="124"/>
      <x:c r="J4868" s="124"/>
      <x:c r="M4868" s="126"/>
      <x:c r="P4868" s="126"/>
      <x:c r="Q4868" s="126"/>
      <x:c r="R4868" s="126"/>
      <x:c r="S4868" s="124"/>
      <x:c r="T4868" s="124"/>
      <x:c r="U4868" s="124"/>
      <x:c r="V4868" s="124"/>
      <x:c r="W4868" s="124"/>
      <x:c r="X4868" s="124"/>
      <x:c r="AD4868"/>
      <x:c r="AE4868" s="145"/>
      <x:c r="AF4868" s="145"/>
      <x:c r="AG4868" s="145"/>
      <x:c r="AH4868" s="145"/>
      <x:c r="AI4868" s="145"/>
      <x:c r="AJ4868"/>
    </x:row>
    <x:row r="4869">
      <x:c r="F4869" s="124"/>
      <x:c r="G4869" s="124"/>
      <x:c r="H4869" s="124"/>
      <x:c r="I4869" s="124"/>
      <x:c r="J4869" s="124"/>
      <x:c r="M4869" s="126"/>
      <x:c r="P4869" s="126"/>
      <x:c r="Q4869" s="126"/>
      <x:c r="R4869" s="126"/>
      <x:c r="S4869" s="124"/>
      <x:c r="T4869" s="124"/>
      <x:c r="U4869" s="124"/>
      <x:c r="V4869" s="124"/>
      <x:c r="W4869" s="124"/>
      <x:c r="X4869" s="124"/>
      <x:c r="AD4869"/>
      <x:c r="AE4869" s="145"/>
      <x:c r="AF4869" s="145"/>
      <x:c r="AG4869" s="145"/>
      <x:c r="AH4869" s="145"/>
      <x:c r="AI4869" s="145"/>
      <x:c r="AJ4869"/>
    </x:row>
    <x:row r="4870">
      <x:c r="F4870" s="124"/>
      <x:c r="G4870" s="124"/>
      <x:c r="H4870" s="124"/>
      <x:c r="I4870" s="124"/>
      <x:c r="J4870" s="124"/>
      <x:c r="M4870" s="126"/>
      <x:c r="P4870" s="126"/>
      <x:c r="Q4870" s="126"/>
      <x:c r="R4870" s="126"/>
      <x:c r="S4870" s="124"/>
      <x:c r="T4870" s="124"/>
      <x:c r="U4870" s="124"/>
      <x:c r="V4870" s="124"/>
      <x:c r="W4870" s="124"/>
      <x:c r="X4870" s="124"/>
      <x:c r="AD4870"/>
      <x:c r="AE4870" s="145"/>
      <x:c r="AF4870" s="145"/>
      <x:c r="AG4870" s="145"/>
      <x:c r="AH4870" s="145"/>
      <x:c r="AI4870" s="145"/>
      <x:c r="AJ4870"/>
    </x:row>
    <x:row r="4871">
      <x:c r="F4871" s="124"/>
      <x:c r="G4871" s="124"/>
      <x:c r="H4871" s="124"/>
      <x:c r="I4871" s="124"/>
      <x:c r="J4871" s="124"/>
      <x:c r="M4871" s="126"/>
      <x:c r="P4871" s="126"/>
      <x:c r="Q4871" s="126"/>
      <x:c r="R4871" s="126"/>
      <x:c r="S4871" s="124"/>
      <x:c r="T4871" s="124"/>
      <x:c r="U4871" s="124"/>
      <x:c r="V4871" s="124"/>
      <x:c r="W4871" s="124"/>
      <x:c r="X4871" s="124"/>
      <x:c r="AD4871"/>
      <x:c r="AE4871" s="145"/>
      <x:c r="AF4871" s="145"/>
      <x:c r="AG4871" s="145"/>
      <x:c r="AH4871" s="145"/>
      <x:c r="AI4871" s="145"/>
      <x:c r="AJ4871"/>
    </x:row>
    <x:row r="4872">
      <x:c r="F4872" s="124"/>
      <x:c r="G4872" s="124"/>
      <x:c r="H4872" s="124"/>
      <x:c r="I4872" s="124"/>
      <x:c r="J4872" s="124"/>
      <x:c r="M4872" s="126"/>
      <x:c r="P4872" s="126"/>
      <x:c r="Q4872" s="126"/>
      <x:c r="R4872" s="126"/>
      <x:c r="S4872" s="124"/>
      <x:c r="T4872" s="124"/>
      <x:c r="U4872" s="124"/>
      <x:c r="V4872" s="124"/>
      <x:c r="W4872" s="124"/>
      <x:c r="X4872" s="124"/>
      <x:c r="AD4872"/>
      <x:c r="AE4872" s="145"/>
      <x:c r="AF4872" s="145"/>
      <x:c r="AG4872" s="145"/>
      <x:c r="AH4872" s="145"/>
      <x:c r="AI4872" s="145"/>
      <x:c r="AJ4872"/>
    </x:row>
    <x:row r="4873">
      <x:c r="F4873" s="124"/>
      <x:c r="G4873" s="124"/>
      <x:c r="H4873" s="124"/>
      <x:c r="I4873" s="124"/>
      <x:c r="J4873" s="124"/>
      <x:c r="M4873" s="126"/>
      <x:c r="P4873" s="126"/>
      <x:c r="Q4873" s="126"/>
      <x:c r="R4873" s="126"/>
      <x:c r="S4873" s="124"/>
      <x:c r="T4873" s="124"/>
      <x:c r="U4873" s="124"/>
      <x:c r="V4873" s="124"/>
      <x:c r="W4873" s="124"/>
      <x:c r="X4873" s="124"/>
      <x:c r="AD4873"/>
      <x:c r="AE4873" s="145"/>
      <x:c r="AF4873" s="145"/>
      <x:c r="AG4873" s="145"/>
      <x:c r="AH4873" s="145"/>
      <x:c r="AI4873" s="145"/>
      <x:c r="AJ4873"/>
    </x:row>
    <x:row r="4874">
      <x:c r="F4874" s="124"/>
      <x:c r="G4874" s="124"/>
      <x:c r="H4874" s="124"/>
      <x:c r="I4874" s="124"/>
      <x:c r="J4874" s="124"/>
      <x:c r="M4874" s="126"/>
      <x:c r="P4874" s="126"/>
      <x:c r="Q4874" s="126"/>
      <x:c r="R4874" s="126"/>
      <x:c r="S4874" s="124"/>
      <x:c r="T4874" s="124"/>
      <x:c r="U4874" s="124"/>
      <x:c r="V4874" s="124"/>
      <x:c r="W4874" s="124"/>
      <x:c r="X4874" s="124"/>
      <x:c r="AD4874"/>
      <x:c r="AE4874" s="145"/>
      <x:c r="AF4874" s="145"/>
      <x:c r="AG4874" s="145"/>
      <x:c r="AH4874" s="145"/>
      <x:c r="AI4874" s="145"/>
      <x:c r="AJ4874"/>
    </x:row>
    <x:row r="4875">
      <x:c r="F4875" s="124"/>
      <x:c r="G4875" s="124"/>
      <x:c r="H4875" s="124"/>
      <x:c r="I4875" s="124"/>
      <x:c r="J4875" s="124"/>
      <x:c r="M4875" s="126"/>
      <x:c r="P4875" s="126"/>
      <x:c r="Q4875" s="126"/>
      <x:c r="R4875" s="126"/>
      <x:c r="S4875" s="124"/>
      <x:c r="T4875" s="124"/>
      <x:c r="U4875" s="124"/>
      <x:c r="V4875" s="124"/>
      <x:c r="W4875" s="124"/>
      <x:c r="X4875" s="124"/>
      <x:c r="AD4875"/>
      <x:c r="AE4875" s="145"/>
      <x:c r="AF4875" s="145"/>
      <x:c r="AG4875" s="145"/>
      <x:c r="AH4875" s="145"/>
      <x:c r="AI4875" s="145"/>
      <x:c r="AJ4875"/>
    </x:row>
    <x:row r="4876">
      <x:c r="F4876" s="124"/>
      <x:c r="G4876" s="124"/>
      <x:c r="H4876" s="124"/>
      <x:c r="I4876" s="124"/>
      <x:c r="J4876" s="124"/>
      <x:c r="M4876" s="126"/>
      <x:c r="P4876" s="126"/>
      <x:c r="Q4876" s="126"/>
      <x:c r="R4876" s="126"/>
      <x:c r="S4876" s="124"/>
      <x:c r="T4876" s="124"/>
      <x:c r="U4876" s="124"/>
      <x:c r="V4876" s="124"/>
      <x:c r="W4876" s="124"/>
      <x:c r="X4876" s="124"/>
      <x:c r="AD4876"/>
      <x:c r="AE4876" s="145"/>
      <x:c r="AF4876" s="145"/>
      <x:c r="AG4876" s="145"/>
      <x:c r="AH4876" s="145"/>
      <x:c r="AI4876" s="145"/>
      <x:c r="AJ4876"/>
    </x:row>
    <x:row r="4877">
      <x:c r="F4877" s="124"/>
      <x:c r="G4877" s="124"/>
      <x:c r="H4877" s="124"/>
      <x:c r="I4877" s="124"/>
      <x:c r="J4877" s="124"/>
      <x:c r="M4877" s="126"/>
      <x:c r="P4877" s="126"/>
      <x:c r="Q4877" s="126"/>
      <x:c r="R4877" s="126"/>
      <x:c r="S4877" s="124"/>
      <x:c r="T4877" s="124"/>
      <x:c r="U4877" s="124"/>
      <x:c r="V4877" s="124"/>
      <x:c r="W4877" s="124"/>
      <x:c r="X4877" s="124"/>
      <x:c r="AD4877"/>
      <x:c r="AE4877" s="145"/>
      <x:c r="AF4877" s="145"/>
      <x:c r="AG4877" s="145"/>
      <x:c r="AH4877" s="145"/>
      <x:c r="AI4877" s="145"/>
      <x:c r="AJ4877"/>
    </x:row>
    <x:row r="4878">
      <x:c r="F4878" s="124"/>
      <x:c r="G4878" s="124"/>
      <x:c r="H4878" s="124"/>
      <x:c r="I4878" s="124"/>
      <x:c r="J4878" s="124"/>
      <x:c r="M4878" s="126"/>
      <x:c r="P4878" s="126"/>
      <x:c r="Q4878" s="126"/>
      <x:c r="R4878" s="126"/>
      <x:c r="S4878" s="124"/>
      <x:c r="T4878" s="124"/>
      <x:c r="U4878" s="124"/>
      <x:c r="V4878" s="124"/>
      <x:c r="W4878" s="124"/>
      <x:c r="X4878" s="124"/>
      <x:c r="AD4878"/>
      <x:c r="AE4878" s="145"/>
      <x:c r="AF4878" s="145"/>
      <x:c r="AG4878" s="145"/>
      <x:c r="AH4878" s="145"/>
      <x:c r="AI4878" s="145"/>
      <x:c r="AJ4878"/>
    </x:row>
    <x:row r="4879">
      <x:c r="F4879" s="124"/>
      <x:c r="G4879" s="124"/>
      <x:c r="H4879" s="124"/>
      <x:c r="I4879" s="124"/>
      <x:c r="J4879" s="124"/>
      <x:c r="M4879" s="126"/>
      <x:c r="P4879" s="126"/>
      <x:c r="Q4879" s="126"/>
      <x:c r="R4879" s="126"/>
      <x:c r="S4879" s="124"/>
      <x:c r="T4879" s="124"/>
      <x:c r="U4879" s="124"/>
      <x:c r="V4879" s="124"/>
      <x:c r="W4879" s="124"/>
      <x:c r="X4879" s="124"/>
      <x:c r="AD4879"/>
      <x:c r="AE4879" s="145"/>
      <x:c r="AF4879" s="145"/>
      <x:c r="AG4879" s="145"/>
      <x:c r="AH4879" s="145"/>
      <x:c r="AI4879" s="145"/>
      <x:c r="AJ4879"/>
    </x:row>
    <x:row r="4880">
      <x:c r="F4880" s="124"/>
      <x:c r="G4880" s="124"/>
      <x:c r="H4880" s="124"/>
      <x:c r="I4880" s="124"/>
      <x:c r="J4880" s="124"/>
      <x:c r="M4880" s="126"/>
      <x:c r="P4880" s="126"/>
      <x:c r="Q4880" s="126"/>
      <x:c r="R4880" s="126"/>
      <x:c r="S4880" s="124"/>
      <x:c r="T4880" s="124"/>
      <x:c r="U4880" s="124"/>
      <x:c r="V4880" s="124"/>
      <x:c r="W4880" s="124"/>
      <x:c r="X4880" s="124"/>
      <x:c r="AD4880"/>
      <x:c r="AE4880" s="145"/>
      <x:c r="AF4880" s="145"/>
      <x:c r="AG4880" s="145"/>
      <x:c r="AH4880" s="145"/>
      <x:c r="AI4880" s="145"/>
      <x:c r="AJ4880"/>
    </x:row>
    <x:row r="4881">
      <x:c r="F4881" s="124"/>
      <x:c r="G4881" s="124"/>
      <x:c r="H4881" s="124"/>
      <x:c r="I4881" s="124"/>
      <x:c r="J4881" s="124"/>
      <x:c r="M4881" s="126"/>
      <x:c r="P4881" s="126"/>
      <x:c r="Q4881" s="126"/>
      <x:c r="R4881" s="126"/>
      <x:c r="S4881" s="124"/>
      <x:c r="T4881" s="124"/>
      <x:c r="U4881" s="124"/>
      <x:c r="V4881" s="124"/>
      <x:c r="W4881" s="124"/>
      <x:c r="X4881" s="124"/>
      <x:c r="AD4881"/>
      <x:c r="AE4881" s="145"/>
      <x:c r="AF4881" s="145"/>
      <x:c r="AG4881" s="145"/>
      <x:c r="AH4881" s="145"/>
      <x:c r="AI4881" s="145"/>
      <x:c r="AJ4881"/>
    </x:row>
    <x:row r="4882">
      <x:c r="F4882" s="124"/>
      <x:c r="G4882" s="124"/>
      <x:c r="H4882" s="124"/>
      <x:c r="I4882" s="124"/>
      <x:c r="J4882" s="124"/>
      <x:c r="M4882" s="126"/>
      <x:c r="P4882" s="126"/>
      <x:c r="Q4882" s="126"/>
      <x:c r="R4882" s="126"/>
      <x:c r="S4882" s="124"/>
      <x:c r="T4882" s="124"/>
      <x:c r="U4882" s="124"/>
      <x:c r="V4882" s="124"/>
      <x:c r="W4882" s="124"/>
      <x:c r="X4882" s="124"/>
      <x:c r="AD4882"/>
      <x:c r="AE4882" s="145"/>
      <x:c r="AF4882" s="145"/>
      <x:c r="AG4882" s="145"/>
      <x:c r="AH4882" s="145"/>
      <x:c r="AI4882" s="145"/>
      <x:c r="AJ4882"/>
    </x:row>
    <x:row r="4883">
      <x:c r="F4883" s="124"/>
      <x:c r="G4883" s="124"/>
      <x:c r="H4883" s="124"/>
      <x:c r="I4883" s="124"/>
      <x:c r="J4883" s="124"/>
      <x:c r="M4883" s="126"/>
      <x:c r="P4883" s="126"/>
      <x:c r="Q4883" s="126"/>
      <x:c r="R4883" s="126"/>
      <x:c r="S4883" s="124"/>
      <x:c r="T4883" s="124"/>
      <x:c r="U4883" s="124"/>
      <x:c r="V4883" s="124"/>
      <x:c r="W4883" s="124"/>
      <x:c r="X4883" s="124"/>
      <x:c r="AD4883"/>
      <x:c r="AE4883" s="145"/>
      <x:c r="AF4883" s="145"/>
      <x:c r="AG4883" s="145"/>
      <x:c r="AH4883" s="145"/>
      <x:c r="AI4883" s="145"/>
      <x:c r="AJ4883"/>
    </x:row>
    <x:row r="4884">
      <x:c r="F4884" s="124"/>
      <x:c r="G4884" s="124"/>
      <x:c r="H4884" s="124"/>
      <x:c r="I4884" s="124"/>
      <x:c r="J4884" s="124"/>
      <x:c r="M4884" s="126"/>
      <x:c r="P4884" s="126"/>
      <x:c r="Q4884" s="126"/>
      <x:c r="R4884" s="126"/>
      <x:c r="S4884" s="124"/>
      <x:c r="T4884" s="124"/>
      <x:c r="U4884" s="124"/>
      <x:c r="V4884" s="124"/>
      <x:c r="W4884" s="124"/>
      <x:c r="X4884" s="124"/>
      <x:c r="AD4884"/>
      <x:c r="AE4884" s="145"/>
      <x:c r="AF4884" s="145"/>
      <x:c r="AG4884" s="145"/>
      <x:c r="AH4884" s="145"/>
      <x:c r="AI4884" s="145"/>
      <x:c r="AJ4884"/>
    </x:row>
    <x:row r="4885">
      <x:c r="F4885" s="124"/>
      <x:c r="G4885" s="124"/>
      <x:c r="H4885" s="124"/>
      <x:c r="I4885" s="124"/>
      <x:c r="J4885" s="124"/>
      <x:c r="M4885" s="126"/>
      <x:c r="P4885" s="126"/>
      <x:c r="Q4885" s="126"/>
      <x:c r="R4885" s="126"/>
      <x:c r="S4885" s="124"/>
      <x:c r="T4885" s="124"/>
      <x:c r="U4885" s="124"/>
      <x:c r="V4885" s="124"/>
      <x:c r="W4885" s="124"/>
      <x:c r="X4885" s="124"/>
      <x:c r="AD4885"/>
      <x:c r="AE4885" s="145"/>
      <x:c r="AF4885" s="145"/>
      <x:c r="AG4885" s="145"/>
      <x:c r="AH4885" s="145"/>
      <x:c r="AI4885" s="145"/>
      <x:c r="AJ4885"/>
    </x:row>
    <x:row r="4886">
      <x:c r="F4886" s="124"/>
      <x:c r="G4886" s="124"/>
      <x:c r="H4886" s="124"/>
      <x:c r="I4886" s="124"/>
      <x:c r="J4886" s="124"/>
      <x:c r="M4886" s="126"/>
      <x:c r="P4886" s="126"/>
      <x:c r="Q4886" s="126"/>
      <x:c r="R4886" s="126"/>
      <x:c r="S4886" s="124"/>
      <x:c r="T4886" s="124"/>
      <x:c r="U4886" s="124"/>
      <x:c r="V4886" s="124"/>
      <x:c r="W4886" s="124"/>
      <x:c r="X4886" s="124"/>
      <x:c r="AD4886"/>
      <x:c r="AE4886" s="145"/>
      <x:c r="AF4886" s="145"/>
      <x:c r="AG4886" s="145"/>
      <x:c r="AH4886" s="145"/>
      <x:c r="AI4886" s="145"/>
      <x:c r="AJ4886"/>
    </x:row>
    <x:row r="4887">
      <x:c r="F4887" s="124"/>
      <x:c r="G4887" s="124"/>
      <x:c r="H4887" s="124"/>
      <x:c r="I4887" s="124"/>
      <x:c r="J4887" s="124"/>
      <x:c r="M4887" s="126"/>
      <x:c r="P4887" s="126"/>
      <x:c r="Q4887" s="126"/>
      <x:c r="R4887" s="126"/>
      <x:c r="S4887" s="124"/>
      <x:c r="T4887" s="124"/>
      <x:c r="U4887" s="124"/>
      <x:c r="V4887" s="124"/>
      <x:c r="W4887" s="124"/>
      <x:c r="X4887" s="124"/>
      <x:c r="AD4887"/>
      <x:c r="AE4887" s="145"/>
      <x:c r="AF4887" s="145"/>
      <x:c r="AG4887" s="145"/>
      <x:c r="AH4887" s="145"/>
      <x:c r="AI4887" s="145"/>
      <x:c r="AJ4887"/>
    </x:row>
    <x:row r="4888">
      <x:c r="F4888" s="124"/>
      <x:c r="G4888" s="124"/>
      <x:c r="H4888" s="124"/>
      <x:c r="I4888" s="124"/>
      <x:c r="J4888" s="124"/>
      <x:c r="M4888" s="126"/>
      <x:c r="P4888" s="126"/>
      <x:c r="Q4888" s="126"/>
      <x:c r="R4888" s="126"/>
      <x:c r="S4888" s="124"/>
      <x:c r="T4888" s="124"/>
      <x:c r="U4888" s="124"/>
      <x:c r="V4888" s="124"/>
      <x:c r="W4888" s="124"/>
      <x:c r="X4888" s="124"/>
      <x:c r="AD4888"/>
      <x:c r="AE4888" s="145"/>
      <x:c r="AF4888" s="145"/>
      <x:c r="AG4888" s="145"/>
      <x:c r="AH4888" s="145"/>
      <x:c r="AI4888" s="145"/>
      <x:c r="AJ4888"/>
    </x:row>
    <x:row r="4889">
      <x:c r="F4889" s="124"/>
      <x:c r="G4889" s="124"/>
      <x:c r="H4889" s="124"/>
      <x:c r="I4889" s="124"/>
      <x:c r="J4889" s="124"/>
      <x:c r="M4889" s="126"/>
      <x:c r="P4889" s="126"/>
      <x:c r="Q4889" s="126"/>
      <x:c r="R4889" s="126"/>
      <x:c r="S4889" s="124"/>
      <x:c r="T4889" s="124"/>
      <x:c r="U4889" s="124"/>
      <x:c r="V4889" s="124"/>
      <x:c r="W4889" s="124"/>
      <x:c r="X4889" s="124"/>
      <x:c r="AD4889"/>
      <x:c r="AE4889" s="145"/>
      <x:c r="AF4889" s="145"/>
      <x:c r="AG4889" s="145"/>
      <x:c r="AH4889" s="145"/>
      <x:c r="AI4889" s="145"/>
      <x:c r="AJ4889"/>
    </x:row>
    <x:row r="4890">
      <x:c r="F4890" s="124"/>
      <x:c r="G4890" s="124"/>
      <x:c r="H4890" s="124"/>
      <x:c r="I4890" s="124"/>
      <x:c r="J4890" s="124"/>
      <x:c r="M4890" s="126"/>
      <x:c r="P4890" s="126"/>
      <x:c r="Q4890" s="126"/>
      <x:c r="R4890" s="126"/>
      <x:c r="S4890" s="124"/>
      <x:c r="T4890" s="124"/>
      <x:c r="U4890" s="124"/>
      <x:c r="V4890" s="124"/>
      <x:c r="W4890" s="124"/>
      <x:c r="X4890" s="124"/>
      <x:c r="AD4890"/>
      <x:c r="AE4890" s="145"/>
      <x:c r="AF4890" s="145"/>
      <x:c r="AG4890" s="145"/>
      <x:c r="AH4890" s="145"/>
      <x:c r="AI4890" s="145"/>
      <x:c r="AJ4890"/>
    </x:row>
    <x:row r="4891">
      <x:c r="F4891" s="124"/>
      <x:c r="G4891" s="124"/>
      <x:c r="H4891" s="124"/>
      <x:c r="I4891" s="124"/>
      <x:c r="J4891" s="124"/>
      <x:c r="M4891" s="126"/>
      <x:c r="P4891" s="126"/>
      <x:c r="Q4891" s="126"/>
      <x:c r="R4891" s="126"/>
      <x:c r="S4891" s="124"/>
      <x:c r="T4891" s="124"/>
      <x:c r="U4891" s="124"/>
      <x:c r="V4891" s="124"/>
      <x:c r="W4891" s="124"/>
      <x:c r="X4891" s="124"/>
      <x:c r="AD4891"/>
      <x:c r="AE4891" s="145"/>
      <x:c r="AF4891" s="145"/>
      <x:c r="AG4891" s="145"/>
      <x:c r="AH4891" s="145"/>
      <x:c r="AI4891" s="145"/>
      <x:c r="AJ4891"/>
    </x:row>
    <x:row r="4892">
      <x:c r="F4892" s="124"/>
      <x:c r="G4892" s="124"/>
      <x:c r="H4892" s="124"/>
      <x:c r="I4892" s="124"/>
      <x:c r="J4892" s="124"/>
      <x:c r="M4892" s="126"/>
      <x:c r="P4892" s="126"/>
      <x:c r="Q4892" s="126"/>
      <x:c r="R4892" s="126"/>
      <x:c r="S4892" s="124"/>
      <x:c r="T4892" s="124"/>
      <x:c r="U4892" s="124"/>
      <x:c r="V4892" s="124"/>
      <x:c r="W4892" s="124"/>
      <x:c r="X4892" s="124"/>
      <x:c r="AD4892"/>
      <x:c r="AE4892" s="145"/>
      <x:c r="AF4892" s="145"/>
      <x:c r="AG4892" s="145"/>
      <x:c r="AH4892" s="145"/>
      <x:c r="AI4892" s="145"/>
      <x:c r="AJ4892"/>
    </x:row>
    <x:row r="4893">
      <x:c r="F4893" s="124"/>
      <x:c r="G4893" s="124"/>
      <x:c r="H4893" s="124"/>
      <x:c r="I4893" s="124"/>
      <x:c r="J4893" s="124"/>
      <x:c r="M4893" s="126"/>
      <x:c r="P4893" s="126"/>
      <x:c r="Q4893" s="126"/>
      <x:c r="R4893" s="126"/>
      <x:c r="S4893" s="124"/>
      <x:c r="T4893" s="124"/>
      <x:c r="U4893" s="124"/>
      <x:c r="V4893" s="124"/>
      <x:c r="W4893" s="124"/>
      <x:c r="X4893" s="124"/>
      <x:c r="AD4893"/>
      <x:c r="AE4893" s="145"/>
      <x:c r="AF4893" s="145"/>
      <x:c r="AG4893" s="145"/>
      <x:c r="AH4893" s="145"/>
      <x:c r="AI4893" s="145"/>
      <x:c r="AJ4893"/>
    </x:row>
    <x:row r="4894">
      <x:c r="F4894" s="124"/>
      <x:c r="G4894" s="124"/>
      <x:c r="H4894" s="124"/>
      <x:c r="I4894" s="124"/>
      <x:c r="J4894" s="124"/>
      <x:c r="M4894" s="126"/>
      <x:c r="P4894" s="126"/>
      <x:c r="Q4894" s="126"/>
      <x:c r="R4894" s="126"/>
      <x:c r="S4894" s="124"/>
      <x:c r="T4894" s="124"/>
      <x:c r="U4894" s="124"/>
      <x:c r="V4894" s="124"/>
      <x:c r="W4894" s="124"/>
      <x:c r="X4894" s="124"/>
      <x:c r="AD4894"/>
      <x:c r="AE4894" s="145"/>
      <x:c r="AF4894" s="145"/>
      <x:c r="AG4894" s="145"/>
      <x:c r="AH4894" s="145"/>
      <x:c r="AI4894" s="145"/>
      <x:c r="AJ4894"/>
    </x:row>
    <x:row r="4895">
      <x:c r="F4895" s="124"/>
      <x:c r="G4895" s="124"/>
      <x:c r="H4895" s="124"/>
      <x:c r="I4895" s="124"/>
      <x:c r="J4895" s="124"/>
      <x:c r="M4895" s="126"/>
      <x:c r="P4895" s="126"/>
      <x:c r="Q4895" s="126"/>
      <x:c r="R4895" s="126"/>
      <x:c r="S4895" s="124"/>
      <x:c r="T4895" s="124"/>
      <x:c r="U4895" s="124"/>
      <x:c r="V4895" s="124"/>
      <x:c r="W4895" s="124"/>
      <x:c r="X4895" s="124"/>
      <x:c r="AD4895"/>
      <x:c r="AE4895" s="145"/>
      <x:c r="AF4895" s="145"/>
      <x:c r="AG4895" s="145"/>
      <x:c r="AH4895" s="145"/>
      <x:c r="AI4895" s="145"/>
      <x:c r="AJ4895"/>
    </x:row>
    <x:row r="4896">
      <x:c r="F4896" s="124"/>
      <x:c r="G4896" s="124"/>
      <x:c r="H4896" s="124"/>
      <x:c r="I4896" s="124"/>
      <x:c r="J4896" s="124"/>
      <x:c r="M4896" s="126"/>
      <x:c r="P4896" s="126"/>
      <x:c r="Q4896" s="126"/>
      <x:c r="R4896" s="126"/>
      <x:c r="S4896" s="124"/>
      <x:c r="T4896" s="124"/>
      <x:c r="U4896" s="124"/>
      <x:c r="V4896" s="124"/>
      <x:c r="W4896" s="124"/>
      <x:c r="X4896" s="124"/>
      <x:c r="AD4896"/>
      <x:c r="AE4896" s="145"/>
      <x:c r="AF4896" s="145"/>
      <x:c r="AG4896" s="145"/>
      <x:c r="AH4896" s="145"/>
      <x:c r="AI4896" s="145"/>
      <x:c r="AJ4896"/>
    </x:row>
    <x:row r="4897">
      <x:c r="F4897" s="124"/>
      <x:c r="G4897" s="124"/>
      <x:c r="H4897" s="124"/>
      <x:c r="I4897" s="124"/>
      <x:c r="J4897" s="124"/>
      <x:c r="M4897" s="126"/>
      <x:c r="P4897" s="126"/>
      <x:c r="Q4897" s="126"/>
      <x:c r="R4897" s="126"/>
      <x:c r="S4897" s="124"/>
      <x:c r="T4897" s="124"/>
      <x:c r="U4897" s="124"/>
      <x:c r="V4897" s="124"/>
      <x:c r="W4897" s="124"/>
      <x:c r="X4897" s="124"/>
      <x:c r="AD4897"/>
      <x:c r="AE4897" s="145"/>
      <x:c r="AF4897" s="145"/>
      <x:c r="AG4897" s="145"/>
      <x:c r="AH4897" s="145"/>
      <x:c r="AI4897" s="145"/>
      <x:c r="AJ4897"/>
    </x:row>
    <x:row r="4898">
      <x:c r="F4898" s="124"/>
      <x:c r="G4898" s="124"/>
      <x:c r="H4898" s="124"/>
      <x:c r="I4898" s="124"/>
      <x:c r="J4898" s="124"/>
      <x:c r="M4898" s="126"/>
      <x:c r="P4898" s="126"/>
      <x:c r="Q4898" s="126"/>
      <x:c r="R4898" s="126"/>
      <x:c r="S4898" s="124"/>
      <x:c r="T4898" s="124"/>
      <x:c r="U4898" s="124"/>
      <x:c r="V4898" s="124"/>
      <x:c r="W4898" s="124"/>
      <x:c r="X4898" s="124"/>
      <x:c r="AD4898"/>
      <x:c r="AE4898" s="145"/>
      <x:c r="AF4898" s="145"/>
      <x:c r="AG4898" s="145"/>
      <x:c r="AH4898" s="145"/>
      <x:c r="AI4898" s="145"/>
      <x:c r="AJ4898"/>
    </x:row>
    <x:row r="4899">
      <x:c r="F4899" s="124"/>
      <x:c r="G4899" s="124"/>
      <x:c r="H4899" s="124"/>
      <x:c r="I4899" s="124"/>
      <x:c r="J4899" s="124"/>
      <x:c r="M4899" s="126"/>
      <x:c r="P4899" s="126"/>
      <x:c r="Q4899" s="126"/>
      <x:c r="R4899" s="126"/>
      <x:c r="S4899" s="124"/>
      <x:c r="T4899" s="124"/>
      <x:c r="U4899" s="124"/>
      <x:c r="V4899" s="124"/>
      <x:c r="W4899" s="124"/>
      <x:c r="X4899" s="124"/>
      <x:c r="AD4899"/>
      <x:c r="AE4899" s="145"/>
      <x:c r="AF4899" s="145"/>
      <x:c r="AG4899" s="145"/>
      <x:c r="AH4899" s="145"/>
      <x:c r="AI4899" s="145"/>
      <x:c r="AJ4899"/>
    </x:row>
    <x:row r="4900">
      <x:c r="F4900" s="124"/>
      <x:c r="G4900" s="124"/>
      <x:c r="H4900" s="124"/>
      <x:c r="I4900" s="124"/>
      <x:c r="J4900" s="124"/>
      <x:c r="M4900" s="126"/>
      <x:c r="P4900" s="126"/>
      <x:c r="Q4900" s="126"/>
      <x:c r="R4900" s="126"/>
      <x:c r="S4900" s="124"/>
      <x:c r="T4900" s="124"/>
      <x:c r="U4900" s="124"/>
      <x:c r="V4900" s="124"/>
      <x:c r="W4900" s="124"/>
      <x:c r="X4900" s="124"/>
      <x:c r="AD4900"/>
      <x:c r="AE4900" s="145"/>
      <x:c r="AF4900" s="145"/>
      <x:c r="AG4900" s="145"/>
      <x:c r="AH4900" s="145"/>
      <x:c r="AI4900" s="145"/>
      <x:c r="AJ4900"/>
    </x:row>
    <x:row r="4901">
      <x:c r="F4901" s="124"/>
      <x:c r="G4901" s="124"/>
      <x:c r="H4901" s="124"/>
      <x:c r="I4901" s="124"/>
      <x:c r="J4901" s="124"/>
      <x:c r="M4901" s="126"/>
      <x:c r="P4901" s="126"/>
      <x:c r="Q4901" s="126"/>
      <x:c r="R4901" s="126"/>
      <x:c r="S4901" s="124"/>
      <x:c r="T4901" s="124"/>
      <x:c r="U4901" s="124"/>
      <x:c r="V4901" s="124"/>
      <x:c r="W4901" s="124"/>
      <x:c r="X4901" s="124"/>
      <x:c r="AD4901"/>
      <x:c r="AE4901" s="145"/>
      <x:c r="AF4901" s="145"/>
      <x:c r="AG4901" s="145"/>
      <x:c r="AH4901" s="145"/>
      <x:c r="AI4901" s="145"/>
      <x:c r="AJ4901"/>
    </x:row>
    <x:row r="4902">
      <x:c r="F4902" s="124"/>
      <x:c r="G4902" s="124"/>
      <x:c r="H4902" s="124"/>
      <x:c r="I4902" s="124"/>
      <x:c r="J4902" s="124"/>
      <x:c r="M4902" s="126"/>
      <x:c r="P4902" s="126"/>
      <x:c r="Q4902" s="126"/>
      <x:c r="R4902" s="126"/>
      <x:c r="S4902" s="124"/>
      <x:c r="T4902" s="124"/>
      <x:c r="U4902" s="124"/>
      <x:c r="V4902" s="124"/>
      <x:c r="W4902" s="124"/>
      <x:c r="X4902" s="124"/>
      <x:c r="AD4902"/>
      <x:c r="AE4902" s="145"/>
      <x:c r="AF4902" s="145"/>
      <x:c r="AG4902" s="145"/>
      <x:c r="AH4902" s="145"/>
      <x:c r="AI4902" s="145"/>
      <x:c r="AJ4902"/>
    </x:row>
    <x:row r="4903">
      <x:c r="F4903" s="124"/>
      <x:c r="G4903" s="124"/>
      <x:c r="H4903" s="124"/>
      <x:c r="I4903" s="124"/>
      <x:c r="J4903" s="124"/>
      <x:c r="M4903" s="126"/>
      <x:c r="P4903" s="126"/>
      <x:c r="Q4903" s="126"/>
      <x:c r="R4903" s="126"/>
      <x:c r="S4903" s="124"/>
      <x:c r="T4903" s="124"/>
      <x:c r="U4903" s="124"/>
      <x:c r="V4903" s="124"/>
      <x:c r="W4903" s="124"/>
      <x:c r="X4903" s="124"/>
      <x:c r="AD4903"/>
      <x:c r="AE4903" s="145"/>
      <x:c r="AF4903" s="145"/>
      <x:c r="AG4903" s="145"/>
      <x:c r="AH4903" s="145"/>
      <x:c r="AI4903" s="145"/>
      <x:c r="AJ4903"/>
    </x:row>
    <x:row r="4904">
      <x:c r="F4904" s="124"/>
      <x:c r="G4904" s="124"/>
      <x:c r="H4904" s="124"/>
      <x:c r="I4904" s="124"/>
      <x:c r="J4904" s="124"/>
      <x:c r="M4904" s="126"/>
      <x:c r="P4904" s="126"/>
      <x:c r="Q4904" s="126"/>
      <x:c r="R4904" s="126"/>
      <x:c r="S4904" s="124"/>
      <x:c r="T4904" s="124"/>
      <x:c r="U4904" s="124"/>
      <x:c r="V4904" s="124"/>
      <x:c r="W4904" s="124"/>
      <x:c r="X4904" s="124"/>
      <x:c r="AD4904"/>
      <x:c r="AE4904" s="145"/>
      <x:c r="AF4904" s="145"/>
      <x:c r="AG4904" s="145"/>
      <x:c r="AH4904" s="145"/>
      <x:c r="AI4904" s="145"/>
      <x:c r="AJ4904"/>
    </x:row>
    <x:row r="4905">
      <x:c r="F4905" s="124"/>
      <x:c r="G4905" s="124"/>
      <x:c r="H4905" s="124"/>
      <x:c r="I4905" s="124"/>
      <x:c r="J4905" s="124"/>
      <x:c r="M4905" s="126"/>
      <x:c r="P4905" s="126"/>
      <x:c r="Q4905" s="126"/>
      <x:c r="R4905" s="126"/>
      <x:c r="S4905" s="124"/>
      <x:c r="T4905" s="124"/>
      <x:c r="U4905" s="124"/>
      <x:c r="V4905" s="124"/>
      <x:c r="W4905" s="124"/>
      <x:c r="X4905" s="124"/>
      <x:c r="AD4905"/>
      <x:c r="AE4905" s="145"/>
      <x:c r="AF4905" s="145"/>
      <x:c r="AG4905" s="145"/>
      <x:c r="AH4905" s="145"/>
      <x:c r="AI4905" s="145"/>
      <x:c r="AJ4905"/>
    </x:row>
    <x:row r="4906">
      <x:c r="F4906" s="124"/>
      <x:c r="G4906" s="124"/>
      <x:c r="H4906" s="124"/>
      <x:c r="I4906" s="124"/>
      <x:c r="J4906" s="124"/>
      <x:c r="M4906" s="126"/>
      <x:c r="P4906" s="126"/>
      <x:c r="Q4906" s="126"/>
      <x:c r="R4906" s="126"/>
      <x:c r="S4906" s="124"/>
      <x:c r="T4906" s="124"/>
      <x:c r="U4906" s="124"/>
      <x:c r="V4906" s="124"/>
      <x:c r="W4906" s="124"/>
      <x:c r="X4906" s="124"/>
      <x:c r="AD4906"/>
      <x:c r="AE4906" s="145"/>
      <x:c r="AF4906" s="145"/>
      <x:c r="AG4906" s="145"/>
      <x:c r="AH4906" s="145"/>
      <x:c r="AI4906" s="145"/>
      <x:c r="AJ4906"/>
    </x:row>
    <x:row r="4907">
      <x:c r="F4907" s="124"/>
      <x:c r="G4907" s="124"/>
      <x:c r="H4907" s="124"/>
      <x:c r="I4907" s="124"/>
      <x:c r="J4907" s="124"/>
      <x:c r="M4907" s="126"/>
      <x:c r="P4907" s="126"/>
      <x:c r="Q4907" s="126"/>
      <x:c r="R4907" s="126"/>
      <x:c r="S4907" s="124"/>
      <x:c r="T4907" s="124"/>
      <x:c r="U4907" s="124"/>
      <x:c r="V4907" s="124"/>
      <x:c r="W4907" s="124"/>
      <x:c r="X4907" s="124"/>
      <x:c r="AD4907"/>
      <x:c r="AE4907" s="145"/>
      <x:c r="AF4907" s="145"/>
      <x:c r="AG4907" s="145"/>
      <x:c r="AH4907" s="145"/>
      <x:c r="AI4907" s="145"/>
      <x:c r="AJ4907"/>
    </x:row>
    <x:row r="4908">
      <x:c r="F4908" s="124"/>
      <x:c r="G4908" s="124"/>
      <x:c r="H4908" s="124"/>
      <x:c r="I4908" s="124"/>
      <x:c r="J4908" s="124"/>
      <x:c r="M4908" s="126"/>
      <x:c r="P4908" s="126"/>
      <x:c r="Q4908" s="126"/>
      <x:c r="R4908" s="126"/>
      <x:c r="S4908" s="124"/>
      <x:c r="T4908" s="124"/>
      <x:c r="U4908" s="124"/>
      <x:c r="V4908" s="124"/>
      <x:c r="W4908" s="124"/>
      <x:c r="X4908" s="124"/>
      <x:c r="AD4908"/>
      <x:c r="AE4908" s="145"/>
      <x:c r="AF4908" s="145"/>
      <x:c r="AG4908" s="145"/>
      <x:c r="AH4908" s="145"/>
      <x:c r="AI4908" s="145"/>
      <x:c r="AJ4908"/>
    </x:row>
    <x:row r="4909">
      <x:c r="F4909" s="124"/>
      <x:c r="G4909" s="124"/>
      <x:c r="H4909" s="124"/>
      <x:c r="I4909" s="124"/>
      <x:c r="J4909" s="124"/>
      <x:c r="M4909" s="126"/>
      <x:c r="P4909" s="126"/>
      <x:c r="Q4909" s="126"/>
      <x:c r="R4909" s="126"/>
      <x:c r="S4909" s="124"/>
      <x:c r="T4909" s="124"/>
      <x:c r="U4909" s="124"/>
      <x:c r="V4909" s="124"/>
      <x:c r="W4909" s="124"/>
      <x:c r="X4909" s="124"/>
      <x:c r="AD4909"/>
      <x:c r="AE4909" s="145"/>
      <x:c r="AF4909" s="145"/>
      <x:c r="AG4909" s="145"/>
      <x:c r="AH4909" s="145"/>
      <x:c r="AI4909" s="145"/>
      <x:c r="AJ4909"/>
    </x:row>
    <x:row r="4910">
      <x:c r="F4910" s="124"/>
      <x:c r="G4910" s="124"/>
      <x:c r="H4910" s="124"/>
      <x:c r="I4910" s="124"/>
      <x:c r="J4910" s="124"/>
      <x:c r="M4910" s="126"/>
      <x:c r="P4910" s="126"/>
      <x:c r="Q4910" s="126"/>
      <x:c r="R4910" s="126"/>
      <x:c r="S4910" s="124"/>
      <x:c r="T4910" s="124"/>
      <x:c r="U4910" s="124"/>
      <x:c r="V4910" s="124"/>
      <x:c r="W4910" s="124"/>
      <x:c r="X4910" s="124"/>
      <x:c r="AD4910"/>
      <x:c r="AE4910" s="145"/>
      <x:c r="AF4910" s="145"/>
      <x:c r="AG4910" s="145"/>
      <x:c r="AH4910" s="145"/>
      <x:c r="AI4910" s="145"/>
      <x:c r="AJ4910"/>
    </x:row>
    <x:row r="4911">
      <x:c r="F4911" s="124"/>
      <x:c r="G4911" s="124"/>
      <x:c r="H4911" s="124"/>
      <x:c r="I4911" s="124"/>
      <x:c r="J4911" s="124"/>
      <x:c r="M4911" s="126"/>
      <x:c r="P4911" s="126"/>
      <x:c r="Q4911" s="126"/>
      <x:c r="R4911" s="126"/>
      <x:c r="S4911" s="124"/>
      <x:c r="T4911" s="124"/>
      <x:c r="U4911" s="124"/>
      <x:c r="V4911" s="124"/>
      <x:c r="W4911" s="124"/>
      <x:c r="X4911" s="124"/>
      <x:c r="AD4911"/>
      <x:c r="AE4911" s="145"/>
      <x:c r="AF4911" s="145"/>
      <x:c r="AG4911" s="145"/>
      <x:c r="AH4911" s="145"/>
      <x:c r="AI4911" s="145"/>
      <x:c r="AJ4911"/>
    </x:row>
    <x:row r="4912">
      <x:c r="F4912" s="124"/>
      <x:c r="G4912" s="124"/>
      <x:c r="H4912" s="124"/>
      <x:c r="I4912" s="124"/>
      <x:c r="J4912" s="124"/>
      <x:c r="M4912" s="126"/>
      <x:c r="P4912" s="126"/>
      <x:c r="Q4912" s="126"/>
      <x:c r="R4912" s="126"/>
      <x:c r="S4912" s="124"/>
      <x:c r="T4912" s="124"/>
      <x:c r="U4912" s="124"/>
      <x:c r="V4912" s="124"/>
      <x:c r="W4912" s="124"/>
      <x:c r="X4912" s="124"/>
      <x:c r="AD4912"/>
      <x:c r="AE4912" s="145"/>
      <x:c r="AF4912" s="145"/>
      <x:c r="AG4912" s="145"/>
      <x:c r="AH4912" s="145"/>
      <x:c r="AI4912" s="145"/>
      <x:c r="AJ4912"/>
    </x:row>
    <x:row r="4913">
      <x:c r="F4913" s="124"/>
      <x:c r="G4913" s="124"/>
      <x:c r="H4913" s="124"/>
      <x:c r="I4913" s="124"/>
      <x:c r="J4913" s="124"/>
      <x:c r="M4913" s="126"/>
      <x:c r="P4913" s="126"/>
      <x:c r="Q4913" s="126"/>
      <x:c r="R4913" s="126"/>
      <x:c r="S4913" s="124"/>
      <x:c r="T4913" s="124"/>
      <x:c r="U4913" s="124"/>
      <x:c r="V4913" s="124"/>
      <x:c r="W4913" s="124"/>
      <x:c r="X4913" s="124"/>
      <x:c r="AD4913"/>
      <x:c r="AE4913" s="145"/>
      <x:c r="AF4913" s="145"/>
      <x:c r="AG4913" s="145"/>
      <x:c r="AH4913" s="145"/>
      <x:c r="AI4913" s="145"/>
      <x:c r="AJ4913"/>
    </x:row>
    <x:row r="4914">
      <x:c r="F4914" s="124"/>
      <x:c r="G4914" s="124"/>
      <x:c r="H4914" s="124"/>
      <x:c r="I4914" s="124"/>
      <x:c r="J4914" s="124"/>
      <x:c r="M4914" s="126"/>
      <x:c r="P4914" s="126"/>
      <x:c r="Q4914" s="126"/>
      <x:c r="R4914" s="126"/>
      <x:c r="S4914" s="124"/>
      <x:c r="T4914" s="124"/>
      <x:c r="U4914" s="124"/>
      <x:c r="V4914" s="124"/>
      <x:c r="W4914" s="124"/>
      <x:c r="X4914" s="124"/>
      <x:c r="AD4914"/>
      <x:c r="AE4914" s="145"/>
      <x:c r="AF4914" s="145"/>
      <x:c r="AG4914" s="145"/>
      <x:c r="AH4914" s="145"/>
      <x:c r="AI4914" s="145"/>
      <x:c r="AJ4914"/>
    </x:row>
    <x:row r="4915">
      <x:c r="F4915" s="124"/>
      <x:c r="G4915" s="124"/>
      <x:c r="H4915" s="124"/>
      <x:c r="I4915" s="124"/>
      <x:c r="J4915" s="124"/>
      <x:c r="M4915" s="126"/>
      <x:c r="P4915" s="126"/>
      <x:c r="Q4915" s="126"/>
      <x:c r="R4915" s="126"/>
      <x:c r="S4915" s="124"/>
      <x:c r="T4915" s="124"/>
      <x:c r="U4915" s="124"/>
      <x:c r="V4915" s="124"/>
      <x:c r="W4915" s="124"/>
      <x:c r="X4915" s="124"/>
      <x:c r="AD4915"/>
      <x:c r="AE4915" s="145"/>
      <x:c r="AF4915" s="145"/>
      <x:c r="AG4915" s="145"/>
      <x:c r="AH4915" s="145"/>
      <x:c r="AI4915" s="145"/>
      <x:c r="AJ4915"/>
    </x:row>
    <x:row r="4916">
      <x:c r="F4916" s="124"/>
      <x:c r="G4916" s="124"/>
      <x:c r="H4916" s="124"/>
      <x:c r="I4916" s="124"/>
      <x:c r="J4916" s="124"/>
      <x:c r="M4916" s="126"/>
      <x:c r="P4916" s="126"/>
      <x:c r="Q4916" s="126"/>
      <x:c r="R4916" s="126"/>
      <x:c r="S4916" s="124"/>
      <x:c r="T4916" s="124"/>
      <x:c r="U4916" s="124"/>
      <x:c r="V4916" s="124"/>
      <x:c r="W4916" s="124"/>
      <x:c r="X4916" s="124"/>
      <x:c r="AD4916"/>
      <x:c r="AE4916" s="145"/>
      <x:c r="AF4916" s="145"/>
      <x:c r="AG4916" s="145"/>
      <x:c r="AH4916" s="145"/>
      <x:c r="AI4916" s="145"/>
      <x:c r="AJ4916"/>
    </x:row>
    <x:row r="4917">
      <x:c r="F4917" s="124"/>
      <x:c r="G4917" s="124"/>
      <x:c r="H4917" s="124"/>
      <x:c r="I4917" s="124"/>
      <x:c r="J4917" s="124"/>
      <x:c r="M4917" s="126"/>
      <x:c r="P4917" s="126"/>
      <x:c r="Q4917" s="126"/>
      <x:c r="R4917" s="126"/>
      <x:c r="S4917" s="124"/>
      <x:c r="T4917" s="124"/>
      <x:c r="U4917" s="124"/>
      <x:c r="V4917" s="124"/>
      <x:c r="W4917" s="124"/>
      <x:c r="X4917" s="124"/>
      <x:c r="AD4917"/>
      <x:c r="AE4917" s="145"/>
      <x:c r="AF4917" s="145"/>
      <x:c r="AG4917" s="145"/>
      <x:c r="AH4917" s="145"/>
      <x:c r="AI4917" s="145"/>
      <x:c r="AJ4917"/>
    </x:row>
    <x:row r="4918">
      <x:c r="F4918" s="124"/>
      <x:c r="G4918" s="124"/>
      <x:c r="H4918" s="124"/>
      <x:c r="I4918" s="124"/>
      <x:c r="J4918" s="124"/>
      <x:c r="M4918" s="126"/>
      <x:c r="P4918" s="126"/>
      <x:c r="Q4918" s="126"/>
      <x:c r="R4918" s="126"/>
      <x:c r="S4918" s="124"/>
      <x:c r="T4918" s="124"/>
      <x:c r="U4918" s="124"/>
      <x:c r="V4918" s="124"/>
      <x:c r="W4918" s="124"/>
      <x:c r="X4918" s="124"/>
      <x:c r="AD4918"/>
      <x:c r="AE4918" s="145"/>
      <x:c r="AF4918" s="145"/>
      <x:c r="AG4918" s="145"/>
      <x:c r="AH4918" s="145"/>
      <x:c r="AI4918" s="145"/>
      <x:c r="AJ4918"/>
    </x:row>
    <x:row r="4919">
      <x:c r="F4919" s="124"/>
      <x:c r="G4919" s="124"/>
      <x:c r="H4919" s="124"/>
      <x:c r="I4919" s="124"/>
      <x:c r="J4919" s="124"/>
      <x:c r="M4919" s="126"/>
      <x:c r="P4919" s="126"/>
      <x:c r="Q4919" s="126"/>
      <x:c r="R4919" s="126"/>
      <x:c r="S4919" s="124"/>
      <x:c r="T4919" s="124"/>
      <x:c r="U4919" s="124"/>
      <x:c r="V4919" s="124"/>
      <x:c r="W4919" s="124"/>
      <x:c r="X4919" s="124"/>
      <x:c r="AD4919"/>
      <x:c r="AE4919" s="145"/>
      <x:c r="AF4919" s="145"/>
      <x:c r="AG4919" s="145"/>
      <x:c r="AH4919" s="145"/>
      <x:c r="AI4919" s="145"/>
      <x:c r="AJ4919"/>
    </x:row>
    <x:row r="4920">
      <x:c r="F4920" s="124"/>
      <x:c r="G4920" s="124"/>
      <x:c r="H4920" s="124"/>
      <x:c r="I4920" s="124"/>
      <x:c r="J4920" s="124"/>
      <x:c r="M4920" s="126"/>
      <x:c r="P4920" s="126"/>
      <x:c r="Q4920" s="126"/>
      <x:c r="R4920" s="126"/>
      <x:c r="S4920" s="124"/>
      <x:c r="T4920" s="124"/>
      <x:c r="U4920" s="124"/>
      <x:c r="V4920" s="124"/>
      <x:c r="W4920" s="124"/>
      <x:c r="X4920" s="124"/>
      <x:c r="AD4920"/>
      <x:c r="AE4920" s="145"/>
      <x:c r="AF4920" s="145"/>
      <x:c r="AG4920" s="145"/>
      <x:c r="AH4920" s="145"/>
      <x:c r="AI4920" s="145"/>
      <x:c r="AJ4920"/>
    </x:row>
    <x:row r="4921">
      <x:c r="F4921" s="124"/>
      <x:c r="G4921" s="124"/>
      <x:c r="H4921" s="124"/>
      <x:c r="I4921" s="124"/>
      <x:c r="J4921" s="124"/>
      <x:c r="M4921" s="126"/>
      <x:c r="P4921" s="126"/>
      <x:c r="Q4921" s="126"/>
      <x:c r="R4921" s="126"/>
      <x:c r="S4921" s="124"/>
      <x:c r="T4921" s="124"/>
      <x:c r="U4921" s="124"/>
      <x:c r="V4921" s="124"/>
      <x:c r="W4921" s="124"/>
      <x:c r="X4921" s="124"/>
      <x:c r="AD4921"/>
      <x:c r="AE4921" s="145"/>
      <x:c r="AF4921" s="145"/>
      <x:c r="AG4921" s="145"/>
      <x:c r="AH4921" s="145"/>
      <x:c r="AI4921" s="145"/>
      <x:c r="AJ4921"/>
    </x:row>
    <x:row r="4922">
      <x:c r="F4922" s="124"/>
      <x:c r="G4922" s="124"/>
      <x:c r="H4922" s="124"/>
      <x:c r="I4922" s="124"/>
      <x:c r="J4922" s="124"/>
      <x:c r="M4922" s="126"/>
      <x:c r="P4922" s="126"/>
      <x:c r="Q4922" s="126"/>
      <x:c r="R4922" s="126"/>
      <x:c r="S4922" s="124"/>
      <x:c r="T4922" s="124"/>
      <x:c r="U4922" s="124"/>
      <x:c r="V4922" s="124"/>
      <x:c r="W4922" s="124"/>
      <x:c r="X4922" s="124"/>
      <x:c r="AD4922"/>
      <x:c r="AE4922" s="145"/>
      <x:c r="AF4922" s="145"/>
      <x:c r="AG4922" s="145"/>
      <x:c r="AH4922" s="145"/>
      <x:c r="AI4922" s="145"/>
      <x:c r="AJ4922"/>
    </x:row>
    <x:row r="4923">
      <x:c r="F4923" s="124"/>
      <x:c r="G4923" s="124"/>
      <x:c r="H4923" s="124"/>
      <x:c r="I4923" s="124"/>
      <x:c r="J4923" s="124"/>
      <x:c r="M4923" s="126"/>
      <x:c r="P4923" s="126"/>
      <x:c r="Q4923" s="126"/>
      <x:c r="R4923" s="126"/>
      <x:c r="S4923" s="124"/>
      <x:c r="T4923" s="124"/>
      <x:c r="U4923" s="124"/>
      <x:c r="V4923" s="124"/>
      <x:c r="W4923" s="124"/>
      <x:c r="X4923" s="124"/>
      <x:c r="AD4923"/>
      <x:c r="AE4923" s="145"/>
      <x:c r="AF4923" s="145"/>
      <x:c r="AG4923" s="145"/>
      <x:c r="AH4923" s="145"/>
      <x:c r="AI4923" s="145"/>
      <x:c r="AJ4923"/>
    </x:row>
    <x:row r="4924">
      <x:c r="F4924" s="124"/>
      <x:c r="G4924" s="124"/>
      <x:c r="H4924" s="124"/>
      <x:c r="I4924" s="124"/>
      <x:c r="J4924" s="124"/>
      <x:c r="M4924" s="126"/>
      <x:c r="P4924" s="126"/>
      <x:c r="Q4924" s="126"/>
      <x:c r="R4924" s="126"/>
      <x:c r="S4924" s="124"/>
      <x:c r="T4924" s="124"/>
      <x:c r="U4924" s="124"/>
      <x:c r="V4924" s="124"/>
      <x:c r="W4924" s="124"/>
      <x:c r="X4924" s="124"/>
      <x:c r="AD4924"/>
      <x:c r="AE4924" s="145"/>
      <x:c r="AF4924" s="145"/>
      <x:c r="AG4924" s="145"/>
      <x:c r="AH4924" s="145"/>
      <x:c r="AI4924" s="145"/>
      <x:c r="AJ4924"/>
    </x:row>
    <x:row r="4925">
      <x:c r="F4925" s="124"/>
      <x:c r="G4925" s="124"/>
      <x:c r="H4925" s="124"/>
      <x:c r="I4925" s="124"/>
      <x:c r="J4925" s="124"/>
      <x:c r="M4925" s="126"/>
      <x:c r="P4925" s="126"/>
      <x:c r="Q4925" s="126"/>
      <x:c r="R4925" s="126"/>
      <x:c r="S4925" s="124"/>
      <x:c r="T4925" s="124"/>
      <x:c r="U4925" s="124"/>
      <x:c r="V4925" s="124"/>
      <x:c r="W4925" s="124"/>
      <x:c r="X4925" s="124"/>
      <x:c r="AD4925"/>
      <x:c r="AE4925" s="145"/>
      <x:c r="AF4925" s="145"/>
      <x:c r="AG4925" s="145"/>
      <x:c r="AH4925" s="145"/>
      <x:c r="AI4925" s="145"/>
      <x:c r="AJ4925"/>
    </x:row>
    <x:row r="4926">
      <x:c r="F4926" s="124"/>
      <x:c r="G4926" s="124"/>
      <x:c r="H4926" s="124"/>
      <x:c r="I4926" s="124"/>
      <x:c r="J4926" s="124"/>
      <x:c r="M4926" s="126"/>
      <x:c r="P4926" s="126"/>
      <x:c r="Q4926" s="126"/>
      <x:c r="R4926" s="126"/>
      <x:c r="S4926" s="124"/>
      <x:c r="T4926" s="124"/>
      <x:c r="U4926" s="124"/>
      <x:c r="V4926" s="124"/>
      <x:c r="W4926" s="124"/>
      <x:c r="X4926" s="124"/>
      <x:c r="AD4926"/>
      <x:c r="AE4926" s="145"/>
      <x:c r="AF4926" s="145"/>
      <x:c r="AG4926" s="145"/>
      <x:c r="AH4926" s="145"/>
      <x:c r="AI4926" s="145"/>
      <x:c r="AJ4926"/>
    </x:row>
    <x:row r="4927">
      <x:c r="F4927" s="124"/>
      <x:c r="G4927" s="124"/>
      <x:c r="H4927" s="124"/>
      <x:c r="I4927" s="124"/>
      <x:c r="J4927" s="124"/>
      <x:c r="M4927" s="126"/>
      <x:c r="P4927" s="126"/>
      <x:c r="Q4927" s="126"/>
      <x:c r="R4927" s="126"/>
      <x:c r="S4927" s="124"/>
      <x:c r="T4927" s="124"/>
      <x:c r="U4927" s="124"/>
      <x:c r="V4927" s="124"/>
      <x:c r="W4927" s="124"/>
      <x:c r="X4927" s="124"/>
      <x:c r="AD4927"/>
      <x:c r="AE4927" s="145"/>
      <x:c r="AF4927" s="145"/>
      <x:c r="AG4927" s="145"/>
      <x:c r="AH4927" s="145"/>
      <x:c r="AI4927" s="145"/>
      <x:c r="AJ4927"/>
    </x:row>
    <x:row r="4928">
      <x:c r="F4928" s="124"/>
      <x:c r="G4928" s="124"/>
      <x:c r="H4928" s="124"/>
      <x:c r="I4928" s="124"/>
      <x:c r="J4928" s="124"/>
      <x:c r="M4928" s="126"/>
      <x:c r="P4928" s="126"/>
      <x:c r="Q4928" s="126"/>
      <x:c r="R4928" s="126"/>
      <x:c r="S4928" s="124"/>
      <x:c r="T4928" s="124"/>
      <x:c r="U4928" s="124"/>
      <x:c r="V4928" s="124"/>
      <x:c r="W4928" s="124"/>
      <x:c r="X4928" s="124"/>
      <x:c r="AD4928"/>
      <x:c r="AE4928" s="145"/>
      <x:c r="AF4928" s="145"/>
      <x:c r="AG4928" s="145"/>
      <x:c r="AH4928" s="145"/>
      <x:c r="AI4928" s="145"/>
      <x:c r="AJ4928"/>
    </x:row>
    <x:row r="4929">
      <x:c r="F4929" s="124"/>
      <x:c r="G4929" s="124"/>
      <x:c r="H4929" s="124"/>
      <x:c r="I4929" s="124"/>
      <x:c r="J4929" s="124"/>
      <x:c r="M4929" s="126"/>
      <x:c r="P4929" s="126"/>
      <x:c r="Q4929" s="126"/>
      <x:c r="R4929" s="126"/>
      <x:c r="S4929" s="124"/>
      <x:c r="T4929" s="124"/>
      <x:c r="U4929" s="124"/>
      <x:c r="V4929" s="124"/>
      <x:c r="W4929" s="124"/>
      <x:c r="X4929" s="124"/>
      <x:c r="AD4929"/>
      <x:c r="AE4929" s="145"/>
      <x:c r="AF4929" s="145"/>
      <x:c r="AG4929" s="145"/>
      <x:c r="AH4929" s="145"/>
      <x:c r="AI4929" s="145"/>
      <x:c r="AJ4929"/>
    </x:row>
    <x:row r="4930">
      <x:c r="F4930" s="124"/>
      <x:c r="G4930" s="124"/>
      <x:c r="H4930" s="124"/>
      <x:c r="I4930" s="124"/>
      <x:c r="J4930" s="124"/>
      <x:c r="M4930" s="126"/>
      <x:c r="P4930" s="126"/>
      <x:c r="Q4930" s="126"/>
      <x:c r="R4930" s="126"/>
      <x:c r="S4930" s="124"/>
      <x:c r="T4930" s="124"/>
      <x:c r="U4930" s="124"/>
      <x:c r="V4930" s="124"/>
      <x:c r="W4930" s="124"/>
      <x:c r="X4930" s="124"/>
      <x:c r="AD4930"/>
      <x:c r="AE4930" s="145"/>
      <x:c r="AF4930" s="145"/>
      <x:c r="AG4930" s="145"/>
      <x:c r="AH4930" s="145"/>
      <x:c r="AI4930" s="145"/>
      <x:c r="AJ4930"/>
    </x:row>
    <x:row r="4931">
      <x:c r="F4931" s="124"/>
      <x:c r="G4931" s="124"/>
      <x:c r="H4931" s="124"/>
      <x:c r="I4931" s="124"/>
      <x:c r="J4931" s="124"/>
      <x:c r="M4931" s="126"/>
      <x:c r="P4931" s="126"/>
      <x:c r="Q4931" s="126"/>
      <x:c r="R4931" s="126"/>
      <x:c r="S4931" s="124"/>
      <x:c r="T4931" s="124"/>
      <x:c r="U4931" s="124"/>
      <x:c r="V4931" s="124"/>
      <x:c r="W4931" s="124"/>
      <x:c r="X4931" s="124"/>
      <x:c r="AD4931"/>
      <x:c r="AE4931" s="145"/>
      <x:c r="AF4931" s="145"/>
      <x:c r="AG4931" s="145"/>
      <x:c r="AH4931" s="145"/>
      <x:c r="AI4931" s="145"/>
      <x:c r="AJ4931"/>
    </x:row>
    <x:row r="4932">
      <x:c r="F4932" s="124"/>
      <x:c r="G4932" s="124"/>
      <x:c r="H4932" s="124"/>
      <x:c r="I4932" s="124"/>
      <x:c r="J4932" s="124"/>
      <x:c r="M4932" s="126"/>
      <x:c r="P4932" s="126"/>
      <x:c r="Q4932" s="126"/>
      <x:c r="R4932" s="126"/>
      <x:c r="S4932" s="124"/>
      <x:c r="T4932" s="124"/>
      <x:c r="U4932" s="124"/>
      <x:c r="V4932" s="124"/>
      <x:c r="W4932" s="124"/>
      <x:c r="X4932" s="124"/>
      <x:c r="AD4932"/>
      <x:c r="AE4932" s="145"/>
      <x:c r="AF4932" s="145"/>
      <x:c r="AG4932" s="145"/>
      <x:c r="AH4932" s="145"/>
      <x:c r="AI4932" s="145"/>
      <x:c r="AJ4932"/>
    </x:row>
    <x:row r="4933">
      <x:c r="F4933" s="124"/>
      <x:c r="G4933" s="124"/>
      <x:c r="H4933" s="124"/>
      <x:c r="I4933" s="124"/>
      <x:c r="J4933" s="124"/>
      <x:c r="M4933" s="126"/>
      <x:c r="P4933" s="126"/>
      <x:c r="Q4933" s="126"/>
      <x:c r="R4933" s="126"/>
      <x:c r="S4933" s="124"/>
      <x:c r="T4933" s="124"/>
      <x:c r="U4933" s="124"/>
      <x:c r="V4933" s="124"/>
      <x:c r="W4933" s="124"/>
      <x:c r="X4933" s="124"/>
      <x:c r="AD4933"/>
      <x:c r="AE4933" s="145"/>
      <x:c r="AF4933" s="145"/>
      <x:c r="AG4933" s="145"/>
      <x:c r="AH4933" s="145"/>
      <x:c r="AI4933" s="145"/>
      <x:c r="AJ4933"/>
    </x:row>
    <x:row r="4934">
      <x:c r="F4934" s="124"/>
      <x:c r="G4934" s="124"/>
      <x:c r="H4934" s="124"/>
      <x:c r="I4934" s="124"/>
      <x:c r="J4934" s="124"/>
      <x:c r="M4934" s="126"/>
      <x:c r="P4934" s="126"/>
      <x:c r="Q4934" s="126"/>
      <x:c r="R4934" s="126"/>
      <x:c r="S4934" s="124"/>
      <x:c r="T4934" s="124"/>
      <x:c r="U4934" s="124"/>
      <x:c r="V4934" s="124"/>
      <x:c r="W4934" s="124"/>
      <x:c r="X4934" s="124"/>
      <x:c r="AD4934"/>
      <x:c r="AE4934" s="145"/>
      <x:c r="AF4934" s="145"/>
      <x:c r="AG4934" s="145"/>
      <x:c r="AH4934" s="145"/>
      <x:c r="AI4934" s="145"/>
      <x:c r="AJ4934"/>
    </x:row>
    <x:row r="4935">
      <x:c r="F4935" s="124"/>
      <x:c r="G4935" s="124"/>
      <x:c r="H4935" s="124"/>
      <x:c r="I4935" s="124"/>
      <x:c r="J4935" s="124"/>
      <x:c r="M4935" s="126"/>
      <x:c r="P4935" s="126"/>
      <x:c r="Q4935" s="126"/>
      <x:c r="R4935" s="126"/>
      <x:c r="S4935" s="124"/>
      <x:c r="T4935" s="124"/>
      <x:c r="U4935" s="124"/>
      <x:c r="V4935" s="124"/>
      <x:c r="W4935" s="124"/>
      <x:c r="X4935" s="124"/>
      <x:c r="AD4935"/>
      <x:c r="AE4935" s="145"/>
      <x:c r="AF4935" s="145"/>
      <x:c r="AG4935" s="145"/>
      <x:c r="AH4935" s="145"/>
      <x:c r="AI4935" s="145"/>
      <x:c r="AJ4935"/>
    </x:row>
    <x:row r="4936">
      <x:c r="F4936" s="124"/>
      <x:c r="G4936" s="124"/>
      <x:c r="H4936" s="124"/>
      <x:c r="I4936" s="124"/>
      <x:c r="J4936" s="124"/>
      <x:c r="M4936" s="126"/>
      <x:c r="P4936" s="126"/>
      <x:c r="Q4936" s="126"/>
      <x:c r="R4936" s="126"/>
      <x:c r="S4936" s="124"/>
      <x:c r="T4936" s="124"/>
      <x:c r="U4936" s="124"/>
      <x:c r="V4936" s="124"/>
      <x:c r="W4936" s="124"/>
      <x:c r="X4936" s="124"/>
      <x:c r="AD4936"/>
      <x:c r="AE4936" s="145"/>
      <x:c r="AF4936" s="145"/>
      <x:c r="AG4936" s="145"/>
      <x:c r="AH4936" s="145"/>
      <x:c r="AI4936" s="145"/>
      <x:c r="AJ4936"/>
    </x:row>
    <x:row r="4937">
      <x:c r="F4937" s="124"/>
      <x:c r="G4937" s="124"/>
      <x:c r="H4937" s="124"/>
      <x:c r="I4937" s="124"/>
      <x:c r="J4937" s="124"/>
      <x:c r="M4937" s="126"/>
      <x:c r="P4937" s="126"/>
      <x:c r="Q4937" s="126"/>
      <x:c r="R4937" s="126"/>
      <x:c r="S4937" s="124"/>
      <x:c r="T4937" s="124"/>
      <x:c r="U4937" s="124"/>
      <x:c r="V4937" s="124"/>
      <x:c r="W4937" s="124"/>
      <x:c r="X4937" s="124"/>
      <x:c r="AD4937"/>
      <x:c r="AE4937" s="145"/>
      <x:c r="AF4937" s="145"/>
      <x:c r="AG4937" s="145"/>
      <x:c r="AH4937" s="145"/>
      <x:c r="AI4937" s="145"/>
      <x:c r="AJ4937"/>
    </x:row>
    <x:row r="4938">
      <x:c r="F4938" s="124"/>
      <x:c r="G4938" s="124"/>
      <x:c r="H4938" s="124"/>
      <x:c r="I4938" s="124"/>
      <x:c r="J4938" s="124"/>
      <x:c r="M4938" s="126"/>
      <x:c r="P4938" s="126"/>
      <x:c r="Q4938" s="126"/>
      <x:c r="R4938" s="126"/>
      <x:c r="S4938" s="124"/>
      <x:c r="T4938" s="124"/>
      <x:c r="U4938" s="124"/>
      <x:c r="V4938" s="124"/>
      <x:c r="W4938" s="124"/>
      <x:c r="X4938" s="124"/>
      <x:c r="AD4938"/>
      <x:c r="AE4938" s="145"/>
      <x:c r="AF4938" s="145"/>
      <x:c r="AG4938" s="145"/>
      <x:c r="AH4938" s="145"/>
      <x:c r="AI4938" s="145"/>
      <x:c r="AJ4938"/>
    </x:row>
    <x:row r="4939">
      <x:c r="F4939" s="124"/>
      <x:c r="G4939" s="124"/>
      <x:c r="H4939" s="124"/>
      <x:c r="I4939" s="124"/>
      <x:c r="J4939" s="124"/>
      <x:c r="M4939" s="126"/>
      <x:c r="P4939" s="126"/>
      <x:c r="Q4939" s="126"/>
      <x:c r="R4939" s="126"/>
      <x:c r="S4939" s="124"/>
      <x:c r="T4939" s="124"/>
      <x:c r="U4939" s="124"/>
      <x:c r="V4939" s="124"/>
      <x:c r="W4939" s="124"/>
      <x:c r="X4939" s="124"/>
      <x:c r="AD4939"/>
      <x:c r="AE4939" s="145"/>
      <x:c r="AF4939" s="145"/>
      <x:c r="AG4939" s="145"/>
      <x:c r="AH4939" s="145"/>
      <x:c r="AI4939" s="145"/>
      <x:c r="AJ4939"/>
    </x:row>
    <x:row r="4940">
      <x:c r="F4940" s="124"/>
      <x:c r="G4940" s="124"/>
      <x:c r="H4940" s="124"/>
      <x:c r="I4940" s="124"/>
      <x:c r="J4940" s="124"/>
      <x:c r="M4940" s="126"/>
      <x:c r="P4940" s="126"/>
      <x:c r="Q4940" s="126"/>
      <x:c r="R4940" s="126"/>
      <x:c r="S4940" s="124"/>
      <x:c r="T4940" s="124"/>
      <x:c r="U4940" s="124"/>
      <x:c r="V4940" s="124"/>
      <x:c r="W4940" s="124"/>
      <x:c r="X4940" s="124"/>
      <x:c r="AD4940"/>
      <x:c r="AE4940" s="145"/>
      <x:c r="AF4940" s="145"/>
      <x:c r="AG4940" s="145"/>
      <x:c r="AH4940" s="145"/>
      <x:c r="AI4940" s="145"/>
      <x:c r="AJ4940"/>
    </x:row>
    <x:row r="4941">
      <x:c r="F4941" s="124"/>
      <x:c r="G4941" s="124"/>
      <x:c r="H4941" s="124"/>
      <x:c r="I4941" s="124"/>
      <x:c r="J4941" s="124"/>
      <x:c r="M4941" s="126"/>
      <x:c r="P4941" s="126"/>
      <x:c r="Q4941" s="126"/>
      <x:c r="R4941" s="126"/>
      <x:c r="S4941" s="124"/>
      <x:c r="T4941" s="124"/>
      <x:c r="U4941" s="124"/>
      <x:c r="V4941" s="124"/>
      <x:c r="W4941" s="124"/>
      <x:c r="X4941" s="124"/>
      <x:c r="AD4941"/>
      <x:c r="AE4941" s="145"/>
      <x:c r="AF4941" s="145"/>
      <x:c r="AG4941" s="145"/>
      <x:c r="AH4941" s="145"/>
      <x:c r="AI4941" s="145"/>
      <x:c r="AJ4941"/>
    </x:row>
    <x:row r="4942">
      <x:c r="F4942" s="124"/>
      <x:c r="G4942" s="124"/>
      <x:c r="H4942" s="124"/>
      <x:c r="I4942" s="124"/>
      <x:c r="J4942" s="124"/>
      <x:c r="M4942" s="126"/>
      <x:c r="P4942" s="126"/>
      <x:c r="Q4942" s="126"/>
      <x:c r="R4942" s="126"/>
      <x:c r="S4942" s="124"/>
      <x:c r="T4942" s="124"/>
      <x:c r="U4942" s="124"/>
      <x:c r="V4942" s="124"/>
      <x:c r="W4942" s="124"/>
      <x:c r="X4942" s="124"/>
      <x:c r="AD4942"/>
      <x:c r="AE4942" s="145"/>
      <x:c r="AF4942" s="145"/>
      <x:c r="AG4942" s="145"/>
      <x:c r="AH4942" s="145"/>
      <x:c r="AI4942" s="145"/>
      <x:c r="AJ4942"/>
    </x:row>
    <x:row r="4943">
      <x:c r="F4943" s="124"/>
      <x:c r="G4943" s="124"/>
      <x:c r="H4943" s="124"/>
      <x:c r="I4943" s="124"/>
      <x:c r="J4943" s="124"/>
      <x:c r="M4943" s="126"/>
      <x:c r="P4943" s="126"/>
      <x:c r="Q4943" s="126"/>
      <x:c r="R4943" s="126"/>
      <x:c r="S4943" s="124"/>
      <x:c r="T4943" s="124"/>
      <x:c r="U4943" s="124"/>
      <x:c r="V4943" s="124"/>
      <x:c r="W4943" s="124"/>
      <x:c r="X4943" s="124"/>
      <x:c r="AD4943"/>
      <x:c r="AE4943" s="145"/>
      <x:c r="AF4943" s="145"/>
      <x:c r="AG4943" s="145"/>
      <x:c r="AH4943" s="145"/>
      <x:c r="AI4943" s="145"/>
      <x:c r="AJ4943"/>
    </x:row>
    <x:row r="4944">
      <x:c r="F4944" s="124"/>
      <x:c r="G4944" s="124"/>
      <x:c r="H4944" s="124"/>
      <x:c r="I4944" s="124"/>
      <x:c r="J4944" s="124"/>
      <x:c r="M4944" s="126"/>
      <x:c r="P4944" s="126"/>
      <x:c r="Q4944" s="126"/>
      <x:c r="R4944" s="126"/>
      <x:c r="S4944" s="124"/>
      <x:c r="T4944" s="124"/>
      <x:c r="U4944" s="124"/>
      <x:c r="V4944" s="124"/>
      <x:c r="W4944" s="124"/>
      <x:c r="X4944" s="124"/>
      <x:c r="AD4944"/>
      <x:c r="AE4944" s="145"/>
      <x:c r="AF4944" s="145"/>
      <x:c r="AG4944" s="145"/>
      <x:c r="AH4944" s="145"/>
      <x:c r="AI4944" s="145"/>
      <x:c r="AJ4944"/>
    </x:row>
    <x:row r="4945">
      <x:c r="F4945" s="124"/>
      <x:c r="G4945" s="124"/>
      <x:c r="H4945" s="124"/>
      <x:c r="I4945" s="124"/>
      <x:c r="J4945" s="124"/>
      <x:c r="M4945" s="126"/>
      <x:c r="P4945" s="126"/>
      <x:c r="Q4945" s="126"/>
      <x:c r="R4945" s="126"/>
      <x:c r="S4945" s="124"/>
      <x:c r="T4945" s="124"/>
      <x:c r="U4945" s="124"/>
      <x:c r="V4945" s="124"/>
      <x:c r="W4945" s="124"/>
      <x:c r="X4945" s="124"/>
      <x:c r="AD4945"/>
      <x:c r="AE4945" s="145"/>
      <x:c r="AF4945" s="145"/>
      <x:c r="AG4945" s="145"/>
      <x:c r="AH4945" s="145"/>
      <x:c r="AI4945" s="145"/>
      <x:c r="AJ4945"/>
    </x:row>
    <x:row r="4946">
      <x:c r="F4946" s="124"/>
      <x:c r="G4946" s="124"/>
      <x:c r="H4946" s="124"/>
      <x:c r="I4946" s="124"/>
      <x:c r="J4946" s="124"/>
      <x:c r="M4946" s="126"/>
      <x:c r="P4946" s="126"/>
      <x:c r="Q4946" s="126"/>
      <x:c r="R4946" s="126"/>
      <x:c r="S4946" s="124"/>
      <x:c r="T4946" s="124"/>
      <x:c r="U4946" s="124"/>
      <x:c r="V4946" s="124"/>
      <x:c r="W4946" s="124"/>
      <x:c r="X4946" s="124"/>
      <x:c r="AD4946"/>
      <x:c r="AE4946" s="145"/>
      <x:c r="AF4946" s="145"/>
      <x:c r="AG4946" s="145"/>
      <x:c r="AH4946" s="145"/>
      <x:c r="AI4946" s="145"/>
      <x:c r="AJ4946"/>
    </x:row>
    <x:row r="4947">
      <x:c r="F4947" s="124"/>
      <x:c r="G4947" s="124"/>
      <x:c r="H4947" s="124"/>
      <x:c r="I4947" s="124"/>
      <x:c r="J4947" s="124"/>
      <x:c r="M4947" s="126"/>
      <x:c r="P4947" s="126"/>
      <x:c r="Q4947" s="126"/>
      <x:c r="R4947" s="126"/>
      <x:c r="S4947" s="124"/>
      <x:c r="T4947" s="124"/>
      <x:c r="U4947" s="124"/>
      <x:c r="V4947" s="124"/>
      <x:c r="W4947" s="124"/>
      <x:c r="X4947" s="124"/>
      <x:c r="AD4947"/>
      <x:c r="AE4947" s="145"/>
      <x:c r="AF4947" s="145"/>
      <x:c r="AG4947" s="145"/>
      <x:c r="AH4947" s="145"/>
      <x:c r="AI4947" s="145"/>
      <x:c r="AJ4947"/>
    </x:row>
    <x:row r="4948">
      <x:c r="F4948" s="124"/>
      <x:c r="G4948" s="124"/>
      <x:c r="H4948" s="124"/>
      <x:c r="I4948" s="124"/>
      <x:c r="J4948" s="124"/>
      <x:c r="M4948" s="126"/>
      <x:c r="P4948" s="126"/>
      <x:c r="Q4948" s="126"/>
      <x:c r="R4948" s="126"/>
      <x:c r="S4948" s="124"/>
      <x:c r="T4948" s="124"/>
      <x:c r="U4948" s="124"/>
      <x:c r="V4948" s="124"/>
      <x:c r="W4948" s="124"/>
      <x:c r="X4948" s="124"/>
      <x:c r="AD4948"/>
      <x:c r="AE4948" s="145"/>
      <x:c r="AF4948" s="145"/>
      <x:c r="AG4948" s="145"/>
      <x:c r="AH4948" s="145"/>
      <x:c r="AI4948" s="145"/>
      <x:c r="AJ4948"/>
    </x:row>
    <x:row r="4949">
      <x:c r="F4949" s="124"/>
      <x:c r="G4949" s="124"/>
      <x:c r="H4949" s="124"/>
      <x:c r="I4949" s="124"/>
      <x:c r="J4949" s="124"/>
      <x:c r="M4949" s="126"/>
      <x:c r="P4949" s="126"/>
      <x:c r="Q4949" s="126"/>
      <x:c r="R4949" s="126"/>
      <x:c r="S4949" s="124"/>
      <x:c r="T4949" s="124"/>
      <x:c r="U4949" s="124"/>
      <x:c r="V4949" s="124"/>
      <x:c r="W4949" s="124"/>
      <x:c r="X4949" s="124"/>
      <x:c r="AD4949"/>
      <x:c r="AE4949" s="145"/>
      <x:c r="AF4949" s="145"/>
      <x:c r="AG4949" s="145"/>
      <x:c r="AH4949" s="145"/>
      <x:c r="AI4949" s="145"/>
      <x:c r="AJ4949"/>
    </x:row>
    <x:row r="4950">
      <x:c r="F4950" s="124"/>
      <x:c r="G4950" s="124"/>
      <x:c r="H4950" s="124"/>
      <x:c r="I4950" s="124"/>
      <x:c r="J4950" s="124"/>
      <x:c r="M4950" s="126"/>
      <x:c r="P4950" s="126"/>
      <x:c r="Q4950" s="126"/>
      <x:c r="R4950" s="126"/>
      <x:c r="S4950" s="124"/>
      <x:c r="T4950" s="124"/>
      <x:c r="U4950" s="124"/>
      <x:c r="V4950" s="124"/>
      <x:c r="W4950" s="124"/>
      <x:c r="X4950" s="124"/>
      <x:c r="AD4950"/>
      <x:c r="AE4950" s="145"/>
      <x:c r="AF4950" s="145"/>
      <x:c r="AG4950" s="145"/>
      <x:c r="AH4950" s="145"/>
      <x:c r="AI4950" s="145"/>
      <x:c r="AJ4950"/>
    </x:row>
    <x:row r="4951">
      <x:c r="F4951" s="124"/>
      <x:c r="G4951" s="124"/>
      <x:c r="H4951" s="124"/>
      <x:c r="I4951" s="124"/>
      <x:c r="J4951" s="124"/>
      <x:c r="M4951" s="126"/>
      <x:c r="P4951" s="126"/>
      <x:c r="Q4951" s="126"/>
      <x:c r="R4951" s="126"/>
      <x:c r="S4951" s="124"/>
      <x:c r="T4951" s="124"/>
      <x:c r="U4951" s="124"/>
      <x:c r="V4951" s="124"/>
      <x:c r="W4951" s="124"/>
      <x:c r="X4951" s="124"/>
      <x:c r="AD4951"/>
      <x:c r="AE4951" s="145"/>
      <x:c r="AF4951" s="145"/>
      <x:c r="AG4951" s="145"/>
      <x:c r="AH4951" s="145"/>
      <x:c r="AI4951" s="145"/>
      <x:c r="AJ4951"/>
    </x:row>
    <x:row r="4952">
      <x:c r="F4952" s="124"/>
      <x:c r="G4952" s="124"/>
      <x:c r="H4952" s="124"/>
      <x:c r="I4952" s="124"/>
      <x:c r="J4952" s="124"/>
      <x:c r="M4952" s="126"/>
      <x:c r="P4952" s="126"/>
      <x:c r="Q4952" s="126"/>
      <x:c r="R4952" s="126"/>
      <x:c r="S4952" s="124"/>
      <x:c r="T4952" s="124"/>
      <x:c r="U4952" s="124"/>
      <x:c r="V4952" s="124"/>
      <x:c r="W4952" s="124"/>
      <x:c r="X4952" s="124"/>
      <x:c r="AD4952"/>
      <x:c r="AE4952" s="145"/>
      <x:c r="AF4952" s="145"/>
      <x:c r="AG4952" s="145"/>
      <x:c r="AH4952" s="145"/>
      <x:c r="AI4952" s="145"/>
      <x:c r="AJ4952"/>
    </x:row>
    <x:row r="4953">
      <x:c r="F4953" s="124"/>
      <x:c r="G4953" s="124"/>
      <x:c r="H4953" s="124"/>
      <x:c r="I4953" s="124"/>
      <x:c r="J4953" s="124"/>
      <x:c r="M4953" s="126"/>
      <x:c r="P4953" s="126"/>
      <x:c r="Q4953" s="126"/>
      <x:c r="R4953" s="126"/>
      <x:c r="S4953" s="124"/>
      <x:c r="T4953" s="124"/>
      <x:c r="U4953" s="124"/>
      <x:c r="V4953" s="124"/>
      <x:c r="W4953" s="124"/>
      <x:c r="X4953" s="124"/>
      <x:c r="AD4953"/>
      <x:c r="AE4953" s="145"/>
      <x:c r="AF4953" s="145"/>
      <x:c r="AG4953" s="145"/>
      <x:c r="AH4953" s="145"/>
      <x:c r="AI4953" s="145"/>
      <x:c r="AJ4953"/>
    </x:row>
    <x:row r="4954">
      <x:c r="F4954" s="124"/>
      <x:c r="G4954" s="124"/>
      <x:c r="H4954" s="124"/>
      <x:c r="I4954" s="124"/>
      <x:c r="J4954" s="124"/>
      <x:c r="M4954" s="126"/>
      <x:c r="P4954" s="126"/>
      <x:c r="Q4954" s="126"/>
      <x:c r="R4954" s="126"/>
      <x:c r="S4954" s="124"/>
      <x:c r="T4954" s="124"/>
      <x:c r="U4954" s="124"/>
      <x:c r="V4954" s="124"/>
      <x:c r="W4954" s="124"/>
      <x:c r="X4954" s="124"/>
      <x:c r="AD4954"/>
      <x:c r="AE4954" s="145"/>
      <x:c r="AF4954" s="145"/>
      <x:c r="AG4954" s="145"/>
      <x:c r="AH4954" s="145"/>
      <x:c r="AI4954" s="145"/>
      <x:c r="AJ4954"/>
    </x:row>
    <x:row r="4955">
      <x:c r="F4955" s="124"/>
      <x:c r="G4955" s="124"/>
      <x:c r="H4955" s="124"/>
      <x:c r="I4955" s="124"/>
      <x:c r="J4955" s="124"/>
      <x:c r="M4955" s="126"/>
      <x:c r="P4955" s="126"/>
      <x:c r="Q4955" s="126"/>
      <x:c r="R4955" s="126"/>
      <x:c r="S4955" s="124"/>
      <x:c r="T4955" s="124"/>
      <x:c r="U4955" s="124"/>
      <x:c r="V4955" s="124"/>
      <x:c r="W4955" s="124"/>
      <x:c r="X4955" s="124"/>
      <x:c r="AD4955"/>
      <x:c r="AE4955" s="145"/>
      <x:c r="AF4955" s="145"/>
      <x:c r="AG4955" s="145"/>
      <x:c r="AH4955" s="145"/>
      <x:c r="AI4955" s="145"/>
      <x:c r="AJ4955"/>
    </x:row>
    <x:row r="4956">
      <x:c r="F4956" s="124"/>
      <x:c r="G4956" s="124"/>
      <x:c r="H4956" s="124"/>
      <x:c r="I4956" s="124"/>
      <x:c r="J4956" s="124"/>
      <x:c r="M4956" s="126"/>
      <x:c r="P4956" s="126"/>
      <x:c r="Q4956" s="126"/>
      <x:c r="R4956" s="126"/>
      <x:c r="S4956" s="124"/>
      <x:c r="T4956" s="124"/>
      <x:c r="U4956" s="124"/>
      <x:c r="V4956" s="124"/>
      <x:c r="W4956" s="124"/>
      <x:c r="X4956" s="124"/>
      <x:c r="AD4956"/>
      <x:c r="AE4956" s="145"/>
      <x:c r="AF4956" s="145"/>
      <x:c r="AG4956" s="145"/>
      <x:c r="AH4956" s="145"/>
      <x:c r="AI4956" s="145"/>
      <x:c r="AJ4956"/>
    </x:row>
    <x:row r="4957">
      <x:c r="F4957" s="124"/>
      <x:c r="G4957" s="124"/>
      <x:c r="H4957" s="124"/>
      <x:c r="I4957" s="124"/>
      <x:c r="J4957" s="124"/>
      <x:c r="M4957" s="126"/>
      <x:c r="P4957" s="126"/>
      <x:c r="Q4957" s="126"/>
      <x:c r="R4957" s="126"/>
      <x:c r="S4957" s="124"/>
      <x:c r="T4957" s="124"/>
      <x:c r="U4957" s="124"/>
      <x:c r="V4957" s="124"/>
      <x:c r="W4957" s="124"/>
      <x:c r="X4957" s="124"/>
      <x:c r="AD4957"/>
      <x:c r="AE4957" s="145"/>
      <x:c r="AF4957" s="145"/>
      <x:c r="AG4957" s="145"/>
      <x:c r="AH4957" s="145"/>
      <x:c r="AI4957" s="145"/>
      <x:c r="AJ4957"/>
    </x:row>
    <x:row r="4958">
      <x:c r="F4958" s="124"/>
      <x:c r="G4958" s="124"/>
      <x:c r="H4958" s="124"/>
      <x:c r="I4958" s="124"/>
      <x:c r="J4958" s="124"/>
      <x:c r="M4958" s="126"/>
      <x:c r="P4958" s="126"/>
      <x:c r="Q4958" s="126"/>
      <x:c r="R4958" s="126"/>
      <x:c r="S4958" s="124"/>
      <x:c r="T4958" s="124"/>
      <x:c r="U4958" s="124"/>
      <x:c r="V4958" s="124"/>
      <x:c r="W4958" s="124"/>
      <x:c r="X4958" s="124"/>
      <x:c r="AD4958"/>
      <x:c r="AE4958" s="145"/>
      <x:c r="AF4958" s="145"/>
      <x:c r="AG4958" s="145"/>
      <x:c r="AH4958" s="145"/>
      <x:c r="AI4958" s="145"/>
      <x:c r="AJ4958"/>
    </x:row>
    <x:row r="4959">
      <x:c r="F4959" s="124"/>
      <x:c r="G4959" s="124"/>
      <x:c r="H4959" s="124"/>
      <x:c r="I4959" s="124"/>
      <x:c r="J4959" s="124"/>
      <x:c r="M4959" s="126"/>
      <x:c r="P4959" s="126"/>
      <x:c r="Q4959" s="126"/>
      <x:c r="R4959" s="126"/>
      <x:c r="S4959" s="124"/>
      <x:c r="T4959" s="124"/>
      <x:c r="U4959" s="124"/>
      <x:c r="V4959" s="124"/>
      <x:c r="W4959" s="124"/>
      <x:c r="X4959" s="124"/>
      <x:c r="AD4959"/>
      <x:c r="AE4959" s="145"/>
      <x:c r="AF4959" s="145"/>
      <x:c r="AG4959" s="145"/>
      <x:c r="AH4959" s="145"/>
      <x:c r="AI4959" s="145"/>
      <x:c r="AJ4959"/>
    </x:row>
    <x:row r="4960">
      <x:c r="F4960" s="124"/>
      <x:c r="G4960" s="124"/>
      <x:c r="H4960" s="124"/>
      <x:c r="I4960" s="124"/>
      <x:c r="J4960" s="124"/>
      <x:c r="M4960" s="126"/>
      <x:c r="P4960" s="126"/>
      <x:c r="Q4960" s="126"/>
      <x:c r="R4960" s="126"/>
      <x:c r="S4960" s="124"/>
      <x:c r="T4960" s="124"/>
      <x:c r="U4960" s="124"/>
      <x:c r="V4960" s="124"/>
      <x:c r="W4960" s="124"/>
      <x:c r="X4960" s="124"/>
      <x:c r="AD4960"/>
      <x:c r="AE4960" s="145"/>
      <x:c r="AF4960" s="145"/>
      <x:c r="AG4960" s="145"/>
      <x:c r="AH4960" s="145"/>
      <x:c r="AI4960" s="145"/>
      <x:c r="AJ4960"/>
    </x:row>
    <x:row r="4961">
      <x:c r="F4961" s="124"/>
      <x:c r="G4961" s="124"/>
      <x:c r="H4961" s="124"/>
      <x:c r="I4961" s="124"/>
      <x:c r="J4961" s="124"/>
      <x:c r="M4961" s="126"/>
      <x:c r="P4961" s="126"/>
      <x:c r="Q4961" s="126"/>
      <x:c r="R4961" s="126"/>
      <x:c r="S4961" s="124"/>
      <x:c r="T4961" s="124"/>
      <x:c r="U4961" s="124"/>
      <x:c r="V4961" s="124"/>
      <x:c r="W4961" s="124"/>
      <x:c r="X4961" s="124"/>
      <x:c r="AD4961"/>
      <x:c r="AE4961" s="145"/>
      <x:c r="AF4961" s="145"/>
      <x:c r="AG4961" s="145"/>
      <x:c r="AH4961" s="145"/>
      <x:c r="AI4961" s="145"/>
      <x:c r="AJ4961"/>
    </x:row>
    <x:row r="4962">
      <x:c r="F4962" s="124"/>
      <x:c r="G4962" s="124"/>
      <x:c r="H4962" s="124"/>
      <x:c r="I4962" s="124"/>
      <x:c r="J4962" s="124"/>
      <x:c r="M4962" s="126"/>
      <x:c r="P4962" s="126"/>
      <x:c r="Q4962" s="126"/>
      <x:c r="R4962" s="126"/>
      <x:c r="S4962" s="124"/>
      <x:c r="T4962" s="124"/>
      <x:c r="U4962" s="124"/>
      <x:c r="V4962" s="124"/>
      <x:c r="W4962" s="124"/>
      <x:c r="X4962" s="124"/>
      <x:c r="AD4962"/>
      <x:c r="AE4962" s="145"/>
      <x:c r="AF4962" s="145"/>
      <x:c r="AG4962" s="145"/>
      <x:c r="AH4962" s="145"/>
      <x:c r="AI4962" s="145"/>
      <x:c r="AJ4962"/>
    </x:row>
    <x:row r="4963">
      <x:c r="F4963" s="124"/>
      <x:c r="G4963" s="124"/>
      <x:c r="H4963" s="124"/>
      <x:c r="I4963" s="124"/>
      <x:c r="J4963" s="124"/>
      <x:c r="M4963" s="126"/>
      <x:c r="P4963" s="126"/>
      <x:c r="Q4963" s="126"/>
      <x:c r="R4963" s="126"/>
      <x:c r="S4963" s="124"/>
      <x:c r="T4963" s="124"/>
      <x:c r="U4963" s="124"/>
      <x:c r="V4963" s="124"/>
      <x:c r="W4963" s="124"/>
      <x:c r="X4963" s="124"/>
      <x:c r="AD4963"/>
      <x:c r="AE4963" s="145"/>
      <x:c r="AF4963" s="145"/>
      <x:c r="AG4963" s="145"/>
      <x:c r="AH4963" s="145"/>
      <x:c r="AI4963" s="145"/>
      <x:c r="AJ4963"/>
    </x:row>
    <x:row r="4964">
      <x:c r="F4964" s="124"/>
      <x:c r="G4964" s="124"/>
      <x:c r="H4964" s="124"/>
      <x:c r="I4964" s="124"/>
      <x:c r="J4964" s="124"/>
      <x:c r="M4964" s="126"/>
      <x:c r="P4964" s="126"/>
      <x:c r="Q4964" s="126"/>
      <x:c r="R4964" s="126"/>
      <x:c r="S4964" s="124"/>
      <x:c r="T4964" s="124"/>
      <x:c r="U4964" s="124"/>
      <x:c r="V4964" s="124"/>
      <x:c r="W4964" s="124"/>
      <x:c r="X4964" s="124"/>
      <x:c r="AD4964"/>
      <x:c r="AE4964" s="145"/>
      <x:c r="AF4964" s="145"/>
      <x:c r="AG4964" s="145"/>
      <x:c r="AH4964" s="145"/>
      <x:c r="AI4964" s="145"/>
      <x:c r="AJ4964"/>
    </x:row>
    <x:row r="4965">
      <x:c r="F4965" s="124"/>
      <x:c r="G4965" s="124"/>
      <x:c r="H4965" s="124"/>
      <x:c r="I4965" s="124"/>
      <x:c r="J4965" s="124"/>
      <x:c r="M4965" s="126"/>
      <x:c r="P4965" s="126"/>
      <x:c r="Q4965" s="126"/>
      <x:c r="R4965" s="126"/>
      <x:c r="S4965" s="124"/>
      <x:c r="T4965" s="124"/>
      <x:c r="U4965" s="124"/>
      <x:c r="V4965" s="124"/>
      <x:c r="W4965" s="124"/>
      <x:c r="X4965" s="124"/>
      <x:c r="AD4965"/>
      <x:c r="AE4965" s="145"/>
      <x:c r="AF4965" s="145"/>
      <x:c r="AG4965" s="145"/>
      <x:c r="AH4965" s="145"/>
      <x:c r="AI4965" s="145"/>
      <x:c r="AJ4965"/>
    </x:row>
    <x:row r="4966">
      <x:c r="F4966" s="124"/>
      <x:c r="G4966" s="124"/>
      <x:c r="H4966" s="124"/>
      <x:c r="I4966" s="124"/>
      <x:c r="J4966" s="124"/>
      <x:c r="M4966" s="126"/>
      <x:c r="P4966" s="126"/>
      <x:c r="Q4966" s="126"/>
      <x:c r="R4966" s="126"/>
      <x:c r="S4966" s="124"/>
      <x:c r="T4966" s="124"/>
      <x:c r="U4966" s="124"/>
      <x:c r="V4966" s="124"/>
      <x:c r="W4966" s="124"/>
      <x:c r="X4966" s="124"/>
      <x:c r="AD4966"/>
      <x:c r="AE4966" s="145"/>
      <x:c r="AF4966" s="145"/>
      <x:c r="AG4966" s="145"/>
      <x:c r="AH4966" s="145"/>
      <x:c r="AI4966" s="145"/>
      <x:c r="AJ4966"/>
    </x:row>
    <x:row r="4967">
      <x:c r="F4967" s="124"/>
      <x:c r="G4967" s="124"/>
      <x:c r="H4967" s="124"/>
      <x:c r="I4967" s="124"/>
      <x:c r="J4967" s="124"/>
      <x:c r="M4967" s="126"/>
      <x:c r="P4967" s="126"/>
      <x:c r="Q4967" s="126"/>
      <x:c r="R4967" s="126"/>
      <x:c r="S4967" s="124"/>
      <x:c r="T4967" s="124"/>
      <x:c r="U4967" s="124"/>
      <x:c r="V4967" s="124"/>
      <x:c r="W4967" s="124"/>
      <x:c r="X4967" s="124"/>
      <x:c r="AD4967"/>
      <x:c r="AE4967" s="145"/>
      <x:c r="AF4967" s="145"/>
      <x:c r="AG4967" s="145"/>
      <x:c r="AH4967" s="145"/>
      <x:c r="AI4967" s="145"/>
      <x:c r="AJ4967"/>
    </x:row>
    <x:row r="4968">
      <x:c r="F4968" s="124"/>
      <x:c r="G4968" s="124"/>
      <x:c r="H4968" s="124"/>
      <x:c r="I4968" s="124"/>
      <x:c r="J4968" s="124"/>
      <x:c r="M4968" s="126"/>
      <x:c r="P4968" s="126"/>
      <x:c r="Q4968" s="126"/>
      <x:c r="R4968" s="126"/>
      <x:c r="S4968" s="124"/>
      <x:c r="T4968" s="124"/>
      <x:c r="U4968" s="124"/>
      <x:c r="V4968" s="124"/>
      <x:c r="W4968" s="124"/>
      <x:c r="X4968" s="124"/>
      <x:c r="AD4968"/>
      <x:c r="AE4968" s="145"/>
      <x:c r="AF4968" s="145"/>
      <x:c r="AG4968" s="145"/>
      <x:c r="AH4968" s="145"/>
      <x:c r="AI4968" s="145"/>
      <x:c r="AJ4968"/>
    </x:row>
    <x:row r="4969">
      <x:c r="F4969" s="124"/>
      <x:c r="G4969" s="124"/>
      <x:c r="H4969" s="124"/>
      <x:c r="I4969" s="124"/>
      <x:c r="J4969" s="124"/>
      <x:c r="M4969" s="126"/>
      <x:c r="P4969" s="126"/>
      <x:c r="Q4969" s="126"/>
      <x:c r="R4969" s="126"/>
      <x:c r="S4969" s="124"/>
      <x:c r="T4969" s="124"/>
      <x:c r="U4969" s="124"/>
      <x:c r="V4969" s="124"/>
      <x:c r="W4969" s="124"/>
      <x:c r="X4969" s="124"/>
      <x:c r="AD4969"/>
      <x:c r="AE4969" s="145"/>
      <x:c r="AF4969" s="145"/>
      <x:c r="AG4969" s="145"/>
      <x:c r="AH4969" s="145"/>
      <x:c r="AI4969" s="145"/>
      <x:c r="AJ4969"/>
    </x:row>
    <x:row r="4970">
      <x:c r="F4970" s="124"/>
      <x:c r="G4970" s="124"/>
      <x:c r="H4970" s="124"/>
      <x:c r="I4970" s="124"/>
      <x:c r="J4970" s="124"/>
      <x:c r="M4970" s="126"/>
      <x:c r="P4970" s="126"/>
      <x:c r="Q4970" s="126"/>
      <x:c r="R4970" s="126"/>
      <x:c r="S4970" s="124"/>
      <x:c r="T4970" s="124"/>
      <x:c r="U4970" s="124"/>
      <x:c r="V4970" s="124"/>
      <x:c r="W4970" s="124"/>
      <x:c r="X4970" s="124"/>
      <x:c r="AD4970"/>
      <x:c r="AE4970" s="145"/>
      <x:c r="AF4970" s="145"/>
      <x:c r="AG4970" s="145"/>
      <x:c r="AH4970" s="145"/>
      <x:c r="AI4970" s="145"/>
      <x:c r="AJ4970"/>
    </x:row>
    <x:row r="4971">
      <x:c r="F4971" s="124"/>
      <x:c r="G4971" s="124"/>
      <x:c r="H4971" s="124"/>
      <x:c r="I4971" s="124"/>
      <x:c r="J4971" s="124"/>
      <x:c r="M4971" s="126"/>
      <x:c r="P4971" s="126"/>
      <x:c r="Q4971" s="126"/>
      <x:c r="R4971" s="126"/>
      <x:c r="S4971" s="124"/>
      <x:c r="T4971" s="124"/>
      <x:c r="U4971" s="124"/>
      <x:c r="V4971" s="124"/>
      <x:c r="W4971" s="124"/>
      <x:c r="X4971" s="124"/>
      <x:c r="AD4971"/>
      <x:c r="AE4971" s="145"/>
      <x:c r="AF4971" s="145"/>
      <x:c r="AG4971" s="145"/>
      <x:c r="AH4971" s="145"/>
      <x:c r="AI4971" s="145"/>
      <x:c r="AJ4971"/>
    </x:row>
    <x:row r="4972">
      <x:c r="F4972" s="124"/>
      <x:c r="G4972" s="124"/>
      <x:c r="H4972" s="124"/>
      <x:c r="I4972" s="124"/>
      <x:c r="J4972" s="124"/>
      <x:c r="M4972" s="126"/>
      <x:c r="P4972" s="126"/>
      <x:c r="Q4972" s="126"/>
      <x:c r="R4972" s="126"/>
      <x:c r="S4972" s="124"/>
      <x:c r="T4972" s="124"/>
      <x:c r="U4972" s="124"/>
      <x:c r="V4972" s="124"/>
      <x:c r="W4972" s="124"/>
      <x:c r="X4972" s="124"/>
      <x:c r="AD4972"/>
      <x:c r="AE4972" s="145"/>
      <x:c r="AF4972" s="145"/>
      <x:c r="AG4972" s="145"/>
      <x:c r="AH4972" s="145"/>
      <x:c r="AI4972" s="145"/>
      <x:c r="AJ4972"/>
    </x:row>
    <x:row r="4973">
      <x:c r="F4973" s="124"/>
      <x:c r="G4973" s="124"/>
      <x:c r="H4973" s="124"/>
      <x:c r="I4973" s="124"/>
      <x:c r="J4973" s="124"/>
      <x:c r="M4973" s="126"/>
      <x:c r="P4973" s="126"/>
      <x:c r="Q4973" s="126"/>
      <x:c r="R4973" s="126"/>
      <x:c r="S4973" s="124"/>
      <x:c r="T4973" s="124"/>
      <x:c r="U4973" s="124"/>
      <x:c r="V4973" s="124"/>
      <x:c r="W4973" s="124"/>
      <x:c r="X4973" s="124"/>
      <x:c r="AD4973"/>
      <x:c r="AE4973" s="145"/>
      <x:c r="AF4973" s="145"/>
      <x:c r="AG4973" s="145"/>
      <x:c r="AH4973" s="145"/>
      <x:c r="AI4973" s="145"/>
      <x:c r="AJ4973"/>
    </x:row>
    <x:row r="4974">
      <x:c r="F4974" s="124"/>
      <x:c r="G4974" s="124"/>
      <x:c r="H4974" s="124"/>
      <x:c r="I4974" s="124"/>
      <x:c r="J4974" s="124"/>
      <x:c r="M4974" s="126"/>
      <x:c r="P4974" s="126"/>
      <x:c r="Q4974" s="126"/>
      <x:c r="R4974" s="126"/>
      <x:c r="S4974" s="124"/>
      <x:c r="T4974" s="124"/>
      <x:c r="U4974" s="124"/>
      <x:c r="V4974" s="124"/>
      <x:c r="W4974" s="124"/>
      <x:c r="X4974" s="124"/>
      <x:c r="AD4974"/>
      <x:c r="AE4974" s="145"/>
      <x:c r="AF4974" s="145"/>
      <x:c r="AG4974" s="145"/>
      <x:c r="AH4974" s="145"/>
      <x:c r="AI4974" s="145"/>
      <x:c r="AJ4974"/>
    </x:row>
    <x:row r="4975">
      <x:c r="F4975" s="124"/>
      <x:c r="G4975" s="124"/>
      <x:c r="H4975" s="124"/>
      <x:c r="I4975" s="124"/>
      <x:c r="J4975" s="124"/>
      <x:c r="M4975" s="126"/>
      <x:c r="P4975" s="126"/>
      <x:c r="Q4975" s="126"/>
      <x:c r="R4975" s="126"/>
      <x:c r="S4975" s="124"/>
      <x:c r="T4975" s="124"/>
      <x:c r="U4975" s="124"/>
      <x:c r="V4975" s="124"/>
      <x:c r="W4975" s="124"/>
      <x:c r="X4975" s="124"/>
      <x:c r="AD4975"/>
      <x:c r="AE4975" s="145"/>
      <x:c r="AF4975" s="145"/>
      <x:c r="AG4975" s="145"/>
      <x:c r="AH4975" s="145"/>
      <x:c r="AI4975" s="145"/>
      <x:c r="AJ4975"/>
    </x:row>
    <x:row r="4976">
      <x:c r="F4976" s="124"/>
      <x:c r="G4976" s="124"/>
      <x:c r="H4976" s="124"/>
      <x:c r="I4976" s="124"/>
      <x:c r="J4976" s="124"/>
      <x:c r="M4976" s="126"/>
      <x:c r="P4976" s="126"/>
      <x:c r="Q4976" s="126"/>
      <x:c r="R4976" s="126"/>
      <x:c r="S4976" s="124"/>
      <x:c r="T4976" s="124"/>
      <x:c r="U4976" s="124"/>
      <x:c r="V4976" s="124"/>
      <x:c r="W4976" s="124"/>
      <x:c r="X4976" s="124"/>
      <x:c r="AD4976"/>
      <x:c r="AE4976" s="145"/>
      <x:c r="AF4976" s="145"/>
      <x:c r="AG4976" s="145"/>
      <x:c r="AH4976" s="145"/>
      <x:c r="AI4976" s="145"/>
      <x:c r="AJ4976"/>
    </x:row>
    <x:row r="4977">
      <x:c r="F4977" s="124"/>
      <x:c r="G4977" s="124"/>
      <x:c r="H4977" s="124"/>
      <x:c r="I4977" s="124"/>
      <x:c r="J4977" s="124"/>
      <x:c r="M4977" s="126"/>
      <x:c r="P4977" s="126"/>
      <x:c r="Q4977" s="126"/>
      <x:c r="R4977" s="126"/>
      <x:c r="S4977" s="124"/>
      <x:c r="T4977" s="124"/>
      <x:c r="U4977" s="124"/>
      <x:c r="V4977" s="124"/>
      <x:c r="W4977" s="124"/>
      <x:c r="X4977" s="124"/>
      <x:c r="AD4977"/>
      <x:c r="AE4977" s="145"/>
      <x:c r="AF4977" s="145"/>
      <x:c r="AG4977" s="145"/>
      <x:c r="AH4977" s="145"/>
      <x:c r="AI4977" s="145"/>
      <x:c r="AJ4977"/>
    </x:row>
    <x:row r="4978">
      <x:c r="F4978" s="124"/>
      <x:c r="G4978" s="124"/>
      <x:c r="H4978" s="124"/>
      <x:c r="I4978" s="124"/>
      <x:c r="J4978" s="124"/>
      <x:c r="M4978" s="126"/>
      <x:c r="P4978" s="126"/>
      <x:c r="Q4978" s="126"/>
      <x:c r="R4978" s="126"/>
      <x:c r="S4978" s="124"/>
      <x:c r="T4978" s="124"/>
      <x:c r="U4978" s="124"/>
      <x:c r="V4978" s="124"/>
      <x:c r="W4978" s="124"/>
      <x:c r="X4978" s="124"/>
      <x:c r="AD4978"/>
      <x:c r="AE4978" s="145"/>
      <x:c r="AF4978" s="145"/>
      <x:c r="AG4978" s="145"/>
      <x:c r="AH4978" s="145"/>
      <x:c r="AI4978" s="145"/>
      <x:c r="AJ4978"/>
    </x:row>
    <x:row r="4979">
      <x:c r="F4979" s="124"/>
      <x:c r="G4979" s="124"/>
      <x:c r="H4979" s="124"/>
      <x:c r="I4979" s="124"/>
      <x:c r="J4979" s="124"/>
      <x:c r="M4979" s="126"/>
      <x:c r="P4979" s="126"/>
      <x:c r="Q4979" s="126"/>
      <x:c r="R4979" s="126"/>
      <x:c r="S4979" s="124"/>
      <x:c r="T4979" s="124"/>
      <x:c r="U4979" s="124"/>
      <x:c r="V4979" s="124"/>
      <x:c r="W4979" s="124"/>
      <x:c r="X4979" s="124"/>
      <x:c r="AD4979"/>
      <x:c r="AE4979" s="145"/>
      <x:c r="AF4979" s="145"/>
      <x:c r="AG4979" s="145"/>
      <x:c r="AH4979" s="145"/>
      <x:c r="AI4979" s="145"/>
      <x:c r="AJ4979"/>
    </x:row>
    <x:row r="4980">
      <x:c r="F4980" s="124"/>
      <x:c r="G4980" s="124"/>
      <x:c r="H4980" s="124"/>
      <x:c r="I4980" s="124"/>
      <x:c r="J4980" s="124"/>
      <x:c r="M4980" s="126"/>
      <x:c r="P4980" s="126"/>
      <x:c r="Q4980" s="126"/>
      <x:c r="R4980" s="126"/>
      <x:c r="S4980" s="124"/>
      <x:c r="T4980" s="124"/>
      <x:c r="U4980" s="124"/>
      <x:c r="V4980" s="124"/>
      <x:c r="W4980" s="124"/>
      <x:c r="X4980" s="124"/>
      <x:c r="AD4980"/>
      <x:c r="AE4980" s="145"/>
      <x:c r="AF4980" s="145"/>
      <x:c r="AG4980" s="145"/>
      <x:c r="AH4980" s="145"/>
      <x:c r="AI4980" s="145"/>
      <x:c r="AJ4980"/>
    </x:row>
    <x:row r="4981">
      <x:c r="F4981" s="124"/>
      <x:c r="G4981" s="124"/>
      <x:c r="H4981" s="124"/>
      <x:c r="I4981" s="124"/>
      <x:c r="J4981" s="124"/>
      <x:c r="M4981" s="126"/>
      <x:c r="P4981" s="126"/>
      <x:c r="Q4981" s="126"/>
      <x:c r="R4981" s="126"/>
      <x:c r="S4981" s="124"/>
      <x:c r="T4981" s="124"/>
      <x:c r="U4981" s="124"/>
      <x:c r="V4981" s="124"/>
      <x:c r="W4981" s="124"/>
      <x:c r="X4981" s="124"/>
      <x:c r="AD4981"/>
      <x:c r="AE4981" s="145"/>
      <x:c r="AF4981" s="145"/>
      <x:c r="AG4981" s="145"/>
      <x:c r="AH4981" s="145"/>
      <x:c r="AI4981" s="145"/>
      <x:c r="AJ4981"/>
    </x:row>
    <x:row r="4982">
      <x:c r="F4982" s="124"/>
      <x:c r="G4982" s="124"/>
      <x:c r="H4982" s="124"/>
      <x:c r="I4982" s="124"/>
      <x:c r="J4982" s="124"/>
      <x:c r="M4982" s="126"/>
      <x:c r="P4982" s="126"/>
      <x:c r="Q4982" s="126"/>
      <x:c r="R4982" s="126"/>
      <x:c r="S4982" s="124"/>
      <x:c r="T4982" s="124"/>
      <x:c r="U4982" s="124"/>
      <x:c r="V4982" s="124"/>
      <x:c r="W4982" s="124"/>
      <x:c r="X4982" s="124"/>
      <x:c r="AD4982"/>
      <x:c r="AE4982" s="145"/>
      <x:c r="AF4982" s="145"/>
      <x:c r="AG4982" s="145"/>
      <x:c r="AH4982" s="145"/>
      <x:c r="AI4982" s="145"/>
      <x:c r="AJ4982"/>
    </x:row>
    <x:row r="4983">
      <x:c r="F4983" s="124"/>
      <x:c r="G4983" s="124"/>
      <x:c r="H4983" s="124"/>
      <x:c r="I4983" s="124"/>
      <x:c r="J4983" s="124"/>
      <x:c r="M4983" s="126"/>
      <x:c r="P4983" s="126"/>
      <x:c r="Q4983" s="126"/>
      <x:c r="R4983" s="126"/>
      <x:c r="S4983" s="124"/>
      <x:c r="T4983" s="124"/>
      <x:c r="U4983" s="124"/>
      <x:c r="V4983" s="124"/>
      <x:c r="W4983" s="124"/>
      <x:c r="X4983" s="124"/>
      <x:c r="AD4983"/>
      <x:c r="AE4983" s="145"/>
      <x:c r="AF4983" s="145"/>
      <x:c r="AG4983" s="145"/>
      <x:c r="AH4983" s="145"/>
      <x:c r="AI4983" s="145"/>
      <x:c r="AJ4983"/>
    </x:row>
    <x:row r="4984">
      <x:c r="F4984" s="124"/>
      <x:c r="G4984" s="124"/>
      <x:c r="H4984" s="124"/>
      <x:c r="I4984" s="124"/>
      <x:c r="J4984" s="124"/>
      <x:c r="M4984" s="126"/>
      <x:c r="P4984" s="126"/>
      <x:c r="Q4984" s="126"/>
      <x:c r="R4984" s="126"/>
      <x:c r="S4984" s="124"/>
      <x:c r="T4984" s="124"/>
      <x:c r="U4984" s="124"/>
      <x:c r="V4984" s="124"/>
      <x:c r="W4984" s="124"/>
      <x:c r="X4984" s="124"/>
      <x:c r="AD4984"/>
      <x:c r="AE4984" s="145"/>
      <x:c r="AF4984" s="145"/>
      <x:c r="AG4984" s="145"/>
      <x:c r="AH4984" s="145"/>
      <x:c r="AI4984" s="145"/>
      <x:c r="AJ4984"/>
    </x:row>
    <x:row r="4985">
      <x:c r="F4985" s="124"/>
      <x:c r="G4985" s="124"/>
      <x:c r="H4985" s="124"/>
      <x:c r="I4985" s="124"/>
      <x:c r="J4985" s="124"/>
      <x:c r="M4985" s="126"/>
      <x:c r="P4985" s="126"/>
      <x:c r="Q4985" s="126"/>
      <x:c r="R4985" s="126"/>
      <x:c r="S4985" s="124"/>
      <x:c r="T4985" s="124"/>
      <x:c r="U4985" s="124"/>
      <x:c r="V4985" s="124"/>
      <x:c r="W4985" s="124"/>
      <x:c r="X4985" s="124"/>
      <x:c r="AD4985"/>
      <x:c r="AE4985" s="145"/>
      <x:c r="AF4985" s="145"/>
      <x:c r="AG4985" s="145"/>
      <x:c r="AH4985" s="145"/>
      <x:c r="AI4985" s="145"/>
      <x:c r="AJ4985"/>
    </x:row>
    <x:row r="4986">
      <x:c r="F4986" s="124"/>
      <x:c r="G4986" s="124"/>
      <x:c r="H4986" s="124"/>
      <x:c r="I4986" s="124"/>
      <x:c r="J4986" s="124"/>
      <x:c r="M4986" s="126"/>
      <x:c r="P4986" s="126"/>
      <x:c r="Q4986" s="126"/>
      <x:c r="R4986" s="126"/>
      <x:c r="S4986" s="124"/>
      <x:c r="T4986" s="124"/>
      <x:c r="U4986" s="124"/>
      <x:c r="V4986" s="124"/>
      <x:c r="W4986" s="124"/>
      <x:c r="X4986" s="124"/>
      <x:c r="AD4986"/>
      <x:c r="AE4986" s="145"/>
      <x:c r="AF4986" s="145"/>
      <x:c r="AG4986" s="145"/>
      <x:c r="AH4986" s="145"/>
      <x:c r="AI4986" s="145"/>
      <x:c r="AJ4986"/>
    </x:row>
    <x:row r="4987">
      <x:c r="F4987" s="124"/>
      <x:c r="G4987" s="124"/>
      <x:c r="H4987" s="124"/>
      <x:c r="I4987" s="124"/>
      <x:c r="J4987" s="124"/>
      <x:c r="M4987" s="126"/>
      <x:c r="P4987" s="126"/>
      <x:c r="Q4987" s="126"/>
      <x:c r="R4987" s="126"/>
      <x:c r="S4987" s="124"/>
      <x:c r="T4987" s="124"/>
      <x:c r="U4987" s="124"/>
      <x:c r="V4987" s="124"/>
      <x:c r="W4987" s="124"/>
      <x:c r="X4987" s="124"/>
      <x:c r="AD4987"/>
      <x:c r="AE4987" s="145"/>
      <x:c r="AF4987" s="145"/>
      <x:c r="AG4987" s="145"/>
      <x:c r="AH4987" s="145"/>
      <x:c r="AI4987" s="145"/>
      <x:c r="AJ4987"/>
    </x:row>
    <x:row r="4988">
      <x:c r="F4988" s="124"/>
      <x:c r="G4988" s="124"/>
      <x:c r="H4988" s="124"/>
      <x:c r="I4988" s="124"/>
      <x:c r="J4988" s="124"/>
      <x:c r="M4988" s="126"/>
      <x:c r="P4988" s="126"/>
      <x:c r="Q4988" s="126"/>
      <x:c r="R4988" s="126"/>
      <x:c r="S4988" s="124"/>
      <x:c r="T4988" s="124"/>
      <x:c r="U4988" s="124"/>
      <x:c r="V4988" s="124"/>
      <x:c r="W4988" s="124"/>
      <x:c r="X4988" s="124"/>
      <x:c r="AD4988"/>
      <x:c r="AE4988" s="145"/>
      <x:c r="AF4988" s="145"/>
      <x:c r="AG4988" s="145"/>
      <x:c r="AH4988" s="145"/>
      <x:c r="AI4988" s="145"/>
      <x:c r="AJ4988"/>
    </x:row>
    <x:row r="4989">
      <x:c r="F4989" s="124"/>
      <x:c r="G4989" s="124"/>
      <x:c r="H4989" s="124"/>
      <x:c r="I4989" s="124"/>
      <x:c r="J4989" s="124"/>
      <x:c r="M4989" s="126"/>
      <x:c r="P4989" s="126"/>
      <x:c r="Q4989" s="126"/>
      <x:c r="R4989" s="126"/>
      <x:c r="S4989" s="124"/>
      <x:c r="T4989" s="124"/>
      <x:c r="U4989" s="124"/>
      <x:c r="V4989" s="124"/>
      <x:c r="W4989" s="124"/>
      <x:c r="X4989" s="124"/>
      <x:c r="AD4989"/>
      <x:c r="AE4989" s="145"/>
      <x:c r="AF4989" s="145"/>
      <x:c r="AG4989" s="145"/>
      <x:c r="AH4989" s="145"/>
      <x:c r="AI4989" s="145"/>
      <x:c r="AJ4989"/>
    </x:row>
    <x:row r="4990">
      <x:c r="F4990" s="124"/>
      <x:c r="G4990" s="124"/>
      <x:c r="H4990" s="124"/>
      <x:c r="I4990" s="124"/>
      <x:c r="J4990" s="124"/>
      <x:c r="M4990" s="126"/>
      <x:c r="P4990" s="126"/>
      <x:c r="Q4990" s="126"/>
      <x:c r="R4990" s="126"/>
      <x:c r="S4990" s="124"/>
      <x:c r="T4990" s="124"/>
      <x:c r="U4990" s="124"/>
      <x:c r="V4990" s="124"/>
      <x:c r="W4990" s="124"/>
      <x:c r="X4990" s="124"/>
      <x:c r="AD4990"/>
      <x:c r="AE4990" s="145"/>
      <x:c r="AF4990" s="145"/>
      <x:c r="AG4990" s="145"/>
      <x:c r="AH4990" s="145"/>
      <x:c r="AI4990" s="145"/>
      <x:c r="AJ4990"/>
    </x:row>
    <x:row r="4991">
      <x:c r="F4991" s="124"/>
      <x:c r="G4991" s="124"/>
      <x:c r="H4991" s="124"/>
      <x:c r="I4991" s="124"/>
      <x:c r="J4991" s="124"/>
      <x:c r="M4991" s="126"/>
      <x:c r="P4991" s="126"/>
      <x:c r="Q4991" s="126"/>
      <x:c r="R4991" s="126"/>
      <x:c r="S4991" s="124"/>
      <x:c r="T4991" s="124"/>
      <x:c r="U4991" s="124"/>
      <x:c r="V4991" s="124"/>
      <x:c r="W4991" s="124"/>
      <x:c r="X4991" s="124"/>
      <x:c r="AD4991"/>
      <x:c r="AE4991" s="145"/>
      <x:c r="AF4991" s="145"/>
      <x:c r="AG4991" s="145"/>
      <x:c r="AH4991" s="145"/>
      <x:c r="AI4991" s="145"/>
      <x:c r="AJ4991"/>
    </x:row>
    <x:row r="4992">
      <x:c r="F4992" s="124"/>
      <x:c r="G4992" s="124"/>
      <x:c r="H4992" s="124"/>
      <x:c r="I4992" s="124"/>
      <x:c r="J4992" s="124"/>
      <x:c r="M4992" s="126"/>
      <x:c r="P4992" s="126"/>
      <x:c r="Q4992" s="126"/>
      <x:c r="R4992" s="126"/>
      <x:c r="S4992" s="124"/>
      <x:c r="T4992" s="124"/>
      <x:c r="U4992" s="124"/>
      <x:c r="V4992" s="124"/>
      <x:c r="W4992" s="124"/>
      <x:c r="X4992" s="124"/>
      <x:c r="AD4992"/>
      <x:c r="AE4992" s="145"/>
      <x:c r="AF4992" s="145"/>
      <x:c r="AG4992" s="145"/>
      <x:c r="AH4992" s="145"/>
      <x:c r="AI4992" s="145"/>
      <x:c r="AJ4992"/>
    </x:row>
    <x:row r="4993">
      <x:c r="F4993" s="124"/>
      <x:c r="G4993" s="124"/>
      <x:c r="H4993" s="124"/>
      <x:c r="I4993" s="124"/>
      <x:c r="J4993" s="124"/>
      <x:c r="M4993" s="126"/>
      <x:c r="P4993" s="126"/>
      <x:c r="Q4993" s="126"/>
      <x:c r="R4993" s="126"/>
      <x:c r="S4993" s="124"/>
      <x:c r="T4993" s="124"/>
      <x:c r="U4993" s="124"/>
      <x:c r="V4993" s="124"/>
      <x:c r="W4993" s="124"/>
      <x:c r="X4993" s="124"/>
      <x:c r="AD4993"/>
      <x:c r="AE4993" s="145"/>
      <x:c r="AF4993" s="145"/>
      <x:c r="AG4993" s="145"/>
      <x:c r="AH4993" s="145"/>
      <x:c r="AI4993" s="145"/>
      <x:c r="AJ4993"/>
    </x:row>
    <x:row r="4994">
      <x:c r="F4994" s="124"/>
      <x:c r="G4994" s="124"/>
      <x:c r="H4994" s="124"/>
      <x:c r="I4994" s="124"/>
      <x:c r="J4994" s="124"/>
      <x:c r="M4994" s="126"/>
      <x:c r="P4994" s="126"/>
      <x:c r="Q4994" s="126"/>
      <x:c r="R4994" s="126"/>
      <x:c r="S4994" s="124"/>
      <x:c r="T4994" s="124"/>
      <x:c r="U4994" s="124"/>
      <x:c r="V4994" s="124"/>
      <x:c r="W4994" s="124"/>
      <x:c r="X4994" s="124"/>
      <x:c r="AD4994"/>
      <x:c r="AE4994" s="145"/>
      <x:c r="AF4994" s="145"/>
      <x:c r="AG4994" s="145"/>
      <x:c r="AH4994" s="145"/>
      <x:c r="AI4994" s="145"/>
      <x:c r="AJ4994"/>
    </x:row>
    <x:row r="4995">
      <x:c r="F4995" s="124"/>
      <x:c r="G4995" s="124"/>
      <x:c r="H4995" s="124"/>
      <x:c r="I4995" s="124"/>
      <x:c r="J4995" s="124"/>
      <x:c r="M4995" s="126"/>
      <x:c r="P4995" s="126"/>
      <x:c r="Q4995" s="126"/>
      <x:c r="R4995" s="126"/>
      <x:c r="S4995" s="124"/>
      <x:c r="T4995" s="124"/>
      <x:c r="U4995" s="124"/>
      <x:c r="V4995" s="124"/>
      <x:c r="W4995" s="124"/>
      <x:c r="X4995" s="124"/>
      <x:c r="AD4995"/>
      <x:c r="AE4995" s="145"/>
      <x:c r="AF4995" s="145"/>
      <x:c r="AG4995" s="145"/>
      <x:c r="AH4995" s="145"/>
      <x:c r="AI4995" s="145"/>
      <x:c r="AJ4995"/>
    </x:row>
    <x:row r="4996">
      <x:c r="F4996" s="124"/>
      <x:c r="G4996" s="124"/>
      <x:c r="H4996" s="124"/>
      <x:c r="I4996" s="124"/>
      <x:c r="J4996" s="124"/>
      <x:c r="M4996" s="126"/>
      <x:c r="P4996" s="126"/>
      <x:c r="Q4996" s="126"/>
      <x:c r="R4996" s="126"/>
      <x:c r="S4996" s="124"/>
      <x:c r="T4996" s="124"/>
      <x:c r="U4996" s="124"/>
      <x:c r="V4996" s="124"/>
      <x:c r="W4996" s="124"/>
      <x:c r="X4996" s="124"/>
      <x:c r="AD4996"/>
      <x:c r="AE4996" s="145"/>
      <x:c r="AF4996" s="145"/>
      <x:c r="AG4996" s="145"/>
      <x:c r="AH4996" s="145"/>
      <x:c r="AI4996" s="145"/>
      <x:c r="AJ4996"/>
    </x:row>
    <x:row r="4997">
      <x:c r="F4997" s="124"/>
      <x:c r="G4997" s="124"/>
      <x:c r="H4997" s="124"/>
      <x:c r="I4997" s="124"/>
      <x:c r="J4997" s="124"/>
      <x:c r="M4997" s="126"/>
      <x:c r="P4997" s="126"/>
      <x:c r="Q4997" s="126"/>
      <x:c r="R4997" s="126"/>
      <x:c r="S4997" s="124"/>
      <x:c r="T4997" s="124"/>
      <x:c r="U4997" s="124"/>
      <x:c r="V4997" s="124"/>
      <x:c r="W4997" s="124"/>
      <x:c r="X4997" s="124"/>
      <x:c r="AD4997"/>
      <x:c r="AE4997" s="145"/>
      <x:c r="AF4997" s="145"/>
      <x:c r="AG4997" s="145"/>
      <x:c r="AH4997" s="145"/>
      <x:c r="AI4997" s="145"/>
      <x:c r="AJ4997"/>
    </x:row>
    <x:row r="4998">
      <x:c r="F4998" s="124"/>
      <x:c r="G4998" s="124"/>
      <x:c r="H4998" s="124"/>
      <x:c r="I4998" s="124"/>
      <x:c r="J4998" s="124"/>
      <x:c r="M4998" s="126"/>
      <x:c r="P4998" s="126"/>
      <x:c r="Q4998" s="126"/>
      <x:c r="R4998" s="126"/>
      <x:c r="S4998" s="124"/>
      <x:c r="T4998" s="124"/>
      <x:c r="U4998" s="124"/>
      <x:c r="V4998" s="124"/>
      <x:c r="W4998" s="124"/>
      <x:c r="X4998" s="124"/>
      <x:c r="AD4998"/>
      <x:c r="AE4998" s="145"/>
      <x:c r="AF4998" s="145"/>
      <x:c r="AG4998" s="145"/>
      <x:c r="AH4998" s="145"/>
      <x:c r="AI4998" s="145"/>
      <x:c r="AJ4998"/>
    </x:row>
    <x:row r="4999">
      <x:c r="F4999" s="124"/>
      <x:c r="G4999" s="124"/>
      <x:c r="H4999" s="124"/>
      <x:c r="I4999" s="124"/>
      <x:c r="J4999" s="124"/>
      <x:c r="M4999" s="126"/>
      <x:c r="P4999" s="126"/>
      <x:c r="Q4999" s="126"/>
      <x:c r="R4999" s="126"/>
      <x:c r="S4999" s="124"/>
      <x:c r="T4999" s="124"/>
      <x:c r="U4999" s="124"/>
      <x:c r="V4999" s="124"/>
      <x:c r="W4999" s="124"/>
      <x:c r="X4999" s="124"/>
      <x:c r="AD4999"/>
      <x:c r="AE4999" s="145"/>
      <x:c r="AF4999" s="145"/>
      <x:c r="AG4999" s="145"/>
      <x:c r="AH4999" s="145"/>
      <x:c r="AI4999" s="145"/>
      <x:c r="AJ4999"/>
    </x:row>
    <x:row r="5000">
      <x:c r="F5000" s="124"/>
      <x:c r="G5000" s="124"/>
      <x:c r="H5000" s="124"/>
      <x:c r="I5000" s="124"/>
      <x:c r="J5000" s="124"/>
      <x:c r="M5000" s="126"/>
      <x:c r="P5000" s="126"/>
      <x:c r="Q5000" s="126"/>
      <x:c r="R5000" s="126"/>
      <x:c r="S5000" s="124"/>
      <x:c r="T5000" s="124"/>
      <x:c r="U5000" s="124"/>
      <x:c r="V5000" s="124"/>
      <x:c r="W5000" s="124"/>
      <x:c r="X5000" s="124"/>
      <x:c r="AD5000"/>
      <x:c r="AE5000" s="145"/>
      <x:c r="AF5000" s="145"/>
      <x:c r="AG5000" s="145"/>
      <x:c r="AH5000" s="145"/>
      <x:c r="AI5000" s="145"/>
      <x:c r="AJ5000"/>
    </x:row>
    <x:row r="5001">
      <x:c r="F5001" s="124"/>
      <x:c r="G5001" s="124"/>
      <x:c r="H5001" s="124"/>
      <x:c r="I5001" s="124"/>
      <x:c r="J5001" s="124"/>
      <x:c r="M5001" s="126"/>
      <x:c r="P5001" s="126"/>
      <x:c r="Q5001" s="126"/>
      <x:c r="R5001" s="126"/>
      <x:c r="S5001" s="124"/>
      <x:c r="T5001" s="124"/>
      <x:c r="U5001" s="124"/>
      <x:c r="V5001" s="124"/>
      <x:c r="W5001" s="124"/>
      <x:c r="X5001" s="124"/>
      <x:c r="AD5001"/>
      <x:c r="AE5001" s="145"/>
      <x:c r="AF5001" s="145"/>
      <x:c r="AG5001" s="145"/>
      <x:c r="AH5001" s="145"/>
      <x:c r="AI5001" s="145"/>
      <x:c r="AJ5001"/>
    </x:row>
    <x:row r="5002">
      <x:c r="F5002" s="124"/>
      <x:c r="G5002" s="124"/>
      <x:c r="H5002" s="124"/>
      <x:c r="I5002" s="124"/>
      <x:c r="J5002" s="124"/>
      <x:c r="M5002" s="126"/>
      <x:c r="P5002" s="126"/>
      <x:c r="Q5002" s="126"/>
      <x:c r="R5002" s="126"/>
      <x:c r="S5002" s="124"/>
      <x:c r="T5002" s="124"/>
      <x:c r="U5002" s="124"/>
      <x:c r="V5002" s="124"/>
      <x:c r="W5002" s="124"/>
      <x:c r="X5002" s="124"/>
      <x:c r="AD5002"/>
      <x:c r="AE5002" s="145"/>
      <x:c r="AF5002" s="145"/>
      <x:c r="AG5002" s="145"/>
      <x:c r="AH5002" s="145"/>
      <x:c r="AI5002" s="145"/>
      <x:c r="AJ5002"/>
    </x:row>
    <x:row r="5003">
      <x:c r="F5003" s="124"/>
      <x:c r="G5003" s="124"/>
      <x:c r="H5003" s="124"/>
      <x:c r="I5003" s="124"/>
      <x:c r="J5003" s="124"/>
      <x:c r="M5003" s="126"/>
      <x:c r="P5003" s="126"/>
      <x:c r="Q5003" s="126"/>
      <x:c r="R5003" s="126"/>
      <x:c r="S5003" s="124"/>
      <x:c r="T5003" s="124"/>
      <x:c r="U5003" s="124"/>
      <x:c r="V5003" s="124"/>
      <x:c r="W5003" s="124"/>
      <x:c r="X5003" s="124"/>
      <x:c r="AD5003"/>
      <x:c r="AE5003" s="145"/>
      <x:c r="AF5003" s="145"/>
      <x:c r="AG5003" s="145"/>
      <x:c r="AH5003" s="145"/>
      <x:c r="AI5003" s="145"/>
      <x:c r="AJ5003"/>
    </x:row>
    <x:row r="5004">
      <x:c r="F5004" s="124"/>
      <x:c r="G5004" s="124"/>
      <x:c r="H5004" s="124"/>
      <x:c r="I5004" s="124"/>
      <x:c r="J5004" s="124"/>
      <x:c r="M5004" s="126"/>
      <x:c r="P5004" s="126"/>
      <x:c r="Q5004" s="126"/>
      <x:c r="R5004" s="126"/>
      <x:c r="S5004" s="124"/>
      <x:c r="T5004" s="124"/>
      <x:c r="U5004" s="124"/>
      <x:c r="V5004" s="124"/>
      <x:c r="W5004" s="124"/>
      <x:c r="X5004" s="124"/>
      <x:c r="AD5004"/>
      <x:c r="AE5004" s="145"/>
      <x:c r="AF5004" s="145"/>
      <x:c r="AG5004" s="145"/>
      <x:c r="AH5004" s="145"/>
      <x:c r="AI5004" s="145"/>
      <x:c r="AJ5004"/>
    </x:row>
  </x:sheetData>
  <x:mergeCells>
    <x:mergeCell ref="A1:AJ1"/>
    <x:mergeCell ref="A2:AJ2"/>
  </x:mergeCells>
  <x:conditionalFormatting sqref="A5:A5">
    <x:cfRule type="containsText" dxfId="24" priority="1" operator="containsText" text="Ready"/>
    <x:cfRule type="containsText" dxfId="25" priority="2" operator="containsText" text="Blocked"/>
    <x:cfRule type="containsText" dxfId="26" priority="3" operator="containsText" text="Draft"/>
  </x:conditionalFormatting>
  <x:conditionalFormatting sqref="D5:D5">
    <x:cfRule type="duplicateValues" dxfId="27" priority="4"/>
  </x:conditionalFormatting>
  <x:dataValidations count="19">
    <x:dataValidation type="list" sqref="A5">
      <x:formula1>"Draft,Ready,Blocked"</x:formula1>
    </x:dataValidation>
    <x:dataValidation type="list" sqref="B5">
      <x:formula1>"Hose Variant,Packaged Hose,Hose End,Ferrule,Adapter,Quick Coupler,Quick Plug,Accessory"</x:formula1>
    </x:dataValidation>
    <x:dataValidation type="list" sqref="E5">
      <x:formula1>"EA,FT,M,COIL,PAIR,SET"</x:formula1>
    </x:dataValidation>
    <x:dataValidation type="list" sqref="H5">
      <x:formula1>"USD,CNY"</x:formula1>
    </x:dataValidation>
    <x:dataValidation type="list" sqref="J5">
      <x:formula1>"EXW,FOB,FCA,CIF,DDP,DAP"</x:formula1>
    </x:dataValidation>
    <x:dataValidation type="list" allowBlank="1" showDropDown="0" sqref="A5:A5004">
      <x:formula1>"Draft,Published,Archived"</x:formula1>
    </x:dataValidation>
    <x:dataValidation type="list" allowBlank="1" showDropDown="0" sqref="B5:B5004">
      <x:formula1>"Hose Variant,Packaged Hose,Hose End,Ferrule,Adapter,Quick Coupler,Quick Plug,Accessory"</x:formula1>
    </x:dataValidation>
    <x:dataValidation type="list" allowBlank="1" showDropDown="0" sqref="E5:E5004">
      <x:formula1>"EA,FT,M,COIL,PAIR,SET"</x:formula1>
    </x:dataValidation>
    <x:dataValidation type="list" allowBlank="1" showDropDown="0" sqref="L5:L5004">
      <x:formula1>"USD,CNY"</x:formula1>
    </x:dataValidation>
    <x:dataValidation type="list" allowBlank="1" showDropDown="0" sqref="N5:N5004">
      <x:formula1>"EXW,FOB,FCA,CIF,DDP,DAP"</x:formula1>
    </x:dataValidation>
    <x:dataValidation type="list" allowBlank="1" showDropDown="0" sqref="A5:A5004">
      <x:formula1>"Draft,Ready,Blocked"</x:formula1>
    </x:dataValidation>
    <x:dataValidation type="list" allowBlank="1" showDropDown="0" sqref="B5:B5004">
      <x:formula1>"Hose Variant,Packaged Hose,Hose End,Ferrule,Adapter,Quick Coupler,Quick Plug,Accessory"</x:formula1>
    </x:dataValidation>
    <x:dataValidation type="list" allowBlank="1" showDropDown="0" sqref="E5:E5004">
      <x:formula1>"EA,FT,M,COIL,PAIR,SET"</x:formula1>
    </x:dataValidation>
    <x:dataValidation type="list" allowBlank="1" showDropDown="0" sqref="L5:L5004">
      <x:formula1>"USD,CNY"</x:formula1>
    </x:dataValidation>
    <x:dataValidation type="list" allowBlank="1" showDropDown="0" sqref="N5:N5004">
      <x:formula1>"EXW,FOB,FCA,CIF,DDP,DAP"</x:formula1>
    </x:dataValidation>
    <x:dataValidation type="list" sqref="AB5:AB5004">
      <x:formula1>"Eligible,Manual Quote Only,Blocked"</x:formula1>
    </x:dataValidation>
    <x:dataValidation type="list" sqref="AC5:AC5004">
      <x:formula1>"Complete,Inherited,Pending"</x:formula1>
    </x:dataValidation>
    <x:dataValidation type="list" sqref="AD5:AD5004">
      <x:formula1>'10_下拉选项'!$V$4:$V$5</x:formula1>
    </x:dataValidation>
    <x:dataValidation type="list" sqref="AJ5:AJ5004">
      <x:formula1>'10_下拉选项'!$W$4:$W$4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01f520eab45491c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2" hidden="0" customWidth="1"/>
    <x:col min="3" max="3" width="34" hidden="0" customWidth="1"/>
    <x:col min="4" max="4" width="12" hidden="0" customWidth="1"/>
    <x:col min="5" max="5" width="14" hidden="0" customWidth="1"/>
    <x:col min="6" max="6" width="52" hidden="0" customWidth="1"/>
    <x:col min="7" max="7" width="32" hidden="0" customWidth="1"/>
    <x:col min="8" max="8" width="18" hidden="0" customWidth="1"/>
  </x:cols>
  <x:sheetData>
    <x:row r="1" ht="30" customHeight="1">
      <x:c r="A1" s="3" t="str">
        <x:v>Field Dictionary / 字段字典</x:v>
      </x:c>
      <x:c r="B1" s="3"/>
      <x:c r="C1" s="3"/>
      <x:c r="D1" s="3"/>
      <x:c r="E1" s="3"/>
      <x:c r="F1" s="3"/>
      <x:c r="G1" s="3"/>
      <x:c r="H1" s="3"/>
    </x:row>
    <x:row r="2" ht="34" customHeight="1">
      <x:c r="A2" s="12" t="str">
        <x:v>字段名称不可随意修改；需要新增字段时同步确认网站数据模型和导入规则。</x:v>
      </x:c>
      <x:c r="B2" s="13"/>
      <x:c r="C2" s="13"/>
      <x:c r="D2" s="13"/>
      <x:c r="E2" s="13"/>
      <x:c r="F2" s="13"/>
      <x:c r="G2" s="13"/>
      <x:c r="H2" s="14"/>
    </x:row>
    <x:row r="4">
      <x:c r="A4" s="78" t="str">
        <x:v>Worksheet / 工作表</x:v>
      </x:c>
      <x:c r="B4" s="78" t="str">
        <x:v>Field Key / 字段键</x:v>
      </x:c>
      <x:c r="C4" s="78" t="str">
        <x:v>Header / 表头</x:v>
      </x:c>
      <x:c r="D4" s="78" t="str">
        <x:v>Required / 必填</x:v>
      </x:c>
      <x:c r="E4" s="78" t="str">
        <x:v>Data Type / 类型</x:v>
      </x:c>
      <x:c r="F4" s="78" t="str">
        <x:v>Definition / 定义</x:v>
      </x:c>
      <x:c r="G4" s="78" t="str">
        <x:v>Example / 示例</x:v>
      </x:c>
      <x:c r="H4" s="78" t="str">
        <x:v>Validation / 下拉来源</x:v>
      </x:c>
    </x:row>
    <x:row r="5">
      <x:c r="A5" s="84" t="str">
        <x:v>01_胶管主数据</x:v>
      </x:c>
      <x:c r="B5" s="84" t="str">
        <x:v>catalogPublicationStatus</x:v>
      </x:c>
      <x:c r="C5" s="84" t="str">
        <x:v>* Catalog Publication Status / 目录发布状态</x:v>
      </x:c>
      <x:c r="D5" s="84" t="str">
        <x:v>Yes</x:v>
      </x:c>
      <x:c r="E5" s="84" t="str">
        <x:v>Text</x:v>
      </x:c>
      <x:c r="F5" s="84" t="str">
        <x:v>控制目录记录是否为 Draft、Published 或 Archived；不代表可询价或已验证。</x:v>
      </x:c>
      <x:c r="G5" s="84" t="str">
        <x:v>Draft</x:v>
      </x:c>
      <x:c r="H5" s="84" t="str">
        <x:v>catalogPublicationStatus</x:v>
      </x:c>
    </x:row>
    <x:row r="6">
      <x:c r="A6" s="85" t="str">
        <x:v>01_胶管主数据</x:v>
      </x:c>
      <x:c r="B6" s="85" t="str">
        <x:v>hoseSku</x:v>
      </x:c>
      <x:c r="C6" s="85" t="str">
        <x:v>* Hose SKU / 胶管SKU</x:v>
      </x:c>
      <x:c r="D6" s="85" t="str">
        <x:v>Yes</x:v>
      </x:c>
      <x:c r="E6" s="85" t="str">
        <x:v>Text</x:v>
      </x:c>
      <x:c r="F6" s="85" t="str">
        <x:v>胶管基础规格唯一编码，不含包装长度。格式为系列号_三位序号，每个系列从 001 开始，例如 601R2_001。</x:v>
      </x:c>
      <x:c r="G6" s="85" t="str">
        <x:v>601R2_001</x:v>
      </x:c>
      <x:c r="H6" s="85" t="str"/>
    </x:row>
    <x:row r="7">
      <x:c r="A7" s="85" t="str">
        <x:v>01_胶管主数据</x:v>
      </x:c>
      <x:c r="B7" s="85" t="str">
        <x:v>series</x:v>
      </x:c>
      <x:c r="C7" s="85" t="str">
        <x:v>* Hose Series / 系列</x:v>
      </x:c>
      <x:c r="D7" s="85" t="str">
        <x:v>Yes</x:v>
      </x:c>
      <x:c r="E7" s="85" t="str">
        <x:v>Text</x:v>
      </x:c>
      <x:c r="F7" s="85" t="str">
        <x:v>网站首发六个核心系列之一。</x:v>
      </x:c>
      <x:c r="G7" s="85" t="str">
        <x:v>601R2</x:v>
      </x:c>
      <x:c r="H7" s="85" t="str">
        <x:v>hoseSeries</x:v>
      </x:c>
    </x:row>
    <x:row r="8">
      <x:c r="A8" s="85" t="str">
        <x:v>01_胶管主数据</x:v>
      </x:c>
      <x:c r="B8" s="85" t="str">
        <x:v>standardPrimary</x:v>
      </x:c>
      <x:c r="C8" s="85" t="str">
        <x:v>* Primary Standard / 主标准</x:v>
      </x:c>
      <x:c r="D8" s="85" t="str">
        <x:v>Yes</x:v>
      </x:c>
      <x:c r="E8" s="85" t="str">
        <x:v>Text</x:v>
      </x:c>
      <x:c r="F8" s="85" t="str">
        <x:v>例如 SAE 100 R2AT。</x:v>
      </x:c>
      <x:c r="G8" s="85" t="str">
        <x:v>SAE 100 R2AT</x:v>
      </x:c>
      <x:c r="H8" s="85" t="str"/>
    </x:row>
    <x:row r="9">
      <x:c r="A9" s="85" t="str">
        <x:v>01_胶管主数据</x:v>
      </x:c>
      <x:c r="B9" s="85" t="str">
        <x:v>standardEquivalent</x:v>
      </x:c>
      <x:c r="C9" s="85" t="str">
        <x:v>Equivalent Standard / 等效标准</x:v>
      </x:c>
      <x:c r="D9" s="85" t="str">
        <x:v>No</x:v>
      </x:c>
      <x:c r="E9" s="85" t="str">
        <x:v>Text</x:v>
      </x:c>
      <x:c r="F9" s="85" t="str">
        <x:v>例如 EN 853 2SN。</x:v>
      </x:c>
      <x:c r="G9" s="85" t="str">
        <x:v>EN 853 2SN</x:v>
      </x:c>
      <x:c r="H9" s="85" t="str"/>
    </x:row>
    <x:row r="10">
      <x:c r="A10" s="85" t="str">
        <x:v>01_胶管主数据</x:v>
      </x:c>
      <x:c r="B10" s="85" t="str">
        <x:v>dash</x:v>
      </x:c>
      <x:c r="C10" s="85" t="str">
        <x:v>* Hose Dash / 胶管Dash</x:v>
      </x:c>
      <x:c r="D10" s="85" t="str">
        <x:v>Yes</x:v>
      </x:c>
      <x:c r="E10" s="85" t="str">
        <x:v>Text</x:v>
      </x:c>
      <x:c r="F10" s="85" t="str">
        <x:v>胶管内径 Dash 编号。</x:v>
      </x:c>
      <x:c r="G10" s="85" t="str">
        <x:v>-6</x:v>
      </x:c>
      <x:c r="H10" s="85" t="str">
        <x:v>dash</x:v>
      </x:c>
    </x:row>
    <x:row r="11">
      <x:c r="A11" s="85" t="str">
        <x:v>01_胶管主数据</x:v>
      </x:c>
      <x:c r="B11" s="85" t="str">
        <x:v>nominalIdIn</x:v>
      </x:c>
      <x:c r="C11" s="85" t="str">
        <x:v>* Nominal ID in / 公称内径英寸</x:v>
      </x:c>
      <x:c r="D11" s="85" t="str">
        <x:v>Yes</x:v>
      </x:c>
      <x:c r="E11" s="85" t="str">
        <x:v>Number</x:v>
      </x:c>
      <x:c r="F11" s="85" t="str">
        <x:v>英寸数值，不带单位。</x:v>
      </x:c>
      <x:c r="G11" s="85" t="n">
        <x:v>0.375</x:v>
      </x:c>
      <x:c r="H11" s="85" t="str"/>
    </x:row>
    <x:row r="12">
      <x:c r="A12" s="85" t="str">
        <x:v>01_胶管主数据</x:v>
      </x:c>
      <x:c r="B12" s="85" t="str">
        <x:v>idMm</x:v>
      </x:c>
      <x:c r="C12" s="85" t="str">
        <x:v>* ID mm / 内径毫米</x:v>
      </x:c>
      <x:c r="D12" s="85" t="str">
        <x:v>Yes</x:v>
      </x:c>
      <x:c r="E12" s="85" t="str">
        <x:v>Number</x:v>
      </x:c>
      <x:c r="F12" s="85" t="str">
        <x:v>实测或标准内径。</x:v>
      </x:c>
      <x:c r="G12" s="85" t="n">
        <x:v>9.5</x:v>
      </x:c>
      <x:c r="H12" s="85" t="str"/>
    </x:row>
    <x:row r="13">
      <x:c r="A13" s="85" t="str">
        <x:v>01_胶管主数据</x:v>
      </x:c>
      <x:c r="B13" s="85" t="str">
        <x:v>odMm</x:v>
      </x:c>
      <x:c r="C13" s="85" t="str">
        <x:v>* OD mm / 外径毫米</x:v>
      </x:c>
      <x:c r="D13" s="85" t="str">
        <x:v>Yes</x:v>
      </x:c>
      <x:c r="E13" s="85" t="str">
        <x:v>Number</x:v>
      </x:c>
      <x:c r="F13" s="85" t="str">
        <x:v>胶管外径。</x:v>
      </x:c>
      <x:c r="G13" s="85" t="n">
        <x:v>18.7</x:v>
      </x:c>
      <x:c r="H13" s="85" t="str"/>
    </x:row>
    <x:row r="14">
      <x:c r="A14" s="85" t="str">
        <x:v>01_胶管主数据</x:v>
      </x:c>
      <x:c r="B14" s="85" t="str">
        <x:v>workingBar</x:v>
      </x:c>
      <x:c r="C14" s="85" t="str">
        <x:v>* Working Pressure bar / 工作压力</x:v>
      </x:c>
      <x:c r="D14" s="85" t="str">
        <x:v>Yes</x:v>
      </x:c>
      <x:c r="E14" s="85" t="str">
        <x:v>Number</x:v>
      </x:c>
      <x:c r="F14" s="85" t="str">
        <x:v>持续最大工作压力。</x:v>
      </x:c>
      <x:c r="G14" s="85" t="n">
        <x:v>330</x:v>
      </x:c>
      <x:c r="H14" s="85" t="str"/>
    </x:row>
    <x:row r="15">
      <x:c r="A15" s="85" t="str">
        <x:v>01_胶管主数据</x:v>
      </x:c>
      <x:c r="B15" s="85" t="str">
        <x:v>workingPsi</x:v>
      </x:c>
      <x:c r="C15" s="85" t="str">
        <x:v>Working Pressure psi / 工作压力</x:v>
      </x:c>
      <x:c r="D15" s="85" t="str">
        <x:v>No</x:v>
      </x:c>
      <x:c r="E15" s="85" t="str">
        <x:v>Formula</x:v>
      </x:c>
      <x:c r="F15" s="85" t="str">
        <x:v>由 bar 自动换算，仅供网站显示。</x:v>
      </x:c>
      <x:c r="G15" s="85" t="str">
        <x:v>=ROUND(J5*14.5038,0)</x:v>
      </x:c>
      <x:c r="H15" s="85" t="str"/>
    </x:row>
    <x:row r="16">
      <x:c r="A16" s="85" t="str">
        <x:v>01_胶管主数据</x:v>
      </x:c>
      <x:c r="B16" s="85" t="str">
        <x:v>burstBar</x:v>
      </x:c>
      <x:c r="C16" s="85" t="str">
        <x:v>* Minimum Burst bar / 最小爆破压力</x:v>
      </x:c>
      <x:c r="D16" s="85" t="str">
        <x:v>Yes</x:v>
      </x:c>
      <x:c r="E16" s="85" t="str">
        <x:v>Number</x:v>
      </x:c>
      <x:c r="F16" s="85" t="str">
        <x:v>适用标准规定的最小爆破压力。</x:v>
      </x:c>
      <x:c r="G16" s="85" t="n">
        <x:v>1320</x:v>
      </x:c>
      <x:c r="H16" s="85" t="str"/>
    </x:row>
    <x:row r="17">
      <x:c r="A17" s="85" t="str">
        <x:v>01_胶管主数据</x:v>
      </x:c>
      <x:c r="B17" s="85" t="str">
        <x:v>bendRadiusMm</x:v>
      </x:c>
      <x:c r="C17" s="85" t="str">
        <x:v>* Min Bend Radius mm / 最小弯曲半径</x:v>
      </x:c>
      <x:c r="D17" s="85" t="str">
        <x:v>Yes</x:v>
      </x:c>
      <x:c r="E17" s="85" t="str">
        <x:v>Number</x:v>
      </x:c>
      <x:c r="F17" s="85" t="str">
        <x:v>动态或适用标准下的最小弯曲半径。</x:v>
      </x:c>
      <x:c r="G17" s="85" t="n">
        <x:v>130</x:v>
      </x:c>
      <x:c r="H17" s="85" t="str"/>
    </x:row>
    <x:row r="18">
      <x:c r="A18" s="85" t="str">
        <x:v>01_胶管主数据</x:v>
      </x:c>
      <x:c r="B18" s="85" t="str">
        <x:v>weightKgM</x:v>
      </x:c>
      <x:c r="C18" s="85" t="str">
        <x:v>* Weight kg/m / 米重</x:v>
      </x:c>
      <x:c r="D18" s="85" t="str">
        <x:v>Yes</x:v>
      </x:c>
      <x:c r="E18" s="85" t="str">
        <x:v>Number</x:v>
      </x:c>
      <x:c r="F18" s="85" t="str">
        <x:v>胶管每米净重。</x:v>
      </x:c>
      <x:c r="G18" s="85" t="n">
        <x:v>0.52</x:v>
      </x:c>
      <x:c r="H18" s="85" t="str"/>
    </x:row>
    <x:row r="19">
      <x:c r="A19" s="85" t="str">
        <x:v>01_胶管主数据</x:v>
      </x:c>
      <x:c r="B19" s="85" t="str">
        <x:v>tempMinC</x:v>
      </x:c>
      <x:c r="C19" s="85" t="str">
        <x:v>* Temp Min °C / 最低温度</x:v>
      </x:c>
      <x:c r="D19" s="85" t="str">
        <x:v>Yes</x:v>
      </x:c>
      <x:c r="E19" s="85" t="str">
        <x:v>Number</x:v>
      </x:c>
      <x:c r="F19" s="85" t="str">
        <x:v>标准介质条件下最低工作温度。</x:v>
      </x:c>
      <x:c r="G19" s="85" t="n">
        <x:v>-40</x:v>
      </x:c>
      <x:c r="H19" s="85" t="str"/>
    </x:row>
    <x:row r="20">
      <x:c r="A20" s="85" t="str">
        <x:v>01_胶管主数据</x:v>
      </x:c>
      <x:c r="B20" s="85" t="str">
        <x:v>tempMaxC</x:v>
      </x:c>
      <x:c r="C20" s="85" t="str">
        <x:v>* Temp Max °C / 最高温度</x:v>
      </x:c>
      <x:c r="D20" s="85" t="str">
        <x:v>Yes</x:v>
      </x:c>
      <x:c r="E20" s="85" t="str">
        <x:v>Number</x:v>
      </x:c>
      <x:c r="F20" s="85" t="str">
        <x:v>标准介质条件下最高工作温度。</x:v>
      </x:c>
      <x:c r="G20" s="85" t="n">
        <x:v>100</x:v>
      </x:c>
      <x:c r="H20" s="85" t="str"/>
    </x:row>
    <x:row r="21">
      <x:c r="A21" s="85" t="str">
        <x:v>01_胶管主数据</x:v>
      </x:c>
      <x:c r="B21" s="85" t="str">
        <x:v>tube</x:v>
      </x:c>
      <x:c r="C21" s="85" t="str">
        <x:v>* Tube Material / 内胶材料</x:v>
      </x:c>
      <x:c r="D21" s="85" t="str">
        <x:v>Yes</x:v>
      </x:c>
      <x:c r="E21" s="85" t="str">
        <x:v>Text</x:v>
      </x:c>
      <x:c r="F21" s="85" t="str">
        <x:v>内胶材料及关键属性。</x:v>
      </x:c>
      <x:c r="G21" s="85" t="str">
        <x:v>Oil-resistant synthetic rubber</x:v>
      </x:c>
      <x:c r="H21" s="85" t="str"/>
    </x:row>
    <x:row r="22">
      <x:c r="A22" s="85" t="str">
        <x:v>01_胶管主数据</x:v>
      </x:c>
      <x:c r="B22" s="85" t="str">
        <x:v>reinforcement</x:v>
      </x:c>
      <x:c r="C22" s="85" t="str">
        <x:v>* Reinforcement / 增强层</x:v>
      </x:c>
      <x:c r="D22" s="85" t="str">
        <x:v>Yes</x:v>
      </x:c>
      <x:c r="E22" s="85" t="str">
        <x:v>Text</x:v>
      </x:c>
      <x:c r="F22" s="85" t="str">
        <x:v>钢丝编织或缠绕结构。</x:v>
      </x:c>
      <x:c r="G22" s="85" t="str">
        <x:v>2 high-tensile steel wire braids</x:v>
      </x:c>
      <x:c r="H22" s="85" t="str"/>
    </x:row>
    <x:row r="23">
      <x:c r="A23" s="85" t="str">
        <x:v>01_胶管主数据</x:v>
      </x:c>
      <x:c r="B23" s="85" t="str">
        <x:v>cover</x:v>
      </x:c>
      <x:c r="C23" s="85" t="str">
        <x:v>* Cover Material / 外胶材料</x:v>
      </x:c>
      <x:c r="D23" s="85" t="str">
        <x:v>Yes</x:v>
      </x:c>
      <x:c r="E23" s="85" t="str">
        <x:v>Text</x:v>
      </x:c>
      <x:c r="F23" s="85" t="str">
        <x:v>外胶材料及耐磨、耐候属性。</x:v>
      </x:c>
      <x:c r="G23" s="85" t="str">
        <x:v>Abrasion-resistant synthetic rubber</x:v>
      </x:c>
      <x:c r="H23" s="85" t="str"/>
    </x:row>
    <x:row r="24">
      <x:c r="A24" s="85" t="str">
        <x:v>01_胶管主数据</x:v>
      </x:c>
      <x:c r="B24" s="85" t="str">
        <x:v>coverColor</x:v>
      </x:c>
      <x:c r="C24" s="85" t="str">
        <x:v>* Cover Color / 外胶颜色</x:v>
      </x:c>
      <x:c r="D24" s="85" t="str">
        <x:v>Yes</x:v>
      </x:c>
      <x:c r="E24" s="85" t="str">
        <x:v>Text</x:v>
      </x:c>
      <x:c r="F24" s="85" t="str">
        <x:v>标准颜色。</x:v>
      </x:c>
      <x:c r="G24" s="85" t="str">
        <x:v>Black</x:v>
      </x:c>
      <x:c r="H24" s="85" t="str"/>
    </x:row>
    <x:row r="25">
      <x:c r="A25" s="85" t="str">
        <x:v>01_胶管主数据</x:v>
      </x:c>
      <x:c r="B25" s="85" t="str">
        <x:v>coverFinish</x:v>
      </x:c>
      <x:c r="C25" s="85" t="str">
        <x:v>Cover Finish / 表面</x:v>
      </x:c>
      <x:c r="D25" s="85" t="str">
        <x:v>No</x:v>
      </x:c>
      <x:c r="E25" s="85" t="str">
        <x:v>Text</x:v>
      </x:c>
      <x:c r="F25" s="85" t="str">
        <x:v>光面、布纹等。</x:v>
      </x:c>
      <x:c r="G25" s="85" t="str">
        <x:v>Wrapped</x:v>
      </x:c>
      <x:c r="H25" s="85" t="str"/>
    </x:row>
    <x:row r="26">
      <x:c r="A26" s="85" t="str">
        <x:v>01_胶管主数据</x:v>
      </x:c>
      <x:c r="B26" s="85" t="str">
        <x:v>skive</x:v>
      </x:c>
      <x:c r="C26" s="85" t="str">
        <x:v>* Skive Requirement / 剥胶要求</x:v>
      </x:c>
      <x:c r="D26" s="85" t="str">
        <x:v>Yes</x:v>
      </x:c>
      <x:c r="E26" s="85" t="str">
        <x:v>Text</x:v>
      </x:c>
      <x:c r="F26" s="85" t="str">
        <x:v>与压接系统匹配的剥胶方式。</x:v>
      </x:c>
      <x:c r="G26" s="85" t="str">
        <x:v>No Skive</x:v>
      </x:c>
      <x:c r="H26" s="85" t="str">
        <x:v>skive</x:v>
      </x:c>
    </x:row>
    <x:row r="27">
      <x:c r="A27" s="85" t="str">
        <x:v>01_胶管主数据</x:v>
      </x:c>
      <x:c r="B27" s="85" t="str">
        <x:v>msha</x:v>
      </x:c>
      <x:c r="C27" s="85" t="str">
        <x:v>MSHA Marking / MSHA标识</x:v>
      </x:c>
      <x:c r="D27" s="85" t="str">
        <x:v>No</x:v>
      </x:c>
      <x:c r="E27" s="85" t="str">
        <x:v>Text</x:v>
      </x:c>
      <x:c r="F27" s="85" t="str">
        <x:v>是否具备及可印刷 MSHA 标识。</x:v>
      </x:c>
      <x:c r="G27" s="85" t="str">
        <x:v>No</x:v>
      </x:c>
      <x:c r="H27" s="85" t="str">
        <x:v>yesNoNA</x:v>
      </x:c>
    </x:row>
    <x:row r="28">
      <x:c r="A28" s="85" t="str">
        <x:v>01_胶管主数据</x:v>
      </x:c>
      <x:c r="B28" s="85" t="str">
        <x:v>fluidCompatibility</x:v>
      </x:c>
      <x:c r="C28" s="85" t="str">
        <x:v>* Fluid Compatibility / 介质兼容</x:v>
      </x:c>
      <x:c r="D28" s="85" t="str">
        <x:v>Yes</x:v>
      </x:c>
      <x:c r="E28" s="85" t="str">
        <x:v>Text</x:v>
      </x:c>
      <x:c r="F28" s="85" t="str">
        <x:v>明确适用和不适用介质。</x:v>
      </x:c>
      <x:c r="G28" s="85" t="str">
        <x:v>Petroleum and water-based hydraulic fluids; exclusions required</x:v>
      </x:c>
      <x:c r="H28" s="85" t="str"/>
    </x:row>
    <x:row r="29">
      <x:c r="A29" s="85" t="str">
        <x:v>01_胶管主数据</x:v>
      </x:c>
      <x:c r="B29" s="85" t="str">
        <x:v>origin</x:v>
      </x:c>
      <x:c r="C29" s="85" t="str">
        <x:v>* Country of Origin / 原产国</x:v>
      </x:c>
      <x:c r="D29" s="85" t="str">
        <x:v>Yes</x:v>
      </x:c>
      <x:c r="E29" s="85" t="str">
        <x:v>Text</x:v>
      </x:c>
      <x:c r="F29" s="85" t="str">
        <x:v>产品原产国。</x:v>
      </x:c>
      <x:c r="G29" s="85" t="str">
        <x:v>China</x:v>
      </x:c>
      <x:c r="H29" s="85" t="str"/>
    </x:row>
    <x:row r="30">
      <x:c r="A30" s="85" t="str">
        <x:v>01_胶管主数据</x:v>
      </x:c>
      <x:c r="B30" s="85" t="str">
        <x:v>source</x:v>
      </x:c>
      <x:c r="C30" s="85" t="str">
        <x:v>* Source Document/Page / 来源文件页码</x:v>
      </x:c>
      <x:c r="D30" s="85" t="str">
        <x:v>Yes</x:v>
      </x:c>
      <x:c r="E30" s="85" t="str">
        <x:v>Text</x:v>
      </x:c>
      <x:c r="F30" s="85" t="str">
        <x:v>原始目录、图纸或报告及页码。</x:v>
      </x:c>
      <x:c r="G30" s="85" t="str">
        <x:v>Catalogue p.XX</x:v>
      </x:c>
      <x:c r="H30" s="85" t="str"/>
    </x:row>
    <x:row r="31">
      <x:c r="A31" s="85" t="str">
        <x:v>01_胶管主数据</x:v>
      </x:c>
      <x:c r="B31" s="85" t="str">
        <x:v>notes</x:v>
      </x:c>
      <x:c r="C31" s="85" t="str">
        <x:v>Notes / 备注</x:v>
      </x:c>
      <x:c r="D31" s="85" t="str">
        <x:v>No</x:v>
      </x:c>
      <x:c r="E31" s="85" t="str">
        <x:v>Text</x:v>
      </x:c>
      <x:c r="F31" s="85" t="str">
        <x:v>任何限制、差异或待确认事项。</x:v>
      </x:c>
      <x:c r="G31" s="85" t="str">
        <x:v>EXAMPLE ONLY - DELETE</x:v>
      </x:c>
      <x:c r="H31" s="85" t="str"/>
    </x:row>
    <x:row r="32">
      <x:c r="A32" s="85" t="str">
        <x:v>02_压接接头</x:v>
      </x:c>
      <x:c r="B32" s="85" t="str">
        <x:v>catalogPublicationStatus</x:v>
      </x:c>
      <x:c r="C32" s="85" t="str">
        <x:v>* Catalog Publication Status / 目录发布状态</x:v>
      </x:c>
      <x:c r="D32" s="85" t="str">
        <x:v>Yes</x:v>
      </x:c>
      <x:c r="E32" s="85" t="str">
        <x:v>Text</x:v>
      </x:c>
      <x:c r="F32" s="85" t="str">
        <x:v>控制目录记录是否为 Draft、Published 或 Archived；不代表可询价或已验证。</x:v>
      </x:c>
      <x:c r="G32" s="85" t="str">
        <x:v>Draft</x:v>
      </x:c>
      <x:c r="H32" s="85" t="str">
        <x:v>catalogPublicationStatus</x:v>
      </x:c>
    </x:row>
    <x:row r="33">
      <x:c r="A33" s="85" t="str">
        <x:v>02_压接接头</x:v>
      </x:c>
      <x:c r="B33" s="85" t="str">
        <x:v>hoseEndSku</x:v>
      </x:c>
      <x:c r="C33" s="85" t="str">
        <x:v>* Hose End SKU / 接头SKU</x:v>
      </x:c>
      <x:c r="D33" s="85" t="str">
        <x:v>Yes</x:v>
      </x:c>
      <x:c r="E33" s="85" t="str">
        <x:v>Text</x:v>
      </x:c>
      <x:c r="F33" s="85" t="str">
        <x:v>接头唯一编码。</x:v>
      </x:c>
      <x:c r="G33" s="85" t="str">
        <x:v>EXAMPLE_JIC_F_SW_06_06</x:v>
      </x:c>
      <x:c r="H33" s="85" t="str"/>
    </x:row>
    <x:row r="34">
      <x:c r="A34" s="85" t="str">
        <x:v>02_压接接头</x:v>
      </x:c>
      <x:c r="B34" s="85" t="str">
        <x:v>fittingSeries</x:v>
      </x:c>
      <x:c r="C34" s="85" t="str">
        <x:v>* Fitting Series / 接头系列</x:v>
      </x:c>
      <x:c r="D34" s="85" t="str">
        <x:v>Yes</x:v>
      </x:c>
      <x:c r="E34" s="85" t="str">
        <x:v>Text</x:v>
      </x:c>
      <x:c r="F34" s="85" t="str">
        <x:v>工厂内部接头系列或平台系列。</x:v>
      </x:c>
      <x:c r="G34" s="85" t="str">
        <x:v>EXAMPLE SERIES</x:v>
      </x:c>
      <x:c r="H34" s="85" t="str"/>
    </x:row>
    <x:row r="35">
      <x:c r="A35" s="85" t="str">
        <x:v>02_压接接头</x:v>
      </x:c>
      <x:c r="B35" s="85" t="str">
        <x:v>referencePartNo</x:v>
      </x:c>
      <x:c r="C35" s="85" t="str">
        <x:v>Competitor Part No. / 竞品参考料号</x:v>
      </x:c>
      <x:c r="D35" s="85" t="str">
        <x:v>No</x:v>
      </x:c>
      <x:c r="E35" s="85" t="str">
        <x:v>Text</x:v>
      </x:c>
      <x:c r="F35" s="85" t="str">
        <x:v>公开竞品目录中的原始料号，仅用于补录和比对，不代表互换批准。</x:v>
      </x:c>
      <x:c r="G35" s="85" t="str">
        <x:v>FJX-06-06W</x:v>
      </x:c>
      <x:c r="H35" s="85" t="str"/>
    </x:row>
    <x:row r="36">
      <x:c r="A36" s="85" t="str">
        <x:v>02_压接接头</x:v>
      </x:c>
      <x:c r="B36" s="85" t="str">
        <x:v>interface</x:v>
      </x:c>
      <x:c r="C36" s="85" t="str">
        <x:v>* Interface Family / 接口体系</x:v>
      </x:c>
      <x:c r="D36" s="85" t="str">
        <x:v>Yes</x:v>
      </x:c>
      <x:c r="E36" s="85" t="str">
        <x:v>Text</x:v>
      </x:c>
      <x:c r="F36" s="85" t="str">
        <x:v>JIC、NPT、ORFS、BSPP 等。</x:v>
      </x:c>
      <x:c r="G36" s="85" t="str">
        <x:v>JIC 37°</x:v>
      </x:c>
      <x:c r="H36" s="85" t="str">
        <x:v>interfaceFamily</x:v>
      </x:c>
    </x:row>
    <x:row r="37">
      <x:c r="A37" s="85" t="str">
        <x:v>02_压接接头</x:v>
      </x:c>
      <x:c r="B37" s="85" t="str">
        <x:v>interfaceStandard</x:v>
      </x:c>
      <x:c r="C37" s="85" t="str">
        <x:v>* Interface Standard / 接口标准</x:v>
      </x:c>
      <x:c r="D37" s="85" t="str">
        <x:v>Yes</x:v>
      </x:c>
      <x:c r="E37" s="85" t="str">
        <x:v>Text</x:v>
      </x:c>
      <x:c r="F37" s="85" t="str">
        <x:v>例如 SAE J514、ISO 8434-3。</x:v>
      </x:c>
      <x:c r="G37" s="85" t="str">
        <x:v>SAE J514</x:v>
      </x:c>
      <x:c r="H37" s="85" t="str"/>
    </x:row>
    <x:row r="38">
      <x:c r="A38" s="85" t="str">
        <x:v>02_压接接头</x:v>
      </x:c>
      <x:c r="B38" s="85" t="str">
        <x:v>gender</x:v>
      </x:c>
      <x:c r="C38" s="85" t="str">
        <x:v>* Gender / 公母</x:v>
      </x:c>
      <x:c r="D38" s="85" t="str">
        <x:v>Yes</x:v>
      </x:c>
      <x:c r="E38" s="85" t="str">
        <x:v>Text</x:v>
      </x:c>
      <x:c r="F38" s="85" t="str">
        <x:v>接口公母。</x:v>
      </x:c>
      <x:c r="G38" s="85" t="str">
        <x:v>Female</x:v>
      </x:c>
      <x:c r="H38" s="85" t="str">
        <x:v>gender</x:v>
      </x:c>
    </x:row>
    <x:row r="39">
      <x:c r="A39" s="85" t="str">
        <x:v>02_压接接头</x:v>
      </x:c>
      <x:c r="B39" s="85" t="str">
        <x:v>swivel</x:v>
      </x:c>
      <x:c r="C39" s="85" t="str">
        <x:v>* Swivel/Fixed / 旋转或固定</x:v>
      </x:c>
      <x:c r="D39" s="85" t="str">
        <x:v>Yes</x:v>
      </x:c>
      <x:c r="E39" s="85" t="str">
        <x:v>Text</x:v>
      </x:c>
      <x:c r="F39" s="85" t="str">
        <x:v>安装旋转不等于带压连续旋转。</x:v>
      </x:c>
      <x:c r="G39" s="85" t="str">
        <x:v>Swivel</x:v>
      </x:c>
      <x:c r="H39" s="85" t="str">
        <x:v>swivel</x:v>
      </x:c>
    </x:row>
    <x:row r="40">
      <x:c r="A40" s="85" t="str">
        <x:v>02_压接接头</x:v>
      </x:c>
      <x:c r="B40" s="85" t="str">
        <x:v>angle</x:v>
      </x:c>
      <x:c r="C40" s="85" t="str">
        <x:v>* Angle / 角度</x:v>
      </x:c>
      <x:c r="D40" s="85" t="str">
        <x:v>Yes</x:v>
      </x:c>
      <x:c r="E40" s="85" t="str">
        <x:v>Text</x:v>
      </x:c>
      <x:c r="F40" s="85" t="str">
        <x:v>直头、45度、90度。</x:v>
      </x:c>
      <x:c r="G40" s="85" t="str">
        <x:v>0° Straight</x:v>
      </x:c>
      <x:c r="H40" s="85" t="str">
        <x:v>angle</x:v>
      </x:c>
    </x:row>
    <x:row r="41">
      <x:c r="A41" s="85" t="str">
        <x:v>02_压接接头</x:v>
      </x:c>
      <x:c r="B41" s="85" t="str">
        <x:v>seal</x:v>
      </x:c>
      <x:c r="C41" s="85" t="str">
        <x:v>* Sealing Form / 密封形式</x:v>
      </x:c>
      <x:c r="D41" s="85" t="str">
        <x:v>Yes</x:v>
      </x:c>
      <x:c r="E41" s="85" t="str">
        <x:v>Text</x:v>
      </x:c>
      <x:c r="F41" s="85" t="str">
        <x:v>锥面、O形圈端面、锥管螺纹等。</x:v>
      </x:c>
      <x:c r="G41" s="85" t="str">
        <x:v>37° cone seat</x:v>
      </x:c>
      <x:c r="H41" s="85" t="str"/>
    </x:row>
    <x:row r="42">
      <x:c r="A42" s="85" t="str">
        <x:v>02_压接接头</x:v>
      </x:c>
      <x:c r="B42" s="85" t="str">
        <x:v>thread</x:v>
      </x:c>
      <x:c r="C42" s="85" t="str">
        <x:v>* Thread / 螺纹</x:v>
      </x:c>
      <x:c r="D42" s="85" t="str">
        <x:v>Yes</x:v>
      </x:c>
      <x:c r="E42" s="85" t="str">
        <x:v>Text</x:v>
      </x:c>
      <x:c r="F42" s="85" t="str">
        <x:v>完整螺纹描述，例如 9/16-18 UNF。</x:v>
      </x:c>
      <x:c r="G42" s="85" t="str">
        <x:v>9/16-18 UNF</x:v>
      </x:c>
      <x:c r="H42" s="85" t="str"/>
    </x:row>
    <x:row r="43">
      <x:c r="A43" s="85" t="str">
        <x:v>02_压接接头</x:v>
      </x:c>
      <x:c r="B43" s="85" t="str">
        <x:v>connectionDash</x:v>
      </x:c>
      <x:c r="C43" s="85" t="str">
        <x:v>* Connection Dash / 接口Dash</x:v>
      </x:c>
      <x:c r="D43" s="85" t="str">
        <x:v>Yes</x:v>
      </x:c>
      <x:c r="E43" s="85" t="str">
        <x:v>Text</x:v>
      </x:c>
      <x:c r="F43" s="85" t="str">
        <x:v>接口端 Dash，允许与胶管尾不同。</x:v>
      </x:c>
      <x:c r="G43" s="85" t="str">
        <x:v>-6</x:v>
      </x:c>
      <x:c r="H43" s="85" t="str">
        <x:v>dash</x:v>
      </x:c>
    </x:row>
    <x:row r="44">
      <x:c r="A44" s="85" t="str">
        <x:v>02_压接接头</x:v>
      </x:c>
      <x:c r="B44" s="85" t="str">
        <x:v>hoseTailDash</x:v>
      </x:c>
      <x:c r="C44" s="85" t="str">
        <x:v>* Hose Tail Dash / 胶管尾Dash</x:v>
      </x:c>
      <x:c r="D44" s="85" t="str">
        <x:v>Yes</x:v>
      </x:c>
      <x:c r="E44" s="85" t="str">
        <x:v>Text</x:v>
      </x:c>
      <x:c r="F44" s="85" t="str">
        <x:v>插入胶管的尾端尺寸。</x:v>
      </x:c>
      <x:c r="G44" s="85" t="str">
        <x:v>-6</x:v>
      </x:c>
      <x:c r="H44" s="85" t="str">
        <x:v>dash</x:v>
      </x:c>
    </x:row>
    <x:row r="45">
      <x:c r="A45" s="85" t="str">
        <x:v>02_压接接头</x:v>
      </x:c>
      <x:c r="B45" s="85" t="str">
        <x:v>material</x:v>
      </x:c>
      <x:c r="C45" s="85" t="str">
        <x:v>Material / 材质</x:v>
      </x:c>
      <x:c r="D45" s="85" t="str">
        <x:v>No</x:v>
      </x:c>
      <x:c r="E45" s="85" t="str">
        <x:v>Text</x:v>
      </x:c>
      <x:c r="F45" s="85" t="str">
        <x:v>主体材料及牌号；竞品公开矩阵未列明时留空。</x:v>
      </x:c>
      <x:c r="G45" s="85" t="str">
        <x:v>Carbon steel</x:v>
      </x:c>
      <x:c r="H45" s="85" t="str"/>
    </x:row>
    <x:row r="46">
      <x:c r="A46" s="85" t="str">
        <x:v>02_压接接头</x:v>
      </x:c>
      <x:c r="B46" s="85" t="str">
        <x:v>coating</x:v>
      </x:c>
      <x:c r="C46" s="85" t="str">
        <x:v>Coating / 表面处理</x:v>
      </x:c>
      <x:c r="D46" s="85" t="str">
        <x:v>No</x:v>
      </x:c>
      <x:c r="E46" s="85" t="str">
        <x:v>Text</x:v>
      </x:c>
      <x:c r="F46" s="85" t="str">
        <x:v>镀层或不锈钢；竞品公开矩阵未列明时留空。</x:v>
      </x:c>
      <x:c r="G46" s="85" t="str">
        <x:v>Trivalent Zinc</x:v>
      </x:c>
      <x:c r="H46" s="85" t="str">
        <x:v>coating</x:v>
      </x:c>
    </x:row>
    <x:row r="47">
      <x:c r="A47" s="85" t="str">
        <x:v>02_压接接头</x:v>
      </x:c>
      <x:c r="B47" s="85" t="str">
        <x:v>saltSprayHours</x:v>
      </x:c>
      <x:c r="C47" s="85" t="str">
        <x:v>Salt Spray h / 盐雾小时</x:v>
      </x:c>
      <x:c r="D47" s="85" t="str">
        <x:v>No</x:v>
      </x:c>
      <x:c r="E47" s="85" t="str">
        <x:v>Number</x:v>
      </x:c>
      <x:c r="F47" s="85" t="str">
        <x:v>适用测试方法下的小时数。</x:v>
      </x:c>
      <x:c r="G47" s="85" t="n">
        <x:v>120</x:v>
      </x:c>
      <x:c r="H47" s="85" t="str"/>
    </x:row>
    <x:row r="48">
      <x:c r="A48" s="85" t="str">
        <x:v>02_压接接头</x:v>
      </x:c>
      <x:c r="B48" s="85" t="str">
        <x:v>workingBar</x:v>
      </x:c>
      <x:c r="C48" s="85" t="str">
        <x:v>Max Working bar / 最大工作压力</x:v>
      </x:c>
      <x:c r="D48" s="85" t="str">
        <x:v>No</x:v>
      </x:c>
      <x:c r="E48" s="85" t="str">
        <x:v>Number</x:v>
      </x:c>
      <x:c r="F48" s="85" t="str">
        <x:v>接头自身额定值；需工厂确认。</x:v>
      </x:c>
      <x:c r="G48" s="85" t="n">
        <x:v>350</x:v>
      </x:c>
      <x:c r="H48" s="85" t="str"/>
    </x:row>
    <x:row r="49">
      <x:c r="A49" s="85" t="str">
        <x:v>02_压接接头</x:v>
      </x:c>
      <x:c r="B49" s="85" t="str">
        <x:v>overallAMm</x:v>
      </x:c>
      <x:c r="C49" s="85" t="str">
        <x:v>Dimension A mm / 总长A</x:v>
      </x:c>
      <x:c r="D49" s="85" t="str">
        <x:v>No</x:v>
      </x:c>
      <x:c r="E49" s="85" t="str">
        <x:v>Number</x:v>
      </x:c>
      <x:c r="F49" s="85" t="str">
        <x:v>按图纸定义的总长；需工厂确认。</x:v>
      </x:c>
      <x:c r="G49" s="85" t="n">
        <x:v>65.2</x:v>
      </x:c>
      <x:c r="H49" s="85" t="str"/>
    </x:row>
    <x:row r="50">
      <x:c r="A50" s="85" t="str">
        <x:v>02_压接接头</x:v>
      </x:c>
      <x:c r="B50" s="85" t="str">
        <x:v>cutoffBMm</x:v>
      </x:c>
      <x:c r="C50" s="85" t="str">
        <x:v>Cut-off B mm / 扣除量B</x:v>
      </x:c>
      <x:c r="D50" s="85" t="str">
        <x:v>No</x:v>
      </x:c>
      <x:c r="E50" s="85" t="str">
        <x:v>Number</x:v>
      </x:c>
      <x:c r="F50" s="85" t="str">
        <x:v>计算成品总长与裁管长度所需；需工厂确认。</x:v>
      </x:c>
      <x:c r="G50" s="85" t="n">
        <x:v>34.5</x:v>
      </x:c>
      <x:c r="H50" s="85" t="str"/>
    </x:row>
    <x:row r="51">
      <x:c r="A51" s="85" t="str">
        <x:v>02_压接接头</x:v>
      </x:c>
      <x:c r="B51" s="85" t="str">
        <x:v>hex1Mm</x:v>
      </x:c>
      <x:c r="C51" s="85" t="str">
        <x:v>Hex 1 mm / 六角1</x:v>
      </x:c>
      <x:c r="D51" s="85" t="str">
        <x:v>No</x:v>
      </x:c>
      <x:c r="E51" s="85" t="str">
        <x:v>Number</x:v>
      </x:c>
      <x:c r="F51" s="85" t="str">
        <x:v>主要扳手六角。</x:v>
      </x:c>
      <x:c r="G51" s="85" t="n">
        <x:v>19</x:v>
      </x:c>
      <x:c r="H51" s="85" t="str"/>
    </x:row>
    <x:row r="52">
      <x:c r="A52" s="85" t="str">
        <x:v>02_压接接头</x:v>
      </x:c>
      <x:c r="B52" s="85" t="str">
        <x:v>hex2Mm</x:v>
      </x:c>
      <x:c r="C52" s="85" t="str">
        <x:v>Hex 2 mm / 六角2</x:v>
      </x:c>
      <x:c r="D52" s="85" t="str">
        <x:v>No</x:v>
      </x:c>
      <x:c r="E52" s="85" t="str">
        <x:v>Number</x:v>
      </x:c>
      <x:c r="F52" s="85" t="str">
        <x:v>第二六角，如适用。</x:v>
      </x:c>
      <x:c r="G52" s="85" t="n">
        <x:v>17</x:v>
      </x:c>
      <x:c r="H52" s="85" t="str"/>
    </x:row>
    <x:row r="53">
      <x:c r="A53" s="85" t="str">
        <x:v>02_压接接头</x:v>
      </x:c>
      <x:c r="B53" s="85" t="str">
        <x:v>boreMm</x:v>
      </x:c>
      <x:c r="C53" s="85" t="str">
        <x:v>Minimum Bore mm / 最小通径</x:v>
      </x:c>
      <x:c r="D53" s="85" t="str">
        <x:v>No</x:v>
      </x:c>
      <x:c r="E53" s="85" t="str">
        <x:v>Number</x:v>
      </x:c>
      <x:c r="F53" s="85" t="str">
        <x:v>接头最小流道直径；需工厂确认。</x:v>
      </x:c>
      <x:c r="G53" s="85" t="n">
        <x:v>7.5</x:v>
      </x:c>
      <x:c r="H53" s="85" t="str"/>
    </x:row>
    <x:row r="54">
      <x:c r="A54" s="85" t="str">
        <x:v>02_压接接头</x:v>
      </x:c>
      <x:c r="B54" s="85" t="str">
        <x:v>weightG</x:v>
      </x:c>
      <x:c r="C54" s="85" t="str">
        <x:v>Unit Weight g / 单重</x:v>
      </x:c>
      <x:c r="D54" s="85" t="str">
        <x:v>No</x:v>
      </x:c>
      <x:c r="E54" s="85" t="str">
        <x:v>Number</x:v>
      </x:c>
      <x:c r="F54" s="85" t="str">
        <x:v>单个净重；需工厂确认。</x:v>
      </x:c>
      <x:c r="G54" s="85" t="n">
        <x:v>105</x:v>
      </x:c>
      <x:c r="H54" s="85" t="str"/>
    </x:row>
    <x:row r="55">
      <x:c r="A55" s="85" t="str">
        <x:v>02_压接接头</x:v>
      </x:c>
      <x:c r="B55" s="85" t="str">
        <x:v>drawingNo</x:v>
      </x:c>
      <x:c r="C55" s="85" t="str">
        <x:v>Drawing No. / 图纸号</x:v>
      </x:c>
      <x:c r="D55" s="85" t="str">
        <x:v>No</x:v>
      </x:c>
      <x:c r="E55" s="85" t="str">
        <x:v>Text</x:v>
      </x:c>
      <x:c r="F55" s="85" t="str">
        <x:v>受控二维图纸编号。</x:v>
      </x:c>
      <x:c r="G55" s="85" t="str">
        <x:v>DWG-EXAMPLE-001</x:v>
      </x:c>
      <x:c r="H55" s="85" t="str"/>
    </x:row>
    <x:row r="56">
      <x:c r="A56" s="85" t="str">
        <x:v>02_压接接头</x:v>
      </x:c>
      <x:c r="B56" s="85" t="str">
        <x:v>drawingRev</x:v>
      </x:c>
      <x:c r="C56" s="85" t="str">
        <x:v>Drawing Rev / 图纸版本</x:v>
      </x:c>
      <x:c r="D56" s="85" t="str">
        <x:v>No</x:v>
      </x:c>
      <x:c r="E56" s="85" t="str">
        <x:v>Text</x:v>
      </x:c>
      <x:c r="F56" s="85" t="str">
        <x:v>图纸修订版本。</x:v>
      </x:c>
      <x:c r="G56" s="85" t="str">
        <x:v>A</x:v>
      </x:c>
      <x:c r="H56" s="85" t="str"/>
    </x:row>
    <x:row r="57">
      <x:c r="A57" s="85" t="str">
        <x:v>02_压接接头</x:v>
      </x:c>
      <x:c r="B57" s="85" t="str">
        <x:v>source</x:v>
      </x:c>
      <x:c r="C57" s="85" t="str">
        <x:v>* Source Document/Page / 来源</x:v>
      </x:c>
      <x:c r="D57" s="85" t="str">
        <x:v>Yes</x:v>
      </x:c>
      <x:c r="E57" s="85" t="str">
        <x:v>Text</x:v>
      </x:c>
      <x:c r="F57" s="85" t="str">
        <x:v>目录、图纸或规格表位置。</x:v>
      </x:c>
      <x:c r="G57" s="85" t="str">
        <x:v>Controlled drawing</x:v>
      </x:c>
      <x:c r="H57" s="85" t="str"/>
    </x:row>
    <x:row r="58">
      <x:c r="A58" s="85" t="str">
        <x:v>02_压接接头</x:v>
      </x:c>
      <x:c r="B58" s="85" t="str">
        <x:v>notes</x:v>
      </x:c>
      <x:c r="C58" s="85" t="str">
        <x:v>Notes / 备注</x:v>
      </x:c>
      <x:c r="D58" s="85" t="str">
        <x:v>No</x:v>
      </x:c>
      <x:c r="E58" s="85" t="str">
        <x:v>Text</x:v>
      </x:c>
      <x:c r="F58" s="85" t="str">
        <x:v>特殊装配或适用限制。</x:v>
      </x:c>
      <x:c r="G58" s="85" t="str">
        <x:v>EXAMPLE ONLY - DELETE</x:v>
      </x:c>
      <x:c r="H58" s="85" t="str"/>
    </x:row>
    <x:row r="59">
      <x:c r="A59" s="85" t="str">
        <x:v>03_套筒</x:v>
      </x:c>
      <x:c r="B59" s="85" t="str">
        <x:v>catalogPublicationStatus</x:v>
      </x:c>
      <x:c r="C59" s="85" t="str">
        <x:v>* Catalog Publication Status / 目录发布状态</x:v>
      </x:c>
      <x:c r="D59" s="85" t="str">
        <x:v>Yes</x:v>
      </x:c>
      <x:c r="E59" s="85" t="str">
        <x:v>Text</x:v>
      </x:c>
      <x:c r="F59" s="85" t="str">
        <x:v>控制目录记录是否为 Draft、Published 或 Archived；不代表可询价或已验证。</x:v>
      </x:c>
      <x:c r="G59" s="85" t="str">
        <x:v>Draft</x:v>
      </x:c>
      <x:c r="H59" s="85" t="str">
        <x:v>catalogPublicationStatus</x:v>
      </x:c>
    </x:row>
    <x:row r="60">
      <x:c r="A60" s="85" t="str">
        <x:v>03_套筒</x:v>
      </x:c>
      <x:c r="B60" s="85" t="str">
        <x:v>ferruleSku</x:v>
      </x:c>
      <x:c r="C60" s="85" t="str">
        <x:v>* Ferrule SKU / 套筒SKU</x:v>
      </x:c>
      <x:c r="D60" s="85" t="str">
        <x:v>Yes</x:v>
      </x:c>
      <x:c r="E60" s="85" t="str">
        <x:v>Text</x:v>
      </x:c>
      <x:c r="F60" s="85" t="str">
        <x:v>套筒唯一编码。</x:v>
      </x:c>
      <x:c r="G60" s="85" t="str">
        <x:v>EXAMPLE_FERRULE_2SN_06</x:v>
      </x:c>
      <x:c r="H60" s="85" t="str"/>
    </x:row>
    <x:row r="61">
      <x:c r="A61" s="85" t="str">
        <x:v>03_套筒</x:v>
      </x:c>
      <x:c r="B61" s="85" t="str">
        <x:v>ferruleSeries</x:v>
      </x:c>
      <x:c r="C61" s="85" t="str">
        <x:v>* Ferrule Series / 套筒系列</x:v>
      </x:c>
      <x:c r="D61" s="85" t="str">
        <x:v>Yes</x:v>
      </x:c>
      <x:c r="E61" s="85" t="str">
        <x:v>Text</x:v>
      </x:c>
      <x:c r="F61" s="85" t="str">
        <x:v>工厂套筒系列。</x:v>
      </x:c>
      <x:c r="G61" s="85" t="str">
        <x:v>EXAMPLE SERIES</x:v>
      </x:c>
      <x:c r="H61" s="85" t="str"/>
    </x:row>
    <x:row r="62">
      <x:c r="A62" s="85" t="str">
        <x:v>03_套筒</x:v>
      </x:c>
      <x:c r="B62" s="85" t="str">
        <x:v>hoseConstruction</x:v>
      </x:c>
      <x:c r="C62" s="85" t="str">
        <x:v>* Hose Construction / 胶管结构</x:v>
      </x:c>
      <x:c r="D62" s="85" t="str">
        <x:v>Yes</x:v>
      </x:c>
      <x:c r="E62" s="85" t="str">
        <x:v>Text</x:v>
      </x:c>
      <x:c r="F62" s="85" t="str">
        <x:v>1-wire、2-wire、4-spiral 等。</x:v>
      </x:c>
      <x:c r="G62" s="85" t="str">
        <x:v>2-wire braid</x:v>
      </x:c>
      <x:c r="H62" s="85" t="str"/>
    </x:row>
    <x:row r="63">
      <x:c r="A63" s="85" t="str">
        <x:v>03_套筒</x:v>
      </x:c>
      <x:c r="B63" s="85" t="str">
        <x:v>hoseTailDash</x:v>
      </x:c>
      <x:c r="C63" s="85" t="str">
        <x:v>* Hose Tail Dash / 胶管Dash</x:v>
      </x:c>
      <x:c r="D63" s="85" t="str">
        <x:v>Yes</x:v>
      </x:c>
      <x:c r="E63" s="85" t="str">
        <x:v>Text</x:v>
      </x:c>
      <x:c r="F63" s="85" t="str">
        <x:v>适用胶管尾 Dash。</x:v>
      </x:c>
      <x:c r="G63" s="85" t="str">
        <x:v>-6</x:v>
      </x:c>
      <x:c r="H63" s="85" t="str">
        <x:v>dash</x:v>
      </x:c>
    </x:row>
    <x:row r="64">
      <x:c r="A64" s="85" t="str">
        <x:v>03_套筒</x:v>
      </x:c>
      <x:c r="B64" s="85" t="str">
        <x:v>skive</x:v>
      </x:c>
      <x:c r="C64" s="85" t="str">
        <x:v>* Skive Requirement / 剥胶要求</x:v>
      </x:c>
      <x:c r="D64" s="85" t="str">
        <x:v>Yes</x:v>
      </x:c>
      <x:c r="E64" s="85" t="str">
        <x:v>Text</x:v>
      </x:c>
      <x:c r="F64" s="85" t="str">
        <x:v>套筒对应的剥胶方式。</x:v>
      </x:c>
      <x:c r="G64" s="85" t="str">
        <x:v>No Skive</x:v>
      </x:c>
      <x:c r="H64" s="85" t="str">
        <x:v>skive</x:v>
      </x:c>
    </x:row>
    <x:row r="65">
      <x:c r="A65" s="85" t="str">
        <x:v>03_套筒</x:v>
      </x:c>
      <x:c r="B65" s="85" t="str">
        <x:v>material</x:v>
      </x:c>
      <x:c r="C65" s="85" t="str">
        <x:v>* Material / 材质</x:v>
      </x:c>
      <x:c r="D65" s="85" t="str">
        <x:v>Yes</x:v>
      </x:c>
      <x:c r="E65" s="85" t="str">
        <x:v>Text</x:v>
      </x:c>
      <x:c r="F65" s="85" t="str">
        <x:v>套筒主体材质。</x:v>
      </x:c>
      <x:c r="G65" s="85" t="str">
        <x:v>Carbon steel</x:v>
      </x:c>
      <x:c r="H65" s="85" t="str"/>
    </x:row>
    <x:row r="66">
      <x:c r="A66" s="85" t="str">
        <x:v>03_套筒</x:v>
      </x:c>
      <x:c r="B66" s="85" t="str">
        <x:v>coating</x:v>
      </x:c>
      <x:c r="C66" s="85" t="str">
        <x:v>* Coating / 表面处理</x:v>
      </x:c>
      <x:c r="D66" s="85" t="str">
        <x:v>Yes</x:v>
      </x:c>
      <x:c r="E66" s="85" t="str">
        <x:v>Text</x:v>
      </x:c>
      <x:c r="F66" s="85" t="str">
        <x:v>套筒表面处理。</x:v>
      </x:c>
      <x:c r="G66" s="85" t="str">
        <x:v>Zinc plating</x:v>
      </x:c>
      <x:c r="H66" s="85" t="str">
        <x:v>coating</x:v>
      </x:c>
    </x:row>
    <x:row r="67">
      <x:c r="A67" s="85" t="str">
        <x:v>03_套筒</x:v>
      </x:c>
      <x:c r="B67" s="85" t="str">
        <x:v>source</x:v>
      </x:c>
      <x:c r="C67" s="85" t="str">
        <x:v>* Source Document/Page / 来源</x:v>
      </x:c>
      <x:c r="D67" s="85" t="str">
        <x:v>Yes</x:v>
      </x:c>
      <x:c r="E67" s="85" t="str">
        <x:v>Text</x:v>
      </x:c>
      <x:c r="F67" s="85" t="str">
        <x:v>目录、图纸或规格表位置。</x:v>
      </x:c>
      <x:c r="G67" s="85" t="str">
        <x:v>Controlled drawing</x:v>
      </x:c>
      <x:c r="H67" s="85" t="str"/>
    </x:row>
    <x:row r="68">
      <x:c r="A68" s="85" t="str">
        <x:v>03_套筒</x:v>
      </x:c>
      <x:c r="B68" s="85" t="str">
        <x:v>notes</x:v>
      </x:c>
      <x:c r="C68" s="85" t="str">
        <x:v>Notes / 备注</x:v>
      </x:c>
      <x:c r="D68" s="85" t="str">
        <x:v>No</x:v>
      </x:c>
      <x:c r="E68" s="85" t="str">
        <x:v>Text</x:v>
      </x:c>
      <x:c r="F68" s="85" t="str">
        <x:v>特殊结构或适用限制。</x:v>
      </x:c>
      <x:c r="G68" s="85" t="str">
        <x:v>EXAMPLE ONLY - DELETE</x:v>
      </x:c>
      <x:c r="H68" s="85" t="str"/>
    </x:row>
    <x:row r="69">
      <x:c r="A69" s="85" t="str">
        <x:v>04_兼容压接</x:v>
      </x:c>
      <x:c r="B69" s="85" t="str">
        <x:v>catalogPublicationStatus</x:v>
      </x:c>
      <x:c r="C69" s="85" t="str">
        <x:v>* Catalog Publication Status / 目录发布状态</x:v>
      </x:c>
      <x:c r="D69" s="85" t="str">
        <x:v>Yes</x:v>
      </x:c>
      <x:c r="E69" s="85" t="str">
        <x:v>Text</x:v>
      </x:c>
      <x:c r="F69" s="85" t="str">
        <x:v>控制目录记录是否为 Draft、Published 或 Archived；不代表可询价或已验证。</x:v>
      </x:c>
      <x:c r="G69" s="85" t="str">
        <x:v>Draft</x:v>
      </x:c>
      <x:c r="H69" s="85" t="str">
        <x:v>catalogPublicationStatus</x:v>
      </x:c>
    </x:row>
    <x:row r="70">
      <x:c r="A70" s="85" t="str">
        <x:v>04_兼容压接</x:v>
      </x:c>
      <x:c r="B70" s="85" t="str">
        <x:v>compatibilityId</x:v>
      </x:c>
      <x:c r="C70" s="85" t="str">
        <x:v>* Compatibility ID / 兼容编号</x:v>
      </x:c>
      <x:c r="D70" s="85" t="str">
        <x:v>Yes</x:v>
      </x:c>
      <x:c r="E70" s="85" t="str">
        <x:v>Text</x:v>
      </x:c>
      <x:c r="F70" s="85" t="str">
        <x:v>精确组合唯一编号。</x:v>
      </x:c>
      <x:c r="G70" s="85" t="str">
        <x:v>EXAMPLE_COMP_001</x:v>
      </x:c>
      <x:c r="H70" s="85" t="str"/>
    </x:row>
    <x:row r="71">
      <x:c r="A71" s="85" t="str">
        <x:v>04_兼容压接</x:v>
      </x:c>
      <x:c r="B71" s="85" t="str">
        <x:v>hoseSku</x:v>
      </x:c>
      <x:c r="C71" s="85" t="str">
        <x:v>* Hose SKU / 胶管SKU</x:v>
      </x:c>
      <x:c r="D71" s="85" t="str">
        <x:v>Yes</x:v>
      </x:c>
      <x:c r="E71" s="85" t="str">
        <x:v>Text</x:v>
      </x:c>
      <x:c r="F71" s="85" t="str">
        <x:v>必须存在于 01_胶管主数据。</x:v>
      </x:c>
      <x:c r="G71" s="85" t="str">
        <x:v>601R2_001</x:v>
      </x:c>
      <x:c r="H71" s="85" t="str"/>
    </x:row>
    <x:row r="72">
      <x:c r="A72" s="85" t="str">
        <x:v>04_兼容压接</x:v>
      </x:c>
      <x:c r="B72" s="85" t="str">
        <x:v>hoseEndSku</x:v>
      </x:c>
      <x:c r="C72" s="85" t="str">
        <x:v>* Hose End SKU / 接头SKU</x:v>
      </x:c>
      <x:c r="D72" s="85" t="str">
        <x:v>Yes</x:v>
      </x:c>
      <x:c r="E72" s="85" t="str">
        <x:v>Text</x:v>
      </x:c>
      <x:c r="F72" s="85" t="str">
        <x:v>必须存在于 02_压接接头。</x:v>
      </x:c>
      <x:c r="G72" s="85" t="str">
        <x:v>EXAMPLE_JIC_F_SW_06_06</x:v>
      </x:c>
      <x:c r="H72" s="85" t="str"/>
    </x:row>
    <x:row r="73">
      <x:c r="A73" s="85" t="str">
        <x:v>04_兼容压接</x:v>
      </x:c>
      <x:c r="B73" s="85" t="str">
        <x:v>ferruleSku</x:v>
      </x:c>
      <x:c r="C73" s="85" t="str">
        <x:v>* Ferrule SKU / 套筒SKU</x:v>
      </x:c>
      <x:c r="D73" s="85" t="str">
        <x:v>Yes</x:v>
      </x:c>
      <x:c r="E73" s="85" t="str">
        <x:v>Text</x:v>
      </x:c>
      <x:c r="F73" s="85" t="str">
        <x:v>必须存在于 03_套筒。</x:v>
      </x:c>
      <x:c r="G73" s="85" t="str">
        <x:v>EXAMPLE_FERRULE_2SN_06</x:v>
      </x:c>
      <x:c r="H73" s="85" t="str"/>
    </x:row>
    <x:row r="74">
      <x:c r="A74" s="85" t="str">
        <x:v>04_兼容压接</x:v>
      </x:c>
      <x:c r="B74" s="85" t="str">
        <x:v>assemblyMethod</x:v>
      </x:c>
      <x:c r="C74" s="85" t="str">
        <x:v>Assembly Method / 装配方法</x:v>
      </x:c>
      <x:c r="D74" s="85" t="str">
        <x:v>No</x:v>
      </x:c>
      <x:c r="E74" s="85" t="str">
        <x:v>Text</x:v>
      </x:c>
      <x:c r="F74" s="85" t="str">
        <x:v>一体式或分体式等；无可靠同类数据时留空。</x:v>
      </x:c>
      <x:c r="G74" s="85" t="str"/>
      <x:c r="H74" s="85" t="str"/>
    </x:row>
    <x:row r="75">
      <x:c r="A75" s="85" t="str">
        <x:v>04_兼容压接</x:v>
      </x:c>
      <x:c r="B75" s="85" t="str">
        <x:v>skive</x:v>
      </x:c>
      <x:c r="C75" s="85" t="str">
        <x:v>Skive Requirement / 剥胶要求</x:v>
      </x:c>
      <x:c r="D75" s="85" t="str">
        <x:v>No</x:v>
      </x:c>
      <x:c r="E75" s="85" t="str">
        <x:v>Text</x:v>
      </x:c>
      <x:c r="F75" s="85" t="str">
        <x:v>本组合实际剥胶工艺；无可靠同类数据时留空。</x:v>
      </x:c>
      <x:c r="G75" s="85" t="str"/>
      <x:c r="H75" s="85" t="str">
        <x:v>skive</x:v>
      </x:c>
    </x:row>
    <x:row r="76">
      <x:c r="A76" s="85" t="str">
        <x:v>04_兼容压接</x:v>
      </x:c>
      <x:c r="B76" s="85" t="str">
        <x:v>outerSkiveMm</x:v>
      </x:c>
      <x:c r="C76" s="85" t="str">
        <x:v>Outer Skive Length mm / 外剥长度</x:v>
      </x:c>
      <x:c r="D76" s="85" t="str">
        <x:v>No</x:v>
      </x:c>
      <x:c r="E76" s="85" t="str">
        <x:v>Number</x:v>
      </x:c>
      <x:c r="F76" s="85" t="str">
        <x:v>无可靠同类数据时留空。</x:v>
      </x:c>
      <x:c r="G76" s="85" t="str"/>
      <x:c r="H76" s="85" t="str"/>
    </x:row>
    <x:row r="77">
      <x:c r="A77" s="85" t="str">
        <x:v>04_兼容压接</x:v>
      </x:c>
      <x:c r="B77" s="85" t="str">
        <x:v>innerSkiveMm</x:v>
      </x:c>
      <x:c r="C77" s="85" t="str">
        <x:v>Inner Skive Length mm / 内剥长度</x:v>
      </x:c>
      <x:c r="D77" s="85" t="str">
        <x:v>No</x:v>
      </x:c>
      <x:c r="E77" s="85" t="str">
        <x:v>Number</x:v>
      </x:c>
      <x:c r="F77" s="85" t="str">
        <x:v>无可靠同类数据时留空。</x:v>
      </x:c>
      <x:c r="G77" s="85" t="str"/>
      <x:c r="H77" s="85" t="str"/>
    </x:row>
    <x:row r="78">
      <x:c r="A78" s="85" t="str">
        <x:v>04_兼容压接</x:v>
      </x:c>
      <x:c r="B78" s="85" t="str">
        <x:v>insertionMm</x:v>
      </x:c>
      <x:c r="C78" s="85" t="str">
        <x:v>Insertion Depth mm / 插入深度</x:v>
      </x:c>
      <x:c r="D78" s="85" t="str">
        <x:v>No</x:v>
      </x:c>
      <x:c r="E78" s="85" t="str">
        <x:v>Number</x:v>
      </x:c>
      <x:c r="F78" s="85" t="str">
        <x:v>接头插入深度及标记位置；无可靠同类数据时留空。</x:v>
      </x:c>
      <x:c r="G78" s="85" t="str"/>
      <x:c r="H78" s="85" t="str"/>
    </x:row>
    <x:row r="79">
      <x:c r="A79" s="85" t="str">
        <x:v>04_兼容压接</x:v>
      </x:c>
      <x:c r="B79" s="85" t="str">
        <x:v>program</x:v>
      </x:c>
      <x:c r="C79" s="85" t="str">
        <x:v>Crimp Program / 程序编号</x:v>
      </x:c>
      <x:c r="D79" s="85" t="str">
        <x:v>No</x:v>
      </x:c>
      <x:c r="E79" s="85" t="str">
        <x:v>Text</x:v>
      </x:c>
      <x:c r="F79" s="85" t="str">
        <x:v>设备程序或工艺卡编号。</x:v>
      </x:c>
      <x:c r="G79" s="85" t="str"/>
      <x:c r="H79" s="85" t="str"/>
    </x:row>
    <x:row r="80">
      <x:c r="A80" s="85" t="str">
        <x:v>04_兼容压接</x:v>
      </x:c>
      <x:c r="B80" s="85" t="str">
        <x:v>crimpDiameterMm</x:v>
      </x:c>
      <x:c r="C80" s="85" t="str">
        <x:v>Final Crimp Diameter mm / 最终压径</x:v>
      </x:c>
      <x:c r="D80" s="85" t="str">
        <x:v>No</x:v>
      </x:c>
      <x:c r="E80" s="85" t="str">
        <x:v>Number</x:v>
      </x:c>
      <x:c r="F80" s="85" t="str">
        <x:v>最终成品压接直径；无可靠同类数据时留空。</x:v>
      </x:c>
      <x:c r="G80" s="85" t="str"/>
      <x:c r="H80" s="85" t="str"/>
    </x:row>
    <x:row r="81">
      <x:c r="A81" s="85" t="str">
        <x:v>04_兼容压接</x:v>
      </x:c>
      <x:c r="B81" s="85" t="str">
        <x:v>crimpToleranceMm</x:v>
      </x:c>
      <x:c r="C81" s="85" t="str">
        <x:v>Crimp Tolerance ±mm / 压径公差</x:v>
      </x:c>
      <x:c r="D81" s="85" t="str">
        <x:v>No</x:v>
      </x:c>
      <x:c r="E81" s="85" t="str">
        <x:v>Number</x:v>
      </x:c>
      <x:c r="F81" s="85" t="str">
        <x:v>允许正负公差；无可靠同类数据时留空。</x:v>
      </x:c>
      <x:c r="G81" s="85" t="str"/>
      <x:c r="H81" s="85" t="str"/>
    </x:row>
    <x:row r="82">
      <x:c r="A82" s="85" t="str">
        <x:v>04_兼容压接</x:v>
      </x:c>
      <x:c r="B82" s="85" t="str">
        <x:v>measureLocation</x:v>
      </x:c>
      <x:c r="C82" s="85" t="str">
        <x:v>Measurement Location / 测量位置</x:v>
      </x:c>
      <x:c r="D82" s="85" t="str">
        <x:v>No</x:v>
      </x:c>
      <x:c r="E82" s="85" t="str">
        <x:v>Text</x:v>
      </x:c>
      <x:c r="F82" s="85" t="str">
        <x:v>沿套筒何处及几个方向测量；无可靠同类数据时留空。</x:v>
      </x:c>
      <x:c r="G82" s="85" t="str"/>
      <x:c r="H82" s="85" t="str"/>
    </x:row>
    <x:row r="83">
      <x:c r="A83" s="85" t="str">
        <x:v>04_兼容压接</x:v>
      </x:c>
      <x:c r="B83" s="85" t="str">
        <x:v>assemblyWorkingBar</x:v>
      </x:c>
      <x:c r="C83" s="85" t="str">
        <x:v>Assembly Working bar / 总成工作压力</x:v>
      </x:c>
      <x:c r="D83" s="85" t="str">
        <x:v>No</x:v>
      </x:c>
      <x:c r="E83" s="85" t="str">
        <x:v>Number</x:v>
      </x:c>
      <x:c r="F83" s="85" t="str">
        <x:v>取所有承压组件最低额定值；无可靠同类数据时留空。</x:v>
      </x:c>
      <x:c r="G83" s="85" t="str"/>
      <x:c r="H83" s="85" t="str"/>
    </x:row>
    <x:row r="84">
      <x:c r="A84" s="85" t="str">
        <x:v>04_兼容压接</x:v>
      </x:c>
      <x:c r="B84" s="85" t="str">
        <x:v>proofBar</x:v>
      </x:c>
      <x:c r="C84" s="85" t="str">
        <x:v>Proof Pressure bar / 耐压压力</x:v>
      </x:c>
      <x:c r="D84" s="85" t="str">
        <x:v>No</x:v>
      </x:c>
      <x:c r="E84" s="85" t="str">
        <x:v>Formula</x:v>
      </x:c>
      <x:c r="F84" s="85" t="str">
        <x:v>有总成工作压力时自动计算为 2 倍。</x:v>
      </x:c>
      <x:c r="G84" s="85" t="str">
        <x:v>=IF(O5="","",O5*2)</x:v>
      </x:c>
      <x:c r="H84" s="85" t="str"/>
    </x:row>
    <x:row r="85">
      <x:c r="A85" s="85" t="str">
        <x:v>04_兼容压接</x:v>
      </x:c>
      <x:c r="B85" s="85" t="str">
        <x:v>proofHoldSec</x:v>
      </x:c>
      <x:c r="C85" s="85" t="str">
        <x:v>Proof Hold Seconds / 保压秒数</x:v>
      </x:c>
      <x:c r="D85" s="85" t="str">
        <x:v>No</x:v>
      </x:c>
      <x:c r="E85" s="85" t="str">
        <x:v>Number</x:v>
      </x:c>
      <x:c r="F85" s="85" t="str">
        <x:v>无可靠同类数据时留空。</x:v>
      </x:c>
      <x:c r="G85" s="85" t="str"/>
      <x:c r="H85" s="85" t="str"/>
    </x:row>
    <x:row r="86">
      <x:c r="A86" s="85" t="str">
        <x:v>04_兼容压接</x:v>
      </x:c>
      <x:c r="B86" s="85" t="str">
        <x:v>qualificationId</x:v>
      </x:c>
      <x:c r="C86" s="85" t="str">
        <x:v>Type Qualification ID / 型式验证编号</x:v>
      </x:c>
      <x:c r="D86" s="85" t="str">
        <x:v>No</x:v>
      </x:c>
      <x:c r="E86" s="85" t="str">
        <x:v>Text</x:v>
      </x:c>
      <x:c r="F86" s="85" t="str">
        <x:v>未验证时留空；验证资料在供应商或订单档案中单独管理。</x:v>
      </x:c>
      <x:c r="G86" s="85" t="str"/>
      <x:c r="H86" s="85" t="str"/>
    </x:row>
    <x:row r="87">
      <x:c r="A87" s="85" t="str">
        <x:v>04_兼容压接</x:v>
      </x:c>
      <x:c r="B87" s="85" t="str">
        <x:v>qualificationStatus</x:v>
      </x:c>
      <x:c r="C87" s="85" t="str">
        <x:v>* Qualification Status / 验证状态</x:v>
      </x:c>
      <x:c r="D87" s="85" t="str">
        <x:v>Yes</x:v>
      </x:c>
      <x:c r="E87" s="85" t="str">
        <x:v>Text</x:v>
      </x:c>
      <x:c r="F87" s="85" t="str">
        <x:v>只有 Approved 才可进入配置器；候选组合统一为 Not Tested。</x:v>
      </x:c>
      <x:c r="G87" s="85" t="str">
        <x:v>Not Tested</x:v>
      </x:c>
      <x:c r="H87" s="85" t="str">
        <x:v>qualification</x:v>
      </x:c>
    </x:row>
    <x:row r="88">
      <x:c r="A88" s="85" t="str">
        <x:v>04_兼容压接</x:v>
      </x:c>
      <x:c r="B88" s="85" t="str">
        <x:v>rfqEligibility</x:v>
      </x:c>
      <x:c r="C88" s="85" t="str">
        <x:v>* RFQ Eligibility / 询价资格</x:v>
      </x:c>
      <x:c r="D88" s="85" t="str">
        <x:v>Yes</x:v>
      </x:c>
      <x:c r="E88" s="85" t="str">
        <x:v>Text</x:v>
      </x:c>
      <x:c r="F88" s="85" t="str">
        <x:v>控制该精确组合能否进入询价配置器；与生产验证状态相互独立。</x:v>
      </x:c>
      <x:c r="G88" s="85" t="str">
        <x:v>Eligible</x:v>
      </x:c>
      <x:c r="H88" s="85" t="str">
        <x:v>rfqEligibility</x:v>
      </x:c>
    </x:row>
    <x:row r="89">
      <x:c r="A89" s="85" t="str">
        <x:v>04_兼容压接</x:v>
      </x:c>
      <x:c r="B89" s="85" t="str">
        <x:v>competitorReferenceSystem</x:v>
      </x:c>
      <x:c r="C89" s="85" t="str">
        <x:v>Reference System / 参考系统</x:v>
      </x:c>
      <x:c r="D89" s="85" t="str">
        <x:v>No</x:v>
      </x:c>
      <x:c r="E89" s="85" t="str">
        <x:v>Text</x:v>
      </x:c>
      <x:c r="F89" s="85" t="str">
        <x:v>公开压接资料对应的产品体系；展示时必须与来源和胶管型号一起使用。</x:v>
      </x:c>
      <x:c r="G89" s="85" t="str">
        <x:v>DHH W Series Bite-To-The-Wire</x:v>
      </x:c>
      <x:c r="H89" s="85" t="str"/>
    </x:row>
    <x:row r="90">
      <x:c r="A90" s="85" t="str">
        <x:v>04_兼容压接</x:v>
      </x:c>
      <x:c r="B90" s="85" t="str">
        <x:v>competitorReferenceHoseCode</x:v>
      </x:c>
      <x:c r="C90" s="85" t="str">
        <x:v>Reference Hose Code / 参考胶管型号</x:v>
      </x:c>
      <x:c r="D90" s="85" t="str">
        <x:v>No</x:v>
      </x:c>
      <x:c r="E90" s="85" t="str">
        <x:v>Text</x:v>
      </x:c>
      <x:c r="F90" s="85" t="str">
        <x:v>公开压接资料中的胶管代码。</x:v>
      </x:c>
      <x:c r="G90" s="85" t="str">
        <x:v>R2-06</x:v>
      </x:c>
      <x:c r="H90" s="85" t="str"/>
    </x:row>
    <x:row r="91">
      <x:c r="A91" s="85" t="str">
        <x:v>04_兼容压接</x:v>
      </x:c>
      <x:c r="B91" s="85" t="str">
        <x:v>competitorReferenceAssemblyMethod</x:v>
      </x:c>
      <x:c r="C91" s="85" t="str">
        <x:v>Reference Assembly Method / 参考装配方法</x:v>
      </x:c>
      <x:c r="D91" s="85" t="str">
        <x:v>No</x:v>
      </x:c>
      <x:c r="E91" s="85" t="str">
        <x:v>Text</x:v>
      </x:c>
      <x:c r="F91" s="85" t="str">
        <x:v>公开压接资料中的装配描述。</x:v>
      </x:c>
      <x:c r="G91" s="85" t="str">
        <x:v>Crimp full shell</x:v>
      </x:c>
      <x:c r="H91" s="85" t="str"/>
    </x:row>
    <x:row r="92">
      <x:c r="A92" s="85" t="str">
        <x:v>04_兼容压接</x:v>
      </x:c>
      <x:c r="B92" s="85" t="str">
        <x:v>competitorReferenceCrimpDiameterMm</x:v>
      </x:c>
      <x:c r="C92" s="85" t="str">
        <x:v>Reference Crimp Diameter mm / 参考压径</x:v>
      </x:c>
      <x:c r="D92" s="85" t="str">
        <x:v>No</x:v>
      </x:c>
      <x:c r="E92" s="85" t="str">
        <x:v>Number</x:v>
      </x:c>
      <x:c r="F92" s="85" t="str">
        <x:v>公开来源记录的参考压径；适用范围以参考系统、胶管型号和来源为准。</x:v>
      </x:c>
      <x:c r="G92" s="85" t="n">
        <x:v>21.46</x:v>
      </x:c>
      <x:c r="H92" s="85" t="str"/>
    </x:row>
    <x:row r="93">
      <x:c r="A93" s="85" t="str">
        <x:v>04_兼容压接</x:v>
      </x:c>
      <x:c r="B93" s="85" t="str">
        <x:v>competitorReferenceToleranceMm</x:v>
      </x:c>
      <x:c r="C93" s="85" t="str">
        <x:v>Reference Tolerance ±mm / 参考公差</x:v>
      </x:c>
      <x:c r="D93" s="85" t="str">
        <x:v>No</x:v>
      </x:c>
      <x:c r="E93" s="85" t="str">
        <x:v>Number</x:v>
      </x:c>
      <x:c r="F93" s="85" t="str">
        <x:v>公开来源记录的参考压径公差。</x:v>
      </x:c>
      <x:c r="G93" s="85" t="n">
        <x:v>0.13</x:v>
      </x:c>
      <x:c r="H93" s="85" t="str"/>
    </x:row>
    <x:row r="94">
      <x:c r="A94" s="85" t="str">
        <x:v>04_兼容压接</x:v>
      </x:c>
      <x:c r="B94" s="85" t="str">
        <x:v>competitorReferenceSource</x:v>
      </x:c>
      <x:c r="C94" s="85" t="str">
        <x:v>Reference Source / 参考来源</x:v>
      </x:c>
      <x:c r="D94" s="85" t="str">
        <x:v>No</x:v>
      </x:c>
      <x:c r="E94" s="85" t="str">
        <x:v>Text</x:v>
      </x:c>
      <x:c r="F94" s="85" t="str">
        <x:v>公开压接资料的来源链接和目录页码。</x:v>
      </x:c>
      <x:c r="G94" s="85" t="str">
        <x:v>https://www.discounthydraulichose.com/v/vspfiles/downloadables/crimp.pdf</x:v>
      </x:c>
      <x:c r="H94" s="85" t="str"/>
    </x:row>
    <x:row r="95">
      <x:c r="A95" s="85" t="str">
        <x:v>04_兼容压接</x:v>
      </x:c>
      <x:c r="B95" s="85" t="str">
        <x:v>notes</x:v>
      </x:c>
      <x:c r="C95" s="85" t="str">
        <x:v>Notes / 备注</x:v>
      </x:c>
      <x:c r="D95" s="85" t="str">
        <x:v>No</x:v>
      </x:c>
      <x:c r="E95" s="85" t="str">
        <x:v>Text</x:v>
      </x:c>
      <x:c r="F95" s="85" t="str">
        <x:v>限制条件、替代模具或异常说明。</x:v>
      </x:c>
      <x:c r="G95" s="85" t="str">
        <x:v>EXAMPLE ONLY - DELETE</x:v>
      </x:c>
      <x:c r="H95" s="85" t="str"/>
    </x:row>
    <x:row r="96">
      <x:c r="A96" s="85" t="str">
        <x:v>05_过渡接头</x:v>
      </x:c>
      <x:c r="B96" s="85" t="str">
        <x:v>catalogPublicationStatus</x:v>
      </x:c>
      <x:c r="C96" s="85" t="str">
        <x:v>* Catalog Publication Status / 目录发布状态</x:v>
      </x:c>
      <x:c r="D96" s="85" t="str">
        <x:v>Yes</x:v>
      </x:c>
      <x:c r="E96" s="85" t="str">
        <x:v>Text</x:v>
      </x:c>
      <x:c r="F96" s="85" t="str">
        <x:v>控制目录记录是否为 Draft、Published 或 Archived；不代表可询价或已验证。</x:v>
      </x:c>
      <x:c r="G96" s="85" t="str">
        <x:v>Draft</x:v>
      </x:c>
      <x:c r="H96" s="85" t="str">
        <x:v>catalogPublicationStatus</x:v>
      </x:c>
    </x:row>
    <x:row r="97">
      <x:c r="A97" s="85" t="str">
        <x:v>05_过渡接头</x:v>
      </x:c>
      <x:c r="B97" s="85" t="str">
        <x:v>adapterFamilyId</x:v>
      </x:c>
      <x:c r="C97" s="85" t="str">
        <x:v>* Adapter Family ID / 过渡接头系列编号</x:v>
      </x:c>
      <x:c r="D97" s="85" t="str">
        <x:v>Yes</x:v>
      </x:c>
      <x:c r="E97" s="85" t="str">
        <x:v>Text</x:v>
      </x:c>
      <x:c r="F97" s="85" t="str">
        <x:v>系列唯一编号，不是具体尺寸 SKU。</x:v>
      </x:c>
      <x:c r="G97" s="85" t="str">
        <x:v>ADP_FAM_1EN</x:v>
      </x:c>
      <x:c r="H97" s="85" t="str"/>
    </x:row>
    <x:row r="98">
      <x:c r="A98" s="85" t="str">
        <x:v>05_过渡接头</x:v>
      </x:c>
      <x:c r="B98" s="85" t="str">
        <x:v>adapterSku</x:v>
      </x:c>
      <x:c r="C98" s="85" t="str">
        <x:v>Adapter SKU / 过渡接头SKU</x:v>
      </x:c>
      <x:c r="D98" s="85" t="str">
        <x:v>No</x:v>
      </x:c>
      <x:c r="E98" s="85" t="str">
        <x:v>Text</x:v>
      </x:c>
      <x:c r="F98" s="85" t="str">
        <x:v>尺寸齐全后按 SKU 模板生成的正式编号。</x:v>
      </x:c>
      <x:c r="G98" s="85" t="str">
        <x:v>ADP_ST_MOR_MFX_14_NPT_MFX_04</x:v>
      </x:c>
      <x:c r="H98" s="85" t="str"/>
    </x:row>
    <x:row r="99">
      <x:c r="A99" s="85" t="str">
        <x:v>05_过渡接头</x:v>
      </x:c>
      <x:c r="B99" s="85" t="str">
        <x:v>skuTemplate</x:v>
      </x:c>
      <x:c r="C99" s="85" t="str">
        <x:v>* SKU Template / SKU编号模板</x:v>
      </x:c>
      <x:c r="D99" s="85" t="str">
        <x:v>Yes</x:v>
      </x:c>
      <x:c r="E99" s="85" t="str">
        <x:v>Text</x:v>
      </x:c>
      <x:c r="F99" s="85" t="str">
        <x:v>两通：ADP_形状_接口1_形式1_尺寸1_接口2_形式2_尺寸2；三通继续追加端3。</x:v>
      </x:c>
      <x:c r="G99" s="85" t="str">
        <x:v>ADP_ST_MOR_MFX_{SIZE1}_NPT_MFX_{SIZE2}</x:v>
      </x:c>
      <x:c r="H99" s="85" t="str"/>
    </x:row>
    <x:row r="100">
      <x:c r="A100" s="85" t="str">
        <x:v>05_过渡接头</x:v>
      </x:c>
      <x:c r="B100" s="85" t="str">
        <x:v>catalogModel</x:v>
      </x:c>
      <x:c r="C100" s="85" t="str">
        <x:v>* Catalog Model / 目录型号</x:v>
      </x:c>
      <x:c r="D100" s="85" t="str">
        <x:v>Yes</x:v>
      </x:c>
      <x:c r="E100" s="85" t="str">
        <x:v>Text</x:v>
      </x:c>
      <x:c r="F100" s="85" t="str">
        <x:v>上传目录中标注的系列型号。</x:v>
      </x:c>
      <x:c r="G100" s="85" t="str">
        <x:v>1EN</x:v>
      </x:c>
      <x:c r="H100" s="85" t="str"/>
    </x:row>
    <x:row r="101">
      <x:c r="A101" s="85" t="str">
        <x:v>05_过渡接头</x:v>
      </x:c>
      <x:c r="B101" s="85" t="str">
        <x:v>websiteName</x:v>
      </x:c>
      <x:c r="C101" s="85" t="str">
        <x:v>* Website Product Name / 网站产品名称</x:v>
      </x:c>
      <x:c r="D101" s="85" t="str">
        <x:v>Yes</x:v>
      </x:c>
      <x:c r="E101" s="85" t="str">
        <x:v>Text</x:v>
      </x:c>
      <x:c r="F101" s="85" t="str">
        <x:v>客户可理解的英文产品名称。</x:v>
      </x:c>
      <x:c r="G101" s="85" t="str">
        <x:v>Metric O-Ring Male to NPT Male Adapter</x:v>
      </x:c>
      <x:c r="H101" s="85" t="str"/>
    </x:row>
    <x:row r="102">
      <x:c r="A102" s="85" t="str">
        <x:v>05_过渡接头</x:v>
      </x:c>
      <x:c r="B102" s="85" t="str">
        <x:v>shape</x:v>
      </x:c>
      <x:c r="C102" s="85" t="str">
        <x:v>* Shape Code / 形状代码</x:v>
      </x:c>
      <x:c r="D102" s="85" t="str">
        <x:v>Yes</x:v>
      </x:c>
      <x:c r="E102" s="85" t="str">
        <x:v>Text</x:v>
      </x:c>
      <x:c r="F102" s="85" t="str">
        <x:v>ST直通、90弯头、RT直路三通、BT支路三通。</x:v>
      </x:c>
      <x:c r="G102" s="85" t="str">
        <x:v>ST</x:v>
      </x:c>
      <x:c r="H102" s="85" t="str"/>
    </x:row>
    <x:row r="103">
      <x:c r="A103" s="85" t="str">
        <x:v>05_过渡接头</x:v>
      </x:c>
      <x:c r="B103" s="85" t="str">
        <x:v>interface1</x:v>
      </x:c>
      <x:c r="C103" s="85" t="str">
        <x:v>* Interface 1 / 接口1</x:v>
      </x:c>
      <x:c r="D103" s="85" t="str">
        <x:v>Yes</x:v>
      </x:c>
      <x:c r="E103" s="85" t="str">
        <x:v>Text</x:v>
      </x:c>
      <x:c r="F103" s="85" t="str">
        <x:v>端1接口体系代码。</x:v>
      </x:c>
      <x:c r="G103" s="85" t="str">
        <x:v>MOR</x:v>
      </x:c>
      <x:c r="H103" s="85" t="str"/>
    </x:row>
    <x:row r="104">
      <x:c r="A104" s="85" t="str">
        <x:v>05_过渡接头</x:v>
      </x:c>
      <x:c r="B104" s="85" t="str">
        <x:v>connectionForm1</x:v>
      </x:c>
      <x:c r="C104" s="85" t="str">
        <x:v>* Connection Form 1 / 连接形式1</x:v>
      </x:c>
      <x:c r="D104" s="85" t="str">
        <x:v>Yes</x:v>
      </x:c>
      <x:c r="E104" s="85" t="str">
        <x:v>Text</x:v>
      </x:c>
      <x:c r="F104" s="85" t="str">
        <x:v>MFX固定外螺纹、FFX固定内螺纹、FSW内螺纹旋转、MADJ可调外螺纹。</x:v>
      </x:c>
      <x:c r="G104" s="85" t="str">
        <x:v>MFX</x:v>
      </x:c>
      <x:c r="H104" s="85" t="str"/>
    </x:row>
    <x:row r="105">
      <x:c r="A105" s="85" t="str">
        <x:v>05_过渡接头</x:v>
      </x:c>
      <x:c r="B105" s="85" t="str">
        <x:v>size1</x:v>
      </x:c>
      <x:c r="C105" s="85" t="str">
        <x:v>Size 1 / 尺寸1</x:v>
      </x:c>
      <x:c r="D105" s="85" t="str">
        <x:v>No</x:v>
      </x:c>
      <x:c r="E105" s="85" t="str">
        <x:v>Text</x:v>
      </x:c>
      <x:c r="F105" s="85" t="str">
        <x:v>英制使用两位 Dash；公制按既定系列尺寸代码。</x:v>
      </x:c>
      <x:c r="G105" s="85" t="str">
        <x:v>14</x:v>
      </x:c>
      <x:c r="H105" s="85" t="str"/>
    </x:row>
    <x:row r="106">
      <x:c r="A106" s="85" t="str">
        <x:v>05_过渡接头</x:v>
      </x:c>
      <x:c r="B106" s="85" t="str">
        <x:v>interface2</x:v>
      </x:c>
      <x:c r="C106" s="85" t="str">
        <x:v>* Interface 2 / 接口2</x:v>
      </x:c>
      <x:c r="D106" s="85" t="str">
        <x:v>Yes</x:v>
      </x:c>
      <x:c r="E106" s="85" t="str">
        <x:v>Text</x:v>
      </x:c>
      <x:c r="F106" s="85" t="str">
        <x:v>端2接口体系代码。</x:v>
      </x:c>
      <x:c r="G106" s="85" t="str">
        <x:v>NPT</x:v>
      </x:c>
      <x:c r="H106" s="85" t="str"/>
    </x:row>
    <x:row r="107">
      <x:c r="A107" s="85" t="str">
        <x:v>05_过渡接头</x:v>
      </x:c>
      <x:c r="B107" s="85" t="str">
        <x:v>connectionForm2</x:v>
      </x:c>
      <x:c r="C107" s="85" t="str">
        <x:v>* Connection Form 2 / 连接形式2</x:v>
      </x:c>
      <x:c r="D107" s="85" t="str">
        <x:v>Yes</x:v>
      </x:c>
      <x:c r="E107" s="85" t="str">
        <x:v>Text</x:v>
      </x:c>
      <x:c r="F107" s="85" t="str">
        <x:v>端2连接形式代码。</x:v>
      </x:c>
      <x:c r="G107" s="85" t="str">
        <x:v>MFX</x:v>
      </x:c>
      <x:c r="H107" s="85" t="str"/>
    </x:row>
    <x:row r="108">
      <x:c r="A108" s="85" t="str">
        <x:v>05_过渡接头</x:v>
      </x:c>
      <x:c r="B108" s="85" t="str">
        <x:v>size2</x:v>
      </x:c>
      <x:c r="C108" s="85" t="str">
        <x:v>Size 2 / 尺寸2</x:v>
      </x:c>
      <x:c r="D108" s="85" t="str">
        <x:v>No</x:v>
      </x:c>
      <x:c r="E108" s="85" t="str">
        <x:v>Text</x:v>
      </x:c>
      <x:c r="F108" s="85" t="str">
        <x:v>英制使用两位 Dash；公制按既定系列尺寸代码。</x:v>
      </x:c>
      <x:c r="G108" s="85" t="str">
        <x:v>04</x:v>
      </x:c>
      <x:c r="H108" s="85" t="str"/>
    </x:row>
    <x:row r="109">
      <x:c r="A109" s="85" t="str">
        <x:v>05_过渡接头</x:v>
      </x:c>
      <x:c r="B109" s="85" t="str">
        <x:v>interface3</x:v>
      </x:c>
      <x:c r="C109" s="85" t="str">
        <x:v>Interface 3 / 接口3</x:v>
      </x:c>
      <x:c r="D109" s="85" t="str">
        <x:v>No</x:v>
      </x:c>
      <x:c r="E109" s="85" t="str">
        <x:v>Text</x:v>
      </x:c>
      <x:c r="F109" s="85" t="str">
        <x:v>仅三通、四通等多端产品填写。</x:v>
      </x:c>
      <x:c r="G109" s="85" t="str">
        <x:v>ORB</x:v>
      </x:c>
      <x:c r="H109" s="85" t="str"/>
    </x:row>
    <x:row r="110">
      <x:c r="A110" s="85" t="str">
        <x:v>05_过渡接头</x:v>
      </x:c>
      <x:c r="B110" s="85" t="str">
        <x:v>connectionForm3</x:v>
      </x:c>
      <x:c r="C110" s="85" t="str">
        <x:v>Connection Form 3 / 连接形式3</x:v>
      </x:c>
      <x:c r="D110" s="85" t="str">
        <x:v>No</x:v>
      </x:c>
      <x:c r="E110" s="85" t="str">
        <x:v>Text</x:v>
      </x:c>
      <x:c r="F110" s="85" t="str">
        <x:v>仅多端产品填写。</x:v>
      </x:c>
      <x:c r="G110" s="85" t="str">
        <x:v>MADJ</x:v>
      </x:c>
      <x:c r="H110" s="85" t="str"/>
    </x:row>
    <x:row r="111">
      <x:c r="A111" s="85" t="str">
        <x:v>05_过渡接头</x:v>
      </x:c>
      <x:c r="B111" s="85" t="str">
        <x:v>size3</x:v>
      </x:c>
      <x:c r="C111" s="85" t="str">
        <x:v>Size 3 / 尺寸3</x:v>
      </x:c>
      <x:c r="D111" s="85" t="str">
        <x:v>No</x:v>
      </x:c>
      <x:c r="E111" s="85" t="str">
        <x:v>Text</x:v>
      </x:c>
      <x:c r="F111" s="85" t="str">
        <x:v>仅多端产品填写。</x:v>
      </x:c>
      <x:c r="G111" s="85" t="str">
        <x:v>06</x:v>
      </x:c>
      <x:c r="H111" s="85" t="str"/>
    </x:row>
    <x:row r="112">
      <x:c r="A112" s="85" t="str">
        <x:v>05_过渡接头</x:v>
      </x:c>
      <x:c r="B112" s="85" t="str">
        <x:v>websiteDisplay</x:v>
      </x:c>
      <x:c r="C112" s="85" t="str">
        <x:v>* Website Display / 网站展示</x:v>
      </x:c>
      <x:c r="D112" s="85" t="str">
        <x:v>Yes</x:v>
      </x:c>
      <x:c r="E112" s="85" t="str">
        <x:v>Text</x:v>
      </x:c>
      <x:c r="F112" s="85" t="str">
        <x:v>当前按系列展示并进入 RFQ，不直接结账。</x:v>
      </x:c>
      <x:c r="G112" s="85" t="str">
        <x:v>YES - RFQ family</x:v>
      </x:c>
      <x:c r="H112" s="85" t="str"/>
    </x:row>
    <x:row r="113">
      <x:c r="A113" s="85" t="str">
        <x:v>05_过渡接头</x:v>
      </x:c>
      <x:c r="B113" s="85" t="str">
        <x:v>source</x:v>
      </x:c>
      <x:c r="C113" s="85" t="str">
        <x:v>* Source Document/Page / 目录来源</x:v>
      </x:c>
      <x:c r="D113" s="85" t="str">
        <x:v>Yes</x:v>
      </x:c>
      <x:c r="E113" s="85" t="str">
        <x:v>Text</x:v>
      </x:c>
      <x:c r="F113" s="85" t="str">
        <x:v>上传目录中的页码。</x:v>
      </x:c>
      <x:c r="G113" s="85" t="str">
        <x:v>62d65f8412ff5.pdf catalog p.51 / PDF p.35</x:v>
      </x:c>
      <x:c r="H113" s="85" t="str"/>
    </x:row>
    <x:row r="114">
      <x:c r="A114" s="85" t="str">
        <x:v>05_过渡接头</x:v>
      </x:c>
      <x:c r="B114" s="85" t="str">
        <x:v>notes</x:v>
      </x:c>
      <x:c r="C114" s="85" t="str">
        <x:v>Notes / 备注</x:v>
      </x:c>
      <x:c r="D114" s="85" t="str">
        <x:v>No</x:v>
      </x:c>
      <x:c r="E114" s="85" t="str">
        <x:v>Text</x:v>
      </x:c>
      <x:c r="F114" s="85" t="str">
        <x:v>尺寸矩阵及来源限制。</x:v>
      </x:c>
      <x:c r="G114" s="85" t="str">
        <x:v>Size matrix not supplied.</x:v>
      </x:c>
      <x:c r="H114" s="85" t="str"/>
    </x:row>
    <x:row r="115">
      <x:c r="A115" s="85" t="str">
        <x:v>06_快速接头</x:v>
      </x:c>
      <x:c r="B115" s="85" t="str">
        <x:v>catalogPublicationStatus</x:v>
      </x:c>
      <x:c r="C115" s="85" t="str">
        <x:v>* Catalog Publication Status / 目录发布状态</x:v>
      </x:c>
      <x:c r="D115" s="85" t="str">
        <x:v>Yes</x:v>
      </x:c>
      <x:c r="E115" s="85" t="str">
        <x:v>Text</x:v>
      </x:c>
      <x:c r="F115" s="85" t="str">
        <x:v>控制目录记录是否为 Draft、Published 或 Archived；不代表可询价或已验证。</x:v>
      </x:c>
      <x:c r="G115" s="85" t="str">
        <x:v>Draft</x:v>
      </x:c>
      <x:c r="H115" s="85" t="str">
        <x:v>catalogPublicationStatus</x:v>
      </x:c>
    </x:row>
    <x:row r="116">
      <x:c r="A116" s="85" t="str">
        <x:v>06_快速接头</x:v>
      </x:c>
      <x:c r="B116" s="85" t="str">
        <x:v>quickSku</x:v>
      </x:c>
      <x:c r="C116" s="85" t="str">
        <x:v>* Quick Coupler SKU / 快接SKU</x:v>
      </x:c>
      <x:c r="D116" s="85" t="str">
        <x:v>Yes</x:v>
      </x:c>
      <x:c r="E116" s="85" t="str">
        <x:v>Text</x:v>
      </x:c>
      <x:c r="F116" s="85" t="str">
        <x:v>产品唯一编码。</x:v>
      </x:c>
      <x:c r="G116" s="85" t="str">
        <x:v>EXAMPLE_QC_ISOA_06_SOCKET</x:v>
      </x:c>
      <x:c r="H116" s="85" t="str"/>
    </x:row>
    <x:row r="117">
      <x:c r="A117" s="85" t="str">
        <x:v>06_快速接头</x:v>
      </x:c>
      <x:c r="B117" s="85" t="str">
        <x:v>couplerSeries</x:v>
      </x:c>
      <x:c r="C117" s="85" t="str">
        <x:v>* Coupler Series / 快接系列</x:v>
      </x:c>
      <x:c r="D117" s="85" t="str">
        <x:v>Yes</x:v>
      </x:c>
      <x:c r="E117" s="85" t="str">
        <x:v>Text</x:v>
      </x:c>
      <x:c r="F117" s="85" t="str">
        <x:v>工厂系列和互换系列。</x:v>
      </x:c>
      <x:c r="G117" s="85" t="str">
        <x:v>ISO A EXAMPLE</x:v>
      </x:c>
      <x:c r="H117" s="85" t="str"/>
    </x:row>
    <x:row r="118">
      <x:c r="A118" s="85" t="str">
        <x:v>06_快速接头</x:v>
      </x:c>
      <x:c r="B118" s="85" t="str">
        <x:v>role</x:v>
      </x:c>
      <x:c r="C118" s="85" t="str">
        <x:v>* Role / 类型</x:v>
      </x:c>
      <x:c r="D118" s="85" t="str">
        <x:v>Yes</x:v>
      </x:c>
      <x:c r="E118" s="85" t="str">
        <x:v>Text</x:v>
      </x:c>
      <x:c r="F118" s="85" t="str">
        <x:v>插座、插头或完整一对。</x:v>
      </x:c>
      <x:c r="G118" s="85" t="str">
        <x:v>Coupler/Socket</x:v>
      </x:c>
      <x:c r="H118" s="85" t="str">
        <x:v>role</x:v>
      </x:c>
    </x:row>
    <x:row r="119">
      <x:c r="A119" s="85" t="str">
        <x:v>06_快速接头</x:v>
      </x:c>
      <x:c r="B119" s="85" t="str">
        <x:v>matingSeries</x:v>
      </x:c>
      <x:c r="C119" s="85" t="str">
        <x:v>* Mating Series / 配对系列</x:v>
      </x:c>
      <x:c r="D119" s="85" t="str">
        <x:v>Yes</x:v>
      </x:c>
      <x:c r="E119" s="85" t="str">
        <x:v>Text</x:v>
      </x:c>
      <x:c r="F119" s="85" t="str">
        <x:v>可配对产品系列及 SKU 规则。</x:v>
      </x:c>
      <x:c r="G119" s="85" t="str">
        <x:v>ISO A EXAMPLE</x:v>
      </x:c>
      <x:c r="H119" s="85" t="str"/>
    </x:row>
    <x:row r="120">
      <x:c r="A120" s="85" t="str">
        <x:v>06_快速接头</x:v>
      </x:c>
      <x:c r="B120" s="85" t="str">
        <x:v>standard</x:v>
      </x:c>
      <x:c r="C120" s="85" t="str">
        <x:v>* Interchange Standard / 互换标准</x:v>
      </x:c>
      <x:c r="D120" s="85" t="str">
        <x:v>Yes</x:v>
      </x:c>
      <x:c r="E120" s="85" t="str">
        <x:v>Text</x:v>
      </x:c>
      <x:c r="F120" s="85" t="str">
        <x:v>例如 ISO 7241-A。</x:v>
      </x:c>
      <x:c r="G120" s="85" t="str">
        <x:v>ISO 7241-A</x:v>
      </x:c>
      <x:c r="H120" s="85" t="str"/>
    </x:row>
    <x:row r="121">
      <x:c r="A121" s="85" t="str">
        <x:v>06_快速接头</x:v>
      </x:c>
      <x:c r="B121" s="85" t="str">
        <x:v>bodySize</x:v>
      </x:c>
      <x:c r="C121" s="85" t="str">
        <x:v>* Body Size / 阀体尺寸</x:v>
      </x:c>
      <x:c r="D121" s="85" t="str">
        <x:v>Yes</x:v>
      </x:c>
      <x:c r="E121" s="85" t="str">
        <x:v>Text</x:v>
      </x:c>
      <x:c r="F121" s="85" t="str">
        <x:v>名义阀体尺寸。</x:v>
      </x:c>
      <x:c r="G121" s="85" t="str">
        <x:v>3/8 in</x:v>
      </x:c>
      <x:c r="H121" s="85" t="str"/>
    </x:row>
    <x:row r="122">
      <x:c r="A122" s="85" t="str">
        <x:v>06_快速接头</x:v>
      </x:c>
      <x:c r="B122" s="85" t="str">
        <x:v>interface</x:v>
      </x:c>
      <x:c r="C122" s="85" t="str">
        <x:v>* Port Interface / 端口接口</x:v>
      </x:c>
      <x:c r="D122" s="85" t="str">
        <x:v>Yes</x:v>
      </x:c>
      <x:c r="E122" s="85" t="str">
        <x:v>Text</x:v>
      </x:c>
      <x:c r="F122" s="85" t="str">
        <x:v>螺纹接口体系。</x:v>
      </x:c>
      <x:c r="G122" s="85" t="str">
        <x:v>NPTF</x:v>
      </x:c>
      <x:c r="H122" s="85" t="str">
        <x:v>interfaceFamily</x:v>
      </x:c>
    </x:row>
    <x:row r="123">
      <x:c r="A123" s="85" t="str">
        <x:v>06_快速接头</x:v>
      </x:c>
      <x:c r="B123" s="85" t="str">
        <x:v>gender</x:v>
      </x:c>
      <x:c r="C123" s="85" t="str">
        <x:v>* Port Gender / 端口公母</x:v>
      </x:c>
      <x:c r="D123" s="85" t="str">
        <x:v>Yes</x:v>
      </x:c>
      <x:c r="E123" s="85" t="str">
        <x:v>Text</x:v>
      </x:c>
      <x:c r="F123" s="85" t="str">
        <x:v>端口公母。</x:v>
      </x:c>
      <x:c r="G123" s="85" t="str">
        <x:v>Female</x:v>
      </x:c>
      <x:c r="H123" s="85" t="str">
        <x:v>gender</x:v>
      </x:c>
    </x:row>
    <x:row r="124">
      <x:c r="A124" s="85" t="str">
        <x:v>06_快速接头</x:v>
      </x:c>
      <x:c r="B124" s="85" t="str">
        <x:v>thread</x:v>
      </x:c>
      <x:c r="C124" s="85" t="str">
        <x:v>* Port Thread / 端口螺纹</x:v>
      </x:c>
      <x:c r="D124" s="85" t="str">
        <x:v>Yes</x:v>
      </x:c>
      <x:c r="E124" s="85" t="str">
        <x:v>Text</x:v>
      </x:c>
      <x:c r="F124" s="85" t="str">
        <x:v>完整螺纹。</x:v>
      </x:c>
      <x:c r="G124" s="85" t="str">
        <x:v>3/8-18 NPTF</x:v>
      </x:c>
      <x:c r="H124" s="85" t="str"/>
    </x:row>
    <x:row r="125">
      <x:c r="A125" s="85" t="str">
        <x:v>06_快速接头</x:v>
      </x:c>
      <x:c r="B125" s="85" t="str">
        <x:v>connectionType</x:v>
      </x:c>
      <x:c r="C125" s="85" t="str">
        <x:v>* Connection Mechanism / 连接机构</x:v>
      </x:c>
      <x:c r="D125" s="85" t="str">
        <x:v>Yes</x:v>
      </x:c>
      <x:c r="E125" s="85" t="str">
        <x:v>Text</x:v>
      </x:c>
      <x:c r="F125" s="85" t="str">
        <x:v>球锁、平面式、螺纹式等。</x:v>
      </x:c>
      <x:c r="G125" s="85" t="str">
        <x:v>Ball lock</x:v>
      </x:c>
      <x:c r="H125" s="85" t="str"/>
    </x:row>
    <x:row r="126">
      <x:c r="A126" s="85" t="str">
        <x:v>06_快速接头</x:v>
      </x:c>
      <x:c r="B126" s="85" t="str">
        <x:v>valving</x:v>
      </x:c>
      <x:c r="C126" s="85" t="str">
        <x:v>* Valving / 阀结构</x:v>
      </x:c>
      <x:c r="D126" s="85" t="str">
        <x:v>Yes</x:v>
      </x:c>
      <x:c r="E126" s="85" t="str">
        <x:v>Text</x:v>
      </x:c>
      <x:c r="F126" s="85" t="str">
        <x:v>双截止、直通、平面阀等。</x:v>
      </x:c>
      <x:c r="G126" s="85" t="str">
        <x:v>Double shut-off</x:v>
      </x:c>
      <x:c r="H126" s="85" t="str"/>
    </x:row>
    <x:row r="127">
      <x:c r="A127" s="85" t="str">
        <x:v>06_快速接头</x:v>
      </x:c>
      <x:c r="B127" s="85" t="str">
        <x:v>material</x:v>
      </x:c>
      <x:c r="C127" s="85" t="str">
        <x:v>Body Material / 主体材质</x:v>
      </x:c>
      <x:c r="D127" s="85" t="str">
        <x:v>No</x:v>
      </x:c>
      <x:c r="E127" s="85" t="str">
        <x:v>Text</x:v>
      </x:c>
      <x:c r="F127" s="85" t="str">
        <x:v>材料及牌号。</x:v>
      </x:c>
      <x:c r="G127" s="85" t="str">
        <x:v>Carbon steel</x:v>
      </x:c>
      <x:c r="H127" s="85" t="str"/>
    </x:row>
    <x:row r="128">
      <x:c r="A128" s="85" t="str">
        <x:v>06_快速接头</x:v>
      </x:c>
      <x:c r="B128" s="85" t="str">
        <x:v>coating</x:v>
      </x:c>
      <x:c r="C128" s="85" t="str">
        <x:v>Coating / 表面处理</x:v>
      </x:c>
      <x:c r="D128" s="85" t="str">
        <x:v>No</x:v>
      </x:c>
      <x:c r="E128" s="85" t="str">
        <x:v>Text</x:v>
      </x:c>
      <x:c r="F128" s="85" t="str">
        <x:v>镀层或不锈钢。</x:v>
      </x:c>
      <x:c r="G128" s="85" t="str">
        <x:v>Trivalent Zinc</x:v>
      </x:c>
      <x:c r="H128" s="85" t="str">
        <x:v>coating</x:v>
      </x:c>
    </x:row>
    <x:row r="129">
      <x:c r="A129" s="85" t="str">
        <x:v>06_快速接头</x:v>
      </x:c>
      <x:c r="B129" s="85" t="str">
        <x:v>sealMaterial</x:v>
      </x:c>
      <x:c r="C129" s="85" t="str">
        <x:v>Seal Material / 密封材料</x:v>
      </x:c>
      <x:c r="D129" s="85" t="str">
        <x:v>No</x:v>
      </x:c>
      <x:c r="E129" s="85" t="str">
        <x:v>Text</x:v>
      </x:c>
      <x:c r="F129" s="85" t="str">
        <x:v>NBR、FKM、EPDM 等。</x:v>
      </x:c>
      <x:c r="G129" s="85" t="str">
        <x:v>NBR</x:v>
      </x:c>
      <x:c r="H129" s="85" t="str"/>
    </x:row>
    <x:row r="130">
      <x:c r="A130" s="85" t="str">
        <x:v>06_快速接头</x:v>
      </x:c>
      <x:c r="B130" s="85" t="str">
        <x:v>workingBar</x:v>
      </x:c>
      <x:c r="C130" s="85" t="str">
        <x:v>Max Working bar / 最大工作压力</x:v>
      </x:c>
      <x:c r="D130" s="85" t="str">
        <x:v>No</x:v>
      </x:c>
      <x:c r="E130" s="85" t="str">
        <x:v>Number</x:v>
      </x:c>
      <x:c r="F130" s="85" t="str">
        <x:v>连接状态下额定压力。</x:v>
      </x:c>
      <x:c r="G130" s="85" t="n">
        <x:v>250</x:v>
      </x:c>
      <x:c r="H130" s="85" t="str"/>
    </x:row>
    <x:row r="131">
      <x:c r="A131" s="85" t="str">
        <x:v>06_快速接头</x:v>
      </x:c>
      <x:c r="B131" s="85" t="str">
        <x:v>burstBar</x:v>
      </x:c>
      <x:c r="C131" s="85" t="str">
        <x:v>Minimum Burst bar / 最小爆破压力</x:v>
      </x:c>
      <x:c r="D131" s="85" t="str">
        <x:v>No</x:v>
      </x:c>
      <x:c r="E131" s="85" t="str">
        <x:v>Number</x:v>
      </x:c>
      <x:c r="F131" s="85" t="str">
        <x:v>适用标准下最小爆破压力。</x:v>
      </x:c>
      <x:c r="G131" s="85" t="n">
        <x:v>1000</x:v>
      </x:c>
      <x:c r="H131" s="85" t="str"/>
    </x:row>
    <x:row r="132">
      <x:c r="A132" s="85" t="str">
        <x:v>06_快速接头</x:v>
      </x:c>
      <x:c r="B132" s="85" t="str">
        <x:v>flowLpm</x:v>
      </x:c>
      <x:c r="C132" s="85" t="str">
        <x:v>Rated Flow L/min / 额定流量</x:v>
      </x:c>
      <x:c r="D132" s="85" t="str">
        <x:v>No</x:v>
      </x:c>
      <x:c r="E132" s="85" t="str">
        <x:v>Number</x:v>
      </x:c>
      <x:c r="F132" s="85" t="str">
        <x:v>规定压降下额定流量。</x:v>
      </x:c>
      <x:c r="G132" s="85" t="n">
        <x:v>23</x:v>
      </x:c>
      <x:c r="H132" s="85" t="str"/>
    </x:row>
    <x:row r="133">
      <x:c r="A133" s="85" t="str">
        <x:v>06_快速接头</x:v>
      </x:c>
      <x:c r="B133" s="85" t="str">
        <x:v>pressureDrop</x:v>
      </x:c>
      <x:c r="C133" s="85" t="str">
        <x:v>Pressure Drop Basis / 压降条件</x:v>
      </x:c>
      <x:c r="D133" s="85" t="str">
        <x:v>No</x:v>
      </x:c>
      <x:c r="E133" s="85" t="str">
        <x:v>Text</x:v>
      </x:c>
      <x:c r="F133" s="85" t="str">
        <x:v>对应额定流量的介质、温度和压降。</x:v>
      </x:c>
      <x:c r="G133" s="85" t="str">
        <x:v>Oil 32 cSt; ΔP 1 bar</x:v>
      </x:c>
      <x:c r="H133" s="85" t="str"/>
    </x:row>
    <x:row r="134">
      <x:c r="A134" s="85" t="str">
        <x:v>06_快速接头</x:v>
      </x:c>
      <x:c r="B134" s="85" t="str">
        <x:v>tempMinC</x:v>
      </x:c>
      <x:c r="C134" s="85" t="str">
        <x:v>Temp Min °C / 最低温度</x:v>
      </x:c>
      <x:c r="D134" s="85" t="str">
        <x:v>No</x:v>
      </x:c>
      <x:c r="E134" s="85" t="str">
        <x:v>Number</x:v>
      </x:c>
      <x:c r="F134" s="85" t="str">
        <x:v>由密封和材料决定。</x:v>
      </x:c>
      <x:c r="G134" s="85" t="n">
        <x:v>-20</x:v>
      </x:c>
      <x:c r="H134" s="85" t="str"/>
    </x:row>
    <x:row r="135">
      <x:c r="A135" s="85" t="str">
        <x:v>06_快速接头</x:v>
      </x:c>
      <x:c r="B135" s="85" t="str">
        <x:v>tempMaxC</x:v>
      </x:c>
      <x:c r="C135" s="85" t="str">
        <x:v>Temp Max °C / 最高温度</x:v>
      </x:c>
      <x:c r="D135" s="85" t="str">
        <x:v>No</x:v>
      </x:c>
      <x:c r="E135" s="85" t="str">
        <x:v>Number</x:v>
      </x:c>
      <x:c r="F135" s="85" t="str">
        <x:v>由密封和材料决定。</x:v>
      </x:c>
      <x:c r="G135" s="85" t="n">
        <x:v>100</x:v>
      </x:c>
      <x:c r="H135" s="85" t="str"/>
    </x:row>
    <x:row r="136">
      <x:c r="A136" s="85" t="str">
        <x:v>06_快速接头</x:v>
      </x:c>
      <x:c r="B136" s="85" t="str">
        <x:v>lengthMm</x:v>
      </x:c>
      <x:c r="C136" s="85" t="str">
        <x:v>Overall Length mm / 总长</x:v>
      </x:c>
      <x:c r="D136" s="85" t="str">
        <x:v>No</x:v>
      </x:c>
      <x:c r="E136" s="85" t="str">
        <x:v>Number</x:v>
      </x:c>
      <x:c r="F136" s="85" t="str">
        <x:v>产品总长。</x:v>
      </x:c>
      <x:c r="G136" s="85" t="n">
        <x:v>64</x:v>
      </x:c>
      <x:c r="H136" s="85" t="str"/>
    </x:row>
    <x:row r="137">
      <x:c r="A137" s="85" t="str">
        <x:v>06_快速接头</x:v>
      </x:c>
      <x:c r="B137" s="85" t="str">
        <x:v>weightG</x:v>
      </x:c>
      <x:c r="C137" s="85" t="str">
        <x:v>Unit Weight g / 单重</x:v>
      </x:c>
      <x:c r="D137" s="85" t="str">
        <x:v>No</x:v>
      </x:c>
      <x:c r="E137" s="85" t="str">
        <x:v>Number</x:v>
      </x:c>
      <x:c r="F137" s="85" t="str">
        <x:v>单个净重。</x:v>
      </x:c>
      <x:c r="G137" s="85" t="n">
        <x:v>210</x:v>
      </x:c>
      <x:c r="H137" s="85" t="str"/>
    </x:row>
    <x:row r="138">
      <x:c r="A138" s="85" t="str">
        <x:v>06_快速接头</x:v>
      </x:c>
      <x:c r="B138" s="85" t="str">
        <x:v>drawingNo</x:v>
      </x:c>
      <x:c r="C138" s="85" t="str">
        <x:v>Drawing No. / 图纸号</x:v>
      </x:c>
      <x:c r="D138" s="85" t="str">
        <x:v>No</x:v>
      </x:c>
      <x:c r="E138" s="85" t="str">
        <x:v>Text</x:v>
      </x:c>
      <x:c r="F138" s="85" t="str">
        <x:v>受控图纸编号。</x:v>
      </x:c>
      <x:c r="G138" s="85" t="str">
        <x:v>DWG-EXAMPLE-QC01</x:v>
      </x:c>
      <x:c r="H138" s="85" t="str"/>
    </x:row>
    <x:row r="139">
      <x:c r="A139" s="85" t="str">
        <x:v>06_快速接头</x:v>
      </x:c>
      <x:c r="B139" s="85" t="str">
        <x:v>source</x:v>
      </x:c>
      <x:c r="C139" s="85" t="str">
        <x:v>* Source Document/Page / 来源</x:v>
      </x:c>
      <x:c r="D139" s="85" t="str">
        <x:v>Yes</x:v>
      </x:c>
      <x:c r="E139" s="85" t="str">
        <x:v>Text</x:v>
      </x:c>
      <x:c r="F139" s="85" t="str">
        <x:v>目录、图纸或规格表位置。</x:v>
      </x:c>
      <x:c r="G139" s="85" t="str">
        <x:v>Controlled drawing</x:v>
      </x:c>
      <x:c r="H139" s="85" t="str"/>
    </x:row>
    <x:row r="140">
      <x:c r="A140" s="85" t="str">
        <x:v>06_快速接头</x:v>
      </x:c>
      <x:c r="B140" s="85" t="str">
        <x:v>notes</x:v>
      </x:c>
      <x:c r="C140" s="85" t="str">
        <x:v>Notes / 备注</x:v>
      </x:c>
      <x:c r="D140" s="85" t="str">
        <x:v>No</x:v>
      </x:c>
      <x:c r="E140" s="85" t="str">
        <x:v>Text</x:v>
      </x:c>
      <x:c r="F140" s="85" t="str">
        <x:v>互换限制或选配密封。</x:v>
      </x:c>
      <x:c r="G140" s="85" t="str">
        <x:v>EXAMPLE ONLY - DELETE</x:v>
      </x:c>
      <x:c r="H140" s="85" t="str"/>
    </x:row>
    <x:row r="141">
      <x:c r="A141" s="85" t="str">
        <x:v>07_价格包装</x:v>
      </x:c>
      <x:c r="B141" s="85" t="str">
        <x:v>catalogPublicationStatus</x:v>
      </x:c>
      <x:c r="C141" s="85" t="str">
        <x:v>* Catalog Publication Status / 目录发布状态</x:v>
      </x:c>
      <x:c r="D141" s="85" t="str">
        <x:v>Yes</x:v>
      </x:c>
      <x:c r="E141" s="85" t="str">
        <x:v>Text</x:v>
      </x:c>
      <x:c r="F141" s="85" t="str">
        <x:v>控制目录记录是否为 Draft、Published 或 Archived；不代表可询价或已验证。</x:v>
      </x:c>
      <x:c r="G141" s="85" t="str">
        <x:v>Draft</x:v>
      </x:c>
      <x:c r="H141" s="85" t="str">
        <x:v>catalogPublicationStatus</x:v>
      </x:c>
    </x:row>
    <x:row r="142">
      <x:c r="A142" s="85" t="str">
        <x:v>07_价格包装</x:v>
      </x:c>
      <x:c r="B142" s="85" t="str">
        <x:v>productType</x:v>
      </x:c>
      <x:c r="C142" s="85" t="str">
        <x:v>* Product Type / 产品类型</x:v>
      </x:c>
      <x:c r="D142" s="85" t="str">
        <x:v>Yes</x:v>
      </x:c>
      <x:c r="E142" s="85" t="str">
        <x:v>Text</x:v>
      </x:c>
      <x:c r="F142" s="85" t="str">
        <x:v>基础产品类型。</x:v>
      </x:c>
      <x:c r="G142" s="85" t="str">
        <x:v>Packaged Hose</x:v>
      </x:c>
      <x:c r="H142" s="85" t="str">
        <x:v>productType</x:v>
      </x:c>
    </x:row>
    <x:row r="143">
      <x:c r="A143" s="85" t="str">
        <x:v>07_价格包装</x:v>
      </x:c>
      <x:c r="B143" s="85" t="str">
        <x:v>baseSku</x:v>
      </x:c>
      <x:c r="C143" s="85" t="str">
        <x:v>* Base SKU / 基础SKU</x:v>
      </x:c>
      <x:c r="D143" s="85" t="str">
        <x:v>Yes</x:v>
      </x:c>
      <x:c r="E143" s="85" t="str">
        <x:v>Text</x:v>
      </x:c>
      <x:c r="F143" s="85" t="str">
        <x:v>关联对应产品主数据表的 SKU。</x:v>
      </x:c>
      <x:c r="G143" s="85" t="str">
        <x:v>601R2_001</x:v>
      </x:c>
      <x:c r="H143" s="85"/>
    </x:row>
    <x:row r="144">
      <x:c r="A144" s="85" t="str">
        <x:v>07_价格包装</x:v>
      </x:c>
      <x:c r="B144" s="85" t="str">
        <x:v>salesSku</x:v>
      </x:c>
      <x:c r="C144" s="85" t="str">
        <x:v>* Sales SKU / 销售SKU</x:v>
      </x:c>
      <x:c r="D144" s="85" t="str">
        <x:v>Yes</x:v>
      </x:c>
      <x:c r="E144" s="85" t="str">
        <x:v>Text</x:v>
      </x:c>
      <x:c r="F144" s="85" t="str">
        <x:v>包含卷长、包装数量或销售形式的唯一销售编码。</x:v>
      </x:c>
      <x:c r="G144" s="85" t="str">
        <x:v>601R2_001_100FT</x:v>
      </x:c>
      <x:c r="H144" s="85"/>
    </x:row>
    <x:row r="145">
      <x:c r="A145" s="85" t="str">
        <x:v>07_价格包装</x:v>
      </x:c>
      <x:c r="B145" s="85" t="str">
        <x:v>salesUnit</x:v>
      </x:c>
      <x:c r="C145" s="85" t="str">
        <x:v>* Sales Unit / 销售单位</x:v>
      </x:c>
      <x:c r="D145" s="85" t="str">
        <x:v>Yes</x:v>
      </x:c>
      <x:c r="E145" s="85" t="str">
        <x:v>Text</x:v>
      </x:c>
      <x:c r="F145" s="85" t="str">
        <x:v>EA、FT、COIL、PAIR 或 SET。</x:v>
      </x:c>
      <x:c r="G145" s="85" t="str">
        <x:v>COIL</x:v>
      </x:c>
      <x:c r="H145" s="85" t="str">
        <x:v>unit</x:v>
      </x:c>
    </x:row>
    <x:row r="146">
      <x:c r="A146" s="85" t="str">
        <x:v>07_价格包装</x:v>
      </x:c>
      <x:c r="B146" s="85" t="str">
        <x:v>packageLengthFt</x:v>
      </x:c>
      <x:c r="C146" s="85" t="str">
        <x:v>Package Length ft / 包装长度</x:v>
      </x:c>
      <x:c r="D146" s="85" t="str">
        <x:v>No</x:v>
      </x:c>
      <x:c r="E146" s="85" t="str">
        <x:v>Number</x:v>
      </x:c>
      <x:c r="F146" s="85" t="str">
        <x:v>仅盘管或定长胶管填写。</x:v>
      </x:c>
      <x:c r="G146" s="85" t="n">
        <x:v>100</x:v>
      </x:c>
      <x:c r="H146" s="85"/>
    </x:row>
    <x:row r="147">
      <x:c r="A147" s="85" t="str">
        <x:v>07_价格包装</x:v>
      </x:c>
      <x:c r="B147" s="85" t="str">
        <x:v>salesPackQty</x:v>
      </x:c>
      <x:c r="C147" s="85" t="str">
        <x:v>* Units per Sales Pack / 每销售包装数量</x:v>
      </x:c>
      <x:c r="D147" s="85" t="str">
        <x:v>Yes</x:v>
      </x:c>
      <x:c r="E147" s="85" t="str">
        <x:v>Number</x:v>
      </x:c>
      <x:c r="F147" s="85" t="str">
        <x:v>一个销售包装包含的销售单位数量。</x:v>
      </x:c>
      <x:c r="G147" s="85" t="n">
        <x:v>1</x:v>
      </x:c>
      <x:c r="H147" s="85"/>
    </x:row>
    <x:row r="148">
      <x:c r="A148" s="85" t="str">
        <x:v>07_价格包装</x:v>
      </x:c>
      <x:c r="B148" s="85" t="str">
        <x:v>moq</x:v>
      </x:c>
      <x:c r="C148" s="85" t="str">
        <x:v>* MOQ / 最小起订量</x:v>
      </x:c>
      <x:c r="D148" s="85" t="str">
        <x:v>Yes</x:v>
      </x:c>
      <x:c r="E148" s="85" t="str">
        <x:v>Number</x:v>
      </x:c>
      <x:c r="F148" s="85" t="str">
        <x:v>按销售单位计的单 SKU 最小起订量；订单总金额规则由 RFQ 系统控制。</x:v>
      </x:c>
      <x:c r="G148" s="85" t="n">
        <x:v>1</x:v>
      </x:c>
      <x:c r="H148" s="85"/>
    </x:row>
    <x:row r="149">
      <x:c r="A149" s="85" t="str">
        <x:v>07_价格包装</x:v>
      </x:c>
      <x:c r="B149" s="85" t="str">
        <x:v>netUnitWeightKg</x:v>
      </x:c>
      <x:c r="C149" s="85" t="str">
        <x:v>Net Unit Weight kg / 单个销售单位净重</x:v>
      </x:c>
      <x:c r="D149" s="85" t="str">
        <x:v>No</x:v>
      </x:c>
      <x:c r="E149" s="85" t="str">
        <x:v>Number</x:v>
      </x:c>
      <x:c r="F149" s="85" t="str">
        <x:v>可选的SKU净重参考值；缺失时不阻断上线，正式运费使用整票 Shipment Packing Estimate。</x:v>
      </x:c>
      <x:c r="G149" s="85" t="n">
        <x:v>18.5</x:v>
      </x:c>
      <x:c r="H149" s="85"/>
    </x:row>
    <x:row r="150">
      <x:c r="A150" s="85" t="str">
        <x:v>07_价格包装</x:v>
      </x:c>
      <x:c r="B150" s="85" t="str">
        <x:v>leadTimeDays</x:v>
      </x:c>
      <x:c r="C150" s="85" t="str">
        <x:v>* Lead Time days / 交期天数</x:v>
      </x:c>
      <x:c r="D150" s="85" t="str">
        <x:v>Yes</x:v>
      </x:c>
      <x:c r="E150" s="85" t="str">
        <x:v>Number</x:v>
      </x:c>
      <x:c r="F150" s="85" t="str">
        <x:v>Cleared Funds 后的标准生产或备货天数。</x:v>
      </x:c>
      <x:c r="G150" s="85" t="n">
        <x:v>10</x:v>
      </x:c>
      <x:c r="H150" s="85"/>
    </x:row>
    <x:row r="151">
      <x:c r="A151" s="85" t="str">
        <x:v>07_价格包装</x:v>
      </x:c>
      <x:c r="B151" s="85" t="str">
        <x:v>origin</x:v>
      </x:c>
      <x:c r="C151" s="85" t="str">
        <x:v>* Country of Origin / 原产国</x:v>
      </x:c>
      <x:c r="D151" s="85" t="str">
        <x:v>Yes</x:v>
      </x:c>
      <x:c r="E151" s="85" t="str">
        <x:v>Text</x:v>
      </x:c>
      <x:c r="F151" s="85" t="str">
        <x:v>产品原产国；当前项目通常为 China。</x:v>
      </x:c>
      <x:c r="G151" s="85" t="str">
        <x:v>China</x:v>
      </x:c>
      <x:c r="H151" s="85"/>
    </x:row>
    <x:row r="152">
      <x:c r="A152" s="85" t="str">
        <x:v>07_价格包装</x:v>
      </x:c>
      <x:c r="B152" s="85" t="str">
        <x:v>currency</x:v>
      </x:c>
      <x:c r="C152" s="85" t="str">
        <x:v>Currency / 币种</x:v>
      </x:c>
      <x:c r="D152" s="85" t="str">
        <x:v>No</x:v>
      </x:c>
      <x:c r="E152" s="85" t="str">
        <x:v>Text</x:v>
      </x:c>
      <x:c r="F152" s="85" t="str">
        <x:v>工厂报价币种；无固定价格时可暂不填写。</x:v>
      </x:c>
      <x:c r="G152" s="85" t="str">
        <x:v>USD</x:v>
      </x:c>
      <x:c r="H152" s="85" t="str">
        <x:v>currency</x:v>
      </x:c>
    </x:row>
    <x:row r="153">
      <x:c r="A153" s="85" t="str">
        <x:v>07_价格包装</x:v>
      </x:c>
      <x:c r="B153" s="85" t="str">
        <x:v>factoryPrice</x:v>
      </x:c>
      <x:c r="C153" s="85" t="str">
        <x:v>Factory Unit Price / 工厂单价</x:v>
      </x:c>
      <x:c r="D153" s="85" t="str">
        <x:v>No</x:v>
      </x:c>
      <x:c r="E153" s="85" t="str">
        <x:v>Currency</x:v>
      </x:c>
      <x:c r="F153" s="85" t="str">
        <x:v>内部采购参考价，不在网站前台展示。</x:v>
      </x:c>
      <x:c r="G153" s="85" t="n">
        <x:v>50</x:v>
      </x:c>
      <x:c r="H153" s="85"/>
    </x:row>
    <x:row r="154">
      <x:c r="A154" s="85" t="str">
        <x:v>07_价格包装</x:v>
      </x:c>
      <x:c r="B154" s="85" t="str">
        <x:v>priceIncoterm</x:v>
      </x:c>
      <x:c r="C154" s="85" t="str">
        <x:v>Price Incoterm / 采购价格条款</x:v>
      </x:c>
      <x:c r="D154" s="85" t="str">
        <x:v>No</x:v>
      </x:c>
      <x:c r="E154" s="85" t="str">
        <x:v>Text</x:v>
      </x:c>
      <x:c r="F154" s="85" t="str">
        <x:v>工厂采购价对应的 EXW、FOB 等条款，不是客户 PI 的 DDP/DAP 条款。</x:v>
      </x:c>
      <x:c r="G154" s="85" t="str">
        <x:v>EXW</x:v>
      </x:c>
      <x:c r="H154" s="85" t="str">
        <x:v>incoterm</x:v>
      </x:c>
    </x:row>
    <x:row r="155">
      <x:c r="A155" s="85" t="str">
        <x:v>07_价格包装</x:v>
      </x:c>
      <x:c r="B155" s="85" t="str">
        <x:v>incotermPlace</x:v>
      </x:c>
      <x:c r="C155" s="85" t="str">
        <x:v>Incoterm Place / 条款地点</x:v>
      </x:c>
      <x:c r="D155" s="85" t="str">
        <x:v>No</x:v>
      </x:c>
      <x:c r="E155" s="85" t="str">
        <x:v>Text</x:v>
      </x:c>
      <x:c r="F155" s="85" t="str">
        <x:v>工厂采购价格条款对应地点。</x:v>
      </x:c>
      <x:c r="G155" s="85" t="str">
        <x:v>Ningbo, China</x:v>
      </x:c>
      <x:c r="H155" s="85"/>
    </x:row>
    <x:row r="156">
      <x:c r="A156" s="85" t="str">
        <x:v>07_价格包装</x:v>
      </x:c>
      <x:c r="B156" s="85" t="str">
        <x:v>tierQty</x:v>
      </x:c>
      <x:c r="C156" s="85" t="str">
        <x:v>Tier Qty / 阶梯数量</x:v>
      </x:c>
      <x:c r="D156" s="85" t="str">
        <x:v>No</x:v>
      </x:c>
      <x:c r="E156" s="85" t="str">
        <x:v>Number</x:v>
      </x:c>
      <x:c r="F156" s="85" t="str">
        <x:v>可选的内部采购参考阶梯起始数量；启动阶段不驱动网站自动阶梯价。</x:v>
      </x:c>
      <x:c r="G156" s="85" t="n">
        <x:v>10</x:v>
      </x:c>
      <x:c r="H156" s="85"/>
    </x:row>
    <x:row r="157">
      <x:c r="A157" s="85" t="str">
        <x:v>07_价格包装</x:v>
      </x:c>
      <x:c r="B157" s="85" t="str">
        <x:v>tierPrice</x:v>
      </x:c>
      <x:c r="C157" s="85" t="str">
        <x:v>Tier Price / 阶梯单价</x:v>
      </x:c>
      <x:c r="D157" s="85" t="str">
        <x:v>No</x:v>
      </x:c>
      <x:c r="E157" s="85" t="str">
        <x:v>Currency</x:v>
      </x:c>
      <x:c r="F157" s="85" t="str">
        <x:v>可选的内部采购参考阶梯单价；启动阶段不驱动网站自动阶梯价。</x:v>
      </x:c>
      <x:c r="G157" s="85" t="n">
        <x:v>48</x:v>
      </x:c>
      <x:c r="H157" s="85"/>
    </x:row>
    <x:row r="158">
      <x:c r="A158" s="85" t="str">
        <x:v>07_价格包装</x:v>
      </x:c>
      <x:c r="B158" s="85" t="str">
        <x:v>retailUnitPriceUsd</x:v>
      </x:c>
      <x:c r="C158" s="85" t="str">
        <x:v>Retail Unit Price USD / 零售单价</x:v>
      </x:c>
      <x:c r="D158" s="85" t="str">
        <x:v>No</x:v>
      </x:c>
      <x:c r="E158" s="85" t="str">
        <x:v>Currency</x:v>
      </x:c>
      <x:c r="F158" s="85" t="str">
        <x:v>竞品零售参考单价，按 Sales Unit 计价；不是工厂成本，网站报价及 PI 仍需人工确认。</x:v>
      </x:c>
      <x:c r="G158" s="85" t="str">
        <x:v>95.00</x:v>
      </x:c>
      <x:c r="H158" s="85"/>
    </x:row>
    <x:row r="159">
      <x:c r="A159" s="85" t="str">
        <x:v>07_价格包装</x:v>
      </x:c>
      <x:c r="B159" s="85" t="str">
        <x:v>innerPackQty</x:v>
      </x:c>
      <x:c r="C159" s="85" t="str">
        <x:v>Inner Pack Qty / 内包装数量</x:v>
      </x:c>
      <x:c r="D159" s="85" t="str">
        <x:v>No</x:v>
      </x:c>
      <x:c r="E159" s="85" t="str">
        <x:v>Number</x:v>
      </x:c>
      <x:c r="F159" s="85" t="str">
        <x:v>每个内袋或内盒包含的销售单位数量；供应商确认后填写。</x:v>
      </x:c>
      <x:c r="G159" s="85" t="n">
        <x:v>1</x:v>
      </x:c>
      <x:c r="H159" s="85"/>
    </x:row>
    <x:row r="160">
      <x:c r="A160" s="85" t="str">
        <x:v>07_价格包装</x:v>
      </x:c>
      <x:c r="B160" s="85" t="str">
        <x:v>masterCartonQty</x:v>
      </x:c>
      <x:c r="C160" s="85" t="str">
        <x:v>Master Carton Qty / 每外箱数量</x:v>
      </x:c>
      <x:c r="D160" s="85" t="str">
        <x:v>No</x:v>
      </x:c>
      <x:c r="E160" s="85" t="str">
        <x:v>Number</x:v>
      </x:c>
      <x:c r="F160" s="85" t="str">
        <x:v>一个标准外箱包含的销售单位数量；混装订单可留空。</x:v>
      </x:c>
      <x:c r="G160" s="85" t="n">
        <x:v>1</x:v>
      </x:c>
      <x:c r="H160" s="85"/>
    </x:row>
    <x:row r="161">
      <x:c r="A161" s="85" t="str">
        <x:v>07_价格包装</x:v>
      </x:c>
      <x:c r="B161" s="85" t="str">
        <x:v>cartonGrossWeightKg</x:v>
      </x:c>
      <x:c r="C161" s="85" t="str">
        <x:v>Carton Gross Weight kg / 整箱毛重</x:v>
      </x:c>
      <x:c r="D161" s="85" t="str">
        <x:v>No</x:v>
      </x:c>
      <x:c r="E161" s="85" t="str">
        <x:v>Number</x:v>
      </x:c>
      <x:c r="F161" s="85" t="str">
        <x:v>标准整箱毛重，仅用于内部物流核算，不在网站展示。</x:v>
      </x:c>
      <x:c r="G161" s="85" t="n">
        <x:v>19.3</x:v>
      </x:c>
      <x:c r="H161" s="85"/>
    </x:row>
    <x:row r="162">
      <x:c r="A162" s="85" t="str">
        <x:v>07_价格包装</x:v>
      </x:c>
      <x:c r="B162" s="85" t="str">
        <x:v>cartonLengthCm</x:v>
      </x:c>
      <x:c r="C162" s="85" t="str">
        <x:v>Carton L cm / 箱长</x:v>
      </x:c>
      <x:c r="D162" s="85" t="str">
        <x:v>No</x:v>
      </x:c>
      <x:c r="E162" s="85" t="str">
        <x:v>Number</x:v>
      </x:c>
      <x:c r="F162" s="85" t="str">
        <x:v>标准整箱最长边；混装或未定箱规时留空。</x:v>
      </x:c>
      <x:c r="G162" s="85" t="n">
        <x:v>60</x:v>
      </x:c>
      <x:c r="H162" s="85"/>
    </x:row>
    <x:row r="163">
      <x:c r="A163" s="85" t="str">
        <x:v>07_价格包装</x:v>
      </x:c>
      <x:c r="B163" s="85" t="str">
        <x:v>cartonWidthCm</x:v>
      </x:c>
      <x:c r="C163" s="85" t="str">
        <x:v>Carton W cm / 箱宽</x:v>
      </x:c>
      <x:c r="D163" s="85" t="str">
        <x:v>No</x:v>
      </x:c>
      <x:c r="E163" s="85" t="str">
        <x:v>Number</x:v>
      </x:c>
      <x:c r="F163" s="85" t="str">
        <x:v>标准整箱第二边；混装或未定箱规时留空。</x:v>
      </x:c>
      <x:c r="G163" s="85" t="n">
        <x:v>60</x:v>
      </x:c>
      <x:c r="H163" s="85"/>
    </x:row>
    <x:row r="164">
      <x:c r="A164" s="85" t="str">
        <x:v>07_价格包装</x:v>
      </x:c>
      <x:c r="B164" s="85" t="str">
        <x:v>cartonHeightCm</x:v>
      </x:c>
      <x:c r="C164" s="85" t="str">
        <x:v>Carton H cm / 箱高</x:v>
      </x:c>
      <x:c r="D164" s="85" t="str">
        <x:v>No</x:v>
      </x:c>
      <x:c r="E164" s="85" t="str">
        <x:v>Number</x:v>
      </x:c>
      <x:c r="F164" s="85" t="str">
        <x:v>标准整箱第三边；混装或未定箱规时留空。</x:v>
      </x:c>
      <x:c r="G164" s="85" t="n">
        <x:v>20</x:v>
      </x:c>
      <x:c r="H164" s="85"/>
    </x:row>
    <x:row r="165">
      <x:c r="A165" s="85" t="str">
        <x:v>07_价格包装</x:v>
      </x:c>
      <x:c r="B165" s="85" t="str">
        <x:v>packingBasis</x:v>
      </x:c>
      <x:c r="C165" s="85" t="str">
        <x:v>Packing Basis / 装箱依据</x:v>
      </x:c>
      <x:c r="D165" s="85" t="str">
        <x:v>No</x:v>
      </x:c>
      <x:c r="E165" s="85" t="str">
        <x:v>Text</x:v>
      </x:c>
      <x:c r="F165" s="85" t="str">
        <x:v>注明 Single-SKU master carton、Mixed carton 或 Order confirmed。</x:v>
      </x:c>
      <x:c r="G165" s="85" t="str">
        <x:v>Single-SKU master carton</x:v>
      </x:c>
      <x:c r="H165" s="85"/>
    </x:row>
    <x:row r="166">
      <x:c r="A166" s="85" t="str">
        <x:v>07_价格包装</x:v>
      </x:c>
      <x:c r="B166" s="85" t="str">
        <x:v>hsCode</x:v>
      </x:c>
      <x:c r="C166" s="85" t="str">
        <x:v>HS Code / 海关编码</x:v>
      </x:c>
      <x:c r="D166" s="85" t="str">
        <x:v>No</x:v>
      </x:c>
      <x:c r="E166" s="85" t="str">
        <x:v>Text</x:v>
      </x:c>
      <x:c r="F166" s="85" t="str">
        <x:v>内部报关参考编码，最终由报关方确认，不作为上线前置条件。</x:v>
      </x:c>
      <x:c r="G166" s="85" t="str">
        <x:v>4009.21</x:v>
      </x:c>
      <x:c r="H166" s="85"/>
    </x:row>
    <x:row r="167">
      <x:c r="A167" s="85" t="str">
        <x:v>07_价格包装</x:v>
      </x:c>
      <x:c r="B167" s="85" t="str">
        <x:v>notes</x:v>
      </x:c>
      <x:c r="C167" s="85" t="str">
        <x:v>Notes / 备注</x:v>
      </x:c>
      <x:c r="D167" s="85" t="str">
        <x:v>No</x:v>
      </x:c>
      <x:c r="E167" s="85" t="str">
        <x:v>Text</x:v>
      </x:c>
      <x:c r="F167" s="85" t="str">
        <x:v>价格有效期、混批条件、包装例外等。</x:v>
      </x:c>
      <x:c r="G167" s="85" t="str">
        <x:v>EXAMPLE ONLY - DELETE</x:v>
      </x:c>
      <x:c r="H167" s="85"/>
    </x:row>
    <x:row r="168">
      <x:c r="A168" s="167" t="str">
        <x:v>01_胶管主数据</x:v>
      </x:c>
      <x:c r="B168" s="167" t="str">
        <x:v>rfqEligibility</x:v>
      </x:c>
      <x:c r="C168" s="167" t="str">
        <x:v>* RFQ Eligibility / 询价资格</x:v>
      </x:c>
      <x:c r="D168" s="167" t="str">
        <x:v>Yes</x:v>
      </x:c>
      <x:c r="E168" s="167" t="str">
        <x:v>Text</x:v>
      </x:c>
      <x:c r="F168" s="167" t="str">
        <x:v>控制精确SKU能否使用Add to Quote；与发布和技术资料完整度相互独立。</x:v>
      </x:c>
      <x:c r="G168" s="167" t="str">
        <x:v>Eligible</x:v>
      </x:c>
      <x:c r="H168" s="167" t="str">
        <x:v>rfqEligibility</x:v>
      </x:c>
    </x:row>
    <x:row r="169">
      <x:c r="A169" s="171" t="str">
        <x:v>01_胶管主数据</x:v>
      </x:c>
      <x:c r="B169" s="171" t="str">
        <x:v>technicalDataStatus</x:v>
      </x:c>
      <x:c r="C169" s="171" t="str">
        <x:v>* Technical Data Status / 技术资料状态</x:v>
      </x:c>
      <x:c r="D169" s="171" t="str">
        <x:v>Yes</x:v>
      </x:c>
      <x:c r="E169" s="171" t="str">
        <x:v>Text</x:v>
      </x:c>
      <x:c r="F169" s="171" t="str">
        <x:v>Complete、Inherited或Pending；Pending不阻断Add to Quote，未解析参数不在前台展示。</x:v>
      </x:c>
      <x:c r="G169" s="171" t="str">
        <x:v>Pending</x:v>
      </x:c>
      <x:c r="H169" s="171" t="str">
        <x:v>technicalDataStatus</x:v>
      </x:c>
    </x:row>
    <x:row r="170">
      <x:c r="A170" s="167" t="str">
        <x:v>02_压接接头</x:v>
      </x:c>
      <x:c r="B170" s="167" t="str">
        <x:v>rfqEligibility</x:v>
      </x:c>
      <x:c r="C170" s="167" t="str">
        <x:v>* RFQ Eligibility / 询价资格</x:v>
      </x:c>
      <x:c r="D170" s="167" t="str">
        <x:v>Yes</x:v>
      </x:c>
      <x:c r="E170" s="167" t="str">
        <x:v>Text</x:v>
      </x:c>
      <x:c r="F170" s="167" t="str">
        <x:v>控制精确SKU能否使用Add to Quote；与发布和技术资料完整度相互独立。</x:v>
      </x:c>
      <x:c r="G170" s="167" t="str">
        <x:v>Eligible</x:v>
      </x:c>
      <x:c r="H170" s="167" t="str">
        <x:v>rfqEligibility</x:v>
      </x:c>
    </x:row>
    <x:row r="171">
      <x:c r="A171" s="171" t="str">
        <x:v>02_压接接头</x:v>
      </x:c>
      <x:c r="B171" s="171" t="str">
        <x:v>technicalDataStatus</x:v>
      </x:c>
      <x:c r="C171" s="171" t="str">
        <x:v>* Technical Data Status / 技术资料状态</x:v>
      </x:c>
      <x:c r="D171" s="171" t="str">
        <x:v>Yes</x:v>
      </x:c>
      <x:c r="E171" s="171" t="str">
        <x:v>Text</x:v>
      </x:c>
      <x:c r="F171" s="171" t="str">
        <x:v>Complete、Inherited或Pending；Pending不阻断Add to Quote，未解析参数不在前台展示。</x:v>
      </x:c>
      <x:c r="G171" s="171" t="str">
        <x:v>Pending</x:v>
      </x:c>
      <x:c r="H171" s="171" t="str">
        <x:v>technicalDataStatus</x:v>
      </x:c>
    </x:row>
    <x:row r="172">
      <x:c r="A172" s="167" t="str">
        <x:v>03_套筒</x:v>
      </x:c>
      <x:c r="B172" s="167" t="str">
        <x:v>rfqEligibility</x:v>
      </x:c>
      <x:c r="C172" s="167" t="str">
        <x:v>* RFQ Eligibility / 询价资格</x:v>
      </x:c>
      <x:c r="D172" s="167" t="str">
        <x:v>Yes</x:v>
      </x:c>
      <x:c r="E172" s="167" t="str">
        <x:v>Text</x:v>
      </x:c>
      <x:c r="F172" s="167" t="str">
        <x:v>控制精确SKU能否使用Add to Quote；与发布和技术资料完整度相互独立。</x:v>
      </x:c>
      <x:c r="G172" s="167" t="str">
        <x:v>Eligible</x:v>
      </x:c>
      <x:c r="H172" s="167" t="str">
        <x:v>rfqEligibility</x:v>
      </x:c>
    </x:row>
    <x:row r="173">
      <x:c r="A173" s="171" t="str">
        <x:v>03_套筒</x:v>
      </x:c>
      <x:c r="B173" s="171" t="str">
        <x:v>technicalDataStatus</x:v>
      </x:c>
      <x:c r="C173" s="171" t="str">
        <x:v>* Technical Data Status / 技术资料状态</x:v>
      </x:c>
      <x:c r="D173" s="171" t="str">
        <x:v>Yes</x:v>
      </x:c>
      <x:c r="E173" s="171" t="str">
        <x:v>Text</x:v>
      </x:c>
      <x:c r="F173" s="171" t="str">
        <x:v>Complete、Inherited或Pending；Pending不阻断Add to Quote，未解析参数不在前台展示。</x:v>
      </x:c>
      <x:c r="G173" s="171" t="str">
        <x:v>Pending</x:v>
      </x:c>
      <x:c r="H173" s="171" t="str">
        <x:v>technicalDataStatus</x:v>
      </x:c>
    </x:row>
    <x:row r="174">
      <x:c r="A174" s="167" t="str">
        <x:v>04_兼容压接</x:v>
      </x:c>
      <x:c r="B174" s="167" t="str">
        <x:v>technicalDataStatus</x:v>
      </x:c>
      <x:c r="C174" s="167" t="str">
        <x:v>* Technical Data Status / 技术资料状态</x:v>
      </x:c>
      <x:c r="D174" s="167" t="str">
        <x:v>Yes</x:v>
      </x:c>
      <x:c r="E174" s="167" t="str">
        <x:v>Text</x:v>
      </x:c>
      <x:c r="F174" s="167" t="str">
        <x:v>记录压接技术数据的完整程度；Pending不阻断RFQ Eligibility。</x:v>
      </x:c>
      <x:c r="G174" s="167" t="str">
        <x:v>Pending</x:v>
      </x:c>
      <x:c r="H174" s="167" t="str">
        <x:v>technicalDataStatus</x:v>
      </x:c>
    </x:row>
    <x:row r="175">
      <x:c r="A175" s="171" t="str">
        <x:v>05_过渡接头</x:v>
      </x:c>
      <x:c r="B175" s="171" t="str">
        <x:v>rfqEligibility</x:v>
      </x:c>
      <x:c r="C175" s="171" t="str">
        <x:v>* RFQ Eligibility / 询价资格</x:v>
      </x:c>
      <x:c r="D175" s="171" t="str">
        <x:v>Yes</x:v>
      </x:c>
      <x:c r="E175" s="171" t="str">
        <x:v>Text</x:v>
      </x:c>
      <x:c r="F175" s="171" t="str">
        <x:v>具体SKU使用Eligible；无具体SKU的产品家族使用Blocked，家族本身不可加入Quote。</x:v>
      </x:c>
      <x:c r="G175" s="171" t="str">
        <x:v>Eligible / Blocked</x:v>
      </x:c>
      <x:c r="H175" s="171" t="str">
        <x:v>rfqEligibility</x:v>
      </x:c>
    </x:row>
    <x:row r="176">
      <x:c r="A176" s="167" t="str">
        <x:v>05_过渡接头</x:v>
      </x:c>
      <x:c r="B176" s="167" t="str">
        <x:v>technicalDataStatus</x:v>
      </x:c>
      <x:c r="C176" s="167" t="str">
        <x:v>* Technical Data Status / 技术资料状态</x:v>
      </x:c>
      <x:c r="D176" s="167" t="str">
        <x:v>Yes</x:v>
      </x:c>
      <x:c r="E176" s="167" t="str">
        <x:v>Text</x:v>
      </x:c>
      <x:c r="F176" s="167" t="str">
        <x:v>Complete、Inherited或Pending；Pending不阻断Add to Quote，未解析参数不在前台展示。</x:v>
      </x:c>
      <x:c r="G176" s="167" t="str">
        <x:v>Pending</x:v>
      </x:c>
      <x:c r="H176" s="167" t="str">
        <x:v>technicalDataStatus</x:v>
      </x:c>
    </x:row>
    <x:row r="177">
      <x:c r="A177" s="171" t="str">
        <x:v>06_快速接头</x:v>
      </x:c>
      <x:c r="B177" s="171" t="str">
        <x:v>rfqEligibility</x:v>
      </x:c>
      <x:c r="C177" s="171" t="str">
        <x:v>* RFQ Eligibility / 询价资格</x:v>
      </x:c>
      <x:c r="D177" s="171" t="str">
        <x:v>Yes</x:v>
      </x:c>
      <x:c r="E177" s="171" t="str">
        <x:v>Text</x:v>
      </x:c>
      <x:c r="F177" s="171" t="str">
        <x:v>控制精确SKU能否使用Add to Quote；与发布和技术资料完整度相互独立。</x:v>
      </x:c>
      <x:c r="G177" s="171" t="str">
        <x:v>Eligible</x:v>
      </x:c>
      <x:c r="H177" s="171" t="str">
        <x:v>rfqEligibility</x:v>
      </x:c>
    </x:row>
    <x:row r="178">
      <x:c r="A178" s="167" t="str">
        <x:v>06_快速接头</x:v>
      </x:c>
      <x:c r="B178" s="167" t="str">
        <x:v>technicalDataStatus</x:v>
      </x:c>
      <x:c r="C178" s="167" t="str">
        <x:v>* Technical Data Status / 技术资料状态</x:v>
      </x:c>
      <x:c r="D178" s="167" t="str">
        <x:v>Yes</x:v>
      </x:c>
      <x:c r="E178" s="167" t="str">
        <x:v>Text</x:v>
      </x:c>
      <x:c r="F178" s="167" t="str">
        <x:v>Complete、Inherited或Pending；Pending不阻断Add to Quote，未解析参数不在前台展示。</x:v>
      </x:c>
      <x:c r="G178" s="167" t="str">
        <x:v>Pending</x:v>
      </x:c>
      <x:c r="H178" s="167" t="str">
        <x:v>technicalDataStatus</x:v>
      </x:c>
    </x:row>
    <x:row r="179">
      <x:c r="A179" s="171" t="str">
        <x:v>07_价格包装</x:v>
      </x:c>
      <x:c r="B179" s="171" t="str">
        <x:v>rfqEligibility</x:v>
      </x:c>
      <x:c r="C179" s="171" t="str">
        <x:v>* RFQ Eligibility / 询价资格</x:v>
      </x:c>
      <x:c r="D179" s="171" t="str">
        <x:v>Yes</x:v>
      </x:c>
      <x:c r="E179" s="171" t="str">
        <x:v>Text</x:v>
      </x:c>
      <x:c r="F179" s="171" t="str">
        <x:v>控制精确SKU能否使用Add to Quote；与发布和技术资料完整度相互独立。</x:v>
      </x:c>
      <x:c r="G179" s="171" t="str">
        <x:v>Eligible</x:v>
      </x:c>
      <x:c r="H179" s="171" t="str">
        <x:v>rfqEligibility</x:v>
      </x:c>
    </x:row>
    <x:row r="180">
      <x:c r="A180" s="167" t="str">
        <x:v>07_价格包装</x:v>
      </x:c>
      <x:c r="B180" s="167" t="str">
        <x:v>technicalDataStatus</x:v>
      </x:c>
      <x:c r="C180" s="167" t="str">
        <x:v>* Technical Data Status / 技术资料状态</x:v>
      </x:c>
      <x:c r="D180" s="167" t="str">
        <x:v>Yes</x:v>
      </x:c>
      <x:c r="E180" s="167" t="str">
        <x:v>Text</x:v>
      </x:c>
      <x:c r="F180" s="167" t="str">
        <x:v>Complete、Inherited或Pending；Pending不阻断Add to Quote，未解析参数不在前台展示。</x:v>
      </x:c>
      <x:c r="G180" s="167" t="str">
        <x:v>Pending</x:v>
      </x:c>
      <x:c r="H180" s="167" t="str">
        <x:v>technicalDataStatus</x:v>
      </x:c>
    </x:row>
    <x:row r="181" ht="42" customHeight="1">
      <x:c r="A181" t="str">
        <x:v>07_价格包装</x:v>
      </x:c>
      <x:c r="B181" s="116" t="str">
        <x:v>quantityInputMode</x:v>
      </x:c>
      <x:c r="C181" s="116" t="str">
        <x:v>* Quantity Input Mode / 数量输入方式</x:v>
      </x:c>
      <x:c r="D181" s="116" t="str">
        <x:v>Yes</x:v>
      </x:c>
      <x:c r="E181" s="116" t="str">
        <x:v>Text</x:v>
      </x:c>
      <x:c r="F181" s="116" t="str">
        <x:v>网站数量控件模式。Hose Variant使用Length x Pieces；其他销售SKU使用Units。</x:v>
      </x:c>
      <x:c r="G181" s="116" t="str">
        <x:v>Length x Pieces</x:v>
      </x:c>
      <x:c r="H181" s="116" t="str">
        <x:v>quantityInputMode</x:v>
      </x:c>
    </x:row>
    <x:row r="182" ht="42" customHeight="1">
      <x:c r="A182" t="str">
        <x:v>07_价格包装</x:v>
      </x:c>
      <x:c r="B182" s="116" t="str">
        <x:v>minimumLengthPerPieceFt</x:v>
      </x:c>
      <x:c r="C182" s="116" t="str">
        <x:v>Minimum Length per Piece ft / 每根最小长度</x:v>
      </x:c>
      <x:c r="D182" s="116" t="str">
        <x:v>No</x:v>
      </x:c>
      <x:c r="E182" s="116" t="str">
        <x:v>Number</x:v>
      </x:c>
      <x:c r="F182" s="116" t="str">
        <x:v>按长度销售的胶管每根允许输入的最小整英尺长度；不代表最大连续长度。</x:v>
      </x:c>
      <x:c r="G182" s="116" t="n">
        <x:v>1</x:v>
      </x:c>
      <x:c r="H182" s="116"/>
    </x:row>
    <x:row r="183" ht="42" customHeight="1">
      <x:c r="A183" t="str">
        <x:v>07_价格包装</x:v>
      </x:c>
      <x:c r="B183" s="116" t="str">
        <x:v>lengthIncrementFt</x:v>
      </x:c>
      <x:c r="C183" s="116" t="str">
        <x:v>Length Increment ft / 长度步长</x:v>
      </x:c>
      <x:c r="D183" s="116" t="str">
        <x:v>No</x:v>
      </x:c>
      <x:c r="E183" s="116" t="str">
        <x:v>Number</x:v>
      </x:c>
      <x:c r="F183" s="116" t="str">
        <x:v>按长度销售时前台允许增加或减少的英尺步长。</x:v>
      </x:c>
      <x:c r="G183" s="116" t="n">
        <x:v>1</x:v>
      </x:c>
      <x:c r="H183" s="116"/>
    </x:row>
    <x:row r="184" ht="42" customHeight="1">
      <x:c r="A184" t="str">
        <x:v>07_价格包装</x:v>
      </x:c>
      <x:c r="B184" s="116" t="str">
        <x:v>presetLength1Ft</x:v>
      </x:c>
      <x:c r="C184" s="116" t="str">
        <x:v>Preset Length 1 ft / 快捷长度1</x:v>
      </x:c>
      <x:c r="D184" s="116" t="str">
        <x:v>No</x:v>
      </x:c>
      <x:c r="E184" s="116" t="str">
        <x:v>Number</x:v>
      </x:c>
      <x:c r="F184" s="116" t="str">
        <x:v>胶管产品页第一个快捷长度按钮。</x:v>
      </x:c>
      <x:c r="G184" s="116" t="n">
        <x:v>25</x:v>
      </x:c>
      <x:c r="H184" s="116"/>
    </x:row>
    <x:row r="185" ht="42" customHeight="1">
      <x:c r="A185" t="str">
        <x:v>07_价格包装</x:v>
      </x:c>
      <x:c r="B185" s="116" t="str">
        <x:v>presetLength2Ft</x:v>
      </x:c>
      <x:c r="C185" s="116" t="str">
        <x:v>Preset Length 2 ft / 快捷长度2</x:v>
      </x:c>
      <x:c r="D185" s="116" t="str">
        <x:v>No</x:v>
      </x:c>
      <x:c r="E185" s="116" t="str">
        <x:v>Number</x:v>
      </x:c>
      <x:c r="F185" s="116" t="str">
        <x:v>胶管产品页第二个快捷长度按钮。</x:v>
      </x:c>
      <x:c r="G185" s="116" t="n">
        <x:v>50</x:v>
      </x:c>
      <x:c r="H185" s="116"/>
    </x:row>
    <x:row r="186" ht="42" customHeight="1">
      <x:c r="A186" t="str">
        <x:v>07_价格包装</x:v>
      </x:c>
      <x:c r="B186" s="116" t="str">
        <x:v>presetLength3Ft</x:v>
      </x:c>
      <x:c r="C186" s="116" t="str">
        <x:v>Preset Length 3 ft / 快捷长度3</x:v>
      </x:c>
      <x:c r="D186" s="116" t="str">
        <x:v>No</x:v>
      </x:c>
      <x:c r="E186" s="116" t="str">
        <x:v>Number</x:v>
      </x:c>
      <x:c r="F186" s="116" t="str">
        <x:v>胶管产品页第三个快捷长度按钮。</x:v>
      </x:c>
      <x:c r="G186" s="116" t="n">
        <x:v>100</x:v>
      </x:c>
      <x:c r="H186" s="116"/>
    </x:row>
    <x:row r="187" ht="42" customHeight="1">
      <x:c r="A187" t="str">
        <x:v>07_价格包装</x:v>
      </x:c>
      <x:c r="B187" s="116" t="str">
        <x:v>continuousLengthConfirmation</x:v>
      </x:c>
      <x:c r="C187" s="116" t="str">
        <x:v>Continuous Length Confirmation / 连续长度确认</x:v>
      </x:c>
      <x:c r="D187" s="116" t="str">
        <x:v>No</x:v>
      </x:c>
      <x:c r="E187" s="116" t="str">
        <x:v>Text</x:v>
      </x:c>
      <x:c r="F187" s="116" t="str">
        <x:v>最大连续长度资料未提供时使用Quote Review；网站接收需求但不自动承诺可生产长度。</x:v>
      </x:c>
      <x:c r="G187" s="116" t="str">
        <x:v>Quote Review</x:v>
      </x:c>
      <x:c r="H187" s="116" t="str">
        <x:v>continuousLengthConfirmation</x:v>
      </x:c>
    </x:row>
    <x:row r="188">
      <x:c r="A188"/>
      <x:c r="B188"/>
      <x:c r="C188"/>
      <x:c r="D188"/>
      <x:c r="E188"/>
      <x:c r="F188"/>
      <x:c r="G188"/>
      <x:c r="H188"/>
    </x:row>
  </x:sheetData>
  <x:mergeCells>
    <x:mergeCell ref="A1:H1"/>
    <x:mergeCell ref="A2:H2"/>
  </x:mergeCells>
  <x:conditionalFormatting sqref="D5:D188">
    <x:cfRule type="containsText" dxfId="32" priority="1" operator="containsText" text="Yes"/>
  </x:conditionalFormatting>
  <x:pageMargins left="0.7" right="0.7" top="0.75" bottom="0.75" header="0.3" footer="0.3"/>
  <x:tableParts count="1">
    <x:tablePart xmlns:r="http://schemas.openxmlformats.org/officeDocument/2006/relationships" r:id="Re56370436c4b4dfc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4" hidden="0" customWidth="1"/>
    <x:col min="23" max="23" width="30" hidden="0" customWidth="1"/>
  </x:cols>
  <x:sheetData>
    <x:row r="1" ht="30" customHeight="1">
      <x:c r="A1" s="3" t="str">
        <x:v>Controlled Dropdown Values / 受控下拉选项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V1"/>
      <x:c r="W1"/>
    </x:row>
    <x:row r="2" ht="34" customHeight="1">
      <x:c r="A2" s="12" t="str">
        <x:v>需要新增选项时，请同步更新网站枚举值和数据导入规则。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  <x:c r="O2" s="13"/>
      <x:c r="P2" s="13"/>
      <x:c r="Q2" s="13"/>
      <x:c r="R2" s="13"/>
      <x:c r="S2" s="14"/>
      <x:c r="V2"/>
      <x:c r="W2"/>
    </x:row>
    <x:row r="3">
      <x:c r="A3" s="78" t="str">
        <x:v>catalogPublicationStatus</x:v>
      </x:c>
      <x:c r="B3" s="78" t="str">
        <x:v>yesNo</x:v>
      </x:c>
      <x:c r="C3" s="78" t="str">
        <x:v>yesNoNA</x:v>
      </x:c>
      <x:c r="D3" s="78" t="str">
        <x:v>hoseSeries</x:v>
      </x:c>
      <x:c r="E3" s="78" t="str">
        <x:v>dash</x:v>
      </x:c>
      <x:c r="F3" s="78" t="str">
        <x:v>interfaceFamily</x:v>
      </x:c>
      <x:c r="G3" s="78" t="str">
        <x:v>gender</x:v>
      </x:c>
      <x:c r="H3" s="78" t="str">
        <x:v>angle</x:v>
      </x:c>
      <x:c r="I3" s="78" t="str">
        <x:v>swivel</x:v>
      </x:c>
      <x:c r="J3" s="78" t="str">
        <x:v>skive</x:v>
      </x:c>
      <x:c r="K3" s="78" t="str">
        <x:v>qualification</x:v>
      </x:c>
      <x:c r="L3" s="78" t="str">
        <x:v>productType</x:v>
      </x:c>
      <x:c r="M3" s="78" t="str">
        <x:v>docType</x:v>
      </x:c>
      <x:c r="N3" s="78" t="str">
        <x:v>unit</x:v>
      </x:c>
      <x:c r="O3" s="78" t="str">
        <x:v>currency</x:v>
      </x:c>
      <x:c r="P3" s="78" t="str">
        <x:v>incoterm</x:v>
      </x:c>
      <x:c r="Q3" s="78" t="str">
        <x:v>coating</x:v>
      </x:c>
      <x:c r="R3" s="78" t="str">
        <x:v>role</x:v>
      </x:c>
      <x:c r="S3" s="78" t="str">
        <x:v>publicClaim</x:v>
      </x:c>
      <x:c r="T3" s="174" t="str">
        <x:v>rfqEligibility</x:v>
      </x:c>
      <x:c r="U3" s="174" t="str">
        <x:v>technicalDataStatus</x:v>
      </x:c>
      <x:c r="V3" s="191" t="str">
        <x:v>quantityInputMode</x:v>
      </x:c>
      <x:c r="W3" s="191" t="str">
        <x:v>continuousLengthConfirmation</x:v>
      </x:c>
    </x:row>
    <x:row r="4">
      <x:c r="A4" s="113" t="str">
        <x:v>Draft</x:v>
      </x:c>
      <x:c r="B4" s="113" t="str">
        <x:v>Yes</x:v>
      </x:c>
      <x:c r="C4" s="113" t="str">
        <x:v>Yes</x:v>
      </x:c>
      <x:c r="D4" s="113" t="str">
        <x:v>601R1</x:v>
      </x:c>
      <x:c r="E4" s="113" t="str">
        <x:v>-2</x:v>
      </x:c>
      <x:c r="F4" s="113" t="str">
        <x:v>JIC 37°</x:v>
      </x:c>
      <x:c r="G4" s="113" t="str">
        <x:v>Male</x:v>
      </x:c>
      <x:c r="H4" s="113" t="str">
        <x:v>0° Straight</x:v>
      </x:c>
      <x:c r="I4" s="113" t="str">
        <x:v>Fixed</x:v>
      </x:c>
      <x:c r="J4" s="113" t="str">
        <x:v>No Skive</x:v>
      </x:c>
      <x:c r="K4" s="113" t="str">
        <x:v>Approved</x:v>
      </x:c>
      <x:c r="L4" s="113" t="str">
        <x:v>Hose Variant</x:v>
      </x:c>
      <x:c r="M4" s="113" t="str">
        <x:v>Drawing</x:v>
      </x:c>
      <x:c r="N4" s="113" t="str">
        <x:v>EA</x:v>
      </x:c>
      <x:c r="O4" s="113" t="str">
        <x:v>USD</x:v>
      </x:c>
      <x:c r="P4" s="113" t="str">
        <x:v>EXW</x:v>
      </x:c>
      <x:c r="Q4" s="113" t="str">
        <x:v>Zinc plating</x:v>
      </x:c>
      <x:c r="R4" s="113" t="str">
        <x:v>Coupler/Socket</x:v>
      </x:c>
      <x:c r="S4" s="113" t="str">
        <x:v>Public</x:v>
      </x:c>
      <x:c r="T4" s="177" t="str">
        <x:v>Eligible</x:v>
      </x:c>
      <x:c r="U4" s="177" t="str">
        <x:v>Complete</x:v>
      </x:c>
      <x:c r="V4" s="196" t="str">
        <x:v>Units</x:v>
      </x:c>
      <x:c r="W4" s="196" t="str">
        <x:v>Quote Review</x:v>
      </x:c>
    </x:row>
    <x:row r="5">
      <x:c r="A5" s="114" t="str">
        <x:v>Published</x:v>
      </x:c>
      <x:c r="B5" s="115" t="str">
        <x:v>No</x:v>
      </x:c>
      <x:c r="C5" s="114" t="str">
        <x:v>No</x:v>
      </x:c>
      <x:c r="D5" s="114" t="str">
        <x:v>601R2</x:v>
      </x:c>
      <x:c r="E5" s="114" t="str">
        <x:v>-3</x:v>
      </x:c>
      <x:c r="F5" s="114" t="str">
        <x:v>NPT</x:v>
      </x:c>
      <x:c r="G5" s="114" t="str">
        <x:v>Female</x:v>
      </x:c>
      <x:c r="H5" s="114" t="str">
        <x:v>45°</x:v>
      </x:c>
      <x:c r="I5" s="114" t="str">
        <x:v>Swivel</x:v>
      </x:c>
      <x:c r="J5" s="114" t="str">
        <x:v>External Skive</x:v>
      </x:c>
      <x:c r="K5" s="114" t="str">
        <x:v>Pending</x:v>
      </x:c>
      <x:c r="L5" s="114" t="str">
        <x:v>Packaged Hose</x:v>
      </x:c>
      <x:c r="M5" s="114" t="str">
        <x:v>Crimp Data</x:v>
      </x:c>
      <x:c r="N5" s="114" t="str">
        <x:v>FT</x:v>
      </x:c>
      <x:c r="O5" s="115" t="str">
        <x:v>CNY</x:v>
      </x:c>
      <x:c r="P5" s="114" t="str">
        <x:v>FOB</x:v>
      </x:c>
      <x:c r="Q5" s="114" t="str">
        <x:v>Zinc Nickel</x:v>
      </x:c>
      <x:c r="R5" s="114" t="str">
        <x:v>Plug/Nipple</x:v>
      </x:c>
      <x:c r="S5" s="114" t="str">
        <x:v>Available on Request</x:v>
      </x:c>
      <x:c r="T5" s="177" t="str">
        <x:v>Manual Quote Only</x:v>
      </x:c>
      <x:c r="U5" s="177" t="str">
        <x:v>Inherited</x:v>
      </x:c>
      <x:c r="V5" s="196" t="str">
        <x:v>Length x Pieces</x:v>
      </x:c>
      <x:c r="W5" s="196"/>
    </x:row>
    <x:row r="6">
      <x:c r="A6" s="115" t="str">
        <x:v>Archived</x:v>
      </x:c>
      <x:c r="C6" s="115" t="str">
        <x:v>N/A</x:v>
      </x:c>
      <x:c r="D6" s="114" t="str">
        <x:v>EN1SC</x:v>
      </x:c>
      <x:c r="E6" s="114" t="str">
        <x:v>-4</x:v>
      </x:c>
      <x:c r="F6" s="114" t="str">
        <x:v>NPTF</x:v>
      </x:c>
      <x:c r="G6" s="115" t="str">
        <x:v>N/A</x:v>
      </x:c>
      <x:c r="H6" s="114" t="str">
        <x:v>90°</x:v>
      </x:c>
      <x:c r="I6" s="114" t="str">
        <x:v>Live Swivel</x:v>
      </x:c>
      <x:c r="J6" s="114" t="str">
        <x:v>Internal + External Skive</x:v>
      </x:c>
      <x:c r="K6" s="114" t="str">
        <x:v>Rejected</x:v>
      </x:c>
      <x:c r="L6" s="114" t="str">
        <x:v>Hose End</x:v>
      </x:c>
      <x:c r="M6" s="114" t="str">
        <x:v>Burst Test</x:v>
      </x:c>
      <x:c r="N6" s="114" t="str">
        <x:v>M</x:v>
      </x:c>
      <x:c r="P6" s="114" t="str">
        <x:v>FCA</x:v>
      </x:c>
      <x:c r="Q6" s="114" t="str">
        <x:v>Trivalent Zinc</x:v>
      </x:c>
      <x:c r="R6" s="115" t="str">
        <x:v>Complete Pair</x:v>
      </x:c>
      <x:c r="S6" s="115" t="str">
        <x:v>Internal Only</x:v>
      </x:c>
      <x:c r="T6" s="177" t="str">
        <x:v>Blocked</x:v>
      </x:c>
      <x:c r="U6" s="177" t="str">
        <x:v>Pending</x:v>
      </x:c>
      <x:c r="V6" s="196"/>
      <x:c r="W6" s="196"/>
    </x:row>
    <x:row r="7">
      <x:c r="D7" s="114" t="str">
        <x:v>EN2SC</x:v>
      </x:c>
      <x:c r="E7" s="114" t="str">
        <x:v>-5</x:v>
      </x:c>
      <x:c r="F7" s="114" t="str">
        <x:v>ORFS</x:v>
      </x:c>
      <x:c r="H7" s="115" t="str">
        <x:v>Other</x:v>
      </x:c>
      <x:c r="I7" s="115" t="str">
        <x:v>N/A</x:v>
      </x:c>
      <x:c r="J7" s="115" t="str">
        <x:v>Other</x:v>
      </x:c>
      <x:c r="K7" s="115" t="str">
        <x:v>Not Tested</x:v>
      </x:c>
      <x:c r="L7" s="114" t="str">
        <x:v>Ferrule</x:v>
      </x:c>
      <x:c r="M7" s="114" t="str">
        <x:v>Impulse Test</x:v>
      </x:c>
      <x:c r="N7" s="114" t="str">
        <x:v>COIL</x:v>
      </x:c>
      <x:c r="P7" s="114" t="str">
        <x:v>CIF</x:v>
      </x:c>
      <x:c r="Q7" s="114" t="str">
        <x:v>Stainless Steel</x:v>
      </x:c>
      <x:c r="T7" s="177"/>
      <x:c r="U7" s="177"/>
      <x:c r="V7" s="196"/>
      <x:c r="W7" s="196"/>
    </x:row>
    <x:row r="8">
      <x:c r="D8" s="114" t="str">
        <x:v>EN4SP</x:v>
      </x:c>
      <x:c r="E8" s="114" t="str">
        <x:v>-6</x:v>
      </x:c>
      <x:c r="F8" s="114" t="str">
        <x:v>BSPP</x:v>
      </x:c>
      <x:c r="L8" s="114" t="str">
        <x:v>Adapter</x:v>
      </x:c>
      <x:c r="M8" s="114" t="str">
        <x:v>Proof Test Procedure</x:v>
      </x:c>
      <x:c r="N8" s="114" t="str">
        <x:v>PAIR</x:v>
      </x:c>
      <x:c r="P8" s="114" t="str">
        <x:v>DDP</x:v>
      </x:c>
      <x:c r="Q8" s="114" t="str">
        <x:v>Brass</x:v>
      </x:c>
      <x:c r="T8" s="177"/>
      <x:c r="U8" s="177"/>
      <x:c r="V8" s="196"/>
      <x:c r="W8" s="196"/>
    </x:row>
    <x:row r="9">
      <x:c r="D9" s="115" t="str">
        <x:v>EN4SH</x:v>
      </x:c>
      <x:c r="E9" s="114" t="str">
        <x:v>-8</x:v>
      </x:c>
      <x:c r="F9" s="114" t="str">
        <x:v>BSPT</x:v>
      </x:c>
      <x:c r="L9" s="114" t="str">
        <x:v>Quick Coupler</x:v>
      </x:c>
      <x:c r="M9" s="114" t="str">
        <x:v>Material Certificate</x:v>
      </x:c>
      <x:c r="N9" s="115" t="str">
        <x:v>SET</x:v>
      </x:c>
      <x:c r="P9" s="115" t="str">
        <x:v>DAP</x:v>
      </x:c>
      <x:c r="Q9" s="114" t="str">
        <x:v>Uncoated</x:v>
      </x:c>
      <x:c r="T9" s="177"/>
      <x:c r="U9" s="177"/>
      <x:c r="V9" s="196"/>
      <x:c r="W9" s="196"/>
    </x:row>
    <x:row r="10">
      <x:c r="E10" s="114" t="str">
        <x:v>-10</x:v>
      </x:c>
      <x:c r="F10" s="114" t="str">
        <x:v>Metric DIN</x:v>
      </x:c>
      <x:c r="L10" s="114" t="str">
        <x:v>Quick Plug</x:v>
      </x:c>
      <x:c r="M10" s="114" t="str">
        <x:v>Coating Test</x:v>
      </x:c>
      <x:c r="Q10" s="115" t="str">
        <x:v>Other</x:v>
      </x:c>
      <x:c r="T10" s="177"/>
      <x:c r="U10" s="177"/>
      <x:c r="V10" s="196"/>
      <x:c r="W10" s="196"/>
    </x:row>
    <x:row r="11">
      <x:c r="E11" s="114" t="str">
        <x:v>-12</x:v>
      </x:c>
      <x:c r="F11" s="114" t="str">
        <x:v>SAE Flange</x:v>
      </x:c>
      <x:c r="L11" s="115" t="str">
        <x:v>Accessory</x:v>
      </x:c>
      <x:c r="M11" s="114" t="str">
        <x:v>Compliance Certificate</x:v>
      </x:c>
      <x:c r="T11" s="177"/>
      <x:c r="U11" s="177"/>
      <x:c r="V11" s="196"/>
      <x:c r="W11" s="196"/>
    </x:row>
    <x:row r="12">
      <x:c r="E12" s="114" t="str">
        <x:v>-14</x:v>
      </x:c>
      <x:c r="F12" s="114" t="str">
        <x:v>Banjo</x:v>
      </x:c>
      <x:c r="M12" s="114" t="str">
        <x:v>Packaging Specification</x:v>
      </x:c>
      <x:c r="T12" s="177"/>
      <x:c r="U12" s="177"/>
      <x:c r="V12" s="196"/>
      <x:c r="W12" s="196"/>
    </x:row>
    <x:row r="13">
      <x:c r="E13" s="114" t="str">
        <x:v>-16</x:v>
      </x:c>
      <x:c r="F13" s="114" t="str">
        <x:v>Japanese</x:v>
      </x:c>
      <x:c r="M13" s="115" t="str">
        <x:v>Other</x:v>
      </x:c>
      <x:c r="T13" s="177"/>
      <x:c r="U13" s="177"/>
      <x:c r="V13" s="196"/>
      <x:c r="W13" s="196"/>
    </x:row>
    <x:row r="14">
      <x:c r="E14" s="114" t="str">
        <x:v>-20</x:v>
      </x:c>
      <x:c r="F14" s="115" t="str">
        <x:v>Other</x:v>
      </x:c>
      <x:c r="T14" s="177"/>
      <x:c r="U14" s="177"/>
      <x:c r="V14" s="196"/>
      <x:c r="W14" s="196"/>
    </x:row>
    <x:row r="15">
      <x:c r="E15" s="114" t="str">
        <x:v>-24</x:v>
      </x:c>
      <x:c r="F15" t="str">
        <x:v>ORB</x:v>
      </x:c>
      <x:c r="T15" s="177"/>
      <x:c r="U15" s="177"/>
      <x:c r="V15" s="196"/>
      <x:c r="W15" s="196"/>
    </x:row>
    <x:row r="16">
      <x:c r="E16" s="114" t="str">
        <x:v>-32</x:v>
      </x:c>
      <x:c r="T16" s="177"/>
      <x:c r="U16" s="177"/>
      <x:c r="V16" s="196"/>
      <x:c r="W16" s="196"/>
    </x:row>
    <x:row r="17">
      <x:c r="E17" s="114" t="str">
        <x:v>-40</x:v>
      </x:c>
      <x:c r="T17" s="177"/>
      <x:c r="U17" s="177"/>
      <x:c r="V17" s="196"/>
      <x:c r="W17" s="196"/>
    </x:row>
    <x:row r="18">
      <x:c r="E18" s="114" t="str">
        <x:v>-48</x:v>
      </x:c>
      <x:c r="T18" s="177"/>
      <x:c r="U18" s="177"/>
      <x:c r="V18" s="196"/>
      <x:c r="W18" s="196"/>
    </x:row>
    <x:row r="19">
      <x:c r="E19" s="114" t="str">
        <x:v>-56</x:v>
      </x:c>
      <x:c r="T19" s="177"/>
      <x:c r="U19" s="177"/>
      <x:c r="V19" s="196"/>
      <x:c r="W19" s="196"/>
    </x:row>
    <x:row r="20">
      <x:c r="E20" s="115" t="str">
        <x:v>-64</x:v>
      </x:c>
      <x:c r="T20" s="178"/>
      <x:c r="U20" s="178"/>
      <x:c r="V20" s="197"/>
      <x:c r="W20" s="197"/>
    </x:row>
  </x:sheetData>
  <x:mergeCells>
    <x:mergeCell ref="A1:W1"/>
    <x:mergeCell ref="A2:W2"/>
  </x:mergeCells>
  <x:pageMargins left="0.7" right="0.7" top="0.75" bottom="0.75" header="0.3" footer="0.3"/>
</x:worksheet>
</file>